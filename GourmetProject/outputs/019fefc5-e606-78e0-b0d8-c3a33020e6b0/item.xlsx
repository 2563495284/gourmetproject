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950f4769e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饰品" sheetId="1" r:id="R20c9764dcdb84096"/>
    <x:sheet xmlns:r="http://schemas.openxmlformats.org/officeDocument/2006/relationships" name="消耗品" sheetId="2" r:id="R555f6db8272f439b"/>
    <x:sheet xmlns:r="http://schemas.openxmlformats.org/officeDocument/2006/relationships" name="装饰品与消耗品设计" sheetId="3" r:id="R7a33f31d0a7a4ac9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<x:sst xmlns:x="http://schemas.openxmlformats.org/spreadsheetml/2006/main">
  <x:si>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</x:si>
  <x:si>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</x:si>
  <x:si>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name</x:t>
  </x:si>
  <x:si>
    <x:t xml:space="preserve">desc</x:t>
  </x:si>
  <x:si>
    <x:t xml:space="preserve">quality</x:t>
  </x:si>
  <x:si>
    <x:t xml:space="preserve">specialTags</x:t>
  </x:si>
  <x:si>
    <x:t xml:space="preserve">effectValue</x:t>
  </x:si>
  <x:si>
    <x:t xml:space="preserve">effectParam</x:t>
  </x:si>
  <x:si>
    <x:t xml:space="preserve">baseWeight</x:t>
  </x:si>
  <x:si>
    <x:t xml:space="preserve">hiddenRange</x:t>
  </x:si>
  <x:si>
    <x:t xml:space="preserve">targetScoreHiddenOffset</x:t>
  </x:si>
  <x:si>
    <x:t xml:space="preserve">dishHiddenOffset</x:t>
  </x:si>
  <x:si>
    <x:t xml:space="preserve">passiveItemHiddenOffset</x:t>
  </x:si>
  <x:si>
    <x:t xml:space="preserve">fragmentHiddenOffset</x:t>
  </x:si>
  <x:si>
    <x:t xml:space="preserve">termId</x:t>
  </x:si>
  <x:si>
    <x:t xml:space="preserve">price</x:t>
  </x:si>
  <x:si>
    <x:t xml:space="preserve">##comment</x:t>
  </x:si>
  <x:si>
    <x:t xml:space="preserve">装饰品ID</x:t>
  </x:si>
  <x:si>
    <x:t xml:space="preserve">装饰品名称</x:t>
  </x:si>
  <x:si>
    <x:t xml:space="preserve">装饰品描述</x:t>
  </x:si>
  <x:si>
    <x:t xml:space="preserve">装饰品品质</x:t>
  </x:si>
  <x:si>
    <x:t xml:space="preserve">特殊标签标记</x:t>
  </x:si>
  <x:si>
    <x:t xml:space="preserve">效果数值</x:t>
  </x:si>
  <x:si>
    <x:t xml:space="preserve">效果参数</x:t>
  </x:si>
  <x:si>
    <x:t xml:space="preserve">随机基础权重</x:t>
  </x:si>
  <x:si>
    <x:t xml:space="preserve">出现隐藏分区间(单元格:min,max)</x:t>
  </x:si>
  <x:si>
    <x:t xml:space="preserve">目标美味值隐藏分修正</x:t>
  </x:si>
  <x:si>
    <x:t xml:space="preserve">食物隐藏分修正</x:t>
  </x:si>
  <x:si>
    <x:t xml:space="preserve">装饰品隐藏分修正</x:t>
  </x:si>
  <x:si>
    <x:t xml:space="preserve">餐桌格隐藏分修正</x:t>
  </x:si>
  <x:si>
    <x:t xml:space="preserve">关联术语ID(,|分隔)</x:t>
  </x:si>
  <x:si>
    <x:t xml:space="preserve">商店基础价格</x:t>
  </x:si>
  <x:si>
    <x:t xml:space="preserve">##type</x:t>
  </x:si>
  <x:si>
    <x:t xml:space="preserve">string</x:t>
  </x:si>
  <x:si>
    <x:t xml:space="preserve">ItemQuality</x:t>
  </x:si>
  <x:si>
    <x:t xml:space="preserve">ItemSpecialTag</x:t>
  </x:si>
  <x:si>
    <x:t xml:space="preserve">float</x:t>
  </x:si>
  <x:si>
    <x:t xml:space="preserve">HiddenRange</x:t>
  </x:si>
  <x:si>
    <x:t xml:space="preserve">int</x:t>
  </x:si>
  <x:si>
    <x:t xml:space="preserve">item_randomize_items</x:t>
  </x:si>
  <x:si>
    <x:t xml:space="preserve">洗好的扑克</x:t>
  </x:si>
  <x:si>
    <x:t xml:space="preserve">所有装饰品
替换为随机的装饰品</x:t>
  </x:si>
  <x:si>
    <x:t xml:space="preserve">Rare</x:t>
  </x:si>
  <x:si>
    <x:t xml:space="preserve">None</x:t>
  </x:si>
  <x:si>
    <x:t xml:space="preserve">30,80</x:t>
  </x:si>
  <x:si>
    <x:t xml:space="preserve">item_gold_random</x:t>
  </x:si>
  <x:si>
    <x:t xml:space="preserve">陶瓷招财猫</x:t>
  </x:si>
  <x:si>
    <x:t xml:space="preserve">获得30～200金币</x:t>
  </x:si>
  <x:si>
    <x:t xml:space="preserve">Common</x:t>
  </x:si>
  <x:si>
    <x:t xml:space="preserve">range:30,200</x:t>
  </x:si>
  <x:si>
    <x:t xml:space="preserve">10,80</x:t>
  </x:si>
  <x:si>
    <x:t xml:space="preserve">item_gold_meal_bonus</x:t>
  </x:si>
  <x:si>
    <x:t xml:space="preserve">柜台小费罐</x:t>
  </x:si>
  <x:si>
    <x:t xml:space="preserve">接下来10次日常营业
额外获得15金币</x:t>
  </x:si>
  <x:si>
    <x:t xml:space="preserve">meals:10</x:t>
  </x:si>
  <x:si>
    <x:t xml:space="preserve">item_gold_boss</x:t>
  </x:si>
  <x:si>
    <x:t xml:space="preserve">金边奖杯</x:t>
  </x:si>
  <x:si>
    <x:t xml:space="preserve">完成下次星级评鉴
额外+120金币</x:t>
  </x:si>
  <x:si>
    <x:t xml:space="preserve">item_gold_percent</x:t>
  </x:si>
  <x:si>
    <x:t xml:space="preserve">黄铜算盘</x:t>
  </x:si>
  <x:si>
    <x:t xml:space="preserve">营业获得的金币
额外+20%</x:t>
  </x:si>
  <x:si>
    <x:t xml:space="preserve">20,80</x:t>
  </x:si>
  <x:si>
    <x:t xml:space="preserve">item_trash_upgrade</x:t>
  </x:si>
  <x:si>
    <x:t xml:space="preserve">藤编纸篓</x:t>
  </x:si>
  <x:si>
    <x:t xml:space="preserve">丢弃次数+1</x:t>
  </x:si>
  <x:si>
    <x:t xml:space="preserve">item_trash_expand</x:t>
  </x:si>
  <x:si>
    <x:t xml:space="preserve">壁挂废物桶</x:t>
  </x:si>
  <x:si>
    <x:t xml:space="preserve">Uncommon</x:t>
  </x:si>
  <x:si>
    <x:t xml:space="preserve">item_trash_evolve</x:t>
  </x:si>
  <x:si>
    <x:t xml:space="preserve">脚踏垃圾桶</x:t>
  </x:si>
  <x:si>
    <x:t xml:space="preserve">丢弃次数+2</x:t>
  </x:si>
  <x:si>
    <x:t xml:space="preserve">item_trash_mutate</x:t>
  </x:si>
  <x:si>
    <x:t xml:space="preserve">推盖垃圾桶</x:t>
  </x:si>
  <x:si>
    <x:t xml:space="preserve">item_discount_food</x:t>
  </x:si>
  <x:si>
    <x:t xml:space="preserve">香草盆栽</x:t>
  </x:si>
  <x:si>
    <x:t xml:space="preserve">食物价格-15%</x:t>
  </x:si>
  <x:si>
    <x:t xml:space="preserve">item_discount_fragment</x:t>
  </x:si>
  <x:si>
    <x:t xml:space="preserve">餐桌模型</x:t>
  </x:si>
  <x:si>
    <x:t xml:space="preserve">餐桌格价格-15%</x:t>
  </x:si>
  <x:si>
    <x:t xml:space="preserve">item_discount_active</x:t>
  </x:si>
  <x:si>
    <x:t xml:space="preserve">强化券匣</x:t>
  </x:si>
  <x:si>
    <x:t xml:space="preserve">强化箱价格-15%</x:t>
  </x:si>
  <x:si>
    <x:t xml:space="preserve">item_discount_adjust</x:t>
  </x:si>
  <x:si>
    <x:t xml:space="preserve">调整单夹</x:t>
  </x:si>
  <x:si>
    <x:t xml:space="preserve">调整单价格-15%</x:t>
  </x:si>
  <x:si>
    <x:t xml:space="preserve">item_discount_passive</x:t>
  </x:si>
  <x:si>
    <x:t xml:space="preserve">装饰样板墙</x:t>
  </x:si>
  <x:si>
    <x:t xml:space="preserve">装饰品价格-15%</x:t>
  </x:si>
  <x:si>
    <x:t xml:space="preserve">item_discount_remove</x:t>
  </x:si>
  <x:si>
    <x:t xml:space="preserve">抽页食谱夹</x:t>
  </x:si>
  <x:si>
    <x:t xml:space="preserve">移除食物价格-15%</x:t>
  </x:si>
  <x:si>
    <x:t xml:space="preserve">item_discount_food_festival</x:t>
  </x:si>
  <x:si>
    <x:t xml:space="preserve">丰收菜篮</x:t>
  </x:si>
  <x:si>
    <x:t xml:space="preserve">食物价格-25%</x:t>
  </x:si>
  <x:si>
    <x:t xml:space="preserve">item_discount_fragment_festival</x:t>
  </x:si>
  <x:si>
    <x:t xml:space="preserve">宴会桌模型</x:t>
  </x:si>
  <x:si>
    <x:t xml:space="preserve">餐桌格价格-30%</x:t>
  </x:si>
  <x:si>
    <x:t xml:space="preserve">item_discount_active_festival</x:t>
  </x:si>
  <x:si>
    <x:t xml:space="preserve">金边强化券</x:t>
  </x:si>
  <x:si>
    <x:t xml:space="preserve">强化箱价格-30%</x:t>
  </x:si>
  <x:si>
    <x:t xml:space="preserve">item_discount_adjust_festival</x:t>
  </x:si>
  <x:si>
    <x:t xml:space="preserve">烫金调整单</x:t>
  </x:si>
  <x:si>
    <x:t xml:space="preserve">调整单价格-30%</x:t>
  </x:si>
  <x:si>
    <x:t xml:space="preserve">item_discount_passive_festival</x:t>
  </x:si>
  <x:si>
    <x:t xml:space="preserve">多层展柜</x:t>
  </x:si>
  <x:si>
    <x:t xml:space="preserve">装饰品价格-30%</x:t>
  </x:si>
  <x:si>
    <x:t xml:space="preserve">item_discount_remove_festival</x:t>
  </x:si>
  <x:si>
    <x:t xml:space="preserve">可擦食谱板</x:t>
  </x:si>
  <x:si>
    <x:t xml:space="preserve">移除食物价格-30%</x:t>
  </x:si>
  <x:si>
    <x:t xml:space="preserve">item_famous_knife</x:t>
  </x:si>
  <x:si>
    <x:t xml:space="preserve">名刀展示架</x:t>
  </x:si>
  <x:si>
    <x:t xml:space="preserve">即将失败时
恢复至1颗红心
生效1次后失效</x:t>
  </x:si>
  <x:si>
    <x:t xml:space="preserve">item_heart_flat_all</x:t>
  </x:si>
  <x:si>
    <x:t xml:space="preserve">暖心壁灯</x:t>
  </x:si>
  <x:si>
    <x:t xml:space="preserve">结算开始
每拥有1颗红心
所有食物分数+10</x:t>
  </x:si>
  <x:si>
    <x:t xml:space="preserve">item_empty_heart_mult_all</x:t>
  </x:si>
  <x:si>
    <x:t xml:space="preserve">裂纹心形镜</x:t>
  </x:si>
  <x:si>
    <x:t xml:space="preserve">结算开始
每拥有1个空红心
所有食物倍率+0.3</x:t>
  </x:si>
  <x:si>
    <x:t xml:space="preserve">item_score_to_one</x:t>
  </x:si>
  <x:si>
    <x:t xml:space="preserve">开业纪念照</x:t>
  </x:si>
  <x:si>
    <x:t xml:space="preserve">接下来2次营业
目标美味值为1</x:t>
  </x:si>
  <x:si>
    <x:t xml:space="preserve">meals:2</x:t>
  </x:si>
  <x:si>
    <x:t xml:space="preserve">item_req_normal_down</x:t>
  </x:si>
  <x:si>
    <x:t xml:space="preserve">家常菜挂画</x:t>
  </x:si>
  <x:si>
    <x:t xml:space="preserve">日常营业
目标美味值-25%</x:t>
  </x:si>
  <x:si>
    <x:t xml:space="preserve">item_req_super_down</x:t>
  </x:si>
  <x:si>
    <x:t xml:space="preserve">红格桌布</x:t>
  </x:si>
  <x:si>
    <x:t xml:space="preserve">火热营业
目标美味值-25%</x:t>
  </x:si>
  <x:si>
    <x:t xml:space="preserve">item_req_feast_down</x:t>
  </x:si>
  <x:si>
    <x:t xml:space="preserve">金边证书框</x:t>
  </x:si>
  <x:si>
    <x:t xml:space="preserve">星级评鉴
目标美味值-20%</x:t>
  </x:si>
  <x:si>
    <x:t xml:space="preserve">item_count_le_mult</x:t>
  </x:si>
  <x:si>
    <x:t xml:space="preserve">素色桌旗</x:t>
  </x:si>
  <x:si>
    <x:t xml:space="preserve">结算开始
若食物份数≤15
所有食物倍率+0.5</x:t>
  </x:si>
  <x:si>
    <x:t xml:space="preserve">lte:15</x:t>
  </x:si>
  <x:si>
    <x:t xml:space="preserve">item_count_ge_mult</x:t>
  </x:si>
  <x:si>
    <x:t xml:space="preserve">多层餐盘架</x:t>
  </x:si>
  <x:si>
    <x:t xml:space="preserve">结算开始
若食物份数≥25
所有食物倍率+0.5</x:t>
  </x:si>
  <x:si>
    <x:t xml:space="preserve">gte:25</x:t>
  </x:si>
  <x:si>
    <x:t xml:space="preserve">item_perma_flat_all</x:t>
  </x:si>
  <x:si>
    <x:t xml:space="preserve">青花调味罐</x:t>
  </x:si>
  <x:si>
    <x:t xml:space="preserve">获得时
所有食物分数永久+20</x:t>
  </x:si>
  <x:si>
    <x:t xml:space="preserve">item_perma_flat_all_plus</x:t>
  </x:si>
  <x:si>
    <x:t xml:space="preserve">成套调味罐</x:t>
  </x:si>
  <x:si>
    <x:t xml:space="preserve">获得时
所有食物分数永久+40</x:t>
  </x:si>
  <x:si>
    <x:t xml:space="preserve">item_gold_on_shop</x:t>
  </x:si>
  <x:si>
    <x:t xml:space="preserve">供货商合影</x:t>
  </x:si>
  <x:si>
    <x:t xml:space="preserve">进入商店采购时
获得15金币</x:t>
  </x:si>
  <x:si>
    <x:t xml:space="preserve">item_extra_interest</x:t>
  </x:si>
  <x:si>
    <x:t xml:space="preserve">挂墙周历</x:t>
  </x:si>
  <x:si>
    <x:t xml:space="preserve">添加节点收取利息
至每周末尾</x:t>
  </x:si>
  <x:si>
    <x:t xml:space="preserve">item_interest_cap</x:t>
  </x:si>
  <x:si>
    <x:t xml:space="preserve">聚宝盆摆件</x:t>
  </x:si>
  <x:si>
    <x:t xml:space="preserve">利息上限扩展到100金币</x:t>
  </x:si>
  <x:si>
    <x:t xml:space="preserve">item_loan</x:t>
  </x:si>
  <x:si>
    <x:t xml:space="preserve">挂账记录板</x:t>
  </x:si>
  <x:si>
    <x:t xml:space="preserve">金币+150
添加节点"金币-300"
至本周末尾</x:t>
  </x:si>
  <x:si>
    <x:t xml:space="preserve">act_loan_repay</x:t>
  </x:si>
  <x:si>
    <x:t xml:space="preserve">item_timeline_random</x:t>
  </x:si>
  <x:si>
    <x:t xml:space="preserve">命运骰子</x:t>
  </x:si>
  <x:si>
    <x:t xml:space="preserve">获得时
打乱未来的节点行动</x:t>
  </x:si>
  <x:si>
    <x:t xml:space="preserve">item_extra_day</x:t>
  </x:si>
  <x:si>
    <x:t xml:space="preserve">第八日启程</x:t>
  </x:si>
  <x:si>
    <x:t xml:space="preserve">每周长度变为8天</x:t>
  </x:si>
  <x:si>
    <x:t xml:space="preserve">item_every3_next_mult</x:t>
  </x:si>
  <x:si>
    <x:t xml:space="preserve">木制节拍器</x:t>
  </x:si>
  <x:si>
    <x:t xml:space="preserve">每上菜3个食物后
下个食物倍率+1</x:t>
  </x:si>
  <x:si>
    <x:t xml:space="preserve">every:3</x:t>
  </x:si>
  <x:si>
    <x:t xml:space="preserve">item_first_+2</x:t>
  </x:si>
  <x:si>
    <x:t xml:space="preserve">迎客灯笼</x:t>
  </x:si>
  <x:si>
    <x:t xml:space="preserve">结算开始
首个上菜的食物
倍率+3</x:t>
  </x:si>
  <x:si>
    <x:t xml:space="preserve">index:1</x:t>
  </x:si>
  <x:si>
    <x:t xml:space="preserve">item_last_+2</x:t>
  </x:si>
  <x:si>
    <x:t xml:space="preserve">餐后茶具</x:t>
  </x:si>
  <x:si>
    <x:t xml:space="preserve">结算开始
最后上菜的食物
倍率+3</x:t>
  </x:si>
  <x:si>
    <x:t xml:space="preserve">index:-1</x:t>
  </x:si>
  <x:si>
    <x:t xml:space="preserve">item_extra_active_slots</x:t>
  </x:si>
  <x:si>
    <x:t xml:space="preserve">墙面置物架</x:t>
  </x:si>
  <x:si>
    <x:t xml:space="preserve">增加2个消耗品栏</x:t>
  </x:si>
  <x:si>
    <x:t xml:space="preserve">item_extra_active_slots_max</x:t>
  </x:si>
  <x:si>
    <x:t xml:space="preserve">整墙储物架</x:t>
  </x:si>
  <x:si>
    <x:t xml:space="preserve">增加3个消耗品栏</x:t>
  </x:si>
  <x:si>
    <x:t xml:space="preserve">item_gold_on_active</x:t>
  </x:si>
  <x:si>
    <x:t xml:space="preserve">皮面账单夹</x:t>
  </x:si>
  <x:si>
    <x:t xml:space="preserve">使用消耗品时
获得10金币</x:t>
  </x:si>
  <x:si>
    <x:t xml:space="preserve">item_block_active</x:t>
  </x:si>
  <x:si>
    <x:t xml:space="preserve">封条备品柜</x:t>
  </x:si>
  <x:si>
    <x:t xml:space="preserve">无法再使用消耗品
立即获得400金币</x:t>
  </x:si>
  <x:si>
    <x:t xml:space="preserve">item_flavor_enhance</x:t>
  </x:si>
  <x:si>
    <x:t xml:space="preserve">彩釉调料瓶组</x:t>
  </x:si>
  <x:si>
    <x:t xml:space="preserve">为2个食物
添加随机风味</x:t>
  </x:si>
  <x:si>
    <x:t xml:space="preserve">item_flavor_remove_gold</x:t>
  </x:si>
  <x:si>
    <x:t xml:space="preserve">复古台秤</x:t>
  </x:si>
  <x:si>
    <x:t xml:space="preserve">移除1个食物的风味
获得100金币</x:t>
  </x:si>
  <x:si>
    <x:t xml:space="preserve">item_flavor_remove_double</x:t>
  </x:si>
  <x:si>
    <x:t xml:space="preserve">小石磨</x:t>
  </x:si>
  <x:si>
    <x:t xml:space="preserve">移除1个食物的风味
其分数翻倍</x:t>
  </x:si>
  <x:si>
    <x:t xml:space="preserve">item_flavor_double_slot</x:t>
  </x:si>
  <x:si>
    <x:t xml:space="preserve">双格蘸料碟</x:t>
  </x:si>
  <x:si>
    <x:t xml:space="preserve">食物风味上限变为2</x:t>
  </x:si>
  <x:si>
    <x:t xml:space="preserve">Epic</x:t>
  </x:si>
  <x:si>
    <x:t xml:space="preserve">40,80</x:t>
  </x:si>
  <x:si>
    <x:t xml:space="preserve">item_celltag_enhance</x:t>
  </x:si>
  <x:si>
    <x:t xml:space="preserve">拼花砖壁饰</x:t>
  </x:si>
  <x:si>
    <x:t xml:space="preserve">为3个餐桌格
强化随机材质</x:t>
  </x:si>
  <x:si>
    <x:t xml:space="preserve">item_lucky_guarantee</x:t>
  </x:si>
  <x:si>
    <x:t xml:space="preserve">四叶草标本框</x:t>
  </x:si>
  <x:si>
    <x:t xml:space="preserve">经历3个随机事件后
下个一定为幸运事件</x:t>
  </x:si>
  <x:si>
    <x:t xml:space="preserve">item_lucky_chance</x:t>
  </x:si>
  <x:si>
    <x:t xml:space="preserve">四叶草福袋</x:t>
  </x:si>
  <x:si>
    <x:t xml:space="preserve">更容易遇见幸运事件</x:t>
  </x:si>
  <x:si>
    <x:t xml:space="preserve">item_more_events</x:t>
  </x:si>
  <x:si>
    <x:t xml:space="preserve">街角路牌</x:t>
  </x:si>
  <x:si>
    <x:t xml:space="preserve">更容易遇见随机事件</x:t>
  </x:si>
  <x:si>
    <x:t xml:space="preserve">item_more_super_actions</x:t>
  </x:si>
  <x:si>
    <x:t xml:space="preserve">霓虹招牌</x:t>
  </x:si>
  <x:si>
    <x:t xml:space="preserve">更容易遇见火热营业</x:t>
  </x:si>
  <x:si>
    <x:t xml:space="preserve">item_slot_win_chance</x:t>
  </x:si>
  <x:si>
    <x:t xml:space="preserve">彩球抽奖筒</x:t>
  </x:si>
  <x:si>
    <x:t xml:space="preserve">抽奖机更容易中奖</x:t>
  </x:si>
  <x:si>
    <x:t xml:space="preserve">item_dish_hidden_bonus</x:t>
  </x:si>
  <x:si>
    <x:t xml:space="preserve">主厨推荐板</x:t>
  </x:si>
  <x:si>
    <x:t xml:space="preserve">更容易获得更好的食物</x:t>
  </x:si>
  <x:si>
    <x:t xml:space="preserve">item_fragment_hidden_bonus</x:t>
  </x:si>
  <x:si>
    <x:t xml:space="preserve">拼接长桌</x:t>
  </x:si>
  <x:si>
    <x:t xml:space="preserve">更容易获得更大的餐桌格</x:t>
  </x:si>
  <x:si>
    <x:t xml:space="preserve">item_passive_hidden_bonus</x:t>
  </x:si>
  <x:si>
    <x:t xml:space="preserve">古董展示柜</x:t>
  </x:si>
  <x:si>
    <x:t xml:space="preserve">更容易获得更好的装饰品</x:t>
  </x:si>
  <x:si>
    <x:t xml:space="preserve">item_gold_on_event</x:t>
  </x:si>
  <x:si>
    <x:t xml:space="preserve">纪念币展示框</x:t>
  </x:si>
  <x:si>
    <x:t xml:space="preserve">进入事件时
获得15金币</x:t>
  </x:si>
  <x:si>
    <x:t xml:space="preserve">item_shop_restock</x:t>
  </x:si>
  <x:si>
    <x:t xml:space="preserve">食材保鲜架</x:t>
  </x:si>
  <x:si>
    <x:t xml:space="preserve">商店会自动补货食物</x:t>
  </x:si>
  <x:si>
    <x:t xml:space="preserve">item_shop_restock_active</x:t>
  </x:si>
  <x:si>
    <x:t xml:space="preserve">柜台备品篮</x:t>
  </x:si>
  <x:si>
    <x:t xml:space="preserve">商店会自动补货消耗品</x:t>
  </x:si>
  <x:si>
    <x:t xml:space="preserve">item_shop_restock_passive</x:t>
  </x:si>
  <x:si>
    <x:t xml:space="preserve">壁龛摆件墙</x:t>
  </x:si>
  <x:si>
    <x:t xml:space="preserve">商店会自动补货装饰品</x:t>
  </x:si>
  <x:si>
    <x:t xml:space="preserve">item_choice_count_plus1</x:t>
  </x:si>
  <x:si>
    <x:t xml:space="preserve">活页食谱册</x:t>
  </x:si>
  <x:si>
    <x:t xml:space="preserve">选择食物时
可选数量+1</x:t>
  </x:si>
  <x:si>
    <x:t xml:space="preserve">item_extra_food_choice</x:t>
  </x:si>
  <x:si>
    <x:t xml:space="preserve">点心展示架</x:t>
  </x:si>
  <x:si>
    <x:t xml:space="preserve">每4次日常营业
额外获得3选1食物</x:t>
  </x:si>
  <x:si>
    <x:t xml:space="preserve">every:4</x:t>
  </x:si>
  <x:si>
    <x:t xml:space="preserve">item_extra_item_choice</x:t>
  </x:si>
  <x:si>
    <x:t xml:space="preserve">杂货展示架</x:t>
  </x:si>
  <x:si>
    <x:t xml:space="preserve">每3次火热营业
额外获得3选1装饰品</x:t>
  </x:si>
  <x:si>
    <x:t xml:space="preserve">item_copy_food</x:t>
  </x:si>
  <x:si>
    <x:t xml:space="preserve">双盖餐盘</x:t>
  </x:si>
  <x:si>
    <x:t xml:space="preserve">获得时
随机复制3个已有食物</x:t>
  </x:si>
  <x:si>
    <x:t xml:space="preserve">item_discard_negative</x:t>
  </x:si>
  <x:si>
    <x:t xml:space="preserve">藤编收纳筐</x:t>
  </x:si>
  <x:si>
    <x:t xml:space="preserve">获得时
移除2个诅咒装饰品</x:t>
  </x:si>
  <x:si>
    <x:t xml:space="preserve">item_discard_negative_gold</x:t>
  </x:si>
  <x:si>
    <x:t xml:space="preserve">旧餐具寄卖架</x:t>
  </x:si>
  <x:si>
    <x:t xml:space="preserve">获得时
移除所有诅咒装饰品
每移除一个获得40金币</x:t>
  </x:si>
  <x:si>
    <x:t xml:space="preserve">item_gold_meal_penalty</x:t>
  </x:si>
  <x:si>
    <x:t xml:space="preserve">故障收银机</x:t>
  </x:si>
  <x:si>
    <x:t xml:space="preserve">营业获得的金币-20%</x:t>
  </x:si>
  <x:si>
    <x:t xml:space="preserve">Negative</x:t>
  </x:si>
  <x:si>
    <x:t xml:space="preserve">item_shop_price_up</x:t>
  </x:si>
  <x:si>
    <x:t xml:space="preserve">破损商品架</x:t>
  </x:si>
  <x:si>
    <x:t xml:space="preserve">移除食物价格+20%</x:t>
  </x:si>
  <x:si>
    <x:t xml:space="preserve">item_no_remove</x:t>
  </x:si>
  <x:si>
    <x:t xml:space="preserve">上锁食品柜</x:t>
  </x:si>
  <x:si>
    <x:t xml:space="preserve">无法在商店中移除食物</x:t>
  </x:si>
  <x:si>
    <x:t xml:space="preserve">item_skip_node</x:t>
  </x:si>
  <x:si>
    <x:t xml:space="preserve">落灰打卡钟</x:t>
  </x:si>
  <x:si>
    <x:t xml:space="preserve">跳过下一个收取利息节点</x:t>
  </x:si>
  <x:si>
    <x:t xml:space="preserve">item_skip_reward_node</x:t>
  </x:si>
  <x:si>
    <x:t xml:space="preserve">褪色招财猫</x:t>
  </x:si>
  <x:si>
    <x:t xml:space="preserve">跳过下一个幸运事件节点</x:t>
  </x:si>
  <x:si>
    <x:t xml:space="preserve">item_choice_minus1</x:t>
  </x:si>
  <x:si>
    <x:t xml:space="preserve">缺角食谱板</x:t>
  </x:si>
  <x:si>
    <x:t xml:space="preserve">多选一食物时
可选数量-1</x:t>
  </x:si>
  <x:si>
    <x:t xml:space="preserve">item_req_normal_up</x:t>
  </x:si>
  <x:si>
    <x:t xml:space="preserve">挑剔留言簿</x:t>
  </x:si>
  <x:si>
    <x:t xml:space="preserve">日常营业目标美味值+20%</x:t>
  </x:si>
  <x:si>
    <x:t xml:space="preserve">item_req_super_up</x:t>
  </x:si>
  <x:si>
    <x:t xml:space="preserve">爆单警示灯</x:t>
  </x:si>
  <x:si>
    <x:t xml:space="preserve">火热营业目标美味值+20%</x:t>
  </x:si>
  <x:si>
    <x:t xml:space="preserve">item_req_feast_up</x:t>
  </x:si>
  <x:si>
    <x:t xml:space="preserve">评鉴整改书</x:t>
  </x:si>
  <x:si>
    <x:t xml:space="preserve">星级评鉴目标美味值+20%</x:t>
  </x:si>
  <x:si>
    <x:t xml:space="preserve">item_gold_week_clear</x:t>
  </x:si>
  <x:si>
    <x:t xml:space="preserve">逾期账单夹</x:t>
  </x:si>
  <x:si>
    <x:t xml:space="preserve">将失去所有金币的节点行动
添加至本周末尾</x:t>
  </x:si>
  <x:si>
    <x:t xml:space="preserve">item_double_daily_cost_repeat_node</x:t>
  </x:si>
  <x:si>
    <x:t xml:space="preserve">双栏排班板</x:t>
  </x:si>
  <x:si>
    <x:t xml:space="preserve">普通行动消耗天数+0.5
商店与幸运事件节点
可以额外执行1次</x:t>
  </x:si>
  <x:si>
    <x:t xml:space="preserve">repeat:2</x:t>
  </x:si>
  <x:si>
    <x:t xml:space="preserve">item_timeline_stop_chance</x:t>
  </x:si>
  <x:si>
    <x:t xml:space="preserve">停摆挂钟</x:t>
  </x:si>
  <x:si>
    <x:t xml:space="preserve">遇到节点行动时
时间轴有30%概率会停止</x:t>
  </x:si>
  <x:si>
    <x:t xml:space="preserve">item_count_as_all</x:t>
  </x:si>
  <x:si>
    <x:t xml:space="preserve">九格拼盘</x:t>
  </x:si>
  <x:si>
    <x:t xml:space="preserve">结算开始
所有食物额外被视为2份食物</x:t>
  </x:si>
  <x:si>
    <x:t xml:space="preserve">term_food_count_as</x:t>
  </x:si>
  <x:si>
    <x:t xml:space="preserve">item_transfer_target_mult</x:t>
  </x:si>
  <x:si>
    <x:t xml:space="preserve">大号糖果盘</x:t>
  </x:si>
  <x:si>
    <x:t xml:space="preserve">甜蜜传递时
每个被传递方倍率+0.5</x:t>
  </x:si>
  <x:si>
    <x:t xml:space="preserve">term_sweet_transfer</x:t>
  </x:si>
  <x:si>
    <x:t xml:space="preserve">item_transfer_source_mult</x:t>
  </x:si>
  <x:si>
    <x:t xml:space="preserve">长嘴糖浆壶</x:t>
  </x:si>
  <x:si>
    <x:t xml:space="preserve">甜蜜传递时
传递方每成功传递1个目标
倍率+0.5</x:t>
  </x:si>
  <x:si>
    <x:t xml:space="preserve">item_skill_count_mult</x:t>
  </x:si>
  <x:si>
    <x:t xml:space="preserve">主厨刀架</x:t>
  </x:si>
  <x:si>
    <x:t xml:space="preserve">结算结束
每个食物每有1个技能
自身倍率+1</x:t>
  </x:si>
  <x:si>
    <x:t xml:space="preserve">item_gold_on_transfer</x:t>
  </x:si>
  <x:si>
    <x:t xml:space="preserve">黄铜传菜铃</x:t>
  </x:si>
  <x:si>
    <x:t xml:space="preserve">累计甜蜜传递10次后
获得15金币</x:t>
  </x:si>
  <x:si>
    <x:t xml:space="preserve">count:10</x:t>
  </x:si>
  <x:si>
    <x:t xml:space="preserve">item_cake_retain</x:t>
  </x:si>
  <x:si>
    <x:t xml:space="preserve">玻璃蛋糕罩</x:t>
  </x:si>
  <x:si>
    <x:t xml:space="preserve">保留10%的蛋糕层数
至下一场经营挑战</x:t>
  </x:si>
  <x:si>
    <x:t xml:space="preserve">clb</x:t>
  </x:si>
  <x:si>
    <x:t xml:space="preserve">item_cake_init_bonus</x:t>
  </x:si>
  <x:si>
    <x:t xml:space="preserve">厚底蛋糕托</x:t>
  </x:si>
  <x:si>
    <x:t xml:space="preserve">蛋糕层数
初始额外获得10层</x:t>
  </x:si>
  <x:si>
    <x:t xml:space="preserve">item_cake_accel</x:t>
  </x:si>
  <x:si>
    <x:t xml:space="preserve">可叠蛋糕托</x:t>
  </x:si>
  <x:si>
    <x:t xml:space="preserve">蛋糕层数增加时
额外加2层</x:t>
  </x:si>
  <x:si>
    <x:t xml:space="preserve">item_cake_to_gold</x:t>
  </x:si>
  <x:si>
    <x:t xml:space="preserve">蛋糕价签架</x:t>
  </x:si>
  <x:si>
    <x:t xml:space="preserve">蛋糕层数大于100层时
获得10金币</x:t>
  </x:si>
  <x:si>
    <x:t xml:space="preserve">threshold:100</x:t>
  </x:si>
  <x:si>
    <x:t xml:space="preserve">item_cake_req_minus</x:t>
  </x:si>
  <x:si>
    <x:t xml:space="preserve">迷你蛋糕模</x:t>
  </x:si>
  <x:si>
    <x:t xml:space="preserve">蛋糕效果需求的层数-20</x:t>
  </x:si>
  <x:si>
    <x:t xml:space="preserve">item_transfer_extra_targets</x:t>
  </x:si>
  <x:si>
    <x:t xml:space="preserve">两层糖果塔</x:t>
  </x:si>
  <x:si>
    <x:t xml:space="preserve">甜蜜传递时
额外选择2个目标</x:t>
  </x:si>
  <x:si>
    <x:t xml:space="preserve">item_flavored_flat</x:t>
  </x:si>
  <x:si>
    <x:t xml:space="preserve">风味评分牌</x:t>
  </x:si>
  <x:si>
    <x:t xml:space="preserve">结算开始
拥有风味的食物
分数+30</x:t>
  </x:si>
  <x:si>
    <x:t xml:space="preserve">flavored</x:t>
  </x:si>
  <x:si>
    <x:t xml:space="preserve">item_flavored_count_as</x:t>
  </x:si>
  <x:si>
    <x:t xml:space="preserve">双层品鉴碟</x:t>
  </x:si>
  <x:si>
    <x:t xml:space="preserve">结算开始
拥有风味的食物
额外视为1份食物</x:t>
  </x:si>
  <x:si>
    <x:t xml:space="preserve">item_active_count_flat_all</x:t>
  </x:si>
  <x:si>
    <x:t xml:space="preserve">备品清单板</x:t>
  </x:si>
  <x:si>
    <x:t xml:space="preserve">结算开始
每拥有1个消耗品
所有食物分数+10</x:t>
  </x:si>
  <x:si>
    <x:t xml:space="preserve">basis:active-items</x:t>
  </x:si>
  <x:si>
    <x:t xml:space="preserve">item_empty_active_slot_mult_all</x:t>
  </x:si>
  <x:si>
    <x:t xml:space="preserve">留白备品柜</x:t>
  </x:si>
  <x:si>
    <x:t xml:space="preserve">结算开始
每拥有1个消耗品空槽
所有食物倍率+0.1</x:t>
  </x:si>
  <x:si>
    <x:t xml:space="preserve">basis:empty-active-slots</x:t>
  </x:si>
  <x:si>
    <x:t xml:space="preserve">item_edge_flat</x:t>
  </x:si>
  <x:si>
    <x:t xml:space="preserve">滚边桌布</x:t>
  </x:si>
  <x:si>
    <x:t xml:space="preserve">结算开始
处于边缘的食物
分数+50</x:t>
  </x:si>
  <x:si>
    <x:t xml:space="preserve">position:edge</x:t>
  </x:si>
  <x:si>
    <x:t xml:space="preserve">item_non_edge_mult</x:t>
  </x:si>
  <x:si>
    <x:t xml:space="preserve">中央餐台模型</x:t>
  </x:si>
  <x:si>
    <x:t xml:space="preserve">结算开始
处于非边缘的食物
倍率+0.5</x:t>
  </x:si>
  <x:si>
    <x:t xml:space="preserve">position:non-edge</x:t>
  </x:si>
  <x:si>
    <x:t xml:space="preserve">item_gold_per5_flat_all</x:t>
  </x:si>
  <x:si>
    <x:t xml:space="preserve">镶币菜单框</x:t>
  </x:si>
  <x:si>
    <x:t xml:space="preserve">结算开始
每有5金币
所有食物分数+1</x:t>
  </x:si>
  <x:si>
    <x:t xml:space="preserve">basis:gold;every:5</x:t>
  </x:si>
  <x:si>
    <x:t xml:space="preserve">item_empty_cell_flat_all</x:t>
  </x:si>
  <x:si>
    <x:t xml:space="preserve">留白拼桌图</x:t>
  </x:si>
  <x:si>
    <x:t xml:space="preserve">结算开始
每有1个空格
所有食物分数+10</x:t>
  </x:si>
  <x:si>
    <x:t xml:space="preserve">basis:empty-cells</x:t>
  </x:si>
  <x:si>
    <x:t xml:space="preserve">item_unused_discard_mult_all</x:t>
  </x:si>
  <x:si>
    <x:t xml:space="preserve">备用垃圾袋架</x:t>
  </x:si>
  <x:si>
    <x:t xml:space="preserve">结算开始
每有1个未使用的丢弃次数
所有食物倍率+0.1</x:t>
  </x:si>
  <x:si>
    <x:t xml:space="preserve">item_unused_discard_flat_all</x:t>
  </x:si>
  <x:si>
    <x:t xml:space="preserve">磁吸垃圾夹</x:t>
  </x:si>
  <x:si>
    <x:t xml:space="preserve">结算开始
每有1个未使用的丢弃次数
所有食物分数+10</x:t>
  </x:si>
  <x:si>
    <x:t xml:space="preserve">item_skip_reward_dish_luck</x:t>
  </x:si>
  <x:si>
    <x:t xml:space="preserve">空盘回执</x:t>
  </x:si>
  <x:si>
    <x:t xml:space="preserve">放弃奖励领取时
获取食物的运气提升</x:t>
  </x:si>
  <x:si>
    <x:t xml:space="preserve">purpose:Dish</x:t>
  </x:si>
  <x:si>
    <x:t xml:space="preserve">item_skip_reward_passive_luck</x:t>
  </x:si>
  <x:si>
    <x:t xml:space="preserve">空柜寄售牌</x:t>
  </x:si>
  <x:si>
    <x:t xml:space="preserve">放弃奖励领取时
获取装饰品的运气提升</x:t>
  </x:si>
  <x:si>
    <x:t xml:space="preserve">purpose:PassiveItem</x:t>
  </x:si>
  <x:si>
    <x:t xml:space="preserve">item_super_material_spread</x:t>
  </x:si>
  <x:si>
    <x:t xml:space="preserve">蜂巢桌垫</x:t>
  </x:si>
  <x:si>
    <x:t xml:space="preserve">火热营业结束
随机1个餐桌格
将材质复制到相邻1格</x:t>
  </x:si>
  <x:si>
    <x:t xml:space="preserve">item_count_as_cake</x:t>
  </x:si>
  <x:si>
    <x:t xml:space="preserve">万能蛋糕模</x:t>
  </x:si>
  <x:si>
    <x:t xml:space="preserve">结算开始
所有食物均视为蛋糕</x:t>
  </x:si>
  <x:si>
    <x:t xml:space="preserve">category:cake</x:t>
  </x:si>
  <x:si>
    <x:t xml:space="preserve">item_super_fragment_reward</x:t>
  </x:si>
  <x:si>
    <x:t xml:space="preserve">折叠加桌券</x:t>
  </x:si>
  <x:si>
    <x:t xml:space="preserve">火热营业结束
获得1个餐桌格</x:t>
  </x:si>
  <x:si>
    <x:t xml:space="preserve">fragment_choice_3</x:t>
  </x:si>
  <x:si>
    <x:t xml:space="preserve">item_settle_permanent_flat_all</x:t>
  </x:si>
  <x:si>
    <x:t xml:space="preserve">老字号记分牌</x:t>
  </x:si>
  <x:si>
    <x:t xml:space="preserve">食物结算时
永久分数+3</x:t>
  </x:si>
  <x:si>
    <x:t xml:space="preserve">item_same_base_mult_all</x:t>
  </x:si>
  <x:si>
    <x:t xml:space="preserve">双份餐铃</x:t>
  </x:si>
  <x:si>
    <x:t xml:space="preserve">同种食物结算时
倍率+0.5</x:t>
  </x:si>
  <x:si>
    <x:t xml:space="preserve">key:baseId;min:2</x:t>
  </x:si>
  <x:si>
    <x:t xml:space="preserve">item_remove_arrow_cookie_2</x:t>
  </x:si>
  <x:si>
    <x:t xml:space="preserve">饼干回收盒</x:t>
  </x:si>
  <x:si>
    <x:t xml:space="preserve">删除食谱中最多2个箭头饼干</x:t>
  </x:si>
  <x:si>
    <x:t xml:space="preserve">item_remove_arrow_cookie_all</x:t>
  </x:si>
  <x:si>
    <x:t xml:space="preserve">曲奇粉碎机</x:t>
  </x:si>
  <x:si>
    <x:t xml:space="preserve">删除食谱中所有箭头饼干</x:t>
  </x:si>
  <x:si>
    <x:t xml:space="preserve">item_randomize_recipe_dishes</x:t>
  </x:si>
  <x:si>
    <x:t xml:space="preserve">万花筒菜单板</x:t>
  </x:si>
  <x:si>
    <x:t xml:space="preserve">将所有食物随机为新的食物</x:t>
  </x:si>
  <x:si>
    <x:t xml:space="preserve">item_discard_dish_flat</x:t>
  </x:si>
  <x:si>
    <x:t xml:space="preserve">退菜改良簿</x:t>
  </x:si>
  <x:si>
    <x:t xml:space="preserve">丢弃的食物分数永久+15</x:t>
  </x:si>
  <x:si>
    <x:t xml:space="preserve">item_heart_capacity</x:t>
  </x:si>
  <x:si>
    <x:t xml:space="preserve">心形烛台</x:t>
  </x:si>
  <x:si>
    <x:t xml:space="preserve">红心上限+1</x:t>
  </x:si>
  <x:si>
    <x:t xml:space="preserve">item_heart_capacity_deluxe</x:t>
  </x:si>
  <x:si>
    <x:t xml:space="preserve">珐琅心盘</x:t>
  </x:si>
  <x:si>
    <x:t xml:space="preserve">item_restore_heart</x:t>
  </x:si>
  <x:si>
    <x:t xml:space="preserve">壁挂急救箱</x:t>
  </x:si>
  <x:si>
    <x:t xml:space="preserve">恢复1个红心</x:t>
  </x:si>
  <x:si>
    <x:t xml:space="preserve">item_restore_hearts</x:t>
  </x:si>
  <x:si>
    <x:t xml:space="preserve">全套急救柜</x:t>
  </x:si>
  <x:si>
    <x:t xml:space="preserve">恢复2个红心</x:t>
  </x:si>
  <x:si>
    <x:t xml:space="preserve">item_slot_cost_discount</x:t>
  </x:si>
  <x:si>
    <x:t xml:space="preserve">投币优惠牌</x:t>
  </x:si>
  <x:si>
    <x:t xml:space="preserve">抽奖机抽奖所需金币-25%</x:t>
  </x:si>
  <x:si>
    <x:t xml:space="preserve">是否通用</x:t>
  </x:si>
  <x:si>
    <x:t xml:space="preserve">类型</x:t>
  </x:si>
  <x:si>
    <x:t xml:space="preserve">机制</x:t>
  </x:si>
  <x:si>
    <x:t xml:space="preserve">描述</x:t>
  </x:si>
  <x:si>
    <x:t xml:space="preserve">技能</x:t>
  </x:si>
  <x:si>
    <x:t xml:space="preserve">2周</x:t>
  </x:si>
  <x:si>
    <x:t xml:space="preserve">通用正面</x:t>
  </x:si>
  <x:si>
    <x:t xml:space="preserve">随机获得</x:t>
  </x:si>
  <x:si>
    <x:t xml:space="preserve">随机装饰品</x:t>
  </x:si>
  <x:si>
    <x:t xml:space="preserve">获得时，获得两个随机（xx品质）的装饰品</x:t>
  </x:si>
  <x:si>
    <x:t xml:space="preserve">3周</x:t>
  </x:si>
  <x:si>
    <x:t xml:space="preserve">装饰品和消耗品n选一</x:t>
  </x:si>
  <x:si>
    <x:t xml:space="preserve">获得时，从多个装饰品中选择一个获得</x:t>
  </x:si>
  <x:si>
    <x:t xml:space="preserve">4周</x:t>
  </x:si>
  <x:si>
    <x:t xml:space="preserve">随机消耗品</x:t>
  </x:si>
  <x:si>
    <x:t xml:space="preserve">获得时，获得两个随机（xx品质）的消耗品</x:t>
  </x:si>
  <x:si>
    <x:t xml:space="preserve">获得时，从多个消耗品中选择一个获得</x:t>
  </x:si>
  <x:si>
    <x:t xml:space="preserve">食物n选一</x:t>
  </x:si>
  <x:si>
    <x:t xml:space="preserve">获得时，从多个食物中选择一个获得</x:t>
  </x:si>
  <x:si>
    <x:t xml:space="preserve">统计</x:t>
  </x:si>
  <x:si>
    <x:t xml:space="preserve">三选一碎片</x:t>
  </x:si>
  <x:si>
    <x:t xml:space="preserve">获得时，从多个餐桌格中选择一个获得</x:t>
  </x:si>
  <x:si>
    <x:t xml:space="preserve">common</x:t>
  </x:si>
  <x:si>
    <x:t xml:space="preserve">全家福</x:t>
  </x:si>
  <x:si>
    <x:t xml:space="preserve">获得时，获得一个随机装饰品、随机食物、50金币</x:t>
  </x:si>
  <x:si>
    <x:t xml:space="preserve">uncommon</x:t>
  </x:si>
  <x:si>
    <x:t xml:space="preserve">随机</x:t>
  </x:si>
  <x:si>
    <x:t xml:space="preserve">所有装饰品和消耗品替换为随机装饰品和消耗品</x:t>
  </x:si>
  <x:si>
    <x:t xml:space="preserve">rare</x:t>
  </x:si>
  <x:si>
    <x:t xml:space="preserve">给钱</x:t>
  </x:si>
  <x:si>
    <x:t xml:space="preserve">随机金币</x:t>
  </x:si>
  <x:si>
    <x:t xml:space="preserve">获得1～100个金币</x:t>
  </x:si>
  <x:si>
    <x:t xml:space="preserve">epic</x:t>
  </x:si>
  <x:si>
    <x:t xml:space="preserve">食物给钱</x:t>
  </x:si>
  <x:si>
    <x:t xml:space="preserve">接下来10局食物，额外获得15金币</x:t>
  </x:si>
  <x:si>
    <x:t xml:space="preserve">星级评鉴给钱</x:t>
  </x:si>
  <x:si>
    <x:t xml:space="preserve">完成本次星级评鉴后，额外获得100金币</x:t>
  </x:si>
  <x:si>
    <x:t xml:space="preserve">金币收益</x:t>
  </x:si>
  <x:si>
    <x:t xml:space="preserve">分数收益</x:t>
  </x:si>
  <x:si>
    <x:t xml:space="preserve">倍数收益</x:t>
  </x:si>
  <x:si>
    <x:t xml:space="preserve">百分比给钱</x:t>
  </x:si>
  <x:si>
    <x:t xml:space="preserve">食物结束获得的金币，额外获得20%</x:t>
  </x:si>
  <x:si>
    <x:t xml:space="preserve">被动传说</x:t>
  </x:si>
  <x:si>
    <x:t xml:space="preserve">打折</x:t>
  </x:si>
  <x:si>
    <x:t xml:space="preserve">买食物</x:t>
  </x:si>
  <x:si>
    <x:t xml:space="preserve">购买食物打折20%</x:t>
  </x:si>
  <x:si>
    <x:t xml:space="preserve">被动顶级</x:t>
  </x:si>
  <x:si>
    <x:t xml:space="preserve">买碎片</x:t>
  </x:si>
  <x:si>
    <x:t xml:space="preserve">购买碎片打折20%</x:t>
  </x:si>
  <x:si>
    <x:t xml:space="preserve">被动高级</x:t>
  </x:si>
  <x:si>
    <x:t xml:space="preserve">买消耗品</x:t>
  </x:si>
  <x:si>
    <x:t xml:space="preserve">买消耗品打折20%</x:t>
  </x:si>
  <x:si>
    <x:t xml:space="preserve">被动普通</x:t>
  </x:si>
  <x:si>
    <x:t xml:space="preserve">买装饰品</x:t>
  </x:si>
  <x:si>
    <x:t xml:space="preserve">买装饰品打折20%</x:t>
  </x:si>
  <x:si>
    <x:t xml:space="preserve">移除食物</x:t>
  </x:si>
  <x:si>
    <x:t xml:space="preserve">移除食物价格打折20%</x:t>
  </x:si>
  <x:si>
    <x:t xml:space="preserve">延迟性</x:t>
  </x:si>
  <x:si>
    <x:t xml:space="preserve">移除食物价格固定为30金币</x:t>
  </x:si>
  <x:si>
    <x:t xml:space="preserve">不死</x:t>
  </x:si>
  <x:si>
    <x:t xml:space="preserve">名刀</x:t>
  </x:si>
  <x:si>
    <x:t xml:space="preserve">分数未达标时，不失败，失去此装饰品和消耗品</x:t>
  </x:si>
  <x:si>
    <x:t xml:space="preserve">分数降低</x:t>
  </x:si>
  <x:si>
    <x:t xml:space="preserve">分数变1</x:t>
  </x:si>
  <x:si>
    <x:t xml:space="preserve">接下来3局非星级评鉴（星级评鉴），分数要求为1</x:t>
  </x:si>
  <x:si>
    <x:t xml:space="preserve">日常营业分数减少</x:t>
  </x:si>
  <x:si>
    <x:t xml:space="preserve">日常营业目标美味值-10%</x:t>
  </x:si>
  <x:si>
    <x:t xml:space="preserve">火热营业分数减少</x:t>
  </x:si>
  <x:si>
    <x:t xml:space="preserve">火热营业目标美味值-10%</x:t>
  </x:si>
  <x:si>
    <x:t xml:space="preserve">星级评鉴食物分数减少</x:t>
  </x:si>
  <x:si>
    <x:t xml:space="preserve">星级评鉴食物目标美味值-10%</x:t>
  </x:si>
  <x:si>
    <x:t xml:space="preserve">数量检测</x:t>
  </x:si>
  <x:si>
    <x:t xml:space="preserve">胃部食物数量</x:t>
  </x:si>
  <x:si>
    <x:t xml:space="preserve">结算时，食物数量小于等于10，所有食物倍率×1.1</x:t>
  </x:si>
  <x:si>
    <x:t xml:space="preserve">结算时，食物数量大于等于10，所有食物倍率×1.1</x:t>
  </x:si>
  <x:si>
    <x:t xml:space="preserve">结算次数</x:t>
  </x:si>
  <x:si>
    <x:t xml:space="preserve">每次结算倍数增加</x:t>
  </x:si>
  <x:si>
    <x:t xml:space="preserve">结算时，食物倍率+0倍（每结算1个食物+0.1倍）</x:t>
  </x:si>
  <x:si>
    <x:t xml:space="preserve">分数增加</x:t>
  </x:si>
  <x:si>
    <x:t xml:space="preserve">永久增加</x:t>
  </x:si>
  <x:si>
    <x:t xml:space="preserve">所有食物基础分数永久+10</x:t>
  </x:si>
  <x:si>
    <x:t xml:space="preserve">倍率增加</x:t>
  </x:si>
  <x:si>
    <x:t xml:space="preserve">所有食物基础倍率永久+0.2</x:t>
  </x:si>
  <x:si>
    <x:t xml:space="preserve">上菜</x:t>
  </x:si>
  <x:si>
    <x:t xml:space="preserve">观星</x:t>
  </x:si>
  <x:si>
    <x:t xml:space="preserve">每5次上菜后，下一次上菜，可以看见食物是什么</x:t>
  </x:si>
  <x:si>
    <x:t xml:space="preserve">每局前三次上菜，可以看见食物</x:t>
  </x:si>
  <x:si>
    <x:t xml:space="preserve">食物转换</x:t>
  </x:si>
  <x:si>
    <x:t xml:space="preserve">随机将5个食物，变为至少同品质的食物</x:t>
  </x:si>
  <x:si>
    <x:t xml:space="preserve">商店给钱</x:t>
  </x:si>
  <x:si>
    <x:t xml:space="preserve">进入商店时，获得10金币</x:t>
  </x:si>
  <x:si>
    <x:t xml:space="preserve">利息</x:t>
  </x:si>
  <x:si>
    <x:t xml:space="preserve">每周结束，额外执行一次利息</x:t>
  </x:si>
  <x:si>
    <x:t xml:space="preserve">保底钱</x:t>
  </x:si>
  <x:si>
    <x:t xml:space="preserve">回合结束金币小于10时，获得10金币</x:t>
  </x:si>
  <x:si>
    <x:t xml:space="preserve">利息上限</x:t>
  </x:si>
  <x:si>
    <x:t xml:space="preserve">利息上限扩展到10金币</x:t>
  </x:si>
  <x:si>
    <x:t xml:space="preserve">贷款</x:t>
  </x:si>
  <x:si>
    <x:t xml:space="preserve">临时获得300金币，下一周失去600金币</x:t>
  </x:si>
  <x:si>
    <x:t xml:space="preserve">时间轴</x:t>
  </x:si>
  <x:si>
    <x:t xml:space="preserve">随机化时间轴的节点行动。</x:t>
  </x:si>
  <x:si>
    <x:t xml:space="preserve">增加第八天</x:t>
  </x:si>
  <x:si>
    <x:t xml:space="preserve">延后所有星级评鉴一天</x:t>
  </x:si>
  <x:si>
    <x:t xml:space="preserve">周数-1</x:t>
  </x:si>
  <x:si>
    <x:t xml:space="preserve">星级评鉴不参与打乱</x:t>
  </x:si>
  <x:si>
    <x:t xml:space="preserve">增加奖励节点</x:t>
  </x:si>
  <x:si>
    <x:t xml:space="preserve">增加一个奖励节点到时间轴上</x:t>
  </x:si>
  <x:si>
    <x:t xml:space="preserve">增加利息节点</x:t>
  </x:si>
  <x:si>
    <x:t xml:space="preserve">增加一个利息节点到时间轴上</x:t>
  </x:si>
  <x:si>
    <x:t xml:space="preserve">分数加倍</x:t>
  </x:si>
  <x:si>
    <x:t xml:space="preserve">每3个</x:t>
  </x:si>
  <x:si>
    <x:t xml:space="preserve">每上3个食物后，下1个食物倍率+2</x:t>
  </x:si>
  <x:si>
    <x:t xml:space="preserve">第一个</x:t>
  </x:si>
  <x:si>
    <x:t xml:space="preserve">第一个上的食物，倍率×2</x:t>
  </x:si>
  <x:si>
    <x:t xml:space="preserve">最后一个</x:t>
  </x:si>
  <x:si>
    <x:t xml:space="preserve">最后一个上的食物，倍率×2</x:t>
  </x:si>
  <x:si>
    <x:t xml:space="preserve">消耗品</x:t>
  </x:si>
  <x:si>
    <x:t xml:space="preserve">额外装饰品和消耗品栏</x:t>
  </x:si>
  <x:si>
    <x:t xml:space="preserve">增加2个额外消耗品栏</x:t>
  </x:si>
  <x:si>
    <x:t xml:space="preserve">使用消耗品时，获得20金币</x:t>
  </x:si>
  <x:si>
    <x:t xml:space="preserve">屏蔽</x:t>
  </x:si>
  <x:si>
    <x:t xml:space="preserve">无法获得消耗品，获得1000金币</x:t>
  </x:si>
  <x:si>
    <x:t xml:space="preserve">风味</x:t>
  </x:si>
  <x:si>
    <x:t xml:space="preserve">强化风味</x:t>
  </x:si>
  <x:si>
    <x:t xml:space="preserve">强化两个随机风味到无风味食物上</x:t>
  </x:si>
  <x:si>
    <x:t xml:space="preserve">移除风味+获得钱</x:t>
  </x:si>
  <x:si>
    <x:t xml:space="preserve">移除1个食物的风味，获得200金币</x:t>
  </x:si>
  <x:si>
    <x:t xml:space="preserve">移除风味+技能x2</x:t>
  </x:si>
  <x:si>
    <x:t xml:space="preserve">移除1个食物的风味，其技能复制</x:t>
  </x:si>
  <x:si>
    <x:t xml:space="preserve">基础风味+分数x2</x:t>
  </x:si>
  <x:si>
    <x:t xml:space="preserve">移除1个食物的风味，其分数翻倍</x:t>
  </x:si>
  <x:si>
    <x:t xml:space="preserve">风味上限</x:t>
  </x:si>
  <x:si>
    <x:t xml:space="preserve">允许1个食物拥有两个风味</x:t>
  </x:si>
  <x:si>
    <x:t xml:space="preserve">风味传染</x:t>
  </x:si>
  <x:si>
    <x:t xml:space="preserve">将1个食物的风味强化到无风味食物上</x:t>
  </x:si>
  <x:si>
    <x:t xml:space="preserve">标签</x:t>
  </x:si>
  <x:si>
    <x:t xml:space="preserve">强化标签</x:t>
  </x:si>
  <x:si>
    <x:t xml:space="preserve">强化两个随机标签到胃部格子上</x:t>
  </x:si>
  <x:si>
    <x:t xml:space="preserve">标签传染</x:t>
  </x:si>
  <x:si>
    <x:t xml:space="preserve">将一个格子的标签强化到其他格子上</x:t>
  </x:si>
  <x:si>
    <x:t xml:space="preserve">行动</x:t>
  </x:si>
  <x:si>
    <x:t xml:space="preserve">好运</x:t>
  </x:si>
  <x:si>
    <x:t xml:space="preserve">每4个事件的最后一个是奖励事件</x:t>
  </x:si>
  <x:si>
    <x:t xml:space="preserve">事件中遇到奖励的概率提高</x:t>
  </x:si>
  <x:si>
    <x:t xml:space="preserve">事件变多</x:t>
  </x:si>
  <x:si>
    <x:t xml:space="preserve">遇到事件的概率提高</x:t>
  </x:si>
  <x:si>
    <x:t xml:space="preserve">事件给钱</x:t>
  </x:si>
  <x:si>
    <x:t xml:space="preserve">完成一个事件，获得10金币</x:t>
  </x:si>
  <x:si>
    <x:t xml:space="preserve">重新随机</x:t>
  </x:si>
  <x:si>
    <x:t xml:space="preserve">获得2次重新普通行动的</x:t>
  </x:si>
  <x:si>
    <x:t xml:space="preserve">商店</x:t>
  </x:si>
  <x:si>
    <x:t xml:space="preserve">补货</x:t>
  </x:si>
  <x:si>
    <x:t xml:space="preserve">商店会自动补货</x:t>
  </x:si>
  <x:si>
    <x:t xml:space="preserve">食物</x:t>
  </x:si>
  <x:si>
    <x:t xml:space="preserve">选择变多</x:t>
  </x:si>
  <x:si>
    <x:t xml:space="preserve">多选一食物时，可选数量+1</x:t>
  </x:si>
  <x:si>
    <x:t xml:space="preserve">多选择</x:t>
  </x:si>
  <x:si>
    <x:t xml:space="preserve">多选一食物时，可选次数+1，可选数量-1</x:t>
  </x:si>
  <x:si>
    <x:t xml:space="preserve">额外食物</x:t>
  </x:si>
  <x:si>
    <x:t xml:space="preserve">每3次日常营业，额外获得一个多选一食物</x:t>
  </x:si>
  <x:si>
    <x:t xml:space="preserve">额外物品</x:t>
  </x:si>
  <x:si>
    <x:t xml:space="preserve">每3次火热营业，额外获得一个多选一物品</x:t>
  </x:si>
  <x:si>
    <x:t xml:space="preserve">复制食物</x:t>
  </x:si>
  <x:si>
    <x:t xml:space="preserve">随机复制1个食物</x:t>
  </x:si>
  <x:si>
    <x:t xml:space="preserve">负面</x:t>
  </x:si>
  <x:si>
    <x:t xml:space="preserve">移除</x:t>
  </x:si>
  <x:si>
    <x:t xml:space="preserve">移除两个诅咒装饰品</x:t>
  </x:si>
  <x:si>
    <x:t xml:space="preserve">转化</x:t>
  </x:si>
  <x:si>
    <x:t xml:space="preserve">移除所有诅咒装饰品，每移除一个获得100金币</x:t>
  </x:si>
  <x:si>
    <x:t xml:space="preserve">通用负面</x:t>
  </x:si>
  <x:si>
    <x:t xml:space="preserve">运营</x:t>
  </x:si>
  <x:si>
    <x:t xml:space="preserve">金币减少</x:t>
  </x:si>
  <x:si>
    <x:t xml:space="preserve">食物获得的金币减少25%</x:t>
  </x:si>
  <x:si>
    <x:t xml:space="preserve">价格变高</x:t>
  </x:si>
  <x:si>
    <x:t xml:space="preserve">商店的价格变高25%</x:t>
  </x:si>
  <x:si>
    <x:t xml:space="preserve">无法删菜</x:t>
  </x:si>
  <x:si>
    <x:t xml:space="preserve">无法再移除食物</x:t>
  </x:si>
  <x:si>
    <x:t xml:space="preserve">节点失效</x:t>
  </x:si>
  <x:si>
    <x:t xml:space="preserve">跳过下一个商店或利息节点</x:t>
  </x:si>
  <x:si>
    <x:t xml:space="preserve">少选择</x:t>
  </x:si>
  <x:si>
    <x:t xml:space="preserve">多选一食物时，可选数量-1</x:t>
  </x:si>
  <x:si>
    <x:t xml:space="preserve">日常营业分数增多</x:t>
  </x:si>
  <x:si>
    <x:t xml:space="preserve">日常营业目标美味值+10%</x:t>
  </x:si>
  <x:si>
    <x:t xml:space="preserve">火热营业分数增多</x:t>
  </x:si>
  <x:si>
    <x:t xml:space="preserve">火热营业目标美味值+10%</x:t>
  </x:si>
  <x:si>
    <x:t xml:space="preserve">星级评鉴食物分数增多</x:t>
  </x:si>
  <x:si>
    <x:t xml:space="preserve">星级评鉴食物目标美味值+10%</x:t>
  </x:si>
  <x:si>
    <x:t xml:space="preserve">金币清空</x:t>
  </x:si>
  <x:si>
    <x:t xml:space="preserve">本周结束时，金币清空</x:t>
  </x:si>
  <x:si>
    <x:t xml:space="preserve">专有</x:t>
  </x:si>
  <x:si>
    <x:t xml:space="preserve">小而多</x:t>
  </x:si>
  <x:si>
    <x:t xml:space="preserve">额外视为</x:t>
  </x:si>
  <x:si>
    <x:t xml:space="preserve">所有食物额外被视为1个食物</x:t>
  </x:si>
  <x:si>
    <x:t xml:space="preserve">传递</x:t>
  </x:si>
  <x:si>
    <x:t xml:space="preserve">传递加分</x:t>
  </x:si>
  <x:si>
    <x:t xml:space="preserve">传递时，被传递方倍率×1.1</x:t>
  </x:si>
  <x:si>
    <x:t xml:space="preserve">传递时，传递方倍率×1.1</x:t>
  </x:si>
  <x:si>
    <x:t xml:space="preserve">技能数加分</x:t>
  </x:si>
  <x:si>
    <x:t xml:space="preserve">结算时，倍率×1（每一个技能+0.1倍）</x:t>
  </x:si>
  <x:si>
    <x:t xml:space="preserve">传递加钱</x:t>
  </x:si>
  <x:si>
    <x:t xml:space="preserve">传递10次后，获得10金币</x:t>
  </x:si>
  <x:si>
    <x:t xml:space="preserve">蛋糕</x:t>
  </x:si>
  <x:si>
    <x:t xml:space="preserve">层数保留</x:t>
  </x:si>
  <x:si>
    <x:t xml:space="preserve">每次保留10%的蛋糕层数至下一场经营挑战</x:t>
  </x:si>
  <x:si>
    <x:t xml:space="preserve">层数保底</x:t>
  </x:si>
  <x:si>
    <x:t xml:space="preserve">蛋糕层数初始额外获得10层</x:t>
  </x:si>
  <x:si>
    <x:t xml:space="preserve">加速叠层</x:t>
  </x:si>
  <x:si>
    <x:t xml:space="preserve">蛋糕层数增加时，额外加1层</x:t>
  </x:si>
  <x:si>
    <x:t xml:space="preserve">层数转钱</x:t>
  </x:si>
  <x:si>
    <x:t xml:space="preserve">蛋糕层数大于100层时，获得10金币</x:t>
  </x:si>
  <x:si>
    <x:t xml:space="preserve">要求减少</x:t>
  </x:si>
  <x:si>
    <x:t xml:space="preserve">蛋糕效果需求的层数-10</x:t>
  </x:si>
  <x:si>
    <x:t xml:space="preserve">风味强化</x:t>
  </x:si>
  <x:si>
    <x:t xml:space="preserve">风味加分</x:t>
  </x:si>
  <x:si>
    <x:t xml:space="preserve">主动道具槽加分</x:t>
  </x:si>
  <x:si>
    <x:t xml:space="preserve">空主动道具槽加分</x:t>
  </x:si>
  <x:si>
    <x:t xml:space="preserve">范围判定</x:t>
  </x:si>
  <x:si>
    <x:t xml:space="preserve">丢弃次数转钱</x:t>
  </x:si>
  <x:si>
    <x:t xml:space="preserve">丢弃次数加分</x:t>
  </x:si>
  <x:si>
    <x:t xml:space="preserve">空格加分</x:t>
  </x:si>
  <x:si>
    <x:t xml:space="preserve">边缘/非边缘</x:t>
  </x:si>
  <x:si>
    <x:t xml:space="preserve">跳过奖励领取</x:t>
  </x:si>
  <x:si>
    <x:t xml:space="preserve">格子数加分</x:t>
  </x:si>
  <x:si>
    <x:t xml:space="preserve">金币加分</x:t>
  </x:si>
  <x:si>
    <x:t xml:space="preserve">第一个结算、最后一个结算</x:t>
  </x:si>
  <x:si>
    <x:t xml:space="preserve">营业结算概率材质复制</x:t>
  </x:si>
  <x:si>
    <x:t xml:space="preserve">所有食物被视为蛋糕</x:t>
  </x:si>
  <x:si>
    <x:t xml:space="preserve">营业结束概率获得格子</x:t>
  </x:si>
  <x:si>
    <x:t xml:space="preserve">结算永久加分</x:t>
  </x:si>
  <x:si>
    <x:t xml:space="preserve">同种加分</x:t>
  </x:si>
  <x:si>
    <x:t xml:space="preserve">连续结算不相同/相同</x:t>
  </x:si>
  <x:si>
    <x:t xml:space="preserve">传递额外选择目标</x:t>
  </x:si>
  <x:si>
    <x:t xml:space="preserve">移除牌</x:t>
  </x:si>
  <x:si>
    <x:t xml:space="preserve">丢弃的牌加分</x:t>
  </x:si>
  <x:si>
    <x:t xml:space="preserve">风味额外视为数量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</x:si>
</x:sst>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Linux Libertine G"/>
    </x:font>
    <x:font>
      <x:sz val="10"/>
      <x:color theme="1"/>
      <x:name val="Linux Libertine G"/>
    </x:font>
    <x:font>
      <x:sz val="10"/>
      <x:color theme="1"/>
      <x:name val="宋体"/>
    </x:font>
    <x:font>
      <x:sz val="11"/>
      <x:color theme="1"/>
      <x:name val="宋体"/>
    </x:font>
    <x:font>
      <x:sz val="10"/>
      <x:name val="Arial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theme="1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theme="8" tint="0.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medium">
        <x:color rgb="FFDEE0E3"/>
      </x:left>
      <x:right style="medium">
        <x:color rgb="FFDEE0E3"/>
      </x:right>
      <x:top style="medium">
        <x:color rgb="FFDEE0E3"/>
      </x:top>
      <x:bottom style="medium">
        <x:color rgb="FFDEE0E3"/>
      </x:bottom>
    </x:border>
    <x:border>
      <x:left style="medium">
        <x:color rgb="FFDEE0E3"/>
      </x:left>
      <x:right style="medium">
        <x:color rgb="FFDEE0E3"/>
      </x:right>
      <x:top style="medium">
        <x:color rgb="FFDEE0E3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4" fillId="0" borderId="0"/>
    <x:xf numFmtId="44" fontId="4" fillId="0" borderId="0"/>
    <x:xf numFmtId="9" fontId="4" fillId="0" borderId="0"/>
    <x:xf numFmtId="41" fontId="4" fillId="0" borderId="0"/>
    <x:xf numFmtId="42" fontId="4" fillId="0" borderId="0"/>
    <x:xf numFmtId="0" fontId="5" fillId="0" borderId="0">
      <x:alignment vertical="center"/>
    </x:xf>
    <x:xf numFmtId="0" fontId="6" fillId="0" borderId="0">
      <x:alignment vertical="center"/>
    </x:xf>
    <x:xf numFmtId="0" fontId="7" fillId="3" borderId="3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0">
      <x:alignment vertical="center"/>
    </x:xf>
    <x:xf numFmtId="0" fontId="11" fillId="0" borderId="4">
      <x:alignment vertical="center"/>
    </x:xf>
    <x:xf numFmtId="0" fontId="12" fillId="0" borderId="4">
      <x:alignment vertical="center"/>
    </x:xf>
    <x:xf numFmtId="0" fontId="13" fillId="0" borderId="5">
      <x:alignment vertical="center"/>
    </x:xf>
    <x:xf numFmtId="0" fontId="13" fillId="0" borderId="0">
      <x:alignment vertical="center"/>
    </x:xf>
    <x:xf numFmtId="0" fontId="14" fillId="4" borderId="6">
      <x:alignment vertical="center"/>
    </x:xf>
    <x:xf numFmtId="0" fontId="15" fillId="5" borderId="7">
      <x:alignment vertical="center"/>
    </x:xf>
    <x:xf numFmtId="0" fontId="16" fillId="5" borderId="6">
      <x:alignment vertical="center"/>
    </x:xf>
    <x:xf numFmtId="0" fontId="17" fillId="6" borderId="8">
      <x:alignment vertical="center"/>
    </x:xf>
    <x:xf numFmtId="0" fontId="18" fillId="0" borderId="9">
      <x:alignment vertical="center"/>
    </x:xf>
    <x:xf numFmtId="0" fontId="19" fillId="0" borderId="10">
      <x:alignment vertical="center"/>
    </x:xf>
    <x:xf numFmtId="0" fontId="20" fillId="7" borderId="0">
      <x:alignment vertical="center"/>
    </x:xf>
    <x:xf numFmtId="0" fontId="21" fillId="8" borderId="0">
      <x:alignment vertical="center"/>
    </x:xf>
    <x:xf numFmtId="0" fontId="22" fillId="9" borderId="0">
      <x:alignment vertical="center"/>
    </x:xf>
    <x:xf numFmtId="0" fontId="23" fillId="10" borderId="0">
      <x:alignment vertical="center"/>
    </x:xf>
    <x:xf numFmtId="0" fontId="7" fillId="11" borderId="0">
      <x:alignment vertical="center"/>
    </x:xf>
    <x:xf numFmtId="0" fontId="7" fillId="12" borderId="0">
      <x:alignment vertical="center"/>
    </x:xf>
    <x:xf numFmtId="0" fontId="23" fillId="13" borderId="0">
      <x:alignment vertical="center"/>
    </x:xf>
    <x:xf numFmtId="0" fontId="23" fillId="14" borderId="0">
      <x:alignment vertical="center"/>
    </x:xf>
    <x:xf numFmtId="0" fontId="7" fillId="15" borderId="0">
      <x:alignment vertical="center"/>
    </x:xf>
    <x:xf numFmtId="0" fontId="7" fillId="16" borderId="0">
      <x:alignment vertical="center"/>
    </x:xf>
    <x:xf numFmtId="0" fontId="23" fillId="17" borderId="0">
      <x:alignment vertical="center"/>
    </x:xf>
    <x:xf numFmtId="0" fontId="23" fillId="18" borderId="0">
      <x:alignment vertical="center"/>
    </x:xf>
    <x:xf numFmtId="0" fontId="7" fillId="19" borderId="0">
      <x:alignment vertical="center"/>
    </x:xf>
    <x:xf numFmtId="0" fontId="7" fillId="20" borderId="0">
      <x:alignment vertical="center"/>
    </x:xf>
    <x:xf numFmtId="0" fontId="23" fillId="21" borderId="0">
      <x:alignment vertical="center"/>
    </x:xf>
    <x:xf numFmtId="0" fontId="23" fillId="22" borderId="0">
      <x:alignment vertical="center"/>
    </x:xf>
    <x:xf numFmtId="0" fontId="7" fillId="23" borderId="0">
      <x:alignment vertical="center"/>
    </x:xf>
    <x:xf numFmtId="0" fontId="7" fillId="24" borderId="0">
      <x:alignment vertical="center"/>
    </x:xf>
    <x:xf numFmtId="0" fontId="23" fillId="25" borderId="0">
      <x:alignment vertical="center"/>
    </x:xf>
    <x:xf numFmtId="0" fontId="23" fillId="26" borderId="0">
      <x:alignment vertical="center"/>
    </x:xf>
    <x:xf numFmtId="0" fontId="7" fillId="27" borderId="0">
      <x:alignment vertical="center"/>
    </x:xf>
    <x:xf numFmtId="0" fontId="7" fillId="28" borderId="0">
      <x:alignment vertical="center"/>
    </x:xf>
    <x:xf numFmtId="0" fontId="23" fillId="29" borderId="0">
      <x:alignment vertical="center"/>
    </x:xf>
    <x:xf numFmtId="0" fontId="23" fillId="30" borderId="0">
      <x:alignment vertical="center"/>
    </x:xf>
    <x:xf numFmtId="0" fontId="7" fillId="31" borderId="0">
      <x:alignment vertical="center"/>
    </x:xf>
    <x:xf numFmtId="0" fontId="7" fillId="32" borderId="0">
      <x:alignment vertical="center"/>
    </x:xf>
    <x:xf numFmtId="0" fontId="23" fillId="33" borderId="0">
      <x:alignment vertical="center"/>
    </x:xf>
  </x:cellStyleXfs>
  <x:cellXfs count="16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/>
    </x:xf>
    <x:xf numFmtId="0" fontId="1" fillId="0" borderId="1" xfId="0" applyFont="1" applyBorder="1" applyAlignment="1">
      <x:alignment vertical="top" wrapText="1"/>
    </x:xf>
    <x:xf numFmtId="0" fontId="0" fillId="0" borderId="2" xfId="0" applyBorder="1"/>
    <x:xf numFmtId="0" fontId="2" fillId="0" borderId="1" xfId="0" applyFont="1" applyBorder="1" applyAlignment="1">
      <x:alignment vertical="top" wrapText="1"/>
    </x:xf>
    <x:xf numFmtId="0" fontId="1" fillId="0" borderId="2" xfId="0" applyFont="1" applyBorder="1" applyAlignment="1">
      <x:alignment vertical="top" wrapText="1"/>
    </x:xf>
    <x:xf numFmtId="0" fontId="3" fillId="0" borderId="0" xfId="0" applyAlignment="1">
      <x:alignment horizontal="center" vertical="center"/>
    </x:xf>
    <x:xf numFmtId="0" fontId="3" fillId="0" borderId="0" xfId="0" applyFont="1" applyFill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3" fillId="2" borderId="0" xfId="0" applyFill="1" applyAlignment="1">
      <x:alignment horizontal="center" vertical="center"/>
    </x:xf>
    <x:xf numFmtId="0" fontId="0" fillId="2" borderId="0" xfId="0" applyFill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0" fillId="0" borderId="0" xfId="0" applyFill="1" applyAlignment="1">
      <x:alignment horizontal="center" vertical="center"/>
    </x:xf>
    <x:xf numFmtId="0" fontId="0" fillId="0" borderId="0" xfId="0" applyFill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DEE0E3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81f0c2241043b0" /><Relationship Type="http://schemas.openxmlformats.org/officeDocument/2006/relationships/theme" Target="/xl/theme/theme1.xml" Id="R4db327c91b34474c" /><Relationship Type="http://schemas.openxmlformats.org/officeDocument/2006/relationships/sharedStrings" Target="/xl/sharedStrings.xml" Id="Raf1ec15f46a440ea" /><Relationship Type="http://schemas.openxmlformats.org/officeDocument/2006/relationships/worksheet" Target="/xl/worksheets/sheet1.xml" Id="R20c9764dcdb84096" /><Relationship Type="http://schemas.openxmlformats.org/officeDocument/2006/relationships/worksheet" Target="/xl/worksheets/sheet2.xml" Id="R555f6db8272f439b" /><Relationship Type="http://schemas.openxmlformats.org/officeDocument/2006/relationships/worksheet" Target="/xl/worksheets/sheet3.xml" Id="R7a33f31d0a7a4ac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07352828979492" defaultRowHeight="16.799999237060547"/>
  <x:cols>
    <x:col min="1" max="1" width="13.08088207244873" style="1" customWidth="1"/>
    <x:col min="2" max="2" width="30.382352828979492" style="1" customWidth="1"/>
    <x:col min="3" max="3" width="15.161765098571777" style="1" customWidth="1"/>
    <x:col min="4" max="4" width="27" style="1" customWidth="1"/>
    <x:col min="5" max="5" width="12.838234901428223" style="1" customWidth="1"/>
    <x:col min="6" max="6" width="15.161765098571777" style="1" customWidth="1"/>
    <x:col min="7" max="7" width="11.91911792755127" style="1" customWidth="1"/>
    <x:col min="8" max="8" width="25.52941131591797" style="1" customWidth="1"/>
    <x:col min="9" max="9" width="15.161765098571777" style="1" customWidth="1"/>
    <x:col min="10" max="10" width="36" style="1" customWidth="1"/>
    <x:col min="11" max="11" width="25.080883026123047" style="1" customWidth="1"/>
    <x:col min="12" max="12" width="18.080883026123047" style="1" customWidth="1"/>
    <x:col min="13" max="13" width="25.698530197143555" style="1" customWidth="1"/>
    <x:col min="14" max="14" width="24.53676414489746" style="1" customWidth="1"/>
    <x:col min="15" max="15" width="23" style="1" customWidth="1"/>
    <x:col min="16" max="16" width="18.301469802856445" style="1" customWidth="1"/>
    <x:col min="17" max="17" width="19.352941513061523" style="1" customWidth="1"/>
    <x:col min="18" max="18" width="11.470588684082031" style="1" customWidth="1"/>
    <x:col min="19" max="19" width="9.007352828979492" style="1" customWidth="0"/>
    <x:col min="20" max="20" width="11.772058486938477" style="1" customWidth="1"/>
    <x:col min="21" max="21" width="13.70588207244873" style="1" customWidth="0"/>
    <x:col min="22" max="29" width="9.007352828979492" style="1" customWidth="0"/>
    <x:col min="30" max="30" width="12.647058486938477" style="1" customWidth="0"/>
    <x:col min="31" max="16384" width="9.007352828979492" style="1" customWidth="0"/>
  </x:cols>
  <x:sheetData>
    <x:row r="1" s="1" customFormat="1" ht="16.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="1" customFormat="1" ht="16.5" customHeight="1">
      <x:c r="A2" s="1" t="s">
        <x:v>16</x:v>
      </x:c>
      <x:c r="B2" s="1" t="s">
        <x:v>17</x:v>
      </x:c>
      <x:c r="C2" s="1" t="s">
        <x:v>18</x:v>
      </x:c>
      <x:c r="D2" s="1" t="s">
        <x:v>19</x:v>
      </x:c>
      <x:c r="E2" s="1" t="s">
        <x:v>20</x:v>
      </x:c>
      <x:c r="F2" s="1" t="s">
        <x:v>21</x:v>
      </x:c>
      <x:c r="G2" s="1" t="s">
        <x:v>22</x:v>
      </x:c>
      <x:c r="H2" s="1" t="s">
        <x:v>23</x:v>
      </x:c>
      <x:c r="I2" s="1" t="s">
        <x:v>24</x:v>
      </x:c>
      <x:c r="J2" s="1" t="s">
        <x:v>25</x:v>
      </x:c>
      <x:c r="K2" s="1" t="s">
        <x:v>26</x:v>
      </x:c>
      <x:c r="L2" s="1" t="s">
        <x:v>27</x:v>
      </x:c>
      <x:c r="M2" s="1" t="s">
        <x:v>28</x:v>
      </x:c>
      <x:c r="N2" s="1" t="s">
        <x:v>29</x:v>
      </x:c>
      <x:c r="O2" s="1" t="s">
        <x:v>30</x:v>
      </x:c>
      <x:c r="P2" s="1" t="s">
        <x:v>31</x:v>
      </x:c>
    </x:row>
    <x:row r="3" s="1" customFormat="1" ht="16.5" customHeight="1">
      <x:c r="A3" s="1" t="s">
        <x:v>32</x:v>
      </x:c>
      <x:c r="B3" s="1" t="s">
        <x:v>33</x:v>
      </x:c>
      <x:c r="C3" s="1" t="s">
        <x:v>33</x:v>
      </x:c>
      <x:c r="D3" s="1" t="s">
        <x:v>33</x:v>
      </x:c>
      <x:c r="E3" s="1" t="s">
        <x:v>34</x:v>
      </x:c>
      <x:c r="F3" s="1" t="s">
        <x:v>35</x:v>
      </x:c>
      <x:c r="G3" s="1" t="s">
        <x:v>36</x:v>
      </x:c>
      <x:c r="H3" s="1" t="s">
        <x:v>33</x:v>
      </x:c>
      <x:c r="I3" s="1" t="s">
        <x:v>36</x:v>
      </x:c>
      <x:c r="J3" s="1" t="s">
        <x:v>37</x:v>
      </x:c>
      <x:c r="K3" s="1" t="s">
        <x:v>38</x:v>
      </x:c>
      <x:c r="L3" s="1" t="s">
        <x:v>38</x:v>
      </x:c>
      <x:c r="M3" s="1" t="s">
        <x:v>38</x:v>
      </x:c>
      <x:c r="N3" s="1" t="s">
        <x:v>38</x:v>
      </x:c>
      <x:c r="O3" s="1" t="s">
        <x:v>33</x:v>
      </x:c>
      <x:c r="P3" s="1" t="s">
        <x:v>38</x:v>
      </x:c>
    </x:row>
    <x:row r="4" s="1" customFormat="1" ht="34">
      <x:c r="B4" s="1" t="s">
        <x:v>39</x:v>
      </x:c>
      <x:c r="C4" s="1" t="s">
        <x:v>40</x:v>
      </x:c>
      <x:c r="D4" s="10" t="s">
        <x:v>41</x:v>
      </x:c>
      <x:c r="E4" s="1" t="s">
        <x:v>42</x:v>
      </x:c>
      <x:c r="F4" s="1" t="s">
        <x:v>43</x:v>
      </x:c>
      <x:c r="G4" s="1">
        <x:v>0</x:v>
      </x:c>
      <x:c r="I4" s="1">
        <x:v>30</x:v>
      </x:c>
      <x:c r="J4" s="1" t="s">
        <x:v>44</x:v>
      </x:c>
      <x:c r="K4" s="1">
        <x:v>0</x:v>
      </x:c>
      <x:c r="L4" s="1">
        <x:v>0</x:v>
      </x:c>
      <x:c r="M4" s="1">
        <x:v>0</x:v>
      </x:c>
      <x:c r="N4" s="1">
        <x:v>0</x:v>
      </x:c>
      <x:c r="P4" s="1">
        <x:v>150</x:v>
      </x:c>
      <x:c r="R4" s="1" t="n">
        <x:f t="shared" ref="R4:R8" si="0">IFERROR(VLOOKUP(E4,$T$7:$AB$12,9,FALSE),0)</x:f>
        <x:v>0</x:v>
      </x:c>
    </x:row>
    <x:row r="5" s="1" customFormat="1">
      <x:c r="B5" s="1" t="s">
        <x:v>45</x:v>
      </x:c>
      <x:c r="C5" s="1" t="s">
        <x:v>46</x:v>
      </x:c>
      <x:c r="D5" s="1" t="s">
        <x:v>47</x:v>
      </x:c>
      <x:c r="E5" s="1" t="s">
        <x:v>48</x:v>
      </x:c>
      <x:c r="F5" s="1" t="s">
        <x:v>43</x:v>
      </x:c>
      <x:c r="G5" s="1">
        <x:v>0</x:v>
      </x:c>
      <x:c r="H5" s="1" t="s">
        <x:v>49</x:v>
      </x:c>
      <x:c r="I5" s="1">
        <x:v>300</x:v>
      </x:c>
      <x:c r="J5" s="1" t="s">
        <x:v>50</x:v>
      </x:c>
      <x:c r="K5" s="1">
        <x:v>0</x:v>
      </x:c>
      <x:c r="L5" s="1">
        <x:v>0</x:v>
      </x:c>
      <x:c r="M5" s="1">
        <x:v>0</x:v>
      </x:c>
      <x:c r="N5" s="1">
        <x:v>0</x:v>
      </x:c>
      <x:c r="P5" s="1">
        <x:v>40</x:v>
      </x:c>
      <x:c r="R5" s="1">
        <x:f t="shared" si="0"/>
        <x:v>0</x:v>
      </x:c>
    </x:row>
    <x:row r="6" s="1" customFormat="1" ht="34">
      <x:c r="B6" s="1" t="s">
        <x:v>51</x:v>
      </x:c>
      <x:c r="C6" s="1" t="s">
        <x:v>52</x:v>
      </x:c>
      <x:c r="D6" s="10" t="s">
        <x:v>53</x:v>
      </x:c>
      <x:c r="E6" s="1" t="s">
        <x:v>48</x:v>
      </x:c>
      <x:c r="F6" s="1" t="s">
        <x:v>43</x:v>
      </x:c>
      <x:c r="G6" s="1">
        <x:v>15</x:v>
      </x:c>
      <x:c r="H6" s="1" t="s">
        <x:v>54</x:v>
      </x:c>
      <x:c r="I6" s="1">
        <x:v>300</x:v>
      </x:c>
      <x:c r="J6" s="1" t="s">
        <x:v>50</x:v>
      </x:c>
      <x:c r="K6" s="1">
        <x:v>0</x:v>
      </x:c>
      <x:c r="L6" s="1">
        <x:v>0</x:v>
      </x:c>
      <x:c r="M6" s="1">
        <x:v>0</x:v>
      </x:c>
      <x:c r="N6" s="1">
        <x:v>0</x:v>
      </x:c>
      <x:c r="P6" s="1">
        <x:v>40</x:v>
      </x:c>
      <x:c r="R6" s="1">
        <x:f t="shared" si="0"/>
        <x:v>0</x:v>
      </x:c>
    </x:row>
    <x:row r="7" s="1" customFormat="1" ht="34">
      <x:c r="B7" s="1" t="s">
        <x:v>55</x:v>
      </x:c>
      <x:c r="C7" s="1" t="s">
        <x:v>56</x:v>
      </x:c>
      <x:c r="D7" s="10" t="s">
        <x:v>57</x:v>
      </x:c>
      <x:c r="E7" s="1" t="s">
        <x:v>48</x:v>
      </x:c>
      <x:c r="F7" s="1" t="s">
        <x:v>43</x:v>
      </x:c>
      <x:c r="G7" s="1">
        <x:v>120</x:v>
      </x:c>
      <x:c r="I7" s="1">
        <x:v>300</x:v>
      </x:c>
      <x:c r="J7" s="1" t="s">
        <x:v>50</x:v>
      </x:c>
      <x:c r="K7" s="1">
        <x:v>0</x:v>
      </x:c>
      <x:c r="L7" s="1">
        <x:v>0</x:v>
      </x:c>
      <x:c r="M7" s="1">
        <x:v>0</x:v>
      </x:c>
      <x:c r="N7" s="1">
        <x:v>0</x:v>
      </x:c>
      <x:c r="P7" s="1">
        <x:v>40</x:v>
      </x:c>
      <x:c r="R7" s="1">
        <x:f t="shared" si="0"/>
        <x:v>0</x:v>
      </x:c>
      <x:c r="AD7" s="1" t="n">
        <x:f t="shared" ref="AD7:AD10" si="1">IFERROR(Z7/SUM($Z$7:$Z$10),0)</x:f>
        <x:v>0</x:v>
      </x:c>
    </x:row>
    <x:row r="8" s="1" customFormat="1" ht="34">
      <x:c r="B8" s="1" t="s">
        <x:v>58</x:v>
      </x:c>
      <x:c r="C8" s="1" t="s">
        <x:v>59</x:v>
      </x:c>
      <x:c r="D8" s="10" t="s">
        <x:v>60</x:v>
      </x:c>
      <x:c r="E8" s="1" t="s">
        <x:v>48</x:v>
      </x:c>
      <x:c r="F8" s="1" t="s">
        <x:v>43</x:v>
      </x:c>
      <x:c r="G8" s="1">
        <x:v>0.2</x:v>
      </x:c>
      <x:c r="I8" s="1">
        <x:v>100</x:v>
      </x:c>
      <x:c r="J8" s="1" t="s">
        <x:v>61</x:v>
      </x:c>
      <x:c r="K8" s="1">
        <x:v>0</x:v>
      </x:c>
      <x:c r="L8" s="1">
        <x:v>0</x:v>
      </x:c>
      <x:c r="M8" s="1">
        <x:v>0</x:v>
      </x:c>
      <x:c r="N8" s="1">
        <x:v>0</x:v>
      </x:c>
      <x:c r="P8" s="1">
        <x:v>80</x:v>
      </x:c>
      <x:c r="R8" s="1">
        <x:f t="shared" si="0"/>
        <x:v>0</x:v>
      </x:c>
      <x:c r="AD8" s="1">
        <x:f t="shared" si="1"/>
        <x:v>0</x:v>
      </x:c>
    </x:row>
    <x:row r="9" s="14" customFormat="1" ht="17">
      <x:c r="A9" s="1"/>
      <x:c r="B9" s="14" t="s">
        <x:v>62</x:v>
      </x:c>
      <x:c r="C9" s="14" t="s">
        <x:v>63</x:v>
      </x:c>
      <x:c r="D9" s="15" t="s">
        <x:v>64</x:v>
      </x:c>
      <x:c r="E9" s="14" t="s">
        <x:v>48</x:v>
      </x:c>
      <x:c r="F9" s="14" t="s">
        <x:v>43</x:v>
      </x:c>
      <x:c r="G9" s="14">
        <x:v>1</x:v>
      </x:c>
      <x:c r="I9" s="14">
        <x:v>300</x:v>
      </x:c>
      <x:c r="J9" s="14" t="s">
        <x:v>50</x:v>
      </x:c>
      <x:c r="K9" s="14">
        <x:v>0</x:v>
      </x:c>
      <x:c r="L9" s="14">
        <x:v>0</x:v>
      </x:c>
      <x:c r="M9" s="14">
        <x:v>0</x:v>
      </x:c>
      <x:c r="N9" s="14">
        <x:v>0</x:v>
      </x:c>
      <x:c r="P9" s="14">
        <x:v>50</x:v>
      </x:c>
      <x:c r="R9" s="1"/>
      <x:c r="T9" s="1"/>
      <x:c r="V9" s="1"/>
      <x:c r="X9" s="1"/>
      <x:c r="Z9" s="1"/>
      <x:c r="AB9" s="1"/>
      <x:c r="AD9" s="1">
        <x:f t="shared" si="1"/>
        <x:v>0</x:v>
      </x:c>
    </x:row>
    <x:row r="10" s="14" customFormat="1" ht="17">
      <x:c r="A10" s="1"/>
      <x:c r="B10" s="14" t="s">
        <x:v>65</x:v>
      </x:c>
      <x:c r="C10" s="14" t="s">
        <x:v>66</x:v>
      </x:c>
      <x:c r="D10" s="15" t="s">
        <x:v>64</x:v>
      </x:c>
      <x:c r="E10" s="14" t="s">
        <x:v>67</x:v>
      </x:c>
      <x:c r="F10" s="14" t="s">
        <x:v>43</x:v>
      </x:c>
      <x:c r="G10" s="14">
        <x:v>1</x:v>
      </x:c>
      <x:c r="H10" s="1"/>
      <x:c r="I10" s="14">
        <x:v>300</x:v>
      </x:c>
      <x:c r="J10" s="14" t="s">
        <x:v>50</x:v>
      </x:c>
      <x:c r="K10" s="14">
        <x:v>0</x:v>
      </x:c>
      <x:c r="L10" s="14">
        <x:v>0</x:v>
      </x:c>
      <x:c r="M10" s="14">
        <x:v>0</x:v>
      </x:c>
      <x:c r="N10" s="14">
        <x:v>0</x:v>
      </x:c>
      <x:c r="P10" s="14">
        <x:v>50</x:v>
      </x:c>
      <x:c r="R10" s="1"/>
      <x:c r="T10" s="1"/>
      <x:c r="V10" s="1"/>
      <x:c r="X10" s="1"/>
      <x:c r="Z10" s="1"/>
      <x:c r="AB10" s="1"/>
      <x:c r="AD10" s="1">
        <x:f t="shared" si="1"/>
        <x:v>0</x:v>
      </x:c>
    </x:row>
    <x:row r="11" s="14" customFormat="1" ht="17">
      <x:c r="A11" s="1"/>
      <x:c r="B11" s="14" t="s">
        <x:v>68</x:v>
      </x:c>
      <x:c r="C11" s="14" t="s">
        <x:v>69</x:v>
      </x:c>
      <x:c r="D11" s="15" t="s">
        <x:v>70</x:v>
      </x:c>
      <x:c r="E11" s="14" t="s">
        <x:v>42</x:v>
      </x:c>
      <x:c r="F11" s="14" t="s">
        <x:v>43</x:v>
      </x:c>
      <x:c r="G11" s="14">
        <x:v>2</x:v>
      </x:c>
      <x:c r="I11" s="14">
        <x:v>100</x:v>
      </x:c>
      <x:c r="J11" s="14" t="s">
        <x:v>61</x:v>
      </x:c>
      <x:c r="K11" s="14">
        <x:v>0</x:v>
      </x:c>
      <x:c r="L11" s="14">
        <x:v>0</x:v>
      </x:c>
      <x:c r="M11" s="14">
        <x:v>0</x:v>
      </x:c>
      <x:c r="N11" s="14">
        <x:v>0</x:v>
      </x:c>
      <x:c r="P11" s="14">
        <x:v>80</x:v>
      </x:c>
      <x:c r="R11" s="1"/>
    </x:row>
    <x:row r="12" s="14" customFormat="1" ht="17">
      <x:c r="A12" s="1"/>
      <x:c r="B12" s="14" t="s">
        <x:v>71</x:v>
      </x:c>
      <x:c r="C12" s="14" t="s">
        <x:v>72</x:v>
      </x:c>
      <x:c r="D12" s="15" t="s">
        <x:v>70</x:v>
      </x:c>
      <x:c r="E12" s="14" t="s">
        <x:v>42</x:v>
      </x:c>
      <x:c r="F12" s="14" t="s">
        <x:v>43</x:v>
      </x:c>
      <x:c r="G12" s="14">
        <x:v>2</x:v>
      </x:c>
      <x:c r="H12" s="1"/>
      <x:c r="I12" s="14">
        <x:v>30</x:v>
      </x:c>
      <x:c r="J12" s="14" t="s">
        <x:v>44</x:v>
      </x:c>
      <x:c r="K12" s="14">
        <x:v>0</x:v>
      </x:c>
      <x:c r="L12" s="14">
        <x:v>0</x:v>
      </x:c>
      <x:c r="M12" s="14">
        <x:v>0</x:v>
      </x:c>
      <x:c r="N12" s="14">
        <x:v>0</x:v>
      </x:c>
      <x:c r="P12" s="14">
        <x:v>120</x:v>
      </x:c>
      <x:c r="R12" s="1"/>
      <x:c r="Y12" s="1"/>
      <x:c r="Z12" s="1"/>
      <x:c r="AA12" s="1"/>
    </x:row>
    <x:row r="13" s="14" customFormat="1" ht="17">
      <x:c r="A13" s="1"/>
      <x:c r="B13" s="14" t="s">
        <x:v>73</x:v>
      </x:c>
      <x:c r="C13" s="14" t="s">
        <x:v>74</x:v>
      </x:c>
      <x:c r="D13" s="15" t="s">
        <x:v>75</x:v>
      </x:c>
      <x:c r="E13" s="14" t="s">
        <x:v>48</x:v>
      </x:c>
      <x:c r="F13" s="14" t="s">
        <x:v>43</x:v>
      </x:c>
      <x:c r="G13" s="14">
        <x:v>0.15</x:v>
      </x:c>
      <x:c r="H13" s="1"/>
      <x:c r="I13" s="14">
        <x:v>100</x:v>
      </x:c>
      <x:c r="J13" s="14" t="s">
        <x:v>61</x:v>
      </x:c>
      <x:c r="K13" s="14">
        <x:v>0</x:v>
      </x:c>
      <x:c r="L13" s="14">
        <x:v>0</x:v>
      </x:c>
      <x:c r="M13" s="14">
        <x:v>0</x:v>
      </x:c>
      <x:c r="N13" s="14">
        <x:v>0</x:v>
      </x:c>
      <x:c r="P13" s="14">
        <x:v>40</x:v>
      </x:c>
      <x:c r="R13" s="1" t="n">
        <x:f t="shared" ref="R13:R15" si="2">IFERROR(VLOOKUP(E13,$T$7:$AB$12,9,FALSE),0)</x:f>
        <x:v>0</x:v>
      </x:c>
      <x:c r="T13" s="1"/>
      <x:c r="V13" s="1"/>
      <x:c r="W13" s="1"/>
    </x:row>
    <x:row r="14" s="14" customFormat="1">
      <x:c r="A14" s="1"/>
      <x:c r="B14" s="14" t="s">
        <x:v>76</x:v>
      </x:c>
      <x:c r="C14" s="14" t="s">
        <x:v>77</x:v>
      </x:c>
      <x:c r="D14" s="14" t="s">
        <x:v>78</x:v>
      </x:c>
      <x:c r="E14" s="14" t="s">
        <x:v>48</x:v>
      </x:c>
      <x:c r="F14" s="14" t="s">
        <x:v>43</x:v>
      </x:c>
      <x:c r="G14" s="14">
        <x:v>0.15</x:v>
      </x:c>
      <x:c r="H14" s="1"/>
      <x:c r="I14" s="14">
        <x:v>300</x:v>
      </x:c>
      <x:c r="J14" s="14" t="s">
        <x:v>50</x:v>
      </x:c>
      <x:c r="K14" s="14">
        <x:v>0</x:v>
      </x:c>
      <x:c r="L14" s="14">
        <x:v>0</x:v>
      </x:c>
      <x:c r="M14" s="14">
        <x:v>0</x:v>
      </x:c>
      <x:c r="N14" s="14">
        <x:v>0</x:v>
      </x:c>
      <x:c r="P14" s="14">
        <x:v>40</x:v>
      </x:c>
      <x:c r="R14" s="1">
        <x:f t="shared" si="2"/>
        <x:v>0</x:v>
      </x:c>
      <x:c r="T14" s="1"/>
      <x:c r="V14" s="1"/>
      <x:c r="W14" s="1"/>
      <x:c r="Y14" s="1"/>
    </x:row>
    <x:row r="15" s="1" customFormat="1" ht="17">
      <x:c r="B15" s="1" t="s">
        <x:v>79</x:v>
      </x:c>
      <x:c r="C15" s="1" t="s">
        <x:v>80</x:v>
      </x:c>
      <x:c r="D15" s="10" t="s">
        <x:v>81</x:v>
      </x:c>
      <x:c r="E15" s="1" t="s">
        <x:v>48</x:v>
      </x:c>
      <x:c r="F15" s="1" t="s">
        <x:v>43</x:v>
      </x:c>
      <x:c r="G15" s="1">
        <x:v>0.15</x:v>
      </x:c>
      <x:c r="I15" s="1">
        <x:v>100</x:v>
      </x:c>
      <x:c r="J15" s="1" t="s">
        <x:v>61</x:v>
      </x:c>
      <x:c r="K15" s="1">
        <x:v>0</x:v>
      </x:c>
      <x:c r="L15" s="1">
        <x:v>0</x:v>
      </x:c>
      <x:c r="M15" s="1">
        <x:v>0</x:v>
      </x:c>
      <x:c r="N15" s="1">
        <x:v>0</x:v>
      </x:c>
      <x:c r="P15" s="1">
        <x:v>40</x:v>
      </x:c>
      <x:c r="R15" s="1">
        <x:f t="shared" si="2"/>
        <x:v>0</x:v>
      </x:c>
    </x:row>
    <x:row r="16" s="1" customFormat="1" ht="17">
      <x:c r="B16" s="1" t="s">
        <x:v>82</x:v>
      </x:c>
      <x:c r="C16" s="1" t="s">
        <x:v>83</x:v>
      </x:c>
      <x:c r="D16" s="10" t="s">
        <x:v>84</x:v>
      </x:c>
      <x:c r="E16" s="1" t="s">
        <x:v>48</x:v>
      </x:c>
      <x:c r="F16" s="1" t="s">
        <x:v>43</x:v>
      </x:c>
      <x:c r="G16" s="1">
        <x:v>0.15</x:v>
      </x:c>
      <x:c r="I16" s="1">
        <x:v>100</x:v>
      </x:c>
      <x:c r="J16" s="1" t="s">
        <x:v>61</x:v>
      </x:c>
      <x:c r="K16" s="1">
        <x:v>0</x:v>
      </x:c>
      <x:c r="L16" s="1">
        <x:v>0</x:v>
      </x:c>
      <x:c r="M16" s="1">
        <x:v>0</x:v>
      </x:c>
      <x:c r="N16" s="1">
        <x:v>0</x:v>
      </x:c>
      <x:c r="P16" s="1">
        <x:v>40</x:v>
      </x:c>
    </x:row>
    <x:row r="17" s="1" customFormat="1" ht="17">
      <x:c r="B17" s="1" t="s">
        <x:v>85</x:v>
      </x:c>
      <x:c r="C17" s="1" t="s">
        <x:v>86</x:v>
      </x:c>
      <x:c r="D17" s="10" t="s">
        <x:v>87</x:v>
      </x:c>
      <x:c r="E17" s="1" t="s">
        <x:v>48</x:v>
      </x:c>
      <x:c r="F17" s="1" t="s">
        <x:v>43</x:v>
      </x:c>
      <x:c r="G17" s="1">
        <x:v>0.15</x:v>
      </x:c>
      <x:c r="I17" s="1">
        <x:v>100</x:v>
      </x:c>
      <x:c r="J17" s="1" t="s">
        <x:v>61</x:v>
      </x:c>
      <x:c r="K17" s="1">
        <x:v>0</x:v>
      </x:c>
      <x:c r="L17" s="1">
        <x:v>0</x:v>
      </x:c>
      <x:c r="M17" s="1">
        <x:v>0</x:v>
      </x:c>
      <x:c r="N17" s="1">
        <x:v>0</x:v>
      </x:c>
      <x:c r="P17" s="1">
        <x:v>40</x:v>
      </x:c>
      <x:c r="R17" s="1" t="n">
        <x:f t="shared" ref="R17:R21" si="3">IFERROR(VLOOKUP(E17,$T$7:$AB$12,9,FALSE),0)</x:f>
        <x:v>0</x:v>
      </x:c>
    </x:row>
    <x:row r="18" s="1" customFormat="1" ht="17">
      <x:c r="B18" s="1" t="s">
        <x:v>88</x:v>
      </x:c>
      <x:c r="C18" s="1" t="s">
        <x:v>89</x:v>
      </x:c>
      <x:c r="D18" s="10" t="s">
        <x:v>90</x:v>
      </x:c>
      <x:c r="E18" s="1" t="s">
        <x:v>48</x:v>
      </x:c>
      <x:c r="F18" s="1" t="s">
        <x:v>43</x:v>
      </x:c>
      <x:c r="G18" s="1">
        <x:v>0.15</x:v>
      </x:c>
      <x:c r="I18" s="1">
        <x:v>300</x:v>
      </x:c>
      <x:c r="J18" s="1" t="s">
        <x:v>50</x:v>
      </x:c>
      <x:c r="K18" s="1">
        <x:v>0</x:v>
      </x:c>
      <x:c r="L18" s="1">
        <x:v>0</x:v>
      </x:c>
      <x:c r="M18" s="1">
        <x:v>0</x:v>
      </x:c>
      <x:c r="N18" s="1">
        <x:v>0</x:v>
      </x:c>
      <x:c r="P18" s="1">
        <x:v>40</x:v>
      </x:c>
      <x:c r="R18" s="1">
        <x:f t="shared" si="3"/>
        <x:v>0</x:v>
      </x:c>
    </x:row>
    <x:row r="19" s="1" customFormat="1" ht="17">
      <x:c r="B19" s="1" t="s">
        <x:v>91</x:v>
      </x:c>
      <x:c r="C19" s="1" t="s">
        <x:v>92</x:v>
      </x:c>
      <x:c r="D19" s="10" t="s">
        <x:v>93</x:v>
      </x:c>
      <x:c r="E19" s="1" t="s">
        <x:v>67</x:v>
      </x:c>
      <x:c r="F19" s="1" t="s">
        <x:v>43</x:v>
      </x:c>
      <x:c r="G19" s="1">
        <x:v>0.25</x:v>
      </x:c>
      <x:c r="I19" s="1">
        <x:v>100</x:v>
      </x:c>
      <x:c r="J19" s="1" t="s">
        <x:v>61</x:v>
      </x:c>
      <x:c r="K19" s="1">
        <x:v>0</x:v>
      </x:c>
      <x:c r="L19" s="1">
        <x:v>0</x:v>
      </x:c>
      <x:c r="M19" s="1">
        <x:v>0</x:v>
      </x:c>
      <x:c r="N19" s="1">
        <x:v>0</x:v>
      </x:c>
      <x:c r="P19" s="1">
        <x:v>80</x:v>
      </x:c>
      <x:c r="R19" s="1">
        <x:f t="shared" si="3"/>
        <x:v>0</x:v>
      </x:c>
    </x:row>
    <x:row r="20" s="1" customFormat="1" ht="17">
      <x:c r="B20" s="1" t="s">
        <x:v>94</x:v>
      </x:c>
      <x:c r="C20" s="1" t="s">
        <x:v>95</x:v>
      </x:c>
      <x:c r="D20" s="10" t="s">
        <x:v>96</x:v>
      </x:c>
      <x:c r="E20" s="1" t="s">
        <x:v>67</x:v>
      </x:c>
      <x:c r="F20" s="1" t="s">
        <x:v>43</x:v>
      </x:c>
      <x:c r="G20" s="1">
        <x:v>0.3</x:v>
      </x:c>
      <x:c r="I20" s="1">
        <x:v>300</x:v>
      </x:c>
      <x:c r="J20" s="1" t="s">
        <x:v>50</x:v>
      </x:c>
      <x:c r="K20" s="1">
        <x:v>0</x:v>
      </x:c>
      <x:c r="L20" s="1">
        <x:v>0</x:v>
      </x:c>
      <x:c r="M20" s="1">
        <x:v>0</x:v>
      </x:c>
      <x:c r="N20" s="1">
        <x:v>0</x:v>
      </x:c>
      <x:c r="P20" s="1">
        <x:v>80</x:v>
      </x:c>
      <x:c r="R20" s="1">
        <x:f t="shared" si="3"/>
        <x:v>0</x:v>
      </x:c>
    </x:row>
    <x:row r="21" s="1" customFormat="1" ht="17">
      <x:c r="B21" s="1" t="s">
        <x:v>97</x:v>
      </x:c>
      <x:c r="C21" s="1" t="s">
        <x:v>98</x:v>
      </x:c>
      <x:c r="D21" s="10" t="s">
        <x:v>99</x:v>
      </x:c>
      <x:c r="E21" s="1" t="s">
        <x:v>67</x:v>
      </x:c>
      <x:c r="F21" s="1" t="s">
        <x:v>43</x:v>
      </x:c>
      <x:c r="G21" s="1">
        <x:v>0.3</x:v>
      </x:c>
      <x:c r="I21" s="1">
        <x:v>100</x:v>
      </x:c>
      <x:c r="J21" s="1" t="s">
        <x:v>61</x:v>
      </x:c>
      <x:c r="K21" s="1">
        <x:v>0</x:v>
      </x:c>
      <x:c r="L21" s="1">
        <x:v>0</x:v>
      </x:c>
      <x:c r="M21" s="1">
        <x:v>0</x:v>
      </x:c>
      <x:c r="N21" s="1">
        <x:v>0</x:v>
      </x:c>
      <x:c r="P21" s="1">
        <x:v>80</x:v>
      </x:c>
      <x:c r="R21" s="1">
        <x:f t="shared" si="3"/>
        <x:v>0</x:v>
      </x:c>
    </x:row>
    <x:row r="22" s="1" customFormat="1" ht="17">
      <x:c r="B22" s="1" t="s">
        <x:v>100</x:v>
      </x:c>
      <x:c r="C22" s="1" t="s">
        <x:v>101</x:v>
      </x:c>
      <x:c r="D22" s="10" t="s">
        <x:v>102</x:v>
      </x:c>
      <x:c r="E22" s="1" t="s">
        <x:v>67</x:v>
      </x:c>
      <x:c r="F22" s="1" t="s">
        <x:v>43</x:v>
      </x:c>
      <x:c r="G22" s="1">
        <x:v>0.3</x:v>
      </x:c>
      <x:c r="I22" s="1">
        <x:v>100</x:v>
      </x:c>
      <x:c r="J22" s="1" t="s">
        <x:v>61</x:v>
      </x:c>
      <x:c r="K22" s="1">
        <x:v>0</x:v>
      </x:c>
      <x:c r="L22" s="1">
        <x:v>0</x:v>
      </x:c>
      <x:c r="M22" s="1">
        <x:v>0</x:v>
      </x:c>
      <x:c r="N22" s="1">
        <x:v>0</x:v>
      </x:c>
      <x:c r="P22" s="1">
        <x:v>80</x:v>
      </x:c>
    </x:row>
    <x:row r="23" s="1" customFormat="1" ht="17">
      <x:c r="B23" s="1" t="s">
        <x:v>103</x:v>
      </x:c>
      <x:c r="C23" s="1" t="s">
        <x:v>104</x:v>
      </x:c>
      <x:c r="D23" s="10" t="s">
        <x:v>105</x:v>
      </x:c>
      <x:c r="E23" s="1" t="s">
        <x:v>67</x:v>
      </x:c>
      <x:c r="F23" s="1" t="s">
        <x:v>43</x:v>
      </x:c>
      <x:c r="G23" s="1">
        <x:v>0.3</x:v>
      </x:c>
      <x:c r="I23" s="1">
        <x:v>100</x:v>
      </x:c>
      <x:c r="J23" s="1" t="s">
        <x:v>61</x:v>
      </x:c>
      <x:c r="K23" s="1">
        <x:v>0</x:v>
      </x:c>
      <x:c r="L23" s="1">
        <x:v>0</x:v>
      </x:c>
      <x:c r="M23" s="1">
        <x:v>0</x:v>
      </x:c>
      <x:c r="N23" s="1">
        <x:v>0</x:v>
      </x:c>
      <x:c r="P23" s="1">
        <x:v>80</x:v>
      </x:c>
      <x:c r="R23" s="1" t="n">
        <x:f t="shared" ref="R23:R25" si="4">IFERROR(VLOOKUP(E23,$T$7:$AB$12,9,FALSE),0)</x:f>
        <x:v>0</x:v>
      </x:c>
    </x:row>
    <x:row r="24" s="1" customFormat="1" ht="17">
      <x:c r="B24" s="1" t="s">
        <x:v>106</x:v>
      </x:c>
      <x:c r="C24" s="1" t="s">
        <x:v>107</x:v>
      </x:c>
      <x:c r="D24" s="10" t="s">
        <x:v>108</x:v>
      </x:c>
      <x:c r="E24" s="1" t="s">
        <x:v>67</x:v>
      </x:c>
      <x:c r="F24" s="1" t="s">
        <x:v>43</x:v>
      </x:c>
      <x:c r="G24" s="1">
        <x:v>0.3</x:v>
      </x:c>
      <x:c r="I24" s="1">
        <x:v>300</x:v>
      </x:c>
      <x:c r="J24" s="1" t="s">
        <x:v>50</x:v>
      </x:c>
      <x:c r="K24" s="1">
        <x:v>0</x:v>
      </x:c>
      <x:c r="L24" s="1">
        <x:v>0</x:v>
      </x:c>
      <x:c r="M24" s="1">
        <x:v>0</x:v>
      </x:c>
      <x:c r="N24" s="1">
        <x:v>0</x:v>
      </x:c>
      <x:c r="P24" s="1">
        <x:v>80</x:v>
      </x:c>
      <x:c r="R24" s="1">
        <x:f t="shared" si="4"/>
        <x:v>0</x:v>
      </x:c>
    </x:row>
    <x:row r="25" s="1" customFormat="1" ht="51">
      <x:c r="B25" s="1" t="s">
        <x:v>109</x:v>
      </x:c>
      <x:c r="C25" s="1" t="s">
        <x:v>110</x:v>
      </x:c>
      <x:c r="D25" s="10" t="s">
        <x:v>111</x:v>
      </x:c>
      <x:c r="E25" s="1" t="s">
        <x:v>42</x:v>
      </x:c>
      <x:c r="F25" s="1" t="s">
        <x:v>43</x:v>
      </x:c>
      <x:c r="G25" s="1">
        <x:v>0</x:v>
      </x:c>
      <x:c r="I25" s="1">
        <x:v>30</x:v>
      </x:c>
      <x:c r="J25" s="1" t="s">
        <x:v>44</x:v>
      </x:c>
      <x:c r="K25" s="1">
        <x:v>0</x:v>
      </x:c>
      <x:c r="L25" s="1">
        <x:v>0</x:v>
      </x:c>
      <x:c r="M25" s="1">
        <x:v>0</x:v>
      </x:c>
      <x:c r="N25" s="1">
        <x:v>0</x:v>
      </x:c>
      <x:c r="P25" s="1">
        <x:v>150</x:v>
      </x:c>
      <x:c r="R25" s="1">
        <x:f t="shared" si="4"/>
        <x:v>0</x:v>
      </x:c>
    </x:row>
    <x:row r="26" s="1" customFormat="1" ht="51">
      <x:c r="B26" s="1" t="s">
        <x:v>112</x:v>
      </x:c>
      <x:c r="C26" s="1" t="s">
        <x:v>113</x:v>
      </x:c>
      <x:c r="D26" s="10" t="s">
        <x:v>114</x:v>
      </x:c>
      <x:c r="E26" s="1" t="s">
        <x:v>67</x:v>
      </x:c>
      <x:c r="F26" s="1" t="s">
        <x:v>43</x:v>
      </x:c>
      <x:c r="G26" s="1">
        <x:v>10</x:v>
      </x:c>
      <x:c r="I26" s="1">
        <x:v>100</x:v>
      </x:c>
      <x:c r="J26" s="1" t="s">
        <x:v>61</x:v>
      </x:c>
      <x:c r="K26" s="1">
        <x:v>0</x:v>
      </x:c>
      <x:c r="L26" s="1">
        <x:v>0</x:v>
      </x:c>
      <x:c r="M26" s="1">
        <x:v>0</x:v>
      </x:c>
      <x:c r="N26" s="1">
        <x:v>0</x:v>
      </x:c>
      <x:c r="P26" s="1">
        <x:v>80</x:v>
      </x:c>
    </x:row>
    <x:row r="27" s="1" customFormat="1" ht="51">
      <x:c r="B27" s="1" t="s">
        <x:v>115</x:v>
      </x:c>
      <x:c r="C27" s="1" t="s">
        <x:v>116</x:v>
      </x:c>
      <x:c r="D27" s="10" t="s">
        <x:v>117</x:v>
      </x:c>
      <x:c r="E27" s="1" t="s">
        <x:v>67</x:v>
      </x:c>
      <x:c r="F27" s="1" t="s">
        <x:v>43</x:v>
      </x:c>
      <x:c r="G27" s="1">
        <x:v>0.3</x:v>
      </x:c>
      <x:c r="I27" s="1">
        <x:v>100</x:v>
      </x:c>
      <x:c r="J27" s="1" t="s">
        <x:v>61</x:v>
      </x:c>
      <x:c r="K27" s="1">
        <x:v>0</x:v>
      </x:c>
      <x:c r="L27" s="1">
        <x:v>0</x:v>
      </x:c>
      <x:c r="M27" s="1">
        <x:v>0</x:v>
      </x:c>
      <x:c r="N27" s="1">
        <x:v>0</x:v>
      </x:c>
      <x:c r="P27" s="1">
        <x:v>80</x:v>
      </x:c>
    </x:row>
    <x:row r="28" s="1" customFormat="1" ht="34">
      <x:c r="B28" s="1" t="s">
        <x:v>118</x:v>
      </x:c>
      <x:c r="C28" s="1" t="s">
        <x:v>119</x:v>
      </x:c>
      <x:c r="D28" s="10" t="s">
        <x:v>120</x:v>
      </x:c>
      <x:c r="E28" s="1" t="s">
        <x:v>67</x:v>
      </x:c>
      <x:c r="F28" s="1" t="s">
        <x:v>43</x:v>
      </x:c>
      <x:c r="G28" s="1">
        <x:v>0</x:v>
      </x:c>
      <x:c r="H28" s="1" t="s">
        <x:v>121</x:v>
      </x:c>
      <x:c r="I28" s="1">
        <x:v>300</x:v>
      </x:c>
      <x:c r="J28" s="1" t="s">
        <x:v>50</x:v>
      </x:c>
      <x:c r="K28" s="1">
        <x:v>0</x:v>
      </x:c>
      <x:c r="L28" s="1">
        <x:v>0</x:v>
      </x:c>
      <x:c r="M28" s="1">
        <x:v>0</x:v>
      </x:c>
      <x:c r="N28" s="1">
        <x:v>0</x:v>
      </x:c>
      <x:c r="P28" s="1">
        <x:v>80</x:v>
      </x:c>
      <x:c r="R28" s="1" t="n">
        <x:f t="shared" ref="R28:R34" si="5">IFERROR(VLOOKUP(E28,$T$7:$AB$12,9,FALSE),0)</x:f>
        <x:v>0</x:v>
      </x:c>
    </x:row>
    <x:row r="29" s="1" customFormat="1" ht="34">
      <x:c r="B29" s="1" t="s">
        <x:v>122</x:v>
      </x:c>
      <x:c r="C29" s="1" t="s">
        <x:v>123</x:v>
      </x:c>
      <x:c r="D29" s="10" t="s">
        <x:v>124</x:v>
      </x:c>
      <x:c r="E29" s="1" t="s">
        <x:v>48</x:v>
      </x:c>
      <x:c r="F29" s="1" t="s">
        <x:v>43</x:v>
      </x:c>
      <x:c r="G29" s="1">
        <x:v>-0.25</x:v>
      </x:c>
      <x:c r="I29" s="1">
        <x:v>300</x:v>
      </x:c>
      <x:c r="J29" s="1" t="s">
        <x:v>50</x:v>
      </x:c>
      <x:c r="K29" s="1">
        <x:v>0</x:v>
      </x:c>
      <x:c r="L29" s="1">
        <x:v>0</x:v>
      </x:c>
      <x:c r="M29" s="1">
        <x:v>0</x:v>
      </x:c>
      <x:c r="N29" s="1">
        <x:v>0</x:v>
      </x:c>
      <x:c r="P29" s="1">
        <x:v>40</x:v>
      </x:c>
      <x:c r="R29" s="1">
        <x:f t="shared" si="5"/>
        <x:v>0</x:v>
      </x:c>
    </x:row>
    <x:row r="30" s="1" customFormat="1" ht="34">
      <x:c r="B30" s="1" t="s">
        <x:v>125</x:v>
      </x:c>
      <x:c r="C30" s="1" t="s">
        <x:v>126</x:v>
      </x:c>
      <x:c r="D30" s="10" t="s">
        <x:v>127</x:v>
      </x:c>
      <x:c r="E30" s="1" t="s">
        <x:v>48</x:v>
      </x:c>
      <x:c r="F30" s="1" t="s">
        <x:v>43</x:v>
      </x:c>
      <x:c r="G30" s="1">
        <x:v>-0.25</x:v>
      </x:c>
      <x:c r="I30" s="1">
        <x:v>100</x:v>
      </x:c>
      <x:c r="J30" s="1" t="s">
        <x:v>61</x:v>
      </x:c>
      <x:c r="K30" s="1">
        <x:v>0</x:v>
      </x:c>
      <x:c r="L30" s="1">
        <x:v>0</x:v>
      </x:c>
      <x:c r="M30" s="1">
        <x:v>0</x:v>
      </x:c>
      <x:c r="N30" s="1">
        <x:v>0</x:v>
      </x:c>
      <x:c r="P30" s="1">
        <x:v>40</x:v>
      </x:c>
      <x:c r="R30" s="1">
        <x:f t="shared" si="5"/>
        <x:v>0</x:v>
      </x:c>
    </x:row>
    <x:row r="31" s="1" customFormat="1" ht="34">
      <x:c r="B31" s="1" t="s">
        <x:v>128</x:v>
      </x:c>
      <x:c r="C31" s="1" t="s">
        <x:v>129</x:v>
      </x:c>
      <x:c r="D31" s="10" t="s">
        <x:v>130</x:v>
      </x:c>
      <x:c r="E31" s="1" t="s">
        <x:v>67</x:v>
      </x:c>
      <x:c r="F31" s="1" t="s">
        <x:v>43</x:v>
      </x:c>
      <x:c r="G31" s="1">
        <x:v>-0.2</x:v>
      </x:c>
      <x:c r="I31" s="1">
        <x:v>30</x:v>
      </x:c>
      <x:c r="J31" s="1" t="s">
        <x:v>44</x:v>
      </x:c>
      <x:c r="K31" s="1">
        <x:v>0</x:v>
      </x:c>
      <x:c r="L31" s="1">
        <x:v>0</x:v>
      </x:c>
      <x:c r="M31" s="1">
        <x:v>0</x:v>
      </x:c>
      <x:c r="N31" s="1">
        <x:v>0</x:v>
      </x:c>
      <x:c r="P31" s="1">
        <x:v>80</x:v>
      </x:c>
      <x:c r="R31" s="1">
        <x:f t="shared" si="5"/>
        <x:v>0</x:v>
      </x:c>
    </x:row>
    <x:row r="32" s="1" customFormat="1" ht="51">
      <x:c r="B32" s="1" t="s">
        <x:v>131</x:v>
      </x:c>
      <x:c r="C32" s="1" t="s">
        <x:v>132</x:v>
      </x:c>
      <x:c r="D32" s="10" t="s">
        <x:v>133</x:v>
      </x:c>
      <x:c r="E32" s="1" t="s">
        <x:v>67</x:v>
      </x:c>
      <x:c r="F32" s="1" t="s">
        <x:v>43</x:v>
      </x:c>
      <x:c r="G32" s="1">
        <x:v>0.5</x:v>
      </x:c>
      <x:c r="H32" s="1" t="s">
        <x:v>134</x:v>
      </x:c>
      <x:c r="I32" s="1">
        <x:v>100</x:v>
      </x:c>
      <x:c r="J32" s="1" t="s">
        <x:v>61</x:v>
      </x:c>
      <x:c r="K32" s="1">
        <x:v>0</x:v>
      </x:c>
      <x:c r="L32" s="1">
        <x:v>0</x:v>
      </x:c>
      <x:c r="M32" s="1">
        <x:v>0</x:v>
      </x:c>
      <x:c r="N32" s="1">
        <x:v>0</x:v>
      </x:c>
      <x:c r="P32" s="1">
        <x:v>80</x:v>
      </x:c>
      <x:c r="R32" s="1">
        <x:f t="shared" si="5"/>
        <x:v>0</x:v>
      </x:c>
    </x:row>
    <x:row r="33" s="1" customFormat="1" ht="51">
      <x:c r="B33" s="1" t="s">
        <x:v>135</x:v>
      </x:c>
      <x:c r="C33" s="1" t="s">
        <x:v>136</x:v>
      </x:c>
      <x:c r="D33" s="10" t="s">
        <x:v>137</x:v>
      </x:c>
      <x:c r="E33" s="1" t="s">
        <x:v>67</x:v>
      </x:c>
      <x:c r="F33" s="1" t="s">
        <x:v>43</x:v>
      </x:c>
      <x:c r="G33" s="1">
        <x:v>0.5</x:v>
      </x:c>
      <x:c r="H33" s="1" t="s">
        <x:v>138</x:v>
      </x:c>
      <x:c r="I33" s="1">
        <x:v>30</x:v>
      </x:c>
      <x:c r="J33" s="1" t="s">
        <x:v>44</x:v>
      </x:c>
      <x:c r="K33" s="1">
        <x:v>0</x:v>
      </x:c>
      <x:c r="L33" s="1">
        <x:v>0</x:v>
      </x:c>
      <x:c r="M33" s="1">
        <x:v>0</x:v>
      </x:c>
      <x:c r="N33" s="1">
        <x:v>0</x:v>
      </x:c>
      <x:c r="P33" s="1">
        <x:v>80</x:v>
      </x:c>
      <x:c r="R33" s="1">
        <x:f t="shared" si="5"/>
        <x:v>0</x:v>
      </x:c>
    </x:row>
    <x:row r="34" s="14" customFormat="1" ht="34">
      <x:c r="A34" s="1"/>
      <x:c r="B34" s="14" t="s">
        <x:v>139</x:v>
      </x:c>
      <x:c r="C34" s="14" t="s">
        <x:v>140</x:v>
      </x:c>
      <x:c r="D34" s="15" t="s">
        <x:v>141</x:v>
      </x:c>
      <x:c r="E34" s="14" t="s">
        <x:v>48</x:v>
      </x:c>
      <x:c r="F34" s="14" t="s">
        <x:v>43</x:v>
      </x:c>
      <x:c r="G34" s="14">
        <x:v>20</x:v>
      </x:c>
      <x:c r="I34" s="14">
        <x:v>100</x:v>
      </x:c>
      <x:c r="J34" s="14" t="s">
        <x:v>61</x:v>
      </x:c>
      <x:c r="K34" s="14">
        <x:v>0</x:v>
      </x:c>
      <x:c r="L34" s="14">
        <x:v>0</x:v>
      </x:c>
      <x:c r="M34" s="14">
        <x:v>0</x:v>
      </x:c>
      <x:c r="N34" s="14">
        <x:v>0</x:v>
      </x:c>
      <x:c r="P34" s="14">
        <x:v>40</x:v>
      </x:c>
      <x:c r="R34" s="1">
        <x:f t="shared" si="5"/>
        <x:v>0</x:v>
      </x:c>
    </x:row>
    <x:row r="35" s="14" customFormat="1" ht="34">
      <x:c r="A35" s="1"/>
      <x:c r="B35" s="1" t="s">
        <x:v>142</x:v>
      </x:c>
      <x:c r="C35" s="1" t="s">
        <x:v>143</x:v>
      </x:c>
      <x:c r="D35" s="15" t="s">
        <x:v>144</x:v>
      </x:c>
      <x:c r="E35" s="14" t="s">
        <x:v>67</x:v>
      </x:c>
      <x:c r="F35" s="1" t="s">
        <x:v>43</x:v>
      </x:c>
      <x:c r="G35" s="1">
        <x:v>40</x:v>
      </x:c>
      <x:c r="H35" s="1"/>
      <x:c r="I35" s="1">
        <x:v>100</x:v>
      </x:c>
      <x:c r="J35" s="1" t="s">
        <x:v>61</x:v>
      </x:c>
      <x:c r="K35" s="1">
        <x:v>0</x:v>
      </x:c>
      <x:c r="L35" s="1">
        <x:v>0</x:v>
      </x:c>
      <x:c r="M35" s="1">
        <x:v>0</x:v>
      </x:c>
      <x:c r="N35" s="1">
        <x:v>0</x:v>
      </x:c>
      <x:c r="O35" s="1"/>
      <x:c r="P35" s="1">
        <x:v>80</x:v>
      </x:c>
    </x:row>
    <x:row r="36" s="14" customFormat="1" ht="34">
      <x:c r="A36" s="1"/>
      <x:c r="B36" s="14" t="s">
        <x:v>145</x:v>
      </x:c>
      <x:c r="C36" s="14" t="s">
        <x:v>146</x:v>
      </x:c>
      <x:c r="D36" s="15" t="s">
        <x:v>147</x:v>
      </x:c>
      <x:c r="E36" s="14" t="s">
        <x:v>48</x:v>
      </x:c>
      <x:c r="F36" s="14" t="s">
        <x:v>43</x:v>
      </x:c>
      <x:c r="G36" s="14">
        <x:v>15</x:v>
      </x:c>
      <x:c r="H36" s="1"/>
      <x:c r="I36" s="14">
        <x:v>100</x:v>
      </x:c>
      <x:c r="J36" s="14" t="s">
        <x:v>61</x:v>
      </x:c>
      <x:c r="K36" s="14">
        <x:v>0</x:v>
      </x:c>
      <x:c r="L36" s="14">
        <x:v>0</x:v>
      </x:c>
      <x:c r="M36" s="14">
        <x:v>0</x:v>
      </x:c>
      <x:c r="N36" s="14">
        <x:v>0</x:v>
      </x:c>
      <x:c r="P36" s="14">
        <x:v>40</x:v>
      </x:c>
      <x:c r="R36" s="1" t="n">
        <x:f t="shared" ref="R36:R45" si="6">IFERROR(VLOOKUP(E36,$T$7:$AB$12,9,FALSE),0)</x:f>
        <x:v>0</x:v>
      </x:c>
      <x:c r="T36" s="1"/>
    </x:row>
    <x:row r="37" s="1" customFormat="1" ht="34">
      <x:c r="B37" s="1" t="s">
        <x:v>148</x:v>
      </x:c>
      <x:c r="C37" s="1" t="s">
        <x:v>149</x:v>
      </x:c>
      <x:c r="D37" s="10" t="s">
        <x:v>150</x:v>
      </x:c>
      <x:c r="E37" s="1" t="s">
        <x:v>67</x:v>
      </x:c>
      <x:c r="F37" s="1" t="s">
        <x:v>43</x:v>
      </x:c>
      <x:c r="G37" s="1">
        <x:v>1</x:v>
      </x:c>
      <x:c r="I37" s="1">
        <x:v>100</x:v>
      </x:c>
      <x:c r="J37" s="1" t="s">
        <x:v>61</x:v>
      </x:c>
      <x:c r="K37" s="1">
        <x:v>0</x:v>
      </x:c>
      <x:c r="L37" s="1">
        <x:v>0</x:v>
      </x:c>
      <x:c r="M37" s="1">
        <x:v>0</x:v>
      </x:c>
      <x:c r="N37" s="1">
        <x:v>0</x:v>
      </x:c>
      <x:c r="P37" s="1">
        <x:v>80</x:v>
      </x:c>
      <x:c r="R37" s="1">
        <x:f t="shared" si="6"/>
        <x:v>0</x:v>
      </x:c>
    </x:row>
    <x:row r="38" s="1" customFormat="1" ht="17">
      <x:c r="B38" s="1" t="s">
        <x:v>151</x:v>
      </x:c>
      <x:c r="C38" s="1" t="s">
        <x:v>152</x:v>
      </x:c>
      <x:c r="D38" s="10" t="s">
        <x:v>153</x:v>
      </x:c>
      <x:c r="E38" s="1" t="s">
        <x:v>67</x:v>
      </x:c>
      <x:c r="F38" s="1" t="s">
        <x:v>43</x:v>
      </x:c>
      <x:c r="G38" s="1">
        <x:v>100</x:v>
      </x:c>
      <x:c r="I38" s="1">
        <x:v>30</x:v>
      </x:c>
      <x:c r="J38" s="1" t="s">
        <x:v>44</x:v>
      </x:c>
      <x:c r="K38" s="1">
        <x:v>0</x:v>
      </x:c>
      <x:c r="L38" s="1">
        <x:v>0</x:v>
      </x:c>
      <x:c r="M38" s="1">
        <x:v>0</x:v>
      </x:c>
      <x:c r="N38" s="1">
        <x:v>0</x:v>
      </x:c>
      <x:c r="P38" s="1">
        <x:v>80</x:v>
      </x:c>
      <x:c r="R38" s="1">
        <x:f t="shared" si="6"/>
        <x:v>0</x:v>
      </x:c>
    </x:row>
    <x:row r="39" s="1" customFormat="1" ht="51">
      <x:c r="B39" s="1" t="s">
        <x:v>154</x:v>
      </x:c>
      <x:c r="C39" s="1" t="s">
        <x:v>155</x:v>
      </x:c>
      <x:c r="D39" s="10" t="s">
        <x:v>156</x:v>
      </x:c>
      <x:c r="E39" s="1" t="s">
        <x:v>48</x:v>
      </x:c>
      <x:c r="F39" s="1" t="s">
        <x:v>43</x:v>
      </x:c>
      <x:c r="G39" s="1">
        <x:v>150</x:v>
      </x:c>
      <x:c r="H39" s="1" t="s">
        <x:v>157</x:v>
      </x:c>
      <x:c r="I39" s="1">
        <x:v>100</x:v>
      </x:c>
      <x:c r="J39" s="1" t="s">
        <x:v>61</x:v>
      </x:c>
      <x:c r="K39" s="1">
        <x:v>0</x:v>
      </x:c>
      <x:c r="L39" s="1">
        <x:v>0</x:v>
      </x:c>
      <x:c r="M39" s="1">
        <x:v>0</x:v>
      </x:c>
      <x:c r="N39" s="1">
        <x:v>0</x:v>
      </x:c>
      <x:c r="P39" s="1">
        <x:v>40</x:v>
      </x:c>
      <x:c r="R39" s="1">
        <x:f t="shared" si="6"/>
        <x:v>0</x:v>
      </x:c>
    </x:row>
    <x:row r="40" s="1" customFormat="1" ht="34">
      <x:c r="B40" s="1" t="s">
        <x:v>158</x:v>
      </x:c>
      <x:c r="C40" s="1" t="s">
        <x:v>159</x:v>
      </x:c>
      <x:c r="D40" s="10" t="s">
        <x:v>160</x:v>
      </x:c>
      <x:c r="E40" s="1" t="s">
        <x:v>48</x:v>
      </x:c>
      <x:c r="F40" s="1" t="s">
        <x:v>43</x:v>
      </x:c>
      <x:c r="G40" s="1">
        <x:v>0</x:v>
      </x:c>
      <x:c r="I40" s="1">
        <x:v>100</x:v>
      </x:c>
      <x:c r="J40" s="1" t="s">
        <x:v>61</x:v>
      </x:c>
      <x:c r="K40" s="1">
        <x:v>0</x:v>
      </x:c>
      <x:c r="L40" s="1">
        <x:v>0</x:v>
      </x:c>
      <x:c r="M40" s="1">
        <x:v>0</x:v>
      </x:c>
      <x:c r="N40" s="1">
        <x:v>0</x:v>
      </x:c>
      <x:c r="P40" s="1">
        <x:v>40</x:v>
      </x:c>
      <x:c r="R40" s="1">
        <x:f t="shared" si="6"/>
        <x:v>0</x:v>
      </x:c>
    </x:row>
    <x:row r="41" s="1" customFormat="1" ht="17">
      <x:c r="B41" s="1" t="s">
        <x:v>161</x:v>
      </x:c>
      <x:c r="C41" s="1" t="s">
        <x:v>162</x:v>
      </x:c>
      <x:c r="D41" s="10" t="s">
        <x:v>163</x:v>
      </x:c>
      <x:c r="E41" s="1" t="s">
        <x:v>67</x:v>
      </x:c>
      <x:c r="F41" s="1" t="s">
        <x:v>43</x:v>
      </x:c>
      <x:c r="G41" s="1">
        <x:v>8</x:v>
      </x:c>
      <x:c r="I41" s="1">
        <x:v>100</x:v>
      </x:c>
      <x:c r="J41" s="1" t="s">
        <x:v>61</x:v>
      </x:c>
      <x:c r="K41" s="1">
        <x:v>0</x:v>
      </x:c>
      <x:c r="L41" s="1">
        <x:v>0</x:v>
      </x:c>
      <x:c r="M41" s="1">
        <x:v>0</x:v>
      </x:c>
      <x:c r="N41" s="1">
        <x:v>0</x:v>
      </x:c>
      <x:c r="P41" s="1">
        <x:v>80</x:v>
      </x:c>
      <x:c r="R41" s="1">
        <x:f t="shared" si="6"/>
        <x:v>0</x:v>
      </x:c>
    </x:row>
    <x:row r="42" s="1" customFormat="1" ht="34">
      <x:c r="B42" s="1" t="s">
        <x:v>164</x:v>
      </x:c>
      <x:c r="C42" s="1" t="s">
        <x:v>165</x:v>
      </x:c>
      <x:c r="D42" s="10" t="s">
        <x:v>166</x:v>
      </x:c>
      <x:c r="E42" s="1" t="s">
        <x:v>67</x:v>
      </x:c>
      <x:c r="F42" s="1" t="s">
        <x:v>43</x:v>
      </x:c>
      <x:c r="G42" s="1">
        <x:v>1</x:v>
      </x:c>
      <x:c r="H42" s="1" t="s">
        <x:v>167</x:v>
      </x:c>
      <x:c r="I42" s="1">
        <x:v>100</x:v>
      </x:c>
      <x:c r="J42" s="1" t="s">
        <x:v>61</x:v>
      </x:c>
      <x:c r="K42" s="1">
        <x:v>0</x:v>
      </x:c>
      <x:c r="L42" s="1">
        <x:v>0</x:v>
      </x:c>
      <x:c r="M42" s="1">
        <x:v>0</x:v>
      </x:c>
      <x:c r="N42" s="1">
        <x:v>0</x:v>
      </x:c>
      <x:c r="P42" s="1">
        <x:v>80</x:v>
      </x:c>
      <x:c r="R42" s="1">
        <x:f t="shared" si="6"/>
        <x:v>0</x:v>
      </x:c>
    </x:row>
    <x:row r="43" s="1" customFormat="1" ht="51">
      <x:c r="B43" s="1" t="s">
        <x:v>168</x:v>
      </x:c>
      <x:c r="C43" s="1" t="s">
        <x:v>169</x:v>
      </x:c>
      <x:c r="D43" s="10" t="s">
        <x:v>170</x:v>
      </x:c>
      <x:c r="E43" s="1" t="s">
        <x:v>48</x:v>
      </x:c>
      <x:c r="F43" s="1" t="s">
        <x:v>43</x:v>
      </x:c>
      <x:c r="G43" s="1">
        <x:v>3</x:v>
      </x:c>
      <x:c r="H43" s="1" t="s">
        <x:v>171</x:v>
      </x:c>
      <x:c r="I43" s="1">
        <x:v>300</x:v>
      </x:c>
      <x:c r="J43" s="1" t="s">
        <x:v>50</x:v>
      </x:c>
      <x:c r="K43" s="1">
        <x:v>0</x:v>
      </x:c>
      <x:c r="L43" s="1">
        <x:v>0</x:v>
      </x:c>
      <x:c r="M43" s="1">
        <x:v>0</x:v>
      </x:c>
      <x:c r="N43" s="1">
        <x:v>0</x:v>
      </x:c>
      <x:c r="P43" s="1">
        <x:v>40</x:v>
      </x:c>
      <x:c r="R43" s="1">
        <x:f t="shared" si="6"/>
        <x:v>0</x:v>
      </x:c>
    </x:row>
    <x:row r="44" s="1" customFormat="1" ht="51">
      <x:c r="B44" s="1" t="s">
        <x:v>172</x:v>
      </x:c>
      <x:c r="C44" s="1" t="s">
        <x:v>173</x:v>
      </x:c>
      <x:c r="D44" s="10" t="s">
        <x:v>174</x:v>
      </x:c>
      <x:c r="E44" s="1" t="s">
        <x:v>48</x:v>
      </x:c>
      <x:c r="F44" s="1" t="s">
        <x:v>43</x:v>
      </x:c>
      <x:c r="G44" s="1">
        <x:v>3</x:v>
      </x:c>
      <x:c r="H44" s="1" t="s">
        <x:v>175</x:v>
      </x:c>
      <x:c r="I44" s="1">
        <x:v>300</x:v>
      </x:c>
      <x:c r="J44" s="1" t="s">
        <x:v>50</x:v>
      </x:c>
      <x:c r="K44" s="1">
        <x:v>0</x:v>
      </x:c>
      <x:c r="L44" s="1">
        <x:v>0</x:v>
      </x:c>
      <x:c r="M44" s="1">
        <x:v>0</x:v>
      </x:c>
      <x:c r="N44" s="1">
        <x:v>0</x:v>
      </x:c>
      <x:c r="P44" s="1">
        <x:v>40</x:v>
      </x:c>
      <x:c r="R44" s="1">
        <x:f t="shared" si="6"/>
        <x:v>0</x:v>
      </x:c>
    </x:row>
    <x:row r="45" s="1" customFormat="1" ht="17">
      <x:c r="B45" s="1" t="s">
        <x:v>176</x:v>
      </x:c>
      <x:c r="C45" s="1" t="s">
        <x:v>177</x:v>
      </x:c>
      <x:c r="D45" s="10" t="s">
        <x:v>178</x:v>
      </x:c>
      <x:c r="E45" s="1" t="s">
        <x:v>48</x:v>
      </x:c>
      <x:c r="F45" s="1" t="s">
        <x:v>43</x:v>
      </x:c>
      <x:c r="G45" s="1">
        <x:v>2</x:v>
      </x:c>
      <x:c r="I45" s="1">
        <x:v>100</x:v>
      </x:c>
      <x:c r="J45" s="1" t="s">
        <x:v>61</x:v>
      </x:c>
      <x:c r="K45" s="1">
        <x:v>0</x:v>
      </x:c>
      <x:c r="L45" s="1">
        <x:v>0</x:v>
      </x:c>
      <x:c r="M45" s="1">
        <x:v>0</x:v>
      </x:c>
      <x:c r="N45" s="1">
        <x:v>0</x:v>
      </x:c>
      <x:c r="P45" s="1">
        <x:v>40</x:v>
      </x:c>
      <x:c r="R45" s="1">
        <x:f t="shared" si="6"/>
        <x:v>0</x:v>
      </x:c>
    </x:row>
    <x:row r="46" s="1" customFormat="1" ht="17">
      <x:c r="B46" s="1" t="s">
        <x:v>179</x:v>
      </x:c>
      <x:c r="C46" s="1" t="s">
        <x:v>180</x:v>
      </x:c>
      <x:c r="D46" s="10" t="s">
        <x:v>181</x:v>
      </x:c>
      <x:c r="E46" s="1" t="s">
        <x:v>67</x:v>
      </x:c>
      <x:c r="F46" s="1" t="s">
        <x:v>43</x:v>
      </x:c>
      <x:c r="G46" s="1">
        <x:v>3</x:v>
      </x:c>
      <x:c r="I46" s="1">
        <x:v>100</x:v>
      </x:c>
      <x:c r="J46" s="1" t="s">
        <x:v>61</x:v>
      </x:c>
      <x:c r="K46" s="1">
        <x:v>0</x:v>
      </x:c>
      <x:c r="L46" s="1">
        <x:v>0</x:v>
      </x:c>
      <x:c r="M46" s="1">
        <x:v>0</x:v>
      </x:c>
      <x:c r="N46" s="1">
        <x:v>0</x:v>
      </x:c>
      <x:c r="P46" s="1">
        <x:v>80</x:v>
      </x:c>
    </x:row>
    <x:row r="47" s="1" customFormat="1" ht="34">
      <x:c r="B47" s="1" t="s">
        <x:v>182</x:v>
      </x:c>
      <x:c r="C47" s="1" t="s">
        <x:v>183</x:v>
      </x:c>
      <x:c r="D47" s="10" t="s">
        <x:v>184</x:v>
      </x:c>
      <x:c r="E47" s="1" t="s">
        <x:v>48</x:v>
      </x:c>
      <x:c r="F47" s="1" t="s">
        <x:v>43</x:v>
      </x:c>
      <x:c r="G47" s="1">
        <x:v>10</x:v>
      </x:c>
      <x:c r="I47" s="1">
        <x:v>100</x:v>
      </x:c>
      <x:c r="J47" s="1" t="s">
        <x:v>61</x:v>
      </x:c>
      <x:c r="K47" s="1">
        <x:v>0</x:v>
      </x:c>
      <x:c r="L47" s="1">
        <x:v>0</x:v>
      </x:c>
      <x:c r="M47" s="1">
        <x:v>0</x:v>
      </x:c>
      <x:c r="N47" s="1">
        <x:v>0</x:v>
      </x:c>
      <x:c r="P47" s="1">
        <x:v>40</x:v>
      </x:c>
      <x:c r="R47" s="1" t="n">
        <x:f t="shared" ref="R47:R56" si="7">IFERROR(VLOOKUP(E47,$T$7:$AB$12,9,FALSE),0)</x:f>
        <x:v>0</x:v>
      </x:c>
    </x:row>
    <x:row r="48" s="1" customFormat="1" ht="34">
      <x:c r="B48" s="1" t="s">
        <x:v>185</x:v>
      </x:c>
      <x:c r="C48" s="1" t="s">
        <x:v>186</x:v>
      </x:c>
      <x:c r="D48" s="10" t="s">
        <x:v>187</x:v>
      </x:c>
      <x:c r="E48" s="1" t="s">
        <x:v>67</x:v>
      </x:c>
      <x:c r="F48" s="1" t="s">
        <x:v>43</x:v>
      </x:c>
      <x:c r="G48" s="1">
        <x:v>400</x:v>
      </x:c>
      <x:c r="I48" s="1">
        <x:v>100</x:v>
      </x:c>
      <x:c r="J48" s="1" t="s">
        <x:v>61</x:v>
      </x:c>
      <x:c r="K48" s="1">
        <x:v>0</x:v>
      </x:c>
      <x:c r="L48" s="1">
        <x:v>0</x:v>
      </x:c>
      <x:c r="M48" s="1">
        <x:v>0</x:v>
      </x:c>
      <x:c r="N48" s="1">
        <x:v>0</x:v>
      </x:c>
      <x:c r="P48" s="1">
        <x:v>80</x:v>
      </x:c>
      <x:c r="R48" s="1">
        <x:f t="shared" si="7"/>
        <x:v>0</x:v>
      </x:c>
    </x:row>
    <x:row r="49" s="1" customFormat="1" ht="34">
      <x:c r="B49" s="1" t="s">
        <x:v>188</x:v>
      </x:c>
      <x:c r="C49" s="1" t="s">
        <x:v>189</x:v>
      </x:c>
      <x:c r="D49" s="10" t="s">
        <x:v>190</x:v>
      </x:c>
      <x:c r="E49" s="1" t="s">
        <x:v>48</x:v>
      </x:c>
      <x:c r="F49" s="1" t="s">
        <x:v>43</x:v>
      </x:c>
      <x:c r="G49" s="1">
        <x:v>2</x:v>
      </x:c>
      <x:c r="I49" s="1">
        <x:v>100</x:v>
      </x:c>
      <x:c r="J49" s="1" t="s">
        <x:v>61</x:v>
      </x:c>
      <x:c r="K49" s="1">
        <x:v>0</x:v>
      </x:c>
      <x:c r="L49" s="1">
        <x:v>0</x:v>
      </x:c>
      <x:c r="M49" s="1">
        <x:v>0</x:v>
      </x:c>
      <x:c r="N49" s="1">
        <x:v>0</x:v>
      </x:c>
      <x:c r="P49" s="1">
        <x:v>40</x:v>
      </x:c>
      <x:c r="R49" s="1">
        <x:f t="shared" si="7"/>
        <x:v>0</x:v>
      </x:c>
    </x:row>
    <x:row r="50" s="1" customFormat="1" ht="34">
      <x:c r="B50" s="1" t="s">
        <x:v>191</x:v>
      </x:c>
      <x:c r="C50" s="1" t="s">
        <x:v>192</x:v>
      </x:c>
      <x:c r="D50" s="10" t="s">
        <x:v>193</x:v>
      </x:c>
      <x:c r="E50" s="1" t="s">
        <x:v>48</x:v>
      </x:c>
      <x:c r="F50" s="1" t="s">
        <x:v>43</x:v>
      </x:c>
      <x:c r="G50" s="1">
        <x:v>100</x:v>
      </x:c>
      <x:c r="I50" s="1">
        <x:v>100</x:v>
      </x:c>
      <x:c r="J50" s="1" t="s">
        <x:v>61</x:v>
      </x:c>
      <x:c r="K50" s="1">
        <x:v>0</x:v>
      </x:c>
      <x:c r="L50" s="1">
        <x:v>0</x:v>
      </x:c>
      <x:c r="M50" s="1">
        <x:v>0</x:v>
      </x:c>
      <x:c r="N50" s="1">
        <x:v>0</x:v>
      </x:c>
      <x:c r="P50" s="1">
        <x:v>40</x:v>
      </x:c>
      <x:c r="R50" s="1">
        <x:f t="shared" si="7"/>
        <x:v>0</x:v>
      </x:c>
    </x:row>
    <x:row r="51" s="1" customFormat="1" ht="34">
      <x:c r="B51" s="1" t="s">
        <x:v>194</x:v>
      </x:c>
      <x:c r="C51" s="1" t="s">
        <x:v>195</x:v>
      </x:c>
      <x:c r="D51" s="10" t="s">
        <x:v>196</x:v>
      </x:c>
      <x:c r="E51" s="1" t="s">
        <x:v>48</x:v>
      </x:c>
      <x:c r="F51" s="1" t="s">
        <x:v>43</x:v>
      </x:c>
      <x:c r="G51" s="1">
        <x:v>2</x:v>
      </x:c>
      <x:c r="I51" s="1">
        <x:v>100</x:v>
      </x:c>
      <x:c r="J51" s="1" t="s">
        <x:v>61</x:v>
      </x:c>
      <x:c r="K51" s="1">
        <x:v>0</x:v>
      </x:c>
      <x:c r="L51" s="1">
        <x:v>0</x:v>
      </x:c>
      <x:c r="M51" s="1">
        <x:v>0</x:v>
      </x:c>
      <x:c r="N51" s="1">
        <x:v>0</x:v>
      </x:c>
      <x:c r="P51" s="1">
        <x:v>40</x:v>
      </x:c>
      <x:c r="R51" s="1">
        <x:f t="shared" si="7"/>
        <x:v>0</x:v>
      </x:c>
    </x:row>
    <x:row r="52" s="1" customFormat="1" ht="17">
      <x:c r="B52" s="1" t="s">
        <x:v>197</x:v>
      </x:c>
      <x:c r="C52" s="1" t="s">
        <x:v>198</x:v>
      </x:c>
      <x:c r="D52" s="10" t="s">
        <x:v>199</x:v>
      </x:c>
      <x:c r="E52" s="1" t="s">
        <x:v>200</x:v>
      </x:c>
      <x:c r="F52" s="1" t="s">
        <x:v>43</x:v>
      </x:c>
      <x:c r="G52" s="1">
        <x:v>1</x:v>
      </x:c>
      <x:c r="I52" s="1">
        <x:v>10</x:v>
      </x:c>
      <x:c r="J52" s="1" t="s">
        <x:v>201</x:v>
      </x:c>
      <x:c r="K52" s="1">
        <x:v>0</x:v>
      </x:c>
      <x:c r="L52" s="1">
        <x:v>0</x:v>
      </x:c>
      <x:c r="M52" s="1">
        <x:v>0</x:v>
      </x:c>
      <x:c r="N52" s="1">
        <x:v>0</x:v>
      </x:c>
      <x:c r="P52" s="1">
        <x:v>240</x:v>
      </x:c>
      <x:c r="R52" s="1">
        <x:f t="shared" si="7"/>
        <x:v>0</x:v>
      </x:c>
    </x:row>
    <x:row r="53" s="1" customFormat="1" ht="34">
      <x:c r="B53" s="1" t="s">
        <x:v>202</x:v>
      </x:c>
      <x:c r="C53" s="1" t="s">
        <x:v>203</x:v>
      </x:c>
      <x:c r="D53" s="10" t="s">
        <x:v>204</x:v>
      </x:c>
      <x:c r="E53" s="1" t="s">
        <x:v>48</x:v>
      </x:c>
      <x:c r="F53" s="1" t="s">
        <x:v>43</x:v>
      </x:c>
      <x:c r="G53" s="1">
        <x:v>3</x:v>
      </x:c>
      <x:c r="I53" s="1">
        <x:v>100</x:v>
      </x:c>
      <x:c r="J53" s="1" t="s">
        <x:v>61</x:v>
      </x:c>
      <x:c r="K53" s="1">
        <x:v>0</x:v>
      </x:c>
      <x:c r="L53" s="1">
        <x:v>0</x:v>
      </x:c>
      <x:c r="M53" s="1">
        <x:v>0</x:v>
      </x:c>
      <x:c r="N53" s="1">
        <x:v>0</x:v>
      </x:c>
      <x:c r="P53" s="1">
        <x:v>40</x:v>
      </x:c>
      <x:c r="R53" s="1">
        <x:f t="shared" si="7"/>
        <x:v>0</x:v>
      </x:c>
    </x:row>
    <x:row r="54" s="1" customFormat="1" ht="34">
      <x:c r="B54" s="1" t="s">
        <x:v>205</x:v>
      </x:c>
      <x:c r="C54" s="1" t="s">
        <x:v>206</x:v>
      </x:c>
      <x:c r="D54" s="10" t="s">
        <x:v>207</x:v>
      </x:c>
      <x:c r="E54" s="1" t="s">
        <x:v>42</x:v>
      </x:c>
      <x:c r="F54" s="1" t="s">
        <x:v>43</x:v>
      </x:c>
      <x:c r="G54" s="1">
        <x:v>3</x:v>
      </x:c>
      <x:c r="I54" s="1">
        <x:v>30</x:v>
      </x:c>
      <x:c r="J54" s="1" t="s">
        <x:v>44</x:v>
      </x:c>
      <x:c r="K54" s="1">
        <x:v>0</x:v>
      </x:c>
      <x:c r="L54" s="1">
        <x:v>0</x:v>
      </x:c>
      <x:c r="M54" s="1">
        <x:v>0</x:v>
      </x:c>
      <x:c r="N54" s="1">
        <x:v>0</x:v>
      </x:c>
      <x:c r="P54" s="1">
        <x:v>150</x:v>
      </x:c>
      <x:c r="R54" s="1">
        <x:f t="shared" si="7"/>
        <x:v>0</x:v>
      </x:c>
    </x:row>
    <x:row r="55" s="1" customFormat="1" ht="17">
      <x:c r="B55" s="1" t="s">
        <x:v>208</x:v>
      </x:c>
      <x:c r="C55" s="1" t="s">
        <x:v>209</x:v>
      </x:c>
      <x:c r="D55" s="10" t="s">
        <x:v>210</x:v>
      </x:c>
      <x:c r="E55" s="1" t="s">
        <x:v>42</x:v>
      </x:c>
      <x:c r="F55" s="1" t="s">
        <x:v>43</x:v>
      </x:c>
      <x:c r="G55" s="1">
        <x:v>0.4</x:v>
      </x:c>
      <x:c r="I55" s="1">
        <x:v>30</x:v>
      </x:c>
      <x:c r="J55" s="1" t="s">
        <x:v>44</x:v>
      </x:c>
      <x:c r="K55" s="1">
        <x:v>0</x:v>
      </x:c>
      <x:c r="L55" s="1">
        <x:v>0</x:v>
      </x:c>
      <x:c r="M55" s="1">
        <x:v>0</x:v>
      </x:c>
      <x:c r="N55" s="1">
        <x:v>0</x:v>
      </x:c>
      <x:c r="P55" s="1">
        <x:v>150</x:v>
      </x:c>
      <x:c r="R55" s="1">
        <x:f t="shared" si="7"/>
        <x:v>0</x:v>
      </x:c>
    </x:row>
    <x:row r="56" s="1" customFormat="1" ht="17">
      <x:c r="B56" s="1" t="s">
        <x:v>211</x:v>
      </x:c>
      <x:c r="C56" s="1" t="s">
        <x:v>212</x:v>
      </x:c>
      <x:c r="D56" s="10" t="s">
        <x:v>213</x:v>
      </x:c>
      <x:c r="E56" s="1" t="s">
        <x:v>48</x:v>
      </x:c>
      <x:c r="F56" s="1" t="s">
        <x:v>43</x:v>
      </x:c>
      <x:c r="G56" s="1">
        <x:v>0.4</x:v>
      </x:c>
      <x:c r="I56" s="1">
        <x:v>300</x:v>
      </x:c>
      <x:c r="J56" s="1" t="s">
        <x:v>50</x:v>
      </x:c>
      <x:c r="K56" s="1">
        <x:v>0</x:v>
      </x:c>
      <x:c r="L56" s="1">
        <x:v>0</x:v>
      </x:c>
      <x:c r="M56" s="1">
        <x:v>0</x:v>
      </x:c>
      <x:c r="N56" s="1">
        <x:v>0</x:v>
      </x:c>
      <x:c r="P56" s="1">
        <x:v>40</x:v>
      </x:c>
      <x:c r="R56" s="1">
        <x:f t="shared" si="7"/>
        <x:v>0</x:v>
      </x:c>
    </x:row>
    <x:row r="57" s="1" customFormat="1" ht="17">
      <x:c r="B57" s="1" t="s">
        <x:v>214</x:v>
      </x:c>
      <x:c r="C57" s="1" t="s">
        <x:v>215</x:v>
      </x:c>
      <x:c r="D57" s="10" t="s">
        <x:v>216</x:v>
      </x:c>
      <x:c r="E57" s="1" t="s">
        <x:v>48</x:v>
      </x:c>
      <x:c r="F57" s="1" t="s">
        <x:v>43</x:v>
      </x:c>
      <x:c r="G57" s="1">
        <x:v>1</x:v>
      </x:c>
      <x:c r="I57" s="1">
        <x:v>100</x:v>
      </x:c>
      <x:c r="J57" s="1" t="s">
        <x:v>61</x:v>
      </x:c>
      <x:c r="K57" s="1">
        <x:v>0</x:v>
      </x:c>
      <x:c r="L57" s="1">
        <x:v>0</x:v>
      </x:c>
      <x:c r="M57" s="1">
        <x:v>0</x:v>
      </x:c>
      <x:c r="N57" s="1">
        <x:v>0</x:v>
      </x:c>
      <x:c r="P57" s="1">
        <x:v>40</x:v>
      </x:c>
    </x:row>
    <x:row r="58" s="1" customFormat="1" ht="17">
      <x:c r="B58" s="1" t="s">
        <x:v>217</x:v>
      </x:c>
      <x:c r="C58" s="1" t="s">
        <x:v>218</x:v>
      </x:c>
      <x:c r="D58" s="10" t="s">
        <x:v>219</x:v>
      </x:c>
      <x:c r="E58" s="1" t="s">
        <x:v>67</x:v>
      </x:c>
      <x:c r="F58" s="1" t="s">
        <x:v>43</x:v>
      </x:c>
      <x:c r="G58" s="1">
        <x:v>0.3</x:v>
      </x:c>
      <x:c r="I58" s="1">
        <x:v>100</x:v>
      </x:c>
      <x:c r="J58" s="1" t="s">
        <x:v>61</x:v>
      </x:c>
      <x:c r="K58" s="1">
        <x:v>0</x:v>
      </x:c>
      <x:c r="L58" s="1">
        <x:v>0</x:v>
      </x:c>
      <x:c r="M58" s="1">
        <x:v>0</x:v>
      </x:c>
      <x:c r="N58" s="1">
        <x:v>0</x:v>
      </x:c>
      <x:c r="P58" s="1">
        <x:v>80</x:v>
      </x:c>
    </x:row>
    <x:row r="59" s="1" customFormat="1" ht="17">
      <x:c r="B59" s="1" t="s">
        <x:v>220</x:v>
      </x:c>
      <x:c r="C59" s="1" t="s">
        <x:v>221</x:v>
      </x:c>
      <x:c r="D59" s="10" t="s">
        <x:v>222</x:v>
      </x:c>
      <x:c r="E59" s="1" t="s">
        <x:v>67</x:v>
      </x:c>
      <x:c r="F59" s="1" t="s">
        <x:v>43</x:v>
      </x:c>
      <x:c r="G59" s="1">
        <x:v>0</x:v>
      </x:c>
      <x:c r="I59" s="1">
        <x:v>100</x:v>
      </x:c>
      <x:c r="J59" s="1" t="s">
        <x:v>61</x:v>
      </x:c>
      <x:c r="K59" s="1">
        <x:v>0</x:v>
      </x:c>
      <x:c r="L59" s="1">
        <x:v>10</x:v>
      </x:c>
      <x:c r="M59" s="1">
        <x:v>0</x:v>
      </x:c>
      <x:c r="N59" s="1">
        <x:v>0</x:v>
      </x:c>
      <x:c r="P59" s="1">
        <x:v>80</x:v>
      </x:c>
    </x:row>
    <x:row r="60" s="1" customFormat="1" ht="17">
      <x:c r="B60" s="1" t="s">
        <x:v>223</x:v>
      </x:c>
      <x:c r="C60" s="1" t="s">
        <x:v>224</x:v>
      </x:c>
      <x:c r="D60" s="10" t="s">
        <x:v>225</x:v>
      </x:c>
      <x:c r="E60" s="1" t="s">
        <x:v>67</x:v>
      </x:c>
      <x:c r="F60" s="1" t="s">
        <x:v>43</x:v>
      </x:c>
      <x:c r="G60" s="1">
        <x:v>0</x:v>
      </x:c>
      <x:c r="I60" s="1">
        <x:v>100</x:v>
      </x:c>
      <x:c r="J60" s="1" t="s">
        <x:v>61</x:v>
      </x:c>
      <x:c r="K60" s="1">
        <x:v>0</x:v>
      </x:c>
      <x:c r="L60" s="1">
        <x:v>0</x:v>
      </x:c>
      <x:c r="M60" s="1">
        <x:v>0</x:v>
      </x:c>
      <x:c r="N60" s="1">
        <x:v>10</x:v>
      </x:c>
      <x:c r="P60" s="1">
        <x:v>80</x:v>
      </x:c>
    </x:row>
    <x:row r="61" s="1" customFormat="1" ht="17">
      <x:c r="B61" s="1" t="s">
        <x:v>226</x:v>
      </x:c>
      <x:c r="C61" s="1" t="s">
        <x:v>227</x:v>
      </x:c>
      <x:c r="D61" s="10" t="s">
        <x:v>228</x:v>
      </x:c>
      <x:c r="E61" s="1" t="s">
        <x:v>67</x:v>
      </x:c>
      <x:c r="F61" s="1" t="s">
        <x:v>43</x:v>
      </x:c>
      <x:c r="G61" s="1">
        <x:v>0</x:v>
      </x:c>
      <x:c r="I61" s="1">
        <x:v>100</x:v>
      </x:c>
      <x:c r="J61" s="1" t="s">
        <x:v>61</x:v>
      </x:c>
      <x:c r="K61" s="1">
        <x:v>0</x:v>
      </x:c>
      <x:c r="L61" s="1">
        <x:v>0</x:v>
      </x:c>
      <x:c r="M61" s="1">
        <x:v>10</x:v>
      </x:c>
      <x:c r="N61" s="1">
        <x:v>0</x:v>
      </x:c>
      <x:c r="P61" s="1">
        <x:v>80</x:v>
      </x:c>
    </x:row>
    <x:row r="62" s="1" customFormat="1" ht="34">
      <x:c r="B62" s="1" t="s">
        <x:v>229</x:v>
      </x:c>
      <x:c r="C62" s="1" t="s">
        <x:v>230</x:v>
      </x:c>
      <x:c r="D62" s="10" t="s">
        <x:v>231</x:v>
      </x:c>
      <x:c r="E62" s="1" t="s">
        <x:v>48</x:v>
      </x:c>
      <x:c r="F62" s="1" t="s">
        <x:v>43</x:v>
      </x:c>
      <x:c r="G62" s="1">
        <x:v>15</x:v>
      </x:c>
      <x:c r="I62" s="1">
        <x:v>300</x:v>
      </x:c>
      <x:c r="J62" s="1" t="s">
        <x:v>50</x:v>
      </x:c>
      <x:c r="K62" s="1">
        <x:v>0</x:v>
      </x:c>
      <x:c r="L62" s="1">
        <x:v>0</x:v>
      </x:c>
      <x:c r="M62" s="1">
        <x:v>0</x:v>
      </x:c>
      <x:c r="N62" s="1">
        <x:v>0</x:v>
      </x:c>
      <x:c r="P62" s="1">
        <x:v>80</x:v>
      </x:c>
      <x:c r="R62" s="1" t="n">
        <x:f t="shared" ref="R62:R75" si="8">IFERROR(VLOOKUP(E62,$T$7:$AB$12,9,FALSE),0)</x:f>
        <x:v>0</x:v>
      </x:c>
    </x:row>
    <x:row r="63" s="1" customFormat="1" ht="17">
      <x:c r="B63" s="1" t="s">
        <x:v>232</x:v>
      </x:c>
      <x:c r="C63" s="1" t="s">
        <x:v>233</x:v>
      </x:c>
      <x:c r="D63" s="10" t="s">
        <x:v>234</x:v>
      </x:c>
      <x:c r="E63" s="1" t="s">
        <x:v>48</x:v>
      </x:c>
      <x:c r="F63" s="1" t="s">
        <x:v>43</x:v>
      </x:c>
      <x:c r="G63" s="1">
        <x:v>0</x:v>
      </x:c>
      <x:c r="I63" s="1">
        <x:v>30</x:v>
      </x:c>
      <x:c r="J63" s="1" t="s">
        <x:v>44</x:v>
      </x:c>
      <x:c r="K63" s="1">
        <x:v>0</x:v>
      </x:c>
      <x:c r="L63" s="1">
        <x:v>0</x:v>
      </x:c>
      <x:c r="M63" s="1">
        <x:v>0</x:v>
      </x:c>
      <x:c r="N63" s="1">
        <x:v>0</x:v>
      </x:c>
      <x:c r="P63" s="1">
        <x:v>40</x:v>
      </x:c>
      <x:c r="R63" s="1">
        <x:f t="shared" si="8"/>
        <x:v>0</x:v>
      </x:c>
    </x:row>
    <x:row r="64" s="1" customFormat="1" ht="17">
      <x:c r="B64" s="1" t="s">
        <x:v>235</x:v>
      </x:c>
      <x:c r="C64" s="1" t="s">
        <x:v>236</x:v>
      </x:c>
      <x:c r="D64" s="10" t="s">
        <x:v>237</x:v>
      </x:c>
      <x:c r="E64" s="1" t="s">
        <x:v>48</x:v>
      </x:c>
      <x:c r="F64" s="1" t="s">
        <x:v>43</x:v>
      </x:c>
      <x:c r="G64" s="1">
        <x:v>0</x:v>
      </x:c>
      <x:c r="I64" s="1">
        <x:v>30</x:v>
      </x:c>
      <x:c r="J64" s="1" t="s">
        <x:v>44</x:v>
      </x:c>
      <x:c r="K64" s="1">
        <x:v>0</x:v>
      </x:c>
      <x:c r="L64" s="1">
        <x:v>0</x:v>
      </x:c>
      <x:c r="M64" s="1">
        <x:v>0</x:v>
      </x:c>
      <x:c r="N64" s="1">
        <x:v>0</x:v>
      </x:c>
      <x:c r="P64" s="1">
        <x:v>50</x:v>
      </x:c>
    </x:row>
    <x:row r="65" s="1" customFormat="1" ht="17">
      <x:c r="B65" s="1" t="s">
        <x:v>238</x:v>
      </x:c>
      <x:c r="C65" s="1" t="s">
        <x:v>239</x:v>
      </x:c>
      <x:c r="D65" s="10" t="s">
        <x:v>240</x:v>
      </x:c>
      <x:c r="E65" s="1" t="s">
        <x:v>48</x:v>
      </x:c>
      <x:c r="F65" s="1" t="s">
        <x:v>43</x:v>
      </x:c>
      <x:c r="G65" s="1">
        <x:v>0</x:v>
      </x:c>
      <x:c r="I65" s="1">
        <x:v>30</x:v>
      </x:c>
      <x:c r="J65" s="1" t="s">
        <x:v>44</x:v>
      </x:c>
      <x:c r="K65" s="1">
        <x:v>0</x:v>
      </x:c>
      <x:c r="L65" s="1">
        <x:v>0</x:v>
      </x:c>
      <x:c r="M65" s="1">
        <x:v>0</x:v>
      </x:c>
      <x:c r="N65" s="1">
        <x:v>0</x:v>
      </x:c>
      <x:c r="P65" s="1">
        <x:v>50</x:v>
      </x:c>
    </x:row>
    <x:row r="66" s="1" customFormat="1" ht="34">
      <x:c r="B66" s="1" t="s">
        <x:v>241</x:v>
      </x:c>
      <x:c r="C66" s="1" t="s">
        <x:v>242</x:v>
      </x:c>
      <x:c r="D66" s="10" t="s">
        <x:v>243</x:v>
      </x:c>
      <x:c r="E66" s="1" t="s">
        <x:v>67</x:v>
      </x:c>
      <x:c r="F66" s="1" t="s">
        <x:v>43</x:v>
      </x:c>
      <x:c r="G66" s="1">
        <x:v>1</x:v>
      </x:c>
      <x:c r="I66" s="1">
        <x:v>100</x:v>
      </x:c>
      <x:c r="J66" s="1" t="s">
        <x:v>61</x:v>
      </x:c>
      <x:c r="K66" s="1">
        <x:v>0</x:v>
      </x:c>
      <x:c r="L66" s="1">
        <x:v>0</x:v>
      </x:c>
      <x:c r="M66" s="1">
        <x:v>0</x:v>
      </x:c>
      <x:c r="N66" s="1">
        <x:v>0</x:v>
      </x:c>
      <x:c r="P66" s="1">
        <x:v>80</x:v>
      </x:c>
      <x:c r="R66" s="1">
        <x:f t="shared" si="8"/>
        <x:v>0</x:v>
      </x:c>
    </x:row>
    <x:row r="67" s="1" customFormat="1" ht="34">
      <x:c r="B67" s="1" t="s">
        <x:v>244</x:v>
      </x:c>
      <x:c r="C67" s="1" t="s">
        <x:v>245</x:v>
      </x:c>
      <x:c r="D67" s="10" t="s">
        <x:v>246</x:v>
      </x:c>
      <x:c r="E67" s="1" t="s">
        <x:v>67</x:v>
      </x:c>
      <x:c r="F67" s="1" t="s">
        <x:v>43</x:v>
      </x:c>
      <x:c r="G67" s="1">
        <x:v>0</x:v>
      </x:c>
      <x:c r="H67" s="1" t="s">
        <x:v>247</x:v>
      </x:c>
      <x:c r="I67" s="1">
        <x:v>100</x:v>
      </x:c>
      <x:c r="J67" s="1" t="s">
        <x:v>61</x:v>
      </x:c>
      <x:c r="K67" s="1">
        <x:v>0</x:v>
      </x:c>
      <x:c r="L67" s="1">
        <x:v>0</x:v>
      </x:c>
      <x:c r="M67" s="1">
        <x:v>0</x:v>
      </x:c>
      <x:c r="N67" s="1">
        <x:v>0</x:v>
      </x:c>
      <x:c r="P67" s="1">
        <x:v>80</x:v>
      </x:c>
      <x:c r="R67" s="1">
        <x:f t="shared" si="8"/>
        <x:v>0</x:v>
      </x:c>
    </x:row>
    <x:row r="68" s="1" customFormat="1" ht="34">
      <x:c r="B68" s="1" t="s">
        <x:v>248</x:v>
      </x:c>
      <x:c r="C68" s="1" t="s">
        <x:v>249</x:v>
      </x:c>
      <x:c r="D68" s="10" t="s">
        <x:v>250</x:v>
      </x:c>
      <x:c r="E68" s="1" t="s">
        <x:v>42</x:v>
      </x:c>
      <x:c r="F68" s="1" t="s">
        <x:v>43</x:v>
      </x:c>
      <x:c r="G68" s="1">
        <x:v>0</x:v>
      </x:c>
      <x:c r="H68" s="1" t="s">
        <x:v>167</x:v>
      </x:c>
      <x:c r="I68" s="1">
        <x:v>100</x:v>
      </x:c>
      <x:c r="J68" s="1" t="s">
        <x:v>61</x:v>
      </x:c>
      <x:c r="K68" s="1">
        <x:v>0</x:v>
      </x:c>
      <x:c r="L68" s="1">
        <x:v>0</x:v>
      </x:c>
      <x:c r="M68" s="1">
        <x:v>0</x:v>
      </x:c>
      <x:c r="N68" s="1">
        <x:v>0</x:v>
      </x:c>
      <x:c r="P68" s="1">
        <x:v>80</x:v>
      </x:c>
      <x:c r="R68" s="1">
        <x:f t="shared" si="8"/>
        <x:v>0</x:v>
      </x:c>
    </x:row>
    <x:row r="69" s="1" customFormat="1" ht="34">
      <x:c r="B69" s="1" t="s">
        <x:v>251</x:v>
      </x:c>
      <x:c r="C69" s="1" t="s">
        <x:v>252</x:v>
      </x:c>
      <x:c r="D69" s="10" t="s">
        <x:v>253</x:v>
      </x:c>
      <x:c r="E69" s="1" t="s">
        <x:v>48</x:v>
      </x:c>
      <x:c r="F69" s="1" t="s">
        <x:v>43</x:v>
      </x:c>
      <x:c r="G69" s="1">
        <x:v>3</x:v>
      </x:c>
      <x:c r="I69" s="1">
        <x:v>100</x:v>
      </x:c>
      <x:c r="J69" s="1" t="s">
        <x:v>61</x:v>
      </x:c>
      <x:c r="K69" s="1">
        <x:v>0</x:v>
      </x:c>
      <x:c r="L69" s="1">
        <x:v>0</x:v>
      </x:c>
      <x:c r="M69" s="1">
        <x:v>0</x:v>
      </x:c>
      <x:c r="N69" s="1">
        <x:v>0</x:v>
      </x:c>
      <x:c r="P69" s="1">
        <x:v>40</x:v>
      </x:c>
      <x:c r="R69" s="1">
        <x:f t="shared" si="8"/>
        <x:v>0</x:v>
      </x:c>
    </x:row>
    <x:row r="70" s="1" customFormat="1" ht="34">
      <x:c r="B70" s="1" t="s">
        <x:v>254</x:v>
      </x:c>
      <x:c r="C70" s="1" t="s">
        <x:v>255</x:v>
      </x:c>
      <x:c r="D70" s="10" t="s">
        <x:v>256</x:v>
      </x:c>
      <x:c r="E70" s="1" t="s">
        <x:v>48</x:v>
      </x:c>
      <x:c r="F70" s="1" t="s">
        <x:v>43</x:v>
      </x:c>
      <x:c r="G70" s="1">
        <x:v>2</x:v>
      </x:c>
      <x:c r="I70" s="1">
        <x:v>300</x:v>
      </x:c>
      <x:c r="J70" s="1" t="s">
        <x:v>50</x:v>
      </x:c>
      <x:c r="K70" s="1">
        <x:v>0</x:v>
      </x:c>
      <x:c r="L70" s="1">
        <x:v>0</x:v>
      </x:c>
      <x:c r="M70" s="1">
        <x:v>0</x:v>
      </x:c>
      <x:c r="N70" s="1">
        <x:v>0</x:v>
      </x:c>
      <x:c r="P70" s="1">
        <x:v>40</x:v>
      </x:c>
      <x:c r="R70" s="1">
        <x:f t="shared" si="8"/>
        <x:v>0</x:v>
      </x:c>
    </x:row>
    <x:row r="71" s="1" customFormat="1" ht="51">
      <x:c r="B71" s="1" t="s">
        <x:v>257</x:v>
      </x:c>
      <x:c r="C71" s="1" t="s">
        <x:v>258</x:v>
      </x:c>
      <x:c r="D71" s="10" t="s">
        <x:v>259</x:v>
      </x:c>
      <x:c r="E71" s="1" t="s">
        <x:v>67</x:v>
      </x:c>
      <x:c r="F71" s="1" t="s">
        <x:v>43</x:v>
      </x:c>
      <x:c r="G71" s="1">
        <x:v>40</x:v>
      </x:c>
      <x:c r="I71" s="1">
        <x:v>100</x:v>
      </x:c>
      <x:c r="J71" s="1" t="s">
        <x:v>61</x:v>
      </x:c>
      <x:c r="K71" s="1">
        <x:v>0</x:v>
      </x:c>
      <x:c r="L71" s="1">
        <x:v>0</x:v>
      </x:c>
      <x:c r="M71" s="1">
        <x:v>0</x:v>
      </x:c>
      <x:c r="N71" s="1">
        <x:v>0</x:v>
      </x:c>
      <x:c r="P71" s="1">
        <x:v>80</x:v>
      </x:c>
      <x:c r="R71" s="1">
        <x:f t="shared" si="8"/>
        <x:v>0</x:v>
      </x:c>
    </x:row>
    <x:row r="72" s="1" customFormat="1" ht="17">
      <x:c r="B72" s="1" t="s">
        <x:v>260</x:v>
      </x:c>
      <x:c r="C72" s="1" t="s">
        <x:v>261</x:v>
      </x:c>
      <x:c r="D72" s="10" t="s">
        <x:v>262</x:v>
      </x:c>
      <x:c r="E72" s="1" t="s">
        <x:v>263</x:v>
      </x:c>
      <x:c r="F72" s="1" t="s">
        <x:v>263</x:v>
      </x:c>
      <x:c r="G72" s="1">
        <x:v>-0.2</x:v>
      </x:c>
      <x:c r="I72" s="1">
        <x:v>300</x:v>
      </x:c>
      <x:c r="J72" s="1" t="s">
        <x:v>50</x:v>
      </x:c>
      <x:c r="K72" s="1">
        <x:v>0</x:v>
      </x:c>
      <x:c r="L72" s="1">
        <x:v>0</x:v>
      </x:c>
      <x:c r="M72" s="1">
        <x:v>0</x:v>
      </x:c>
      <x:c r="N72" s="1">
        <x:v>0</x:v>
      </x:c>
      <x:c r="P72" s="1">
        <x:v>40</x:v>
      </x:c>
      <x:c r="R72" s="1">
        <x:f t="shared" si="8"/>
        <x:v>0</x:v>
      </x:c>
    </x:row>
    <x:row r="73" s="1" customFormat="1" ht="17">
      <x:c r="B73" s="1" t="s">
        <x:v>264</x:v>
      </x:c>
      <x:c r="C73" s="1" t="s">
        <x:v>265</x:v>
      </x:c>
      <x:c r="D73" s="10" t="s">
        <x:v>266</x:v>
      </x:c>
      <x:c r="E73" s="1" t="s">
        <x:v>263</x:v>
      </x:c>
      <x:c r="F73" s="1" t="s">
        <x:v>263</x:v>
      </x:c>
      <x:c r="G73" s="1">
        <x:v>0.2</x:v>
      </x:c>
      <x:c r="I73" s="1">
        <x:v>300</x:v>
      </x:c>
      <x:c r="J73" s="1" t="s">
        <x:v>50</x:v>
      </x:c>
      <x:c r="K73" s="1">
        <x:v>0</x:v>
      </x:c>
      <x:c r="L73" s="1">
        <x:v>0</x:v>
      </x:c>
      <x:c r="M73" s="1">
        <x:v>0</x:v>
      </x:c>
      <x:c r="N73" s="1">
        <x:v>0</x:v>
      </x:c>
      <x:c r="P73" s="1">
        <x:v>40</x:v>
      </x:c>
      <x:c r="R73" s="1">
        <x:f t="shared" si="8"/>
        <x:v>0</x:v>
      </x:c>
    </x:row>
    <x:row r="74" s="1" customFormat="1" ht="17">
      <x:c r="B74" s="1" t="s">
        <x:v>267</x:v>
      </x:c>
      <x:c r="C74" s="1" t="s">
        <x:v>268</x:v>
      </x:c>
      <x:c r="D74" s="10" t="s">
        <x:v>269</x:v>
      </x:c>
      <x:c r="E74" s="1" t="s">
        <x:v>263</x:v>
      </x:c>
      <x:c r="F74" s="1" t="s">
        <x:v>263</x:v>
      </x:c>
      <x:c r="G74" s="1">
        <x:v>0</x:v>
      </x:c>
      <x:c r="I74" s="1">
        <x:v>300</x:v>
      </x:c>
      <x:c r="J74" s="1" t="s">
        <x:v>50</x:v>
      </x:c>
      <x:c r="K74" s="1">
        <x:v>0</x:v>
      </x:c>
      <x:c r="L74" s="1">
        <x:v>0</x:v>
      </x:c>
      <x:c r="M74" s="1">
        <x:v>0</x:v>
      </x:c>
      <x:c r="N74" s="1">
        <x:v>0</x:v>
      </x:c>
      <x:c r="P74" s="1">
        <x:v>40</x:v>
      </x:c>
      <x:c r="R74" s="1">
        <x:f t="shared" si="8"/>
        <x:v>0</x:v>
      </x:c>
    </x:row>
    <x:row r="75" s="1" customFormat="1" ht="17">
      <x:c r="B75" s="1" t="s">
        <x:v>270</x:v>
      </x:c>
      <x:c r="C75" s="1" t="s">
        <x:v>271</x:v>
      </x:c>
      <x:c r="D75" s="10" t="s">
        <x:v>272</x:v>
      </x:c>
      <x:c r="E75" s="1" t="s">
        <x:v>263</x:v>
      </x:c>
      <x:c r="F75" s="1" t="s">
        <x:v>263</x:v>
      </x:c>
      <x:c r="G75" s="1">
        <x:v>1</x:v>
      </x:c>
      <x:c r="I75" s="1">
        <x:v>300</x:v>
      </x:c>
      <x:c r="J75" s="1" t="s">
        <x:v>50</x:v>
      </x:c>
      <x:c r="K75" s="1">
        <x:v>0</x:v>
      </x:c>
      <x:c r="L75" s="1">
        <x:v>0</x:v>
      </x:c>
      <x:c r="M75" s="1">
        <x:v>0</x:v>
      </x:c>
      <x:c r="N75" s="1">
        <x:v>0</x:v>
      </x:c>
      <x:c r="P75" s="1">
        <x:v>40</x:v>
      </x:c>
      <x:c r="R75" s="1">
        <x:f t="shared" si="8"/>
        <x:v>0</x:v>
      </x:c>
    </x:row>
    <x:row r="76" s="1" customFormat="1" ht="17">
      <x:c r="B76" s="1" t="s">
        <x:v>273</x:v>
      </x:c>
      <x:c r="C76" s="1" t="s">
        <x:v>274</x:v>
      </x:c>
      <x:c r="D76" s="10" t="s">
        <x:v>275</x:v>
      </x:c>
      <x:c r="E76" s="1" t="s">
        <x:v>263</x:v>
      </x:c>
      <x:c r="F76" s="1" t="s">
        <x:v>263</x:v>
      </x:c>
      <x:c r="G76" s="1">
        <x:v>1</x:v>
      </x:c>
      <x:c r="I76" s="1">
        <x:v>300</x:v>
      </x:c>
      <x:c r="J76" s="1" t="s">
        <x:v>50</x:v>
      </x:c>
      <x:c r="K76" s="1">
        <x:v>0</x:v>
      </x:c>
      <x:c r="L76" s="1">
        <x:v>0</x:v>
      </x:c>
      <x:c r="M76" s="1">
        <x:v>0</x:v>
      </x:c>
      <x:c r="N76" s="1">
        <x:v>0</x:v>
      </x:c>
      <x:c r="P76" s="1">
        <x:v>50</x:v>
      </x:c>
    </x:row>
    <x:row r="77" s="1" customFormat="1" ht="34">
      <x:c r="B77" s="1" t="s">
        <x:v>276</x:v>
      </x:c>
      <x:c r="C77" s="1" t="s">
        <x:v>277</x:v>
      </x:c>
      <x:c r="D77" s="10" t="s">
        <x:v>278</x:v>
      </x:c>
      <x:c r="E77" s="1" t="s">
        <x:v>263</x:v>
      </x:c>
      <x:c r="F77" s="1" t="s">
        <x:v>263</x:v>
      </x:c>
      <x:c r="G77" s="1">
        <x:v>-1</x:v>
      </x:c>
      <x:c r="I77" s="1">
        <x:v>300</x:v>
      </x:c>
      <x:c r="J77" s="1" t="s">
        <x:v>50</x:v>
      </x:c>
      <x:c r="K77" s="1">
        <x:v>0</x:v>
      </x:c>
      <x:c r="L77" s="1">
        <x:v>0</x:v>
      </x:c>
      <x:c r="M77" s="1">
        <x:v>0</x:v>
      </x:c>
      <x:c r="N77" s="1">
        <x:v>0</x:v>
      </x:c>
      <x:c r="P77" s="1">
        <x:v>40</x:v>
      </x:c>
      <x:c r="R77" s="1" t="n">
        <x:f t="shared" ref="R77:R81" si="9">IFERROR(VLOOKUP(E77,$T$7:$AB$12,9,FALSE),0)</x:f>
        <x:v>0</x:v>
      </x:c>
    </x:row>
    <x:row r="78" s="1" customFormat="1" ht="17">
      <x:c r="B78" s="1" t="s">
        <x:v>279</x:v>
      </x:c>
      <x:c r="C78" s="1" t="s">
        <x:v>280</x:v>
      </x:c>
      <x:c r="D78" s="10" t="s">
        <x:v>281</x:v>
      </x:c>
      <x:c r="E78" s="1" t="s">
        <x:v>263</x:v>
      </x:c>
      <x:c r="F78" s="1" t="s">
        <x:v>263</x:v>
      </x:c>
      <x:c r="G78" s="1">
        <x:v>0.2</x:v>
      </x:c>
      <x:c r="I78" s="1">
        <x:v>300</x:v>
      </x:c>
      <x:c r="J78" s="1" t="s">
        <x:v>50</x:v>
      </x:c>
      <x:c r="K78" s="1">
        <x:v>0</x:v>
      </x:c>
      <x:c r="L78" s="1">
        <x:v>0</x:v>
      </x:c>
      <x:c r="M78" s="1">
        <x:v>0</x:v>
      </x:c>
      <x:c r="N78" s="1">
        <x:v>0</x:v>
      </x:c>
      <x:c r="P78" s="1">
        <x:v>40</x:v>
      </x:c>
      <x:c r="R78" s="1">
        <x:f t="shared" si="9"/>
        <x:v>0</x:v>
      </x:c>
    </x:row>
    <x:row r="79" s="1" customFormat="1" ht="17">
      <x:c r="B79" s="1" t="s">
        <x:v>282</x:v>
      </x:c>
      <x:c r="C79" s="1" t="s">
        <x:v>283</x:v>
      </x:c>
      <x:c r="D79" s="10" t="s">
        <x:v>284</x:v>
      </x:c>
      <x:c r="E79" s="1" t="s">
        <x:v>263</x:v>
      </x:c>
      <x:c r="F79" s="1" t="s">
        <x:v>263</x:v>
      </x:c>
      <x:c r="G79" s="1">
        <x:v>0.2</x:v>
      </x:c>
      <x:c r="I79" s="1">
        <x:v>300</x:v>
      </x:c>
      <x:c r="J79" s="1" t="s">
        <x:v>50</x:v>
      </x:c>
      <x:c r="K79" s="1">
        <x:v>0</x:v>
      </x:c>
      <x:c r="L79" s="1">
        <x:v>0</x:v>
      </x:c>
      <x:c r="M79" s="1">
        <x:v>0</x:v>
      </x:c>
      <x:c r="N79" s="1">
        <x:v>0</x:v>
      </x:c>
      <x:c r="P79" s="1">
        <x:v>40</x:v>
      </x:c>
      <x:c r="R79" s="1">
        <x:f t="shared" si="9"/>
        <x:v>0</x:v>
      </x:c>
    </x:row>
    <x:row r="80" s="1" customFormat="1" ht="17">
      <x:c r="B80" s="1" t="s">
        <x:v>285</x:v>
      </x:c>
      <x:c r="C80" s="1" t="s">
        <x:v>286</x:v>
      </x:c>
      <x:c r="D80" s="10" t="s">
        <x:v>287</x:v>
      </x:c>
      <x:c r="E80" s="1" t="s">
        <x:v>263</x:v>
      </x:c>
      <x:c r="F80" s="1" t="s">
        <x:v>263</x:v>
      </x:c>
      <x:c r="G80" s="1">
        <x:v>0.2</x:v>
      </x:c>
      <x:c r="I80" s="1">
        <x:v>300</x:v>
      </x:c>
      <x:c r="J80" s="1" t="s">
        <x:v>50</x:v>
      </x:c>
      <x:c r="K80" s="1">
        <x:v>0</x:v>
      </x:c>
      <x:c r="L80" s="1">
        <x:v>0</x:v>
      </x:c>
      <x:c r="M80" s="1">
        <x:v>0</x:v>
      </x:c>
      <x:c r="N80" s="1">
        <x:v>0</x:v>
      </x:c>
      <x:c r="P80" s="1">
        <x:v>40</x:v>
      </x:c>
      <x:c r="R80" s="1">
        <x:f t="shared" si="9"/>
        <x:v>0</x:v>
      </x:c>
    </x:row>
    <x:row r="81" s="1" customFormat="1" ht="34">
      <x:c r="B81" s="1" t="s">
        <x:v>288</x:v>
      </x:c>
      <x:c r="C81" s="1" t="s">
        <x:v>289</x:v>
      </x:c>
      <x:c r="D81" s="10" t="s">
        <x:v>290</x:v>
      </x:c>
      <x:c r="E81" s="1" t="s">
        <x:v>263</x:v>
      </x:c>
      <x:c r="F81" s="1" t="s">
        <x:v>263</x:v>
      </x:c>
      <x:c r="G81" s="1">
        <x:v>0</x:v>
      </x:c>
      <x:c r="I81" s="1">
        <x:v>300</x:v>
      </x:c>
      <x:c r="J81" s="1" t="s">
        <x:v>50</x:v>
      </x:c>
      <x:c r="K81" s="1">
        <x:v>0</x:v>
      </x:c>
      <x:c r="L81" s="1">
        <x:v>0</x:v>
      </x:c>
      <x:c r="M81" s="1">
        <x:v>0</x:v>
      </x:c>
      <x:c r="N81" s="1">
        <x:v>0</x:v>
      </x:c>
      <x:c r="P81" s="1">
        <x:v>40</x:v>
      </x:c>
      <x:c r="R81" s="1">
        <x:f t="shared" si="9"/>
        <x:v>0</x:v>
      </x:c>
    </x:row>
    <x:row r="82" s="1" customFormat="1" ht="51">
      <x:c r="B82" s="1" t="s">
        <x:v>291</x:v>
      </x:c>
      <x:c r="C82" s="1" t="s">
        <x:v>292</x:v>
      </x:c>
      <x:c r="D82" s="10" t="s">
        <x:v>293</x:v>
      </x:c>
      <x:c r="E82" s="1" t="s">
        <x:v>42</x:v>
      </x:c>
      <x:c r="F82" s="1" t="s">
        <x:v>43</x:v>
      </x:c>
      <x:c r="G82" s="1">
        <x:v>1.5</x:v>
      </x:c>
      <x:c r="H82" s="1" t="s">
        <x:v>294</x:v>
      </x:c>
      <x:c r="I82" s="1">
        <x:v>300</x:v>
      </x:c>
      <x:c r="J82" s="1" t="s">
        <x:v>50</x:v>
      </x:c>
      <x:c r="K82" s="1">
        <x:v>0</x:v>
      </x:c>
      <x:c r="L82" s="1">
        <x:v>0</x:v>
      </x:c>
      <x:c r="M82" s="1">
        <x:v>0</x:v>
      </x:c>
      <x:c r="N82" s="1">
        <x:v>0</x:v>
      </x:c>
      <x:c r="P82" s="1">
        <x:v>50</x:v>
      </x:c>
    </x:row>
    <x:row r="83" s="1" customFormat="1" ht="34">
      <x:c r="B83" s="1" t="s">
        <x:v>295</x:v>
      </x:c>
      <x:c r="C83" s="1" t="s">
        <x:v>296</x:v>
      </x:c>
      <x:c r="D83" s="10" t="s">
        <x:v>297</x:v>
      </x:c>
      <x:c r="E83" s="1" t="s">
        <x:v>42</x:v>
      </x:c>
      <x:c r="F83" s="1" t="s">
        <x:v>43</x:v>
      </x:c>
      <x:c r="G83" s="1">
        <x:v>0.3</x:v>
      </x:c>
      <x:c r="I83" s="1">
        <x:v>100</x:v>
      </x:c>
      <x:c r="J83" s="1" t="s">
        <x:v>61</x:v>
      </x:c>
      <x:c r="K83" s="1">
        <x:v>0</x:v>
      </x:c>
      <x:c r="L83" s="1">
        <x:v>0</x:v>
      </x:c>
      <x:c r="M83" s="1">
        <x:v>0</x:v>
      </x:c>
      <x:c r="N83" s="1">
        <x:v>0</x:v>
      </x:c>
      <x:c r="P83" s="1">
        <x:v>80</x:v>
      </x:c>
    </x:row>
    <x:row r="84" s="1" customFormat="1" ht="34">
      <x:c r="B84" s="1" t="s">
        <x:v>298</x:v>
      </x:c>
      <x:c r="C84" s="1" t="s">
        <x:v>299</x:v>
      </x:c>
      <x:c r="D84" s="10" t="s">
        <x:v>300</x:v>
      </x:c>
      <x:c r="E84" s="1" t="s">
        <x:v>200</x:v>
      </x:c>
      <x:c r="F84" s="1" t="s">
        <x:v>43</x:v>
      </x:c>
      <x:c r="G84" s="1">
        <x:v>2</x:v>
      </x:c>
      <x:c r="I84" s="1">
        <x:v>10</x:v>
      </x:c>
      <x:c r="J84" s="1" t="s">
        <x:v>201</x:v>
      </x:c>
      <x:c r="K84" s="1">
        <x:v>0</x:v>
      </x:c>
      <x:c r="L84" s="1">
        <x:v>0</x:v>
      </x:c>
      <x:c r="M84" s="1">
        <x:v>0</x:v>
      </x:c>
      <x:c r="N84" s="1">
        <x:v>0</x:v>
      </x:c>
      <x:c r="O84" s="1" t="s">
        <x:v>301</x:v>
      </x:c>
      <x:c r="P84" s="1">
        <x:v>240</x:v>
      </x:c>
      <x:c r="R84" s="1" t="n">
        <x:f t="shared" ref="R84:R93" si="10">IFERROR(VLOOKUP(E84,$T$7:$AB$12,9,FALSE),0)</x:f>
        <x:v>0</x:v>
      </x:c>
    </x:row>
    <x:row r="85" s="1" customFormat="1" ht="34">
      <x:c r="B85" s="1" t="s">
        <x:v>302</x:v>
      </x:c>
      <x:c r="C85" s="1" t="s">
        <x:v>303</x:v>
      </x:c>
      <x:c r="D85" s="10" t="s">
        <x:v>304</x:v>
      </x:c>
      <x:c r="E85" s="1" t="s">
        <x:v>42</x:v>
      </x:c>
      <x:c r="F85" s="1" t="s">
        <x:v>43</x:v>
      </x:c>
      <x:c r="G85" s="1">
        <x:v>0.5</x:v>
      </x:c>
      <x:c r="I85" s="1">
        <x:v>10</x:v>
      </x:c>
      <x:c r="J85" s="1" t="s">
        <x:v>201</x:v>
      </x:c>
      <x:c r="K85" s="1">
        <x:v>0</x:v>
      </x:c>
      <x:c r="L85" s="1">
        <x:v>0</x:v>
      </x:c>
      <x:c r="M85" s="1">
        <x:v>0</x:v>
      </x:c>
      <x:c r="N85" s="1">
        <x:v>0</x:v>
      </x:c>
      <x:c r="O85" s="1" t="s">
        <x:v>305</x:v>
      </x:c>
      <x:c r="P85" s="1">
        <x:v>150</x:v>
      </x:c>
      <x:c r="R85" s="1">
        <x:f t="shared" si="10"/>
        <x:v>0</x:v>
      </x:c>
    </x:row>
    <x:row r="86" s="1" customFormat="1" ht="51">
      <x:c r="B86" s="1" t="s">
        <x:v>306</x:v>
      </x:c>
      <x:c r="C86" s="1" t="s">
        <x:v>307</x:v>
      </x:c>
      <x:c r="D86" s="10" t="s">
        <x:v>308</x:v>
      </x:c>
      <x:c r="E86" s="1" t="s">
        <x:v>42</x:v>
      </x:c>
      <x:c r="F86" s="1" t="s">
        <x:v>43</x:v>
      </x:c>
      <x:c r="G86" s="1">
        <x:v>0.5</x:v>
      </x:c>
      <x:c r="I86" s="1">
        <x:v>10</x:v>
      </x:c>
      <x:c r="J86" s="1" t="s">
        <x:v>201</x:v>
      </x:c>
      <x:c r="K86" s="1">
        <x:v>0</x:v>
      </x:c>
      <x:c r="L86" s="1">
        <x:v>0</x:v>
      </x:c>
      <x:c r="M86" s="1">
        <x:v>0</x:v>
      </x:c>
      <x:c r="N86" s="1">
        <x:v>0</x:v>
      </x:c>
      <x:c r="O86" s="1" t="s">
        <x:v>305</x:v>
      </x:c>
      <x:c r="P86" s="1">
        <x:v>150</x:v>
      </x:c>
      <x:c r="R86" s="1">
        <x:f t="shared" si="10"/>
        <x:v>0</x:v>
      </x:c>
    </x:row>
    <x:row r="87" s="1" customFormat="1" ht="51">
      <x:c r="B87" s="1" t="s">
        <x:v>309</x:v>
      </x:c>
      <x:c r="C87" s="1" t="s">
        <x:v>310</x:v>
      </x:c>
      <x:c r="D87" s="10" t="s">
        <x:v>311</x:v>
      </x:c>
      <x:c r="E87" s="1" t="s">
        <x:v>42</x:v>
      </x:c>
      <x:c r="F87" s="1" t="s">
        <x:v>43</x:v>
      </x:c>
      <x:c r="G87" s="1">
        <x:v>1</x:v>
      </x:c>
      <x:c r="I87" s="1">
        <x:v>100</x:v>
      </x:c>
      <x:c r="J87" s="1" t="s">
        <x:v>61</x:v>
      </x:c>
      <x:c r="K87" s="1">
        <x:v>0</x:v>
      </x:c>
      <x:c r="L87" s="1">
        <x:v>0</x:v>
      </x:c>
      <x:c r="M87" s="1">
        <x:v>0</x:v>
      </x:c>
      <x:c r="N87" s="1">
        <x:v>0</x:v>
      </x:c>
      <x:c r="P87" s="1">
        <x:v>150</x:v>
      </x:c>
      <x:c r="R87" s="1">
        <x:f t="shared" si="10"/>
        <x:v>0</x:v>
      </x:c>
    </x:row>
    <x:row r="88" s="1" customFormat="1" ht="34">
      <x:c r="B88" s="1" t="s">
        <x:v>312</x:v>
      </x:c>
      <x:c r="C88" s="1" t="s">
        <x:v>313</x:v>
      </x:c>
      <x:c r="D88" s="10" t="s">
        <x:v>314</x:v>
      </x:c>
      <x:c r="E88" s="1" t="s">
        <x:v>48</x:v>
      </x:c>
      <x:c r="F88" s="1" t="s">
        <x:v>43</x:v>
      </x:c>
      <x:c r="G88" s="1">
        <x:v>15</x:v>
      </x:c>
      <x:c r="H88" s="1" t="s">
        <x:v>315</x:v>
      </x:c>
      <x:c r="I88" s="1">
        <x:v>100</x:v>
      </x:c>
      <x:c r="J88" s="1" t="s">
        <x:v>61</x:v>
      </x:c>
      <x:c r="K88" s="1">
        <x:v>0</x:v>
      </x:c>
      <x:c r="L88" s="1">
        <x:v>0</x:v>
      </x:c>
      <x:c r="M88" s="1">
        <x:v>0</x:v>
      </x:c>
      <x:c r="N88" s="1">
        <x:v>0</x:v>
      </x:c>
      <x:c r="O88" s="1" t="s">
        <x:v>305</x:v>
      </x:c>
      <x:c r="P88" s="1">
        <x:v>80</x:v>
      </x:c>
      <x:c r="R88" s="1">
        <x:f t="shared" si="10"/>
        <x:v>0</x:v>
      </x:c>
    </x:row>
    <x:row r="89" s="1" customFormat="1" ht="34">
      <x:c r="B89" s="1" t="s">
        <x:v>316</x:v>
      </x:c>
      <x:c r="C89" s="1" t="s">
        <x:v>317</x:v>
      </x:c>
      <x:c r="D89" s="10" t="s">
        <x:v>318</x:v>
      </x:c>
      <x:c r="E89" s="1" t="s">
        <x:v>42</x:v>
      </x:c>
      <x:c r="F89" s="1" t="s">
        <x:v>43</x:v>
      </x:c>
      <x:c r="G89" s="1">
        <x:v>0.1</x:v>
      </x:c>
      <x:c r="I89" s="1">
        <x:v>10</x:v>
      </x:c>
      <x:c r="J89" s="1" t="s">
        <x:v>201</x:v>
      </x:c>
      <x:c r="K89" s="1">
        <x:v>0</x:v>
      </x:c>
      <x:c r="L89" s="1">
        <x:v>0</x:v>
      </x:c>
      <x:c r="M89" s="1">
        <x:v>0</x:v>
      </x:c>
      <x:c r="N89" s="1">
        <x:v>0</x:v>
      </x:c>
      <x:c r="O89" s="1" t="s">
        <x:v>319</x:v>
      </x:c>
      <x:c r="P89" s="1">
        <x:v>240</x:v>
      </x:c>
      <x:c r="R89" s="1">
        <x:f t="shared" si="10"/>
        <x:v>0</x:v>
      </x:c>
    </x:row>
    <x:row r="90" s="1" customFormat="1" ht="34">
      <x:c r="B90" s="1" t="s">
        <x:v>320</x:v>
      </x:c>
      <x:c r="C90" s="1" t="s">
        <x:v>321</x:v>
      </x:c>
      <x:c r="D90" s="10" t="s">
        <x:v>322</x:v>
      </x:c>
      <x:c r="E90" s="1" t="s">
        <x:v>67</x:v>
      </x:c>
      <x:c r="F90" s="1" t="s">
        <x:v>43</x:v>
      </x:c>
      <x:c r="G90" s="1">
        <x:v>10</x:v>
      </x:c>
      <x:c r="I90" s="1">
        <x:v>100</x:v>
      </x:c>
      <x:c r="J90" s="1" t="s">
        <x:v>61</x:v>
      </x:c>
      <x:c r="K90" s="1">
        <x:v>0</x:v>
      </x:c>
      <x:c r="L90" s="1">
        <x:v>0</x:v>
      </x:c>
      <x:c r="M90" s="1">
        <x:v>0</x:v>
      </x:c>
      <x:c r="N90" s="1">
        <x:v>0</x:v>
      </x:c>
      <x:c r="O90" s="1" t="s">
        <x:v>319</x:v>
      </x:c>
      <x:c r="P90" s="1">
        <x:v>80</x:v>
      </x:c>
      <x:c r="R90" s="1">
        <x:f t="shared" si="10"/>
        <x:v>0</x:v>
      </x:c>
    </x:row>
    <x:row r="91" s="1" customFormat="1" ht="34">
      <x:c r="B91" s="1" t="s">
        <x:v>323</x:v>
      </x:c>
      <x:c r="C91" s="1" t="s">
        <x:v>324</x:v>
      </x:c>
      <x:c r="D91" s="10" t="s">
        <x:v>325</x:v>
      </x:c>
      <x:c r="E91" s="1" t="s">
        <x:v>42</x:v>
      </x:c>
      <x:c r="F91" s="1" t="s">
        <x:v>43</x:v>
      </x:c>
      <x:c r="G91" s="1">
        <x:v>2</x:v>
      </x:c>
      <x:c r="I91" s="1">
        <x:v>30</x:v>
      </x:c>
      <x:c r="J91" s="1" t="s">
        <x:v>44</x:v>
      </x:c>
      <x:c r="K91" s="1">
        <x:v>0</x:v>
      </x:c>
      <x:c r="L91" s="1">
        <x:v>0</x:v>
      </x:c>
      <x:c r="M91" s="1">
        <x:v>0</x:v>
      </x:c>
      <x:c r="N91" s="1">
        <x:v>0</x:v>
      </x:c>
      <x:c r="O91" s="1" t="s">
        <x:v>319</x:v>
      </x:c>
      <x:c r="P91" s="1">
        <x:v>150</x:v>
      </x:c>
      <x:c r="R91" s="1">
        <x:f t="shared" si="10"/>
        <x:v>0</x:v>
      </x:c>
    </x:row>
    <x:row r="92" s="1" customFormat="1" ht="34">
      <x:c r="B92" s="1" t="s">
        <x:v>326</x:v>
      </x:c>
      <x:c r="C92" s="1" t="s">
        <x:v>327</x:v>
      </x:c>
      <x:c r="D92" s="10" t="s">
        <x:v>328</x:v>
      </x:c>
      <x:c r="E92" s="1" t="s">
        <x:v>48</x:v>
      </x:c>
      <x:c r="F92" s="1" t="s">
        <x:v>43</x:v>
      </x:c>
      <x:c r="G92" s="1">
        <x:v>10</x:v>
      </x:c>
      <x:c r="H92" s="1" t="s">
        <x:v>329</x:v>
      </x:c>
      <x:c r="I92" s="1">
        <x:v>100</x:v>
      </x:c>
      <x:c r="J92" s="1" t="s">
        <x:v>61</x:v>
      </x:c>
      <x:c r="K92" s="1">
        <x:v>0</x:v>
      </x:c>
      <x:c r="L92" s="1">
        <x:v>0</x:v>
      </x:c>
      <x:c r="M92" s="1">
        <x:v>0</x:v>
      </x:c>
      <x:c r="N92" s="1">
        <x:v>0</x:v>
      </x:c>
      <x:c r="O92" s="1" t="s">
        <x:v>319</x:v>
      </x:c>
      <x:c r="P92" s="1">
        <x:v>80</x:v>
      </x:c>
      <x:c r="R92" s="1">
        <x:f t="shared" si="10"/>
        <x:v>0</x:v>
      </x:c>
    </x:row>
    <x:row r="93" s="1" customFormat="1" ht="17">
      <x:c r="B93" s="1" t="s">
        <x:v>330</x:v>
      </x:c>
      <x:c r="C93" s="1" t="s">
        <x:v>331</x:v>
      </x:c>
      <x:c r="D93" s="10" t="s">
        <x:v>332</x:v>
      </x:c>
      <x:c r="E93" s="1" t="s">
        <x:v>67</x:v>
      </x:c>
      <x:c r="F93" s="1" t="s">
        <x:v>43</x:v>
      </x:c>
      <x:c r="G93" s="1">
        <x:v>20</x:v>
      </x:c>
      <x:c r="I93" s="1">
        <x:v>100</x:v>
      </x:c>
      <x:c r="J93" s="1" t="s">
        <x:v>61</x:v>
      </x:c>
      <x:c r="K93" s="1">
        <x:v>0</x:v>
      </x:c>
      <x:c r="L93" s="1">
        <x:v>0</x:v>
      </x:c>
      <x:c r="M93" s="1">
        <x:v>0</x:v>
      </x:c>
      <x:c r="N93" s="1">
        <x:v>0</x:v>
      </x:c>
      <x:c r="O93" s="1" t="s">
        <x:v>319</x:v>
      </x:c>
      <x:c r="P93" s="1">
        <x:v>80</x:v>
      </x:c>
      <x:c r="R93" s="1">
        <x:f t="shared" si="10"/>
        <x:v>0</x:v>
      </x:c>
    </x:row>
    <x:row r="94" s="1" customFormat="1" ht="34">
      <x:c r="B94" s="1" t="s">
        <x:v>333</x:v>
      </x:c>
      <x:c r="C94" s="1" t="s">
        <x:v>334</x:v>
      </x:c>
      <x:c r="D94" s="10" t="s">
        <x:v>335</x:v>
      </x:c>
      <x:c r="E94" s="1" t="s">
        <x:v>200</x:v>
      </x:c>
      <x:c r="F94" s="1" t="s">
        <x:v>43</x:v>
      </x:c>
      <x:c r="G94" s="1">
        <x:v>2</x:v>
      </x:c>
      <x:c r="I94" s="1">
        <x:v>10</x:v>
      </x:c>
      <x:c r="J94" s="1" t="s">
        <x:v>201</x:v>
      </x:c>
      <x:c r="K94" s="1">
        <x:v>0</x:v>
      </x:c>
      <x:c r="L94" s="1">
        <x:v>0</x:v>
      </x:c>
      <x:c r="M94" s="1">
        <x:v>0</x:v>
      </x:c>
      <x:c r="N94" s="1">
        <x:v>0</x:v>
      </x:c>
      <x:c r="O94" s="1" t="s">
        <x:v>305</x:v>
      </x:c>
      <x:c r="P94" s="1">
        <x:v>240</x:v>
      </x:c>
    </x:row>
    <x:row r="95" s="14" customFormat="1" ht="51">
      <x:c r="B95" s="1" t="s">
        <x:v>336</x:v>
      </x:c>
      <x:c r="C95" s="1" t="s">
        <x:v>337</x:v>
      </x:c>
      <x:c r="D95" s="15" t="s">
        <x:v>338</x:v>
      </x:c>
      <x:c r="E95" s="14" t="s">
        <x:v>48</x:v>
      </x:c>
      <x:c r="F95" s="1" t="s">
        <x:v>43</x:v>
      </x:c>
      <x:c r="G95" s="1">
        <x:v>30</x:v>
      </x:c>
      <x:c r="H95" s="1" t="s">
        <x:v>339</x:v>
      </x:c>
      <x:c r="I95" s="1">
        <x:v>300</x:v>
      </x:c>
      <x:c r="J95" s="1" t="s">
        <x:v>50</x:v>
      </x:c>
      <x:c r="K95" s="1">
        <x:v>0</x:v>
      </x:c>
      <x:c r="L95" s="1">
        <x:v>0</x:v>
      </x:c>
      <x:c r="M95" s="1">
        <x:v>0</x:v>
      </x:c>
      <x:c r="N95" s="1">
        <x:v>0</x:v>
      </x:c>
      <x:c r="O95" s="1"/>
      <x:c r="P95" s="1">
        <x:v>40</x:v>
      </x:c>
    </x:row>
    <x:row r="96" s="14" customFormat="1" ht="51">
      <x:c r="B96" s="1" t="s">
        <x:v>340</x:v>
      </x:c>
      <x:c r="C96" s="1" t="s">
        <x:v>341</x:v>
      </x:c>
      <x:c r="D96" s="15" t="s">
        <x:v>342</x:v>
      </x:c>
      <x:c r="E96" s="14" t="s">
        <x:v>67</x:v>
      </x:c>
      <x:c r="F96" s="1" t="s">
        <x:v>43</x:v>
      </x:c>
      <x:c r="G96" s="1">
        <x:v>1</x:v>
      </x:c>
      <x:c r="H96" s="1" t="s">
        <x:v>339</x:v>
      </x:c>
      <x:c r="I96" s="1">
        <x:v>100</x:v>
      </x:c>
      <x:c r="J96" s="1" t="s">
        <x:v>61</x:v>
      </x:c>
      <x:c r="K96" s="1">
        <x:v>0</x:v>
      </x:c>
      <x:c r="L96" s="1">
        <x:v>0</x:v>
      </x:c>
      <x:c r="M96" s="1">
        <x:v>0</x:v>
      </x:c>
      <x:c r="N96" s="1">
        <x:v>0</x:v>
      </x:c>
      <x:c r="O96" s="1" t="s">
        <x:v>301</x:v>
      </x:c>
      <x:c r="P96" s="1">
        <x:v>80</x:v>
      </x:c>
    </x:row>
    <x:row r="97" s="14" customFormat="1" ht="51">
      <x:c r="B97" s="1" t="s">
        <x:v>343</x:v>
      </x:c>
      <x:c r="C97" s="1" t="s">
        <x:v>344</x:v>
      </x:c>
      <x:c r="D97" s="15" t="s">
        <x:v>345</x:v>
      </x:c>
      <x:c r="E97" s="14" t="s">
        <x:v>67</x:v>
      </x:c>
      <x:c r="F97" s="1" t="s">
        <x:v>43</x:v>
      </x:c>
      <x:c r="G97" s="1">
        <x:v>10</x:v>
      </x:c>
      <x:c r="H97" s="1" t="s">
        <x:v>346</x:v>
      </x:c>
      <x:c r="I97" s="1">
        <x:v>100</x:v>
      </x:c>
      <x:c r="J97" s="1" t="s">
        <x:v>61</x:v>
      </x:c>
      <x:c r="K97" s="1">
        <x:v>0</x:v>
      </x:c>
      <x:c r="L97" s="1">
        <x:v>0</x:v>
      </x:c>
      <x:c r="M97" s="1">
        <x:v>0</x:v>
      </x:c>
      <x:c r="N97" s="1">
        <x:v>0</x:v>
      </x:c>
      <x:c r="O97" s="1"/>
      <x:c r="P97" s="1">
        <x:v>80</x:v>
      </x:c>
    </x:row>
    <x:row r="98" s="14" customFormat="1" ht="51">
      <x:c r="B98" s="1" t="s">
        <x:v>347</x:v>
      </x:c>
      <x:c r="C98" s="1" t="s">
        <x:v>348</x:v>
      </x:c>
      <x:c r="D98" s="15" t="s">
        <x:v>349</x:v>
      </x:c>
      <x:c r="E98" s="14" t="s">
        <x:v>42</x:v>
      </x:c>
      <x:c r="F98" s="1" t="s">
        <x:v>43</x:v>
      </x:c>
      <x:c r="G98" s="1">
        <x:v>0.1</x:v>
      </x:c>
      <x:c r="H98" s="1" t="s">
        <x:v>350</x:v>
      </x:c>
      <x:c r="I98" s="1">
        <x:v>30</x:v>
      </x:c>
      <x:c r="J98" s="1" t="s">
        <x:v>44</x:v>
      </x:c>
      <x:c r="K98" s="1">
        <x:v>0</x:v>
      </x:c>
      <x:c r="L98" s="1">
        <x:v>0</x:v>
      </x:c>
      <x:c r="M98" s="1">
        <x:v>0</x:v>
      </x:c>
      <x:c r="N98" s="1">
        <x:v>0</x:v>
      </x:c>
      <x:c r="O98" s="1"/>
      <x:c r="P98" s="1">
        <x:v>150</x:v>
      </x:c>
    </x:row>
    <x:row r="99" s="14" customFormat="1" ht="51">
      <x:c r="B99" s="1" t="s">
        <x:v>351</x:v>
      </x:c>
      <x:c r="C99" s="1" t="s">
        <x:v>352</x:v>
      </x:c>
      <x:c r="D99" s="15" t="s">
        <x:v>353</x:v>
      </x:c>
      <x:c r="E99" s="14" t="s">
        <x:v>67</x:v>
      </x:c>
      <x:c r="F99" s="1" t="s">
        <x:v>43</x:v>
      </x:c>
      <x:c r="G99" s="1">
        <x:v>50</x:v>
      </x:c>
      <x:c r="H99" s="1" t="s">
        <x:v>354</x:v>
      </x:c>
      <x:c r="I99" s="1">
        <x:v>100</x:v>
      </x:c>
      <x:c r="J99" s="1" t="s">
        <x:v>61</x:v>
      </x:c>
      <x:c r="K99" s="1">
        <x:v>0</x:v>
      </x:c>
      <x:c r="L99" s="1">
        <x:v>0</x:v>
      </x:c>
      <x:c r="M99" s="1">
        <x:v>0</x:v>
      </x:c>
      <x:c r="N99" s="1">
        <x:v>0</x:v>
      </x:c>
      <x:c r="O99" s="1"/>
      <x:c r="P99" s="1">
        <x:v>80</x:v>
      </x:c>
    </x:row>
    <x:row r="100" s="14" customFormat="1" ht="51">
      <x:c r="B100" s="1" t="s">
        <x:v>355</x:v>
      </x:c>
      <x:c r="C100" s="1" t="s">
        <x:v>356</x:v>
      </x:c>
      <x:c r="D100" s="15" t="s">
        <x:v>357</x:v>
      </x:c>
      <x:c r="E100" s="14" t="s">
        <x:v>67</x:v>
      </x:c>
      <x:c r="F100" s="1" t="s">
        <x:v>43</x:v>
      </x:c>
      <x:c r="G100" s="1">
        <x:v>0.5</x:v>
      </x:c>
      <x:c r="H100" s="1" t="s">
        <x:v>358</x:v>
      </x:c>
      <x:c r="I100" s="1">
        <x:v>100</x:v>
      </x:c>
      <x:c r="J100" s="1" t="s">
        <x:v>61</x:v>
      </x:c>
      <x:c r="K100" s="1">
        <x:v>0</x:v>
      </x:c>
      <x:c r="L100" s="1">
        <x:v>0</x:v>
      </x:c>
      <x:c r="M100" s="1">
        <x:v>0</x:v>
      </x:c>
      <x:c r="N100" s="1">
        <x:v>0</x:v>
      </x:c>
      <x:c r="O100" s="1"/>
      <x:c r="P100" s="1">
        <x:v>80</x:v>
      </x:c>
    </x:row>
    <x:row r="101" s="14" customFormat="1" ht="51">
      <x:c r="B101" s="1" t="s">
        <x:v>359</x:v>
      </x:c>
      <x:c r="C101" s="1" t="s">
        <x:v>360</x:v>
      </x:c>
      <x:c r="D101" s="15" t="s">
        <x:v>361</x:v>
      </x:c>
      <x:c r="E101" s="14" t="s">
        <x:v>42</x:v>
      </x:c>
      <x:c r="F101" s="1" t="s">
        <x:v>43</x:v>
      </x:c>
      <x:c r="G101" s="1">
        <x:v>1</x:v>
      </x:c>
      <x:c r="H101" s="1" t="s">
        <x:v>362</x:v>
      </x:c>
      <x:c r="I101" s="1">
        <x:v>30</x:v>
      </x:c>
      <x:c r="J101" s="1" t="s">
        <x:v>44</x:v>
      </x:c>
      <x:c r="K101" s="1">
        <x:v>0</x:v>
      </x:c>
      <x:c r="L101" s="1">
        <x:v>0</x:v>
      </x:c>
      <x:c r="M101" s="1">
        <x:v>0</x:v>
      </x:c>
      <x:c r="N101" s="1">
        <x:v>0</x:v>
      </x:c>
      <x:c r="O101" s="1"/>
      <x:c r="P101" s="1">
        <x:v>150</x:v>
      </x:c>
    </x:row>
    <x:row r="102" s="14" customFormat="1" ht="51">
      <x:c r="B102" s="1" t="s">
        <x:v>363</x:v>
      </x:c>
      <x:c r="C102" s="1" t="s">
        <x:v>364</x:v>
      </x:c>
      <x:c r="D102" s="15" t="s">
        <x:v>365</x:v>
      </x:c>
      <x:c r="E102" s="14" t="s">
        <x:v>42</x:v>
      </x:c>
      <x:c r="F102" s="1" t="s">
        <x:v>43</x:v>
      </x:c>
      <x:c r="G102" s="1">
        <x:v>10</x:v>
      </x:c>
      <x:c r="H102" s="1" t="s">
        <x:v>366</x:v>
      </x:c>
      <x:c r="I102" s="1">
        <x:v>30</x:v>
      </x:c>
      <x:c r="J102" s="1" t="s">
        <x:v>44</x:v>
      </x:c>
      <x:c r="K102" s="1">
        <x:v>0</x:v>
      </x:c>
      <x:c r="L102" s="1">
        <x:v>0</x:v>
      </x:c>
      <x:c r="M102" s="1">
        <x:v>0</x:v>
      </x:c>
      <x:c r="N102" s="1">
        <x:v>0</x:v>
      </x:c>
      <x:c r="O102" s="1"/>
      <x:c r="P102" s="1">
        <x:v>150</x:v>
      </x:c>
    </x:row>
    <x:row r="103" s="14" customFormat="1" ht="51">
      <x:c r="B103" s="1" t="s">
        <x:v>367</x:v>
      </x:c>
      <x:c r="C103" s="1" t="s">
        <x:v>368</x:v>
      </x:c>
      <x:c r="D103" s="15" t="s">
        <x:v>369</x:v>
      </x:c>
      <x:c r="E103" s="14" t="s">
        <x:v>67</x:v>
      </x:c>
      <x:c r="F103" s="1" t="s">
        <x:v>43</x:v>
      </x:c>
      <x:c r="G103" s="1">
        <x:v>0.1</x:v>
      </x:c>
      <x:c r="H103" s="1"/>
      <x:c r="I103" s="1">
        <x:v>100</x:v>
      </x:c>
      <x:c r="J103" s="1" t="s">
        <x:v>61</x:v>
      </x:c>
      <x:c r="K103" s="1">
        <x:v>0</x:v>
      </x:c>
      <x:c r="L103" s="1">
        <x:v>0</x:v>
      </x:c>
      <x:c r="M103" s="1">
        <x:v>0</x:v>
      </x:c>
      <x:c r="N103" s="1">
        <x:v>0</x:v>
      </x:c>
      <x:c r="O103" s="1"/>
      <x:c r="P103" s="1">
        <x:v>80</x:v>
      </x:c>
    </x:row>
    <x:row r="104" s="1" customFormat="1" ht="51">
      <x:c r="B104" s="14" t="s">
        <x:v>370</x:v>
      </x:c>
      <x:c r="C104" s="14" t="s">
        <x:v>371</x:v>
      </x:c>
      <x:c r="D104" s="15" t="s">
        <x:v>372</x:v>
      </x:c>
      <x:c r="E104" s="14" t="s">
        <x:v>48</x:v>
      </x:c>
      <x:c r="F104" s="14" t="s">
        <x:v>43</x:v>
      </x:c>
      <x:c r="G104" s="14">
        <x:v>10</x:v>
      </x:c>
      <x:c r="H104" s="14"/>
      <x:c r="I104" s="14">
        <x:v>300</x:v>
      </x:c>
      <x:c r="J104" s="14" t="s">
        <x:v>50</x:v>
      </x:c>
      <x:c r="K104" s="14">
        <x:v>0</x:v>
      </x:c>
      <x:c r="L104" s="14">
        <x:v>0</x:v>
      </x:c>
      <x:c r="M104" s="14">
        <x:v>0</x:v>
      </x:c>
      <x:c r="N104" s="14">
        <x:v>0</x:v>
      </x:c>
      <x:c r="O104" s="14"/>
      <x:c r="P104" s="14">
        <x:v>40</x:v>
      </x:c>
      <x:c r="Q104" s="14"/>
      <x:c r="R104" s="14"/>
    </x:row>
    <x:row r="105" ht="34">
      <x:c r="B105" s="1" t="s">
        <x:v>373</x:v>
      </x:c>
      <x:c r="C105" s="1" t="s">
        <x:v>374</x:v>
      </x:c>
      <x:c r="D105" s="10" t="s">
        <x:v>375</x:v>
      </x:c>
      <x:c r="E105" s="14" t="s">
        <x:v>67</x:v>
      </x:c>
      <x:c r="F105" s="1" t="s">
        <x:v>43</x:v>
      </x:c>
      <x:c r="G105" s="1">
        <x:v>10</x:v>
      </x:c>
      <x:c r="H105" s="1" t="s">
        <x:v>376</x:v>
      </x:c>
      <x:c r="I105" s="1">
        <x:v>100</x:v>
      </x:c>
      <x:c r="J105" s="1" t="s">
        <x:v>61</x:v>
      </x:c>
      <x:c r="K105" s="1">
        <x:v>0</x:v>
      </x:c>
      <x:c r="L105" s="1">
        <x:v>0</x:v>
      </x:c>
      <x:c r="M105" s="1">
        <x:v>0</x:v>
      </x:c>
      <x:c r="N105" s="1">
        <x:v>0</x:v>
      </x:c>
      <x:c r="P105" s="1">
        <x:v>80</x:v>
      </x:c>
    </x:row>
    <x:row r="106" ht="34">
      <x:c r="B106" s="1" t="s">
        <x:v>377</x:v>
      </x:c>
      <x:c r="C106" s="1" t="s">
        <x:v>378</x:v>
      </x:c>
      <x:c r="D106" s="10" t="s">
        <x:v>379</x:v>
      </x:c>
      <x:c r="E106" s="14" t="s">
        <x:v>67</x:v>
      </x:c>
      <x:c r="F106" s="1" t="s">
        <x:v>43</x:v>
      </x:c>
      <x:c r="G106" s="1">
        <x:v>10</x:v>
      </x:c>
      <x:c r="H106" s="1" t="s">
        <x:v>380</x:v>
      </x:c>
      <x:c r="I106" s="1">
        <x:v>100</x:v>
      </x:c>
      <x:c r="J106" s="1" t="s">
        <x:v>61</x:v>
      </x:c>
      <x:c r="K106" s="1">
        <x:v>0</x:v>
      </x:c>
      <x:c r="L106" s="1">
        <x:v>0</x:v>
      </x:c>
      <x:c r="M106" s="1">
        <x:v>0</x:v>
      </x:c>
      <x:c r="N106" s="1">
        <x:v>0</x:v>
      </x:c>
      <x:c r="P106" s="1">
        <x:v>80</x:v>
      </x:c>
    </x:row>
    <x:row r="107" ht="51">
      <x:c r="B107" s="1" t="s">
        <x:v>381</x:v>
      </x:c>
      <x:c r="C107" s="1" t="s">
        <x:v>382</x:v>
      </x:c>
      <x:c r="D107" s="10" t="s">
        <x:v>383</x:v>
      </x:c>
      <x:c r="E107" s="1" t="s">
        <x:v>42</x:v>
      </x:c>
      <x:c r="F107" s="1" t="s">
        <x:v>43</x:v>
      </x:c>
      <x:c r="G107" s="1">
        <x:v>1</x:v>
      </x:c>
      <x:c r="I107" s="1">
        <x:v>30</x:v>
      </x:c>
      <x:c r="J107" s="1" t="s">
        <x:v>44</x:v>
      </x:c>
      <x:c r="K107" s="1">
        <x:v>0</x:v>
      </x:c>
      <x:c r="L107" s="1">
        <x:v>0</x:v>
      </x:c>
      <x:c r="M107" s="1">
        <x:v>0</x:v>
      </x:c>
      <x:c r="N107" s="1">
        <x:v>0</x:v>
      </x:c>
      <x:c r="P107" s="1">
        <x:v>150</x:v>
      </x:c>
    </x:row>
    <x:row r="108" ht="34">
      <x:c r="B108" s="1" t="s">
        <x:v>384</x:v>
      </x:c>
      <x:c r="C108" s="1" t="s">
        <x:v>385</x:v>
      </x:c>
      <x:c r="D108" s="10" t="s">
        <x:v>386</x:v>
      </x:c>
      <x:c r="E108" s="1" t="s">
        <x:v>200</x:v>
      </x:c>
      <x:c r="F108" s="1" t="s">
        <x:v>43</x:v>
      </x:c>
      <x:c r="G108" s="1">
        <x:v>0</x:v>
      </x:c>
      <x:c r="H108" s="1" t="s">
        <x:v>387</x:v>
      </x:c>
      <x:c r="I108" s="1">
        <x:v>10</x:v>
      </x:c>
      <x:c r="J108" s="1" t="s">
        <x:v>201</x:v>
      </x:c>
      <x:c r="K108" s="1">
        <x:v>0</x:v>
      </x:c>
      <x:c r="L108" s="1">
        <x:v>0</x:v>
      </x:c>
      <x:c r="M108" s="1">
        <x:v>0</x:v>
      </x:c>
      <x:c r="N108" s="1">
        <x:v>0</x:v>
      </x:c>
      <x:c r="O108" s="1" t="s">
        <x:v>319</x:v>
      </x:c>
      <x:c r="P108" s="1">
        <x:v>240</x:v>
      </x:c>
    </x:row>
    <x:row r="109" ht="34">
      <x:c r="B109" s="1" t="s">
        <x:v>388</x:v>
      </x:c>
      <x:c r="C109" s="1" t="s">
        <x:v>389</x:v>
      </x:c>
      <x:c r="D109" s="10" t="s">
        <x:v>390</x:v>
      </x:c>
      <x:c r="E109" s="1" t="s">
        <x:v>200</x:v>
      </x:c>
      <x:c r="F109" s="1" t="s">
        <x:v>43</x:v>
      </x:c>
      <x:c r="G109" s="1">
        <x:v>1</x:v>
      </x:c>
      <x:c r="H109" s="1" t="s">
        <x:v>391</x:v>
      </x:c>
      <x:c r="I109" s="1">
        <x:v>10</x:v>
      </x:c>
      <x:c r="J109" s="1" t="s">
        <x:v>201</x:v>
      </x:c>
      <x:c r="K109" s="1">
        <x:v>0</x:v>
      </x:c>
      <x:c r="L109" s="1">
        <x:v>0</x:v>
      </x:c>
      <x:c r="M109" s="1">
        <x:v>0</x:v>
      </x:c>
      <x:c r="N109" s="1">
        <x:v>0</x:v>
      </x:c>
      <x:c r="P109" s="1">
        <x:v>240</x:v>
      </x:c>
    </x:row>
    <x:row r="110" ht="34">
      <x:c r="B110" s="1" t="s">
        <x:v>392</x:v>
      </x:c>
      <x:c r="C110" s="1" t="s">
        <x:v>393</x:v>
      </x:c>
      <x:c r="D110" s="10" t="s">
        <x:v>394</x:v>
      </x:c>
      <x:c r="E110" s="1" t="s">
        <x:v>200</x:v>
      </x:c>
      <x:c r="F110" s="1" t="s">
        <x:v>43</x:v>
      </x:c>
      <x:c r="G110" s="1">
        <x:v>3</x:v>
      </x:c>
      <x:c r="I110" s="1">
        <x:v>10</x:v>
      </x:c>
      <x:c r="J110" s="1" t="s">
        <x:v>201</x:v>
      </x:c>
      <x:c r="K110" s="1">
        <x:v>0</x:v>
      </x:c>
      <x:c r="L110" s="1">
        <x:v>0</x:v>
      </x:c>
      <x:c r="M110" s="1">
        <x:v>0</x:v>
      </x:c>
      <x:c r="N110" s="1">
        <x:v>0</x:v>
      </x:c>
      <x:c r="P110" s="1">
        <x:v>240</x:v>
      </x:c>
    </x:row>
    <x:row r="111" ht="34">
      <x:c r="B111" s="1" t="s">
        <x:v>395</x:v>
      </x:c>
      <x:c r="C111" s="1" t="s">
        <x:v>396</x:v>
      </x:c>
      <x:c r="D111" s="10" t="s">
        <x:v>397</x:v>
      </x:c>
      <x:c r="E111" s="1" t="s">
        <x:v>48</x:v>
      </x:c>
      <x:c r="F111" s="1" t="s">
        <x:v>43</x:v>
      </x:c>
      <x:c r="G111" s="1">
        <x:v>0.5</x:v>
      </x:c>
      <x:c r="H111" s="1" t="s">
        <x:v>398</x:v>
      </x:c>
      <x:c r="I111" s="1">
        <x:v>300</x:v>
      </x:c>
      <x:c r="J111" s="1" t="s">
        <x:v>50</x:v>
      </x:c>
      <x:c r="K111" s="1">
        <x:v>0</x:v>
      </x:c>
      <x:c r="L111" s="1">
        <x:v>0</x:v>
      </x:c>
      <x:c r="M111" s="1">
        <x:v>0</x:v>
      </x:c>
      <x:c r="N111" s="1">
        <x:v>0</x:v>
      </x:c>
      <x:c r="P111" s="1">
        <x:v>40</x:v>
      </x:c>
    </x:row>
    <x:row r="112">
      <x:c r="B112" s="1" t="s">
        <x:v>399</x:v>
      </x:c>
      <x:c r="C112" s="1" t="s">
        <x:v>400</x:v>
      </x:c>
      <x:c r="D112" s="1" t="s">
        <x:v>401</x:v>
      </x:c>
      <x:c r="E112" s="14" t="s">
        <x:v>67</x:v>
      </x:c>
      <x:c r="F112" s="1" t="s">
        <x:v>43</x:v>
      </x:c>
      <x:c r="G112" s="1">
        <x:v>2</x:v>
      </x:c>
      <x:c r="I112" s="1">
        <x:v>100</x:v>
      </x:c>
      <x:c r="J112" s="1" t="s">
        <x:v>61</x:v>
      </x:c>
      <x:c r="K112" s="1">
        <x:v>0</x:v>
      </x:c>
      <x:c r="L112" s="1">
        <x:v>0</x:v>
      </x:c>
      <x:c r="M112" s="1">
        <x:v>0</x:v>
      </x:c>
      <x:c r="N112" s="1">
        <x:v>0</x:v>
      </x:c>
      <x:c r="P112" s="1">
        <x:v>80</x:v>
      </x:c>
    </x:row>
    <x:row r="113">
      <x:c r="B113" s="1" t="s">
        <x:v>402</x:v>
      </x:c>
      <x:c r="C113" s="1" t="s">
        <x:v>403</x:v>
      </x:c>
      <x:c r="D113" s="1" t="s">
        <x:v>404</x:v>
      </x:c>
      <x:c r="E113" s="1" t="s">
        <x:v>200</x:v>
      </x:c>
      <x:c r="F113" s="1" t="s">
        <x:v>43</x:v>
      </x:c>
      <x:c r="G113" s="1">
        <x:v>0</x:v>
      </x:c>
      <x:c r="I113" s="1">
        <x:v>10</x:v>
      </x:c>
      <x:c r="J113" s="1" t="s">
        <x:v>201</x:v>
      </x:c>
      <x:c r="K113" s="1">
        <x:v>0</x:v>
      </x:c>
      <x:c r="L113" s="1">
        <x:v>0</x:v>
      </x:c>
      <x:c r="M113" s="1">
        <x:v>0</x:v>
      </x:c>
      <x:c r="N113" s="1">
        <x:v>0</x:v>
      </x:c>
      <x:c r="P113" s="1">
        <x:v>240</x:v>
      </x:c>
    </x:row>
    <x:row r="114">
      <x:c r="B114" s="1" t="s">
        <x:v>405</x:v>
      </x:c>
      <x:c r="C114" s="1" t="s">
        <x:v>406</x:v>
      </x:c>
      <x:c r="D114" s="1" t="s">
        <x:v>407</x:v>
      </x:c>
      <x:c r="E114" s="1" t="s">
        <x:v>42</x:v>
      </x:c>
      <x:c r="F114" s="1" t="s">
        <x:v>43</x:v>
      </x:c>
      <x:c r="G114" s="1">
        <x:v>0</x:v>
      </x:c>
      <x:c r="I114" s="1">
        <x:v>30</x:v>
      </x:c>
      <x:c r="J114" s="1" t="s">
        <x:v>44</x:v>
      </x:c>
      <x:c r="K114" s="1">
        <x:v>0</x:v>
      </x:c>
      <x:c r="L114" s="1">
        <x:v>0</x:v>
      </x:c>
      <x:c r="M114" s="1">
        <x:v>0</x:v>
      </x:c>
      <x:c r="N114" s="1">
        <x:v>0</x:v>
      </x:c>
      <x:c r="P114" s="1">
        <x:v>150</x:v>
      </x:c>
    </x:row>
    <x:row r="115">
      <x:c r="B115" s="1" t="s">
        <x:v>408</x:v>
      </x:c>
      <x:c r="C115" s="1" t="s">
        <x:v>409</x:v>
      </x:c>
      <x:c r="D115" s="1" t="s">
        <x:v>410</x:v>
      </x:c>
      <x:c r="E115" s="14" t="s">
        <x:v>48</x:v>
      </x:c>
      <x:c r="F115" s="1" t="s">
        <x:v>43</x:v>
      </x:c>
      <x:c r="G115" s="1">
        <x:v>15</x:v>
      </x:c>
      <x:c r="I115" s="1">
        <x:v>300</x:v>
      </x:c>
      <x:c r="J115" s="1" t="s">
        <x:v>50</x:v>
      </x:c>
      <x:c r="K115" s="1">
        <x:v>0</x:v>
      </x:c>
      <x:c r="L115" s="1">
        <x:v>0</x:v>
      </x:c>
      <x:c r="M115" s="1">
        <x:v>0</x:v>
      </x:c>
      <x:c r="N115" s="1">
        <x:v>0</x:v>
      </x:c>
      <x:c r="P115" s="1">
        <x:v>40</x:v>
      </x:c>
    </x:row>
    <x:row r="116">
      <x:c r="B116" s="1" t="s">
        <x:v>411</x:v>
      </x:c>
      <x:c r="C116" s="1" t="s">
        <x:v>412</x:v>
      </x:c>
      <x:c r="D116" s="1" t="s">
        <x:v>413</x:v>
      </x:c>
      <x:c r="E116" s="14" t="s">
        <x:v>48</x:v>
      </x:c>
      <x:c r="F116" s="1" t="s">
        <x:v>43</x:v>
      </x:c>
      <x:c r="G116" s="1">
        <x:v>1</x:v>
      </x:c>
      <x:c r="I116" s="1">
        <x:v>300</x:v>
      </x:c>
      <x:c r="J116" s="1" t="s">
        <x:v>50</x:v>
      </x:c>
      <x:c r="K116" s="1">
        <x:v>0</x:v>
      </x:c>
      <x:c r="L116" s="1">
        <x:v>0</x:v>
      </x:c>
      <x:c r="M116" s="1">
        <x:v>0</x:v>
      </x:c>
      <x:c r="N116" s="1">
        <x:v>0</x:v>
      </x:c>
      <x:c r="P116" s="1">
        <x:v>40</x:v>
      </x:c>
    </x:row>
    <x:row r="117">
      <x:c r="B117" s="1" t="s">
        <x:v>414</x:v>
      </x:c>
      <x:c r="C117" s="1" t="s">
        <x:v>415</x:v>
      </x:c>
      <x:c r="D117" s="1" t="s">
        <x:v>413</x:v>
      </x:c>
      <x:c r="E117" s="14" t="s">
        <x:v>67</x:v>
      </x:c>
      <x:c r="F117" s="1" t="s">
        <x:v>43</x:v>
      </x:c>
      <x:c r="G117" s="1">
        <x:v>1</x:v>
      </x:c>
      <x:c r="I117" s="1">
        <x:v>100</x:v>
      </x:c>
      <x:c r="J117" s="1" t="s">
        <x:v>61</x:v>
      </x:c>
      <x:c r="K117" s="1">
        <x:v>0</x:v>
      </x:c>
      <x:c r="L117" s="1">
        <x:v>0</x:v>
      </x:c>
      <x:c r="M117" s="1">
        <x:v>0</x:v>
      </x:c>
      <x:c r="N117" s="1">
        <x:v>0</x:v>
      </x:c>
      <x:c r="P117" s="1">
        <x:v>80</x:v>
      </x:c>
    </x:row>
    <x:row r="118">
      <x:c r="B118" s="1" t="s">
        <x:v>416</x:v>
      </x:c>
      <x:c r="C118" s="1" t="s">
        <x:v>417</x:v>
      </x:c>
      <x:c r="D118" s="1" t="s">
        <x:v>418</x:v>
      </x:c>
      <x:c r="E118" s="1" t="s">
        <x:v>48</x:v>
      </x:c>
      <x:c r="F118" s="1" t="s">
        <x:v>43</x:v>
      </x:c>
      <x:c r="G118" s="1">
        <x:v>1</x:v>
      </x:c>
      <x:c r="I118" s="1">
        <x:v>300</x:v>
      </x:c>
      <x:c r="J118" s="1" t="s">
        <x:v>50</x:v>
      </x:c>
      <x:c r="K118" s="1">
        <x:v>0</x:v>
      </x:c>
      <x:c r="L118" s="1">
        <x:v>0</x:v>
      </x:c>
      <x:c r="M118" s="1">
        <x:v>0</x:v>
      </x:c>
      <x:c r="N118" s="1">
        <x:v>0</x:v>
      </x:c>
      <x:c r="P118" s="1">
        <x:v>40</x:v>
      </x:c>
    </x:row>
    <x:row r="119">
      <x:c r="B119" s="1" t="s">
        <x:v>419</x:v>
      </x:c>
      <x:c r="C119" s="1" t="s">
        <x:v>420</x:v>
      </x:c>
      <x:c r="D119" s="1" t="s">
        <x:v>421</x:v>
      </x:c>
      <x:c r="E119" s="14" t="s">
        <x:v>67</x:v>
      </x:c>
      <x:c r="F119" s="1" t="s">
        <x:v>43</x:v>
      </x:c>
      <x:c r="G119" s="1">
        <x:v>2</x:v>
      </x:c>
      <x:c r="I119" s="1">
        <x:v>100</x:v>
      </x:c>
      <x:c r="J119" s="1" t="s">
        <x:v>61</x:v>
      </x:c>
      <x:c r="K119" s="1">
        <x:v>0</x:v>
      </x:c>
      <x:c r="L119" s="1">
        <x:v>0</x:v>
      </x:c>
      <x:c r="M119" s="1">
        <x:v>0</x:v>
      </x:c>
      <x:c r="N119" s="1">
        <x:v>0</x:v>
      </x:c>
      <x:c r="P119" s="1">
        <x:v>80</x:v>
      </x:c>
    </x:row>
    <x:row r="120">
      <x:c r="B120" s="1" t="s">
        <x:v>422</x:v>
      </x:c>
      <x:c r="C120" s="1" t="s">
        <x:v>423</x:v>
      </x:c>
      <x:c r="D120" s="1" t="s">
        <x:v>424</x:v>
      </x:c>
      <x:c r="E120" s="14" t="s">
        <x:v>67</x:v>
      </x:c>
      <x:c r="F120" s="1" t="s">
        <x:v>43</x:v>
      </x:c>
      <x:c r="G120" s="1">
        <x:v>0.25</x:v>
      </x:c>
      <x:c r="I120" s="1">
        <x:v>100</x:v>
      </x:c>
      <x:c r="J120" s="1" t="s">
        <x:v>61</x:v>
      </x:c>
      <x:c r="K120" s="1">
        <x:v>0</x:v>
      </x:c>
      <x:c r="L120" s="1">
        <x:v>0</x:v>
      </x:c>
      <x:c r="M120" s="1">
        <x:v>0</x:v>
      </x:c>
      <x:c r="N120" s="1">
        <x:v>0</x:v>
      </x:c>
      <x:c r="P120" s="1">
        <x:v>80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007352828979492" defaultRowHeight="16.799999237060547"/>
  <x:cols>
    <x:col min="1" max="1" width="13.08088207244873" style="1" customWidth="1"/>
    <x:col min="2" max="2" width="28.080883026123047" style="1" customWidth="1"/>
    <x:col min="3" max="3" width="15.161765098571777" style="1" customWidth="1"/>
    <x:col min="4" max="4" width="53.91911697387695" style="1" customWidth="1"/>
    <x:col min="5" max="5" width="15.161765098571777" style="1" customWidth="1"/>
    <x:col min="6" max="6" width="26.382352828979492" style="1" customWidth="1"/>
    <x:col min="7" max="7" width="11.91911792755127" style="1" customWidth="1"/>
    <x:col min="8" max="8" width="12.617647171020508" style="1" customWidth="1"/>
    <x:col min="9" max="9" width="15.161765098571777" style="1" customWidth="1"/>
    <x:col min="10" max="10" width="46.14706039428711" style="1" customWidth="1"/>
    <x:col min="11" max="11" width="36.161766052246094" style="1" customWidth="1"/>
    <x:col min="12" max="12" width="26.46323585510254" style="1" customWidth="1"/>
    <x:col min="13" max="13" width="11.470588684082031" style="1" customWidth="1"/>
    <x:col min="14" max="14" width="18" style="1" customWidth="1"/>
    <x:col min="15" max="16384" width="9.007352828979492" style="1" customWidth="0"/>
  </x:cols>
  <x:sheetData>
    <x:row r="1" ht="16.5" customHeight="1">
      <x:c r="A1" s="7" t="str">
        <x:v>##var</x:v>
      </x:c>
      <x:c r="B1" s="7" t="str">
        <x:v>id</x:v>
      </x:c>
      <x:c r="C1" s="7" t="str">
        <x:v>name</x:v>
      </x:c>
      <x:c r="D1" s="7" t="str">
        <x:v>desc</x:v>
      </x:c>
      <x:c r="E1" s="7" t="str">
        <x:v>specialTags</x:v>
      </x:c>
      <x:c r="F1" s="7" t="str">
        <x:v>effectType</x:v>
      </x:c>
      <x:c r="G1" s="7" t="str">
        <x:v>effectValue</x:v>
      </x:c>
      <x:c r="H1" s="7" t="str">
        <x:v>effectParam</x:v>
      </x:c>
      <x:c r="I1" s="7" t="str">
        <x:v>baseWeight</x:v>
      </x:c>
      <x:c r="J1" s="7" t="str">
        <x:v>targetKind</x:v>
      </x:c>
      <x:c r="K1" s="7" t="str">
        <x:v>targetCount</x:v>
      </x:c>
      <x:c r="L1" s="7" t="str">
        <x:v>termId</x:v>
      </x:c>
      <x:c r="M1" s="1" t="str">
        <x:v>price</x:v>
      </x:c>
      <x:c r="N1" s="1" t="str">
        <x:v>category</x:v>
      </x:c>
    </x:row>
    <x:row r="2" ht="16.5" customHeight="1">
      <x:c r="A2" s="7" t="str">
        <x:v>##comment</x:v>
      </x:c>
      <x:c r="B2" s="1" t="str">
        <x:v>消耗品ID</x:v>
      </x:c>
      <x:c r="C2" s="1" t="str">
        <x:v>消耗品名称</x:v>
      </x:c>
      <x:c r="D2" s="1" t="str">
        <x:v>消耗品描述</x:v>
      </x:c>
      <x:c r="E2" s="1" t="str">
        <x:v>特殊标签标记</x:v>
      </x:c>
      <x:c r="F2" s="1" t="str">
        <x:v>效果类型</x:v>
      </x:c>
      <x:c r="G2" s="1" t="str">
        <x:v>效果数值</x:v>
      </x:c>
      <x:c r="H2" s="1" t="str">
        <x:v>效果参数</x:v>
      </x:c>
      <x:c r="I2" s="1" t="str">
        <x:v>随机基础权重</x:v>
      </x:c>
      <x:c r="J2" s="1" t="str">
        <x:v>消耗品目标类型(作用对象;决定可用情境)</x:v>
      </x:c>
      <x:c r="K2" s="1" t="str">
        <x:v>选目标数量(1/N;0=无目标或全部)</x:v>
      </x:c>
      <x:c r="L2" s="1" t="str">
        <x:v>关联术语ID(可空,|分隔)</x:v>
      </x:c>
      <x:c r="M2" s="1" t="str">
        <x:v>商店基础价格</x:v>
      </x:c>
      <x:c r="N2" s="1" t="str">
        <x:v>消耗品分类</x:v>
      </x:c>
    </x:row>
    <x:row r="3" ht="16.5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float</x:v>
      </x:c>
      <x:c r="H3" s="7" t="str">
        <x:v>string</x:v>
      </x:c>
      <x:c r="I3" s="7" t="str">
        <x:v>float</x:v>
      </x:c>
      <x:c r="J3" s="7" t="str">
        <x:v>ItemTargetKind</x:v>
      </x:c>
      <x:c r="K3" s="7" t="str">
        <x:v>int</x:v>
      </x:c>
      <x:c r="L3" s="7" t="str">
        <x:v>string</x:v>
      </x:c>
      <x:c r="M3" s="1" t="str">
        <x:v>int</x:v>
      </x:c>
      <x:c r="N3" s="1" t="str">
        <x:v>ActiveItemCategory</x:v>
      </x:c>
    </x:row>
    <x:row r="4" ht="33.75" customHeight="1">
      <x:c r="A4"/>
      <x:c r="B4" s="7" t="str">
        <x:v>item_active_season_sweet</x:v>
      </x:c>
      <x:c r="C4" s="1" t="str">
        <x:v>甜味箱</x:v>
      </x:c>
      <x:c r="D4" s="10" t="str">
        <x:v>选择1个食物
添加「甜」风味</x:v>
      </x:c>
      <x:c r="E4"/>
      <x:c r="F4" s="7" t="str">
        <x:v>AddFlavor</x:v>
      </x:c>
      <x:c r="G4" s="1" t="n">
        <x:v>0</x:v>
      </x:c>
      <x:c r="H4" s="7" t="str">
        <x:v>t_sweet</x:v>
      </x:c>
      <x:c r="I4" s="1" t="n">
        <x:v>1</x:v>
      </x:c>
      <x:c r="J4" s="7" t="str">
        <x:v>DiningTableDish</x:v>
      </x:c>
      <x:c r="K4" s="1" t="n">
        <x:v>1</x:v>
      </x:c>
      <x:c r="L4" s="7" t="str">
        <x:v>t_sweet</x:v>
      </x:c>
      <x:c r="M4" s="1" t="n">
        <x:v>50</x:v>
      </x:c>
      <x:c r="N4" s="1" t="str">
        <x:v>Strengthen</x:v>
      </x:c>
    </x:row>
    <x:row r="5" ht="33.75" customHeight="1">
      <x:c r="A5"/>
      <x:c r="B5" s="7" t="str">
        <x:v>item_active_season_bitter</x:v>
      </x:c>
      <x:c r="C5" s="1" t="str">
        <x:v>苦味箱</x:v>
      </x:c>
      <x:c r="D5" s="10" t="str">
        <x:v>选择1个食物
添加「苦」风味</x:v>
      </x:c>
      <x:c r="E5"/>
      <x:c r="F5" s="7" t="str">
        <x:v>AddFlavor</x:v>
      </x:c>
      <x:c r="G5" s="1" t="n">
        <x:v>0</x:v>
      </x:c>
      <x:c r="H5" s="7" t="str">
        <x:v>t_bitter</x:v>
      </x:c>
      <x:c r="I5" s="1" t="n">
        <x:v>1</x:v>
      </x:c>
      <x:c r="J5" s="7" t="str">
        <x:v>DiningTableDish</x:v>
      </x:c>
      <x:c r="K5" s="1" t="n">
        <x:v>1</x:v>
      </x:c>
      <x:c r="L5" s="7" t="str">
        <x:v>t_bitter</x:v>
      </x:c>
      <x:c r="M5" s="1" t="n">
        <x:v>50</x:v>
      </x:c>
      <x:c r="N5" s="1" t="str">
        <x:v>Strengthen</x:v>
      </x:c>
    </x:row>
    <x:row r="6" ht="33.75" customHeight="1">
      <x:c r="A6"/>
      <x:c r="B6" s="7" t="str">
        <x:v>item_active_season_umami</x:v>
      </x:c>
      <x:c r="C6" s="1" t="str">
        <x:v>鲜味箱</x:v>
      </x:c>
      <x:c r="D6" s="10" t="str">
        <x:v>选择1个食物
添加「鲜」风味</x:v>
      </x:c>
      <x:c r="E6"/>
      <x:c r="F6" s="7" t="str">
        <x:v>AddFlavor</x:v>
      </x:c>
      <x:c r="G6" s="1" t="n">
        <x:v>0</x:v>
      </x:c>
      <x:c r="H6" s="7" t="str">
        <x:v>t_fresh</x:v>
      </x:c>
      <x:c r="I6" s="1" t="n">
        <x:v>1</x:v>
      </x:c>
      <x:c r="J6" s="7" t="str">
        <x:v>DiningTableDish</x:v>
      </x:c>
      <x:c r="K6" s="1" t="n">
        <x:v>1</x:v>
      </x:c>
      <x:c r="L6" s="7" t="str">
        <x:v>t_fresh</x:v>
      </x:c>
      <x:c r="M6" s="1" t="n">
        <x:v>50</x:v>
      </x:c>
      <x:c r="N6" s="1" t="str">
        <x:v>Strengthen</x:v>
      </x:c>
    </x:row>
    <x:row r="7" ht="33.75" customHeight="1">
      <x:c r="A7"/>
      <x:c r="B7" s="7" t="str">
        <x:v>item_active_season_numb</x:v>
      </x:c>
      <x:c r="C7" s="1" t="str">
        <x:v>麻味箱</x:v>
      </x:c>
      <x:c r="D7" s="10" t="str">
        <x:v>选择1个食物
添加「麻」风味</x:v>
      </x:c>
      <x:c r="E7"/>
      <x:c r="F7" s="7" t="str">
        <x:v>AddFlavor</x:v>
      </x:c>
      <x:c r="G7" s="1" t="n">
        <x:v>0</x:v>
      </x:c>
      <x:c r="H7" s="7" t="str">
        <x:v>t_numb</x:v>
      </x:c>
      <x:c r="I7" s="1" t="n">
        <x:v>1</x:v>
      </x:c>
      <x:c r="J7" s="7" t="str">
        <x:v>DiningTableDish</x:v>
      </x:c>
      <x:c r="K7" s="1" t="n">
        <x:v>1</x:v>
      </x:c>
      <x:c r="L7" s="7" t="str">
        <x:v>t_numb</x:v>
      </x:c>
      <x:c r="M7" s="1" t="n">
        <x:v>50</x:v>
      </x:c>
      <x:c r="N7" s="1" t="str">
        <x:v>Strengthen</x:v>
      </x:c>
    </x:row>
    <x:row r="8" ht="33.75" customHeight="1">
      <x:c r="A8"/>
      <x:c r="B8" s="7" t="str">
        <x:v>item_active_season_sour</x:v>
      </x:c>
      <x:c r="C8" s="1" t="str">
        <x:v>酸味箱</x:v>
      </x:c>
      <x:c r="D8" s="10" t="str">
        <x:v>选择1个食物
添加「酸」风味</x:v>
      </x:c>
      <x:c r="E8"/>
      <x:c r="F8" s="7" t="str">
        <x:v>AddFlavor</x:v>
      </x:c>
      <x:c r="G8" s="1" t="n">
        <x:v>0</x:v>
      </x:c>
      <x:c r="H8" s="7" t="str">
        <x:v>t_sour</x:v>
      </x:c>
      <x:c r="I8" s="1" t="n">
        <x:v>1</x:v>
      </x:c>
      <x:c r="J8" s="7" t="str">
        <x:v>DiningTableDish</x:v>
      </x:c>
      <x:c r="K8" s="1" t="n">
        <x:v>1</x:v>
      </x:c>
      <x:c r="L8" s="7" t="str">
        <x:v>t_sour</x:v>
      </x:c>
      <x:c r="M8" s="1" t="n">
        <x:v>50</x:v>
      </x:c>
      <x:c r="N8" s="1" t="str">
        <x:v>Strengthen</x:v>
      </x:c>
    </x:row>
    <x:row r="9" ht="33.75" customHeight="1">
      <x:c r="A9"/>
      <x:c r="B9" s="7" t="str">
        <x:v>item_active_season_salty</x:v>
      </x:c>
      <x:c r="C9" s="1" t="str">
        <x:v>咸味箱</x:v>
      </x:c>
      <x:c r="D9" s="10" t="str">
        <x:v>选择1个食物
添加「咸」风味</x:v>
      </x:c>
      <x:c r="E9"/>
      <x:c r="F9" s="7" t="str">
        <x:v>AddFlavor</x:v>
      </x:c>
      <x:c r="G9" s="1" t="n">
        <x:v>0</x:v>
      </x:c>
      <x:c r="H9" s="7" t="str">
        <x:v>t_salty</x:v>
      </x:c>
      <x:c r="I9" s="1" t="n">
        <x:v>1</x:v>
      </x:c>
      <x:c r="J9" s="7" t="str">
        <x:v>DiningTableDish</x:v>
      </x:c>
      <x:c r="K9" s="1" t="n">
        <x:v>1</x:v>
      </x:c>
      <x:c r="L9" s="7" t="str">
        <x:v>t_salty</x:v>
      </x:c>
      <x:c r="M9" s="1" t="n">
        <x:v>50</x:v>
      </x:c>
      <x:c r="N9" s="1" t="str">
        <x:v>Strengthen</x:v>
      </x:c>
    </x:row>
    <x:row r="10" ht="33.75" customHeight="1">
      <x:c r="A10"/>
      <x:c r="B10" s="7" t="str">
        <x:v>item_active_lay_cherry</x:v>
      </x:c>
      <x:c r="C10" s="1" t="str">
        <x:v>樱桃木箱</x:v>
      </x:c>
      <x:c r="D10" s="10" t="str">
        <x:v>选择1个餐桌格
将其铺装为「樱桃木」材质</x:v>
      </x:c>
      <x:c r="E10" s="13" t="str">
        <x:v>LayWood</x:v>
      </x:c>
      <x:c r="F10" s="7" t="str">
        <x:v>AddMaterial</x:v>
      </x:c>
      <x:c r="G10" s="1" t="n">
        <x:v>0</x:v>
      </x:c>
      <x:c r="H10" s="7" t="str">
        <x:v>m_cherry</x:v>
      </x:c>
      <x:c r="I10" s="1" t="n">
        <x:v>2</x:v>
      </x:c>
      <x:c r="J10" s="7" t="str">
        <x:v>DiningTableCell</x:v>
      </x:c>
      <x:c r="K10" s="1" t="n">
        <x:v>1</x:v>
      </x:c>
      <x:c r="L10" s="7" t="str">
        <x:v>m_cherry</x:v>
      </x:c>
      <x:c r="M10" s="1" t="n">
        <x:v>50</x:v>
      </x:c>
      <x:c r="N10" s="1" t="str">
        <x:v>Strengthen</x:v>
      </x:c>
    </x:row>
    <x:row r="11" ht="33.75" customHeight="1">
      <x:c r="A11"/>
      <x:c r="B11" s="7" t="str">
        <x:v>item_active_lay_walnut</x:v>
      </x:c>
      <x:c r="C11" s="1" t="str">
        <x:v>胡桃木箱</x:v>
      </x:c>
      <x:c r="D11" s="10" t="str">
        <x:v>选择1个餐桌格
将其铺装为「胡桃木」材质</x:v>
      </x:c>
      <x:c r="E11" s="13" t="str">
        <x:v>LayWood</x:v>
      </x:c>
      <x:c r="F11" s="7" t="str">
        <x:v>AddMaterial</x:v>
      </x:c>
      <x:c r="G11" s="1" t="n">
        <x:v>0</x:v>
      </x:c>
      <x:c r="H11" s="7" t="str">
        <x:v>m_walnut</x:v>
      </x:c>
      <x:c r="I11" s="1" t="n">
        <x:v>2</x:v>
      </x:c>
      <x:c r="J11" s="7" t="str">
        <x:v>DiningTableCell</x:v>
      </x:c>
      <x:c r="K11" s="1" t="n">
        <x:v>1</x:v>
      </x:c>
      <x:c r="L11" s="7" t="str">
        <x:v>m_walnut</x:v>
      </x:c>
      <x:c r="M11" s="1" t="n">
        <x:v>50</x:v>
      </x:c>
      <x:c r="N11" s="1" t="str">
        <x:v>Strengthen</x:v>
      </x:c>
    </x:row>
    <x:row r="12" ht="33.75" customHeight="1">
      <x:c r="A12"/>
      <x:c r="B12" s="7" t="str">
        <x:v>item_active_lay_marble</x:v>
      </x:c>
      <x:c r="C12" s="1" t="str">
        <x:v>大理石箱</x:v>
      </x:c>
      <x:c r="D12" s="10" t="str">
        <x:v>选择1个餐桌格
将其铺装为「大理石」材质</x:v>
      </x:c>
      <x:c r="E12" s="13" t="str">
        <x:v>LayStone</x:v>
      </x:c>
      <x:c r="F12" s="7" t="str">
        <x:v>AddMaterial</x:v>
      </x:c>
      <x:c r="G12" s="1" t="n">
        <x:v>0</x:v>
      </x:c>
      <x:c r="H12" s="7" t="str">
        <x:v>m_marble</x:v>
      </x:c>
      <x:c r="I12" s="1" t="n">
        <x:v>2</x:v>
      </x:c>
      <x:c r="J12" s="7" t="str">
        <x:v>DiningTableCell</x:v>
      </x:c>
      <x:c r="K12" s="1" t="n">
        <x:v>1</x:v>
      </x:c>
      <x:c r="L12" s="7" t="str">
        <x:v>m_marble</x:v>
      </x:c>
      <x:c r="M12" s="1" t="n">
        <x:v>50</x:v>
      </x:c>
      <x:c r="N12" s="1" t="str">
        <x:v>Strengthen</x:v>
      </x:c>
    </x:row>
    <x:row r="13" ht="33.75" customHeight="1">
      <x:c r="A13"/>
      <x:c r="B13" s="7" t="str">
        <x:v>item_active_lay_obsidian</x:v>
      </x:c>
      <x:c r="C13" s="1" t="str">
        <x:v>黑曜石箱</x:v>
      </x:c>
      <x:c r="D13" s="10" t="str">
        <x:v>选择1个餐桌格
将其铺装为「黑曜石」材质</x:v>
      </x:c>
      <x:c r="E13" s="13" t="str">
        <x:v>LayStone</x:v>
      </x:c>
      <x:c r="F13" s="7" t="str">
        <x:v>AddMaterial</x:v>
      </x:c>
      <x:c r="G13" s="1" t="n">
        <x:v>0</x:v>
      </x:c>
      <x:c r="H13" s="7" t="str">
        <x:v>m_obsidian</x:v>
      </x:c>
      <x:c r="I13" s="1" t="n">
        <x:v>2</x:v>
      </x:c>
      <x:c r="J13" s="7" t="str">
        <x:v>DiningTableCell</x:v>
      </x:c>
      <x:c r="K13" s="1" t="n">
        <x:v>1</x:v>
      </x:c>
      <x:c r="L13" s="7" t="str">
        <x:v>m_obsidian</x:v>
      </x:c>
      <x:c r="M13" s="1" t="n">
        <x:v>50</x:v>
      </x:c>
      <x:c r="N13" s="1" t="str">
        <x:v>Strengthen</x:v>
      </x:c>
    </x:row>
    <x:row r="14" ht="33.75" customHeight="1">
      <x:c r="A14"/>
      <x:c r="B14" s="7" t="str">
        <x:v>item_active_lay_emerald</x:v>
      </x:c>
      <x:c r="C14" s="1" t="str">
        <x:v>翡翠箱</x:v>
      </x:c>
      <x:c r="D14" s="10" t="str">
        <x:v>选择1个餐桌格
将其铺装为「翡翠」材质</x:v>
      </x:c>
      <x:c r="E14" s="13" t="str">
        <x:v>LayStone</x:v>
      </x:c>
      <x:c r="F14" s="7" t="str">
        <x:v>AddMaterial</x:v>
      </x:c>
      <x:c r="G14" s="1" t="n">
        <x:v>0</x:v>
      </x:c>
      <x:c r="H14" s="7" t="str">
        <x:v>m_emerald</x:v>
      </x:c>
      <x:c r="I14" s="1" t="n">
        <x:v>2</x:v>
      </x:c>
      <x:c r="J14" s="7" t="str">
        <x:v>DiningTableCell</x:v>
      </x:c>
      <x:c r="K14" s="1" t="n">
        <x:v>1</x:v>
      </x:c>
      <x:c r="L14" s="7" t="str">
        <x:v>m_emerald</x:v>
      </x:c>
      <x:c r="M14" s="1" t="n">
        <x:v>50</x:v>
      </x:c>
      <x:c r="N14" s="1" t="str">
        <x:v>Strengthen</x:v>
      </x:c>
    </x:row>
    <x:row r="15" ht="33.75" customHeight="1">
      <x:c r="A15"/>
      <x:c r="B15" s="7" t="str">
        <x:v>item_active_lay_gold</x:v>
      </x:c>
      <x:c r="C15" s="1" t="str">
        <x:v>金质箱</x:v>
      </x:c>
      <x:c r="D15" s="10" t="str">
        <x:v>选择1个餐桌格
将其铺装为「金」材质</x:v>
      </x:c>
      <x:c r="E15" s="13" t="str">
        <x:v>LayMetal</x:v>
      </x:c>
      <x:c r="F15" s="7" t="str">
        <x:v>AddMaterial</x:v>
      </x:c>
      <x:c r="G15" s="1" t="n">
        <x:v>0</x:v>
      </x:c>
      <x:c r="H15" s="7" t="str">
        <x:v>m_gold</x:v>
      </x:c>
      <x:c r="I15" s="1" t="n">
        <x:v>2</x:v>
      </x:c>
      <x:c r="J15" s="7" t="str">
        <x:v>DiningTableCell</x:v>
      </x:c>
      <x:c r="K15" s="1" t="n">
        <x:v>1</x:v>
      </x:c>
      <x:c r="L15" s="7" t="str">
        <x:v>m_gold</x:v>
      </x:c>
      <x:c r="M15" s="1" t="n">
        <x:v>50</x:v>
      </x:c>
      <x:c r="N15" s="1" t="str">
        <x:v>Strengthen</x:v>
      </x:c>
    </x:row>
    <x:row r="16" ht="33.75" customHeight="1">
      <x:c r="A16"/>
      <x:c r="B16" s="7" t="str">
        <x:v>item_active_lay_silver</x:v>
      </x:c>
      <x:c r="C16" s="1" t="str">
        <x:v>银质箱</x:v>
      </x:c>
      <x:c r="D16" s="10" t="str">
        <x:v>选择1个餐桌格
将其铺装为「银」材质</x:v>
      </x:c>
      <x:c r="E16" s="13" t="str">
        <x:v>LayMetal</x:v>
      </x:c>
      <x:c r="F16" s="7" t="str">
        <x:v>AddMaterial</x:v>
      </x:c>
      <x:c r="G16" s="1" t="n">
        <x:v>0</x:v>
      </x:c>
      <x:c r="H16" s="7" t="str">
        <x:v>m_silver</x:v>
      </x:c>
      <x:c r="I16" s="1" t="n">
        <x:v>2</x:v>
      </x:c>
      <x:c r="J16" s="7" t="str">
        <x:v>DiningTableCell</x:v>
      </x:c>
      <x:c r="K16" s="1" t="n">
        <x:v>1</x:v>
      </x:c>
      <x:c r="L16" s="7" t="str">
        <x:v>m_silver</x:v>
      </x:c>
      <x:c r="M16" s="1" t="n">
        <x:v>50</x:v>
      </x:c>
      <x:c r="N16" s="1" t="str">
        <x:v>Strengthen</x:v>
      </x:c>
    </x:row>
    <x:row r="17" s="9" customFormat="1" ht="34">
      <x:c r="A17"/>
      <x:c r="B17" s="11" t="str">
        <x:v>item_active_reroll_action</x:v>
      </x:c>
      <x:c r="C17" s="9" t="str">
        <x:v>奖励翻倍单</x:v>
      </x:c>
      <x:c r="D17" s="12" t="str">
        <x:v>下次营业从基础食物、基础金币、特定奖励中随机一种
重新随机并额外发放一份</x:v>
      </x:c>
      <x:c r="E17"/>
      <x:c r="F17" s="9" t="str">
        <x:v>DoubleNextBusinessReward</x:v>
      </x:c>
      <x:c r="G17" s="9" t="n">
        <x:v>0</x:v>
      </x:c>
      <x:c r="H17"/>
      <x:c r="I17" s="9" t="n">
        <x:v>2</x:v>
      </x:c>
      <x:c r="J17" s="9" t="str">
        <x:v>Global</x:v>
      </x:c>
      <x:c r="K17" s="9" t="n">
        <x:v>0</x:v>
      </x:c>
      <x:c r="L17" s="1"/>
      <x:c r="M17" s="9" t="n">
        <x:v>50</x:v>
      </x:c>
      <x:c r="N17" s="1" t="str">
        <x:v>Adjust</x:v>
      </x:c>
    </x:row>
    <x:row r="18" s="9" customFormat="1" ht="34">
      <x:c r="A18"/>
      <x:c r="B18" s="11" t="str">
        <x:v>item_active_half_next_action_cost</x:v>
      </x:c>
      <x:c r="C18" s="9" t="str">
        <x:v>加速行动单</x:v>
      </x:c>
      <x:c r="D18" s="12" t="str">
        <x:v>下个普通行动
消耗天数减半</x:v>
      </x:c>
      <x:c r="E18"/>
      <x:c r="F18" s="9" t="str">
        <x:v>HalfNextActionCost</x:v>
      </x:c>
      <x:c r="G18" s="9" t="n">
        <x:v>0.5</x:v>
      </x:c>
      <x:c r="H18"/>
      <x:c r="I18" s="9" t="n">
        <x:v>2</x:v>
      </x:c>
      <x:c r="J18" s="9" t="str">
        <x:v>Global</x:v>
      </x:c>
      <x:c r="K18" s="9" t="n">
        <x:v>0</x:v>
      </x:c>
      <x:c r="L18" s="1"/>
      <x:c r="M18" s="9" t="n">
        <x:v>50</x:v>
      </x:c>
      <x:c r="N18" s="1" t="str">
        <x:v>Adjust</x:v>
      </x:c>
    </x:row>
    <x:row r="19" s="9" customFormat="1" ht="16.5" customHeight="1">
      <x:c r="A19"/>
      <x:c r="B19" s="11" t="str">
        <x:v>item_active_reroll_last_boss_debuff</x:v>
      </x:c>
      <x:c r="C19" s="9" t="str">
        <x:v>评鉴调整单</x:v>
      </x:c>
      <x:c r="D19" s="9" t="str">
        <x:v>重掷最近的星级评鉴</x:v>
      </x:c>
      <x:c r="E19"/>
      <x:c r="F19" s="9" t="str">
        <x:v>ResetBossDebuff</x:v>
      </x:c>
      <x:c r="G19" s="9" t="n">
        <x:v>0</x:v>
      </x:c>
      <x:c r="H19"/>
      <x:c r="I19" s="9" t="n">
        <x:v>2</x:v>
      </x:c>
      <x:c r="J19" s="9" t="str">
        <x:v>Global</x:v>
      </x:c>
      <x:c r="K19" s="9" t="n">
        <x:v>0</x:v>
      </x:c>
      <x:c r="L19" s="1"/>
      <x:c r="M19" s="9" t="n">
        <x:v>50</x:v>
      </x:c>
      <x:c r="N19" s="1" t="str">
        <x:v>Adjust</x:v>
      </x:c>
    </x:row>
    <x:row r="20" s="9" customFormat="1" ht="34">
      <x:c r="A20"/>
      <x:c r="B20" s="11" t="str">
        <x:v>item_active_add_reward_node</x:v>
      </x:c>
      <x:c r="C20" s="9" t="str">
        <x:v>幸运单</x:v>
      </x:c>
      <x:c r="D20" s="12" t="str">
        <x:v>添加幸运事件
至指定节点</x:v>
      </x:c>
      <x:c r="E20"/>
      <x:c r="F20" s="9" t="str">
        <x:v>TimelineAddRewardNode</x:v>
      </x:c>
      <x:c r="G20" s="9" t="n">
        <x:v>0</x:v>
      </x:c>
      <x:c r="H20" s="9" t="str">
        <x:v>act_reward</x:v>
      </x:c>
      <x:c r="I20" s="9" t="n">
        <x:v>2</x:v>
      </x:c>
      <x:c r="J20" s="9" t="str">
        <x:v>Global</x:v>
      </x:c>
      <x:c r="K20" s="9" t="n">
        <x:v>1</x:v>
      </x:c>
      <x:c r="L20" s="1"/>
      <x:c r="M20" s="9" t="n">
        <x:v>50</x:v>
      </x:c>
      <x:c r="N20" s="1" t="str">
        <x:v>Adjust</x:v>
      </x:c>
    </x:row>
    <x:row r="21" s="9" customFormat="1" ht="34">
      <x:c r="A21"/>
      <x:c r="B21" s="9" t="str">
        <x:v>item_active_add_interest_node</x:v>
      </x:c>
      <x:c r="C21" s="9" t="str">
        <x:v>利息单</x:v>
      </x:c>
      <x:c r="D21" s="12" t="str">
        <x:v>添加收取利息
至指定节点</x:v>
      </x:c>
      <x:c r="E21"/>
      <x:c r="F21" s="9" t="str">
        <x:v>TimelineAddInterestNode</x:v>
      </x:c>
      <x:c r="G21" s="9" t="n">
        <x:v>0</x:v>
      </x:c>
      <x:c r="H21" s="9" t="str">
        <x:v>act_interest</x:v>
      </x:c>
      <x:c r="I21" s="9" t="n">
        <x:v>2</x:v>
      </x:c>
      <x:c r="J21" s="9" t="str">
        <x:v>Global</x:v>
      </x:c>
      <x:c r="K21" s="9" t="n">
        <x:v>1</x:v>
      </x:c>
      <x:c r="L21" s="1"/>
      <x:c r="M21" s="1" t="n">
        <x:v>50</x:v>
      </x:c>
      <x:c r="N21" s="1" t="str">
        <x:v>Adjust</x:v>
      </x:c>
    </x:row>
    <x:row r="22" s="9" customFormat="1" ht="34">
      <x:c r="A22"/>
      <x:c r="B22" s="9" t="str">
        <x:v>item_active_add_shop_node</x:v>
      </x:c>
      <x:c r="C22" s="9" t="str">
        <x:v>商店单</x:v>
      </x:c>
      <x:c r="D22" s="12" t="str">
        <x:v>添加商店采购
至指定节点</x:v>
      </x:c>
      <x:c r="E22"/>
      <x:c r="F22" s="9" t="str">
        <x:v>TimelineAddShopNode</x:v>
      </x:c>
      <x:c r="G22" s="9" t="n">
        <x:v>0</x:v>
      </x:c>
      <x:c r="H22" s="9" t="str">
        <x:v>act_shop</x:v>
      </x:c>
      <x:c r="I22" s="9" t="n">
        <x:v>2</x:v>
      </x:c>
      <x:c r="J22" s="9" t="str">
        <x:v>Global</x:v>
      </x:c>
      <x:c r="K22" s="9" t="n">
        <x:v>1</x:v>
      </x:c>
      <x:c r="L22" s="1"/>
      <x:c r="M22" s="1" t="n">
        <x:v>50</x:v>
      </x:c>
      <x:c r="N22" s="1" t="str">
        <x:v>Adjust</x:v>
      </x:c>
    </x:row>
    <x:row r="23" s="9" customFormat="1" ht="34">
      <x:c r="A23"/>
      <x:c r="B23" s="9" t="str">
        <x:v>item_active_add_lottery_node</x:v>
      </x:c>
      <x:c r="C23" s="9" t="str">
        <x:v>抽奖单</x:v>
      </x:c>
      <x:c r="D23" s="12" t="str">
        <x:v>添加抽奖机
至指定节点</x:v>
      </x:c>
      <x:c r="E23"/>
      <x:c r="F23" s="9" t="str">
        <x:v>TimelineAddLotteryNode</x:v>
      </x:c>
      <x:c r="G23" s="9" t="n">
        <x:v>0</x:v>
      </x:c>
      <x:c r="H23" t="str">
        <x:v>act_slot</x:v>
      </x:c>
      <x:c r="I23" s="9" t="n">
        <x:v>2</x:v>
      </x:c>
      <x:c r="J23" s="9" t="str">
        <x:v>Global</x:v>
      </x:c>
      <x:c r="K23" s="9" t="n">
        <x:v>1</x:v>
      </x:c>
      <x:c r="L23" s="1"/>
      <x:c r="M23" s="1" t="n">
        <x:v>50</x:v>
      </x:c>
      <x:c r="N23" s="1" t="str">
        <x:v>Adjust</x:v>
      </x:c>
    </x:row>
    <x:row r="24" s="9" customFormat="1">
      <x:c r="A24"/>
      <x:c r="B24" s="9" t="str">
        <x:v>item_active_delete_timeline_node</x:v>
      </x:c>
      <x:c r="C24" s="9" t="str">
        <x:v>移除单</x:v>
      </x:c>
      <x:c r="D24" s="9" t="str">
        <x:v>移除1个节点行动</x:v>
      </x:c>
      <x:c r="E24"/>
      <x:c r="F24" s="9" t="str">
        <x:v>TimelineDeleteNode</x:v>
      </x:c>
      <x:c r="G24" s="9" t="n">
        <x:v>0</x:v>
      </x:c>
      <x:c r="H24"/>
      <x:c r="I24" s="9" t="n">
        <x:v>2</x:v>
      </x:c>
      <x:c r="J24" s="9" t="str">
        <x:v>Global</x:v>
      </x:c>
      <x:c r="K24" s="9" t="n">
        <x:v>1</x:v>
      </x:c>
      <x:c r="L24" s="1"/>
      <x:c r="M24" s="1" t="n">
        <x:v>50</x:v>
      </x:c>
      <x:c r="N24" s="1" t="str">
        <x:v>Adjust</x:v>
      </x:c>
    </x:row>
    <x:row r="25" s="9" customFormat="1" ht="34">
      <x:c r="A25"/>
      <x:c r="B25" s="9" t="str">
        <x:v>item_active_execute_future_node</x:v>
      </x:c>
      <x:c r="C25" s="9" t="str">
        <x:v>未来复制单</x:v>
      </x:c>
      <x:c r="D25" s="12" t="str">
        <x:v>指定1个未执行的节点行动
复制到最近的节点</x:v>
      </x:c>
      <x:c r="E25"/>
      <x:c r="F25" s="9" t="str">
        <x:v>TimelineExecuteFuture</x:v>
      </x:c>
      <x:c r="G25" s="9" t="n">
        <x:v>0</x:v>
      </x:c>
      <x:c r="H25"/>
      <x:c r="I25" s="9" t="n">
        <x:v>2</x:v>
      </x:c>
      <x:c r="J25" s="9" t="str">
        <x:v>Global</x:v>
      </x:c>
      <x:c r="K25" s="9" t="n">
        <x:v>1</x:v>
      </x:c>
      <x:c r="L25" s="1"/>
      <x:c r="M25" s="1" t="n">
        <x:v>50</x:v>
      </x:c>
      <x:c r="N25" s="1" t="str">
        <x:v>Adjust</x:v>
      </x:c>
    </x:row>
    <x:row r="26" s="9" customFormat="1" ht="34">
      <x:c r="A26"/>
      <x:c r="B26" s="9" t="str">
        <x:v>item_active_execute_past_node</x:v>
      </x:c>
      <x:c r="C26" s="9" t="str">
        <x:v>过往复制单</x:v>
      </x:c>
      <x:c r="D26" s="12" t="str">
        <x:v>指定1个已执行的节点行动
复制到最近的节点</x:v>
      </x:c>
      <x:c r="E26"/>
      <x:c r="F26" s="9" t="str">
        <x:v>TimelineExecutePast</x:v>
      </x:c>
      <x:c r="G26" s="9" t="n">
        <x:v>0</x:v>
      </x:c>
      <x:c r="H26"/>
      <x:c r="I26" s="9" t="n">
        <x:v>2</x:v>
      </x:c>
      <x:c r="J26" s="9" t="str">
        <x:v>Global</x:v>
      </x:c>
      <x:c r="K26" s="9" t="n">
        <x:v>1</x:v>
      </x:c>
      <x:c r="L26" s="1"/>
      <x:c r="M26" s="1" t="n">
        <x:v>50</x:v>
      </x:c>
      <x:c r="N26" s="1" t="str">
        <x:v>Adjust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235294342041016" defaultRowHeight="16.799999237060547"/>
  <x:cols>
    <x:col min="2" max="3" width="8.463234901428223" customWidth="1"/>
    <x:col min="4" max="4" width="16.16176414489746" customWidth="1"/>
    <x:col min="5" max="5" width="47.32352828979492" customWidth="1"/>
    <x:col min="8" max="8" width="9.242647171020508" style="1" customWidth="1"/>
    <x:col min="9" max="9" width="79.64705657958984" style="2" customWidth="1"/>
  </x:cols>
  <x:sheetData>
    <x:row r="1" ht="17.25" customHeight="1">
      <x:c r="B1" s="3" t="s">
        <x:v>425</x:v>
      </x:c>
      <x:c r="C1" s="3" t="s">
        <x:v>426</x:v>
      </x:c>
      <x:c r="D1" s="3" t="s">
        <x:v>427</x:v>
      </x:c>
      <x:c r="E1" s="3" t="s">
        <x:v>428</x:v>
      </x:c>
      <x:c r="H1" s="7" t="s">
        <x:v>1</x:v>
      </x:c>
      <x:c r="I1" s="2" t="s">
        <x:v>429</x:v>
      </x:c>
      <x:c r="L1" t="s">
        <x:v>430</x:v>
      </x:c>
      <x:c r="M1">
        <x:v>30</x:v>
      </x:c>
      <x:c r="N1">
        <x:v>31</x:v>
      </x:c>
      <x:c r="O1">
        <x:v>32</x:v>
      </x:c>
      <x:c r="P1">
        <x:v>33</x:v>
      </x:c>
      <x:c r="Q1">
        <x:v>34</x:v>
      </x:c>
      <x:c r="R1">
        <x:v>35</x:v>
      </x:c>
      <x:c r="S1">
        <x:v>36</x:v>
      </x:c>
      <x:c r="T1">
        <x:v>37</x:v>
      </x:c>
    </x:row>
    <x:row r="2" ht="17.25" customHeight="1">
      <x:c r="B2" s="3" t="s">
        <x:v>431</x:v>
      </x:c>
      <x:c r="C2" s="3" t="s">
        <x:v>432</x:v>
      </x:c>
      <x:c r="D2" s="3" t="s">
        <x:v>433</x:v>
      </x:c>
      <x:c r="E2" s="3" t="s">
        <x:v>434</x:v>
      </x:c>
      <x:c r="H2" s="1">
        <x:v>1</x:v>
      </x:c>
      <x:c r="I2" s="2" t="str">
        <x:f t="shared" ref="I2:I65" si="0">E2</x:f>
        <x:v>获得时，获得两个随机（xx品质）的装饰品</x:v>
      </x:c>
      <x:c r="L2" t="s">
        <x:v>435</x:v>
      </x:c>
      <x:c r="M2">
        <x:v>40</x:v>
      </x:c>
      <x:c r="N2">
        <x:v>41</x:v>
      </x:c>
      <x:c r="O2">
        <x:v>42</x:v>
      </x:c>
      <x:c r="P2">
        <x:v>43</x:v>
      </x:c>
      <x:c r="Q2">
        <x:v>44</x:v>
      </x:c>
      <x:c r="R2">
        <x:v>45</x:v>
      </x:c>
      <x:c r="S2">
        <x:v>46</x:v>
      </x:c>
      <x:c r="T2">
        <x:v>47</x:v>
      </x:c>
    </x:row>
    <x:row r="3" ht="17.25" customHeight="1">
      <x:c r="B3" s="4"/>
      <x:c r="C3" s="4"/>
      <x:c r="D3" s="3" t="s">
        <x:v>436</x:v>
      </x:c>
      <x:c r="E3" s="3" t="s">
        <x:v>437</x:v>
      </x:c>
      <x:c r="H3" s="1">
        <x:v>2</x:v>
      </x:c>
      <x:c r="I3" s="2" t="str">
        <x:f t="shared" si="0"/>
        <x:v>获得时，从多个装饰品中选择一个获得</x:v>
      </x:c>
      <x:c r="L3" t="s">
        <x:v>438</x:v>
      </x:c>
      <x:c r="M3">
        <x:v>50</x:v>
      </x:c>
      <x:c r="N3">
        <x:v>51</x:v>
      </x:c>
      <x:c r="O3">
        <x:v>52</x:v>
      </x:c>
      <x:c r="P3">
        <x:v>53</x:v>
      </x:c>
      <x:c r="Q3">
        <x:v>54</x:v>
      </x:c>
      <x:c r="R3">
        <x:v>55</x:v>
      </x:c>
      <x:c r="S3">
        <x:v>56</x:v>
      </x:c>
      <x:c r="T3">
        <x:v>57</x:v>
      </x:c>
    </x:row>
    <x:row r="4" ht="17.25" customHeight="1">
      <x:c r="B4" s="4"/>
      <x:c r="C4" s="4"/>
      <x:c r="D4" s="3" t="s">
        <x:v>439</x:v>
      </x:c>
      <x:c r="E4" s="3" t="s">
        <x:v>440</x:v>
      </x:c>
      <x:c r="H4" s="1">
        <x:v>3</x:v>
      </x:c>
      <x:c r="I4" s="2" t="str">
        <x:f t="shared" si="0"/>
        <x:v>获得时，获得两个随机（xx品质）的消耗品</x:v>
      </x:c>
    </x:row>
    <x:row r="5" ht="17.25" customHeight="1">
      <x:c r="B5" s="4"/>
      <x:c r="C5" s="4"/>
      <x:c r="D5" s="3" t="s">
        <x:v>436</x:v>
      </x:c>
      <x:c r="E5" s="3" t="s">
        <x:v>441</x:v>
      </x:c>
      <x:c r="H5" s="1">
        <x:v>4</x:v>
      </x:c>
      <x:c r="I5" s="2" t="str">
        <x:f t="shared" si="0"/>
        <x:v>获得时，从多个消耗品中选择一个获得</x:v>
      </x:c>
    </x:row>
    <x:row r="6" ht="17.25" customHeight="1">
      <x:c r="B6" s="4"/>
      <x:c r="C6" s="4"/>
      <x:c r="D6" s="3" t="s">
        <x:v>442</x:v>
      </x:c>
      <x:c r="E6" s="3" t="s">
        <x:v>443</x:v>
      </x:c>
      <x:c r="H6" s="1">
        <x:v>5</x:v>
      </x:c>
      <x:c r="I6" s="2" t="str">
        <x:f t="shared" si="0"/>
        <x:v>获得时，从多个食物中选择一个获得</x:v>
      </x:c>
      <x:c r="Q6" t="s">
        <x:v>444</x:v>
      </x:c>
    </x:row>
    <x:row r="7" ht="17.25" customHeight="1">
      <x:c r="B7" s="4"/>
      <x:c r="C7" s="4"/>
      <x:c r="D7" s="3" t="s">
        <x:v>445</x:v>
      </x:c>
      <x:c r="E7" s="3" t="s">
        <x:v>446</x:v>
      </x:c>
      <x:c r="H7" s="1">
        <x:v>6</x:v>
      </x:c>
      <x:c r="I7" s="2" t="str">
        <x:f t="shared" si="0"/>
        <x:v>获得时，从多个餐桌格中选择一个获得</x:v>
      </x:c>
      <x:c r="K7" t="s">
        <x:v>447</x:v>
      </x:c>
      <x:c r="M7">
        <x:v>300</x:v>
      </x:c>
      <x:c r="O7" t="s">
        <x:v>50</x:v>
      </x:c>
      <x:c r="Q7" t="e">
        <x:f>COUNTIF(装饰品!$E$4:$E$93,K7)</x:f>
        <x:v>#NAME?</x:v>
      </x:c>
      <x:c r="S7">
        <x:v>40</x:v>
      </x:c>
      <x:c r="U7" t="e">
        <x:f>Q7/SUM($Q$7:$Q$10)</x:f>
        <x:v>#NAME?</x:v>
      </x:c>
    </x:row>
    <x:row r="8" ht="17.25" customHeight="1">
      <x:c r="B8" s="4"/>
      <x:c r="C8" s="4"/>
      <x:c r="D8" s="3" t="s">
        <x:v>448</x:v>
      </x:c>
      <x:c r="E8" s="3" t="s">
        <x:v>449</x:v>
      </x:c>
      <x:c r="H8" s="1">
        <x:v>7</x:v>
      </x:c>
      <x:c r="I8" s="2" t="str">
        <x:f t="shared" si="0"/>
        <x:v>获得时，获得一个随机装饰品、随机食物、50金币</x:v>
      </x:c>
      <x:c r="K8" t="s">
        <x:v>450</x:v>
      </x:c>
      <x:c r="M8">
        <x:v>100</x:v>
      </x:c>
      <x:c r="O8" t="s">
        <x:v>61</x:v>
      </x:c>
      <x:c r="Q8" t="e">
        <x:f>COUNTIF(装饰品!$E$4:$E$93,K8)</x:f>
        <x:v>#NAME?</x:v>
      </x:c>
      <x:c r="S8">
        <x:v>80</x:v>
      </x:c>
      <x:c r="U8">
        <x:v>0.362637362637363</x:v>
      </x:c>
    </x:row>
    <x:row r="9" ht="17.25" customHeight="1">
      <x:c r="B9" s="4"/>
      <x:c r="C9" s="4"/>
      <x:c r="D9" s="3" t="s">
        <x:v>451</x:v>
      </x:c>
      <x:c r="E9" s="3" t="s">
        <x:v>452</x:v>
      </x:c>
      <x:c r="H9" s="1">
        <x:v>8</x:v>
      </x:c>
      <x:c r="I9" s="2" t="str">
        <x:f t="shared" si="0"/>
        <x:v>所有装饰品和消耗品替换为随机装饰品和消耗品</x:v>
      </x:c>
      <x:c r="K9" t="s">
        <x:v>453</x:v>
      </x:c>
      <x:c r="M9">
        <x:v>30</x:v>
      </x:c>
      <x:c r="O9" t="s">
        <x:v>44</x:v>
      </x:c>
      <x:c r="Q9" t="e">
        <x:f>COUNTIF(装饰品!$E$4:$E$93,K9)</x:f>
        <x:v>#NAME?</x:v>
      </x:c>
      <x:c r="S9">
        <x:v>150</x:v>
      </x:c>
      <x:c r="U9">
        <x:v>0.120879120879121</x:v>
      </x:c>
    </x:row>
    <x:row r="10" ht="17.25" customHeight="1">
      <x:c r="B10" s="4"/>
      <x:c r="C10" s="4" t="s">
        <x:v>454</x:v>
      </x:c>
      <x:c r="D10" s="3" t="s">
        <x:v>455</x:v>
      </x:c>
      <x:c r="E10" s="3" t="s">
        <x:v>456</x:v>
      </x:c>
      <x:c r="H10" s="1">
        <x:v>9</x:v>
      </x:c>
      <x:c r="I10" s="2" t="str">
        <x:f t="shared" si="0"/>
        <x:v>获得1～100个金币</x:v>
      </x:c>
      <x:c r="K10" t="s">
        <x:v>457</x:v>
      </x:c>
      <x:c r="M10">
        <x:v>10</x:v>
      </x:c>
      <x:c r="O10" t="s">
        <x:v>201</x:v>
      </x:c>
      <x:c r="Q10" t="e">
        <x:f>COUNTIF(装饰品!$E$4:$E$93,K10)</x:f>
        <x:v>#NAME?</x:v>
      </x:c>
      <x:c r="S10">
        <x:v>240</x:v>
      </x:c>
      <x:c r="U10">
        <x:v>0.043956043956044</x:v>
      </x:c>
    </x:row>
    <x:row r="11" ht="17.25" customHeight="1">
      <x:c r="B11" s="4"/>
      <x:c r="C11" s="3"/>
      <x:c r="D11" s="3" t="s">
        <x:v>458</x:v>
      </x:c>
      <x:c r="E11" s="3" t="s">
        <x:v>459</x:v>
      </x:c>
      <x:c r="H11" s="1">
        <x:v>10</x:v>
      </x:c>
      <x:c r="I11" s="2" t="str">
        <x:f t="shared" si="0"/>
        <x:v>接下来10局食物，额外获得15金币</x:v>
      </x:c>
    </x:row>
    <x:row r="12" ht="17.25" customHeight="1">
      <x:c r="B12" s="4"/>
      <x:c r="C12" s="4"/>
      <x:c r="D12" s="3" t="s">
        <x:v>460</x:v>
      </x:c>
      <x:c r="E12" s="3" t="s">
        <x:v>461</x:v>
      </x:c>
      <x:c r="H12" s="1">
        <x:v>11</x:v>
      </x:c>
      <x:c r="I12" s="2" t="str">
        <x:f t="shared" si="0"/>
        <x:v>完成本次星级评鉴后，额外获得100金币</x:v>
      </x:c>
      <x:c r="P12" t="s">
        <x:v>462</x:v>
      </x:c>
      <x:c r="Q12" t="s">
        <x:v>463</x:v>
      </x:c>
      <x:c r="R12" t="s">
        <x:v>464</x:v>
      </x:c>
    </x:row>
    <x:row r="13" ht="17.25" customHeight="1">
      <x:c r="B13" s="4"/>
      <x:c r="C13" s="4"/>
      <x:c r="D13" s="5" t="s">
        <x:v>465</x:v>
      </x:c>
      <x:c r="E13" s="3" t="s">
        <x:v>466</x:v>
      </x:c>
      <x:c r="H13" s="1">
        <x:v>12</x:v>
      </x:c>
      <x:c r="I13" s="2" t="str">
        <x:f t="shared" si="0"/>
        <x:v>食物结束获得的金币，额外获得20%</x:v>
      </x:c>
      <x:c r="K13" t="n">
        <x:f>100*0.1*6</x:f>
        <x:v>60</x:v>
      </x:c>
      <x:c r="M13" t="s">
        <x:v>467</x:v>
      </x:c>
      <x:c r="N13">
        <x:v>240</x:v>
      </x:c>
    </x:row>
    <x:row r="14" ht="17.25" customHeight="1">
      <x:c r="B14" s="4"/>
      <x:c r="C14" s="4" t="s">
        <x:v>468</x:v>
      </x:c>
      <x:c r="D14" s="3" t="s">
        <x:v>469</x:v>
      </x:c>
      <x:c r="E14" s="3" t="s">
        <x:v>470</x:v>
      </x:c>
      <x:c r="H14" s="1">
        <x:v>13</x:v>
      </x:c>
      <x:c r="I14" s="2" t="str">
        <x:f t="shared" si="0"/>
        <x:v>购买食物打折20%</x:v>
      </x:c>
      <x:c r="K14" t="n">
        <x:f>80*5*0.2</x:f>
        <x:v>80</x:v>
      </x:c>
      <x:c r="M14" t="s">
        <x:v>471</x:v>
      </x:c>
      <x:c r="N14">
        <x:v>150</x:v>
      </x:c>
      <x:c r="P14">
        <x:v>250</x:v>
      </x:c>
    </x:row>
    <x:row r="15" ht="17.25" customHeight="1">
      <x:c r="B15" s="4"/>
      <x:c r="C15" s="3"/>
      <x:c r="D15" s="3" t="s">
        <x:v>472</x:v>
      </x:c>
      <x:c r="E15" s="3" t="s">
        <x:v>473</x:v>
      </x:c>
      <x:c r="H15" s="1">
        <x:v>14</x:v>
      </x:c>
      <x:c r="I15" s="2" t="str">
        <x:f t="shared" si="0"/>
        <x:v>购买碎片打折20%</x:v>
      </x:c>
      <x:c r="K15" t="n">
        <x:f>0.15*40*10</x:f>
        <x:v>60</x:v>
      </x:c>
      <x:c r="M15" t="s">
        <x:v>474</x:v>
      </x:c>
      <x:c r="N15">
        <x:v>80</x:v>
      </x:c>
      <x:c r="P15">
        <x:v>150</x:v>
      </x:c>
      <x:c r="Q15">
        <x:v>10</x:v>
      </x:c>
    </x:row>
    <x:row r="16" ht="17.25" customHeight="1">
      <x:c r="B16" s="4"/>
      <x:c r="C16" s="4"/>
      <x:c r="D16" s="3" t="s">
        <x:v>475</x:v>
      </x:c>
      <x:c r="E16" s="3" t="s">
        <x:v>476</x:v>
      </x:c>
      <x:c r="H16" s="1">
        <x:v>15</x:v>
      </x:c>
      <x:c r="I16" s="2" t="str">
        <x:f t="shared" si="0"/>
        <x:v>买消耗品打折20%</x:v>
      </x:c>
      <x:c r="M16" t="s">
        <x:v>477</x:v>
      </x:c>
      <x:c r="N16">
        <x:v>40</x:v>
      </x:c>
      <x:c r="P16">
        <x:v>70</x:v>
      </x:c>
      <x:c r="Q16">
        <x:v>5</x:v>
      </x:c>
    </x:row>
    <x:row r="17" ht="17.25" customHeight="1">
      <x:c r="B17" s="4"/>
      <x:c r="C17" s="4"/>
      <x:c r="D17" s="3" t="s">
        <x:v>478</x:v>
      </x:c>
      <x:c r="E17" s="3" t="s">
        <x:v>479</x:v>
      </x:c>
      <x:c r="H17" s="1">
        <x:v>16</x:v>
      </x:c>
      <x:c r="I17" s="2" t="str">
        <x:f t="shared" si="0"/>
        <x:v>买装饰品打折20%</x:v>
      </x:c>
    </x:row>
    <x:row r="18" ht="17.25" customHeight="1">
      <x:c r="B18" s="4"/>
      <x:c r="C18" s="4"/>
      <x:c r="D18" s="3" t="s">
        <x:v>480</x:v>
      </x:c>
      <x:c r="E18" s="3" t="s">
        <x:v>481</x:v>
      </x:c>
      <x:c r="H18" s="1">
        <x:v>17</x:v>
      </x:c>
      <x:c r="I18" s="2" t="str">
        <x:f t="shared" si="0"/>
        <x:v>移除食物价格打折20%</x:v>
      </x:c>
      <x:c r="M18" t="s">
        <x:v>482</x:v>
      </x:c>
      <x:c r="N18">
        <x:v>1.4</x:v>
      </x:c>
    </x:row>
    <x:row r="19" ht="17.25" customHeight="1">
      <x:c r="B19" s="4"/>
      <x:c r="C19" s="4"/>
      <x:c r="D19" s="3" t="s">
        <x:v>480</x:v>
      </x:c>
      <x:c r="E19" s="3" t="s">
        <x:v>483</x:v>
      </x:c>
      <x:c r="H19" s="1">
        <x:v>18</x:v>
      </x:c>
      <x:c r="I19" s="2" t="str">
        <x:f t="shared" si="0"/>
        <x:v>移除食物价格固定为30金币</x:v>
      </x:c>
    </x:row>
    <x:row r="20" ht="17.25" customHeight="1">
      <x:c r="B20" s="4"/>
      <x:c r="C20" s="4" t="s">
        <x:v>484</x:v>
      </x:c>
      <x:c r="D20" s="3" t="s">
        <x:v>485</x:v>
      </x:c>
      <x:c r="E20" s="3" t="s">
        <x:v>486</x:v>
      </x:c>
      <x:c r="H20" s="1">
        <x:v>19</x:v>
      </x:c>
      <x:c r="I20" s="2" t="str">
        <x:f t="shared" si="0"/>
        <x:v>分数未达标时，不失败，失去此装饰品和消耗品</x:v>
      </x:c>
      <x:c r="K20" t="n">
        <x:f>0.9*0.8</x:f>
        <x:v>0.7200000000000001</x:v>
      </x:c>
      <x:c r="N20" t="n">
        <x:f>280*5</x:f>
        <x:v>1400</x:v>
      </x:c>
    </x:row>
    <x:row r="21" ht="17.25" customHeight="1">
      <x:c r="B21" s="4"/>
      <x:c r="C21" s="4" t="s">
        <x:v>487</x:v>
      </x:c>
      <x:c r="D21" s="3" t="s">
        <x:v>488</x:v>
      </x:c>
      <x:c r="E21" s="3" t="s">
        <x:v>489</x:v>
      </x:c>
      <x:c r="H21" s="1">
        <x:v>20</x:v>
      </x:c>
      <x:c r="I21" s="2" t="str">
        <x:f t="shared" si="0"/>
        <x:v>接下来3局非星级评鉴（星级评鉴），分数要求为1</x:v>
      </x:c>
      <x:c r="N21" t="n">
        <x:f>N20*0.8</x:f>
        <x:v>1120</x:v>
      </x:c>
    </x:row>
    <x:row r="22" ht="17.25" customHeight="1">
      <x:c r="B22" s="4"/>
      <x:c r="C22" s="3"/>
      <x:c r="D22" s="3" t="s">
        <x:v>490</x:v>
      </x:c>
      <x:c r="E22" s="3" t="s">
        <x:v>491</x:v>
      </x:c>
      <x:c r="H22" s="1">
        <x:v>21</x:v>
      </x:c>
      <x:c r="I22" s="2" t="str">
        <x:f t="shared" si="0"/>
        <x:v>日常营业目标美味值-10%</x:v>
      </x:c>
      <x:c r="N22" t="n">
        <x:f>N21*0.15</x:f>
        <x:v>168</x:v>
      </x:c>
    </x:row>
    <x:row r="23" ht="17.25" customHeight="1">
      <x:c r="B23" s="4"/>
      <x:c r="C23" s="3"/>
      <x:c r="D23" s="3" t="s">
        <x:v>492</x:v>
      </x:c>
      <x:c r="E23" s="3" t="s">
        <x:v>493</x:v>
      </x:c>
      <x:c r="H23" s="1">
        <x:v>22</x:v>
      </x:c>
      <x:c r="I23" s="2" t="str">
        <x:f t="shared" si="0"/>
        <x:v>火热营业目标美味值-10%</x:v>
      </x:c>
    </x:row>
    <x:row r="24" ht="17.25" customHeight="1">
      <x:c r="B24" s="4"/>
      <x:c r="C24" s="4"/>
      <x:c r="D24" s="3" t="s">
        <x:v>494</x:v>
      </x:c>
      <x:c r="E24" s="3" t="s">
        <x:v>495</x:v>
      </x:c>
      <x:c r="H24" s="1">
        <x:v>23</x:v>
      </x:c>
      <x:c r="I24" s="2" t="str">
        <x:f t="shared" si="0"/>
        <x:v>星级评鉴食物目标美味值-10%</x:v>
      </x:c>
    </x:row>
    <x:row r="25" ht="17.25" customHeight="1">
      <x:c r="B25" s="4"/>
      <x:c r="C25" s="4" t="s">
        <x:v>496</x:v>
      </x:c>
      <x:c r="D25" s="3" t="s">
        <x:v>497</x:v>
      </x:c>
      <x:c r="E25" s="3" t="s">
        <x:v>498</x:v>
      </x:c>
      <x:c r="H25" s="1">
        <x:v>24</x:v>
      </x:c>
      <x:c r="I25" s="2" t="str">
        <x:f t="shared" si="0"/>
        <x:v>结算时，食物数量小于等于10，所有食物倍率×1.1</x:v>
      </x:c>
    </x:row>
    <x:row r="26" ht="17.25" customHeight="1">
      <x:c r="B26" s="4"/>
      <x:c r="C26" s="4"/>
      <x:c r="D26" s="3" t="s">
        <x:v>497</x:v>
      </x:c>
      <x:c r="E26" s="3" t="s">
        <x:v>499</x:v>
      </x:c>
      <x:c r="H26" s="1">
        <x:v>25</x:v>
      </x:c>
      <x:c r="I26" s="2" t="str">
        <x:f t="shared" si="0"/>
        <x:v>结算时，食物数量大于等于10，所有食物倍率×1.1</x:v>
      </x:c>
      <x:c r="P26">
        <x:v>180</x:v>
      </x:c>
    </x:row>
    <x:row r="27" ht="17.25" customHeight="1">
      <x:c r="B27" s="4"/>
      <x:c r="C27" s="3" t="s">
        <x:v>500</x:v>
      </x:c>
      <x:c r="D27" s="3" t="s">
        <x:v>501</x:v>
      </x:c>
      <x:c r="E27" s="3" t="s">
        <x:v>502</x:v>
      </x:c>
      <x:c r="H27" s="1">
        <x:v>26</x:v>
      </x:c>
      <x:c r="I27" s="2" t="str">
        <x:f t="shared" si="0"/>
        <x:v>结算时，食物倍率+0倍（每结算1个食物+0.1倍）</x:v>
      </x:c>
      <x:c r="R27">
        <x:v>60</x:v>
      </x:c>
    </x:row>
    <x:row r="28" ht="17.25" customHeight="1">
      <x:c r="B28" s="4"/>
      <x:c r="C28" s="4" t="s">
        <x:v>503</x:v>
      </x:c>
      <x:c r="D28" s="3" t="s">
        <x:v>504</x:v>
      </x:c>
      <x:c r="E28" s="3" t="s">
        <x:v>505</x:v>
      </x:c>
      <x:c r="H28" s="1">
        <x:v>27</x:v>
      </x:c>
      <x:c r="I28" s="2" t="str">
        <x:f t="shared" si="0"/>
        <x:v>所有食物基础分数永久+10</x:v>
      </x:c>
    </x:row>
    <x:row r="29" ht="17.25" customHeight="1">
      <x:c r="B29" s="4"/>
      <x:c r="C29" s="3" t="s">
        <x:v>506</x:v>
      </x:c>
      <x:c r="D29" s="3" t="s">
        <x:v>504</x:v>
      </x:c>
      <x:c r="E29" s="3" t="s">
        <x:v>507</x:v>
      </x:c>
      <x:c r="H29" s="1">
        <x:v>28</x:v>
      </x:c>
      <x:c r="I29" s="2" t="str">
        <x:f t="shared" si="0"/>
        <x:v>所有食物基础倍率永久+0.2</x:v>
      </x:c>
    </x:row>
    <x:row r="30" ht="17.25" customHeight="1">
      <x:c r="B30" s="4"/>
      <x:c r="C30" s="3" t="s">
        <x:v>508</x:v>
      </x:c>
      <x:c r="D30" s="3" t="s">
        <x:v>509</x:v>
      </x:c>
      <x:c r="E30" s="3" t="s">
        <x:v>510</x:v>
      </x:c>
      <x:c r="H30" s="1">
        <x:v>29</x:v>
      </x:c>
      <x:c r="I30" s="2" t="str">
        <x:f t="shared" si="0"/>
        <x:v>每5次上菜后，下一次上菜，可以看见食物是什么</x:v>
      </x:c>
    </x:row>
    <x:row r="31" ht="17.25" customHeight="1">
      <x:c r="B31" s="4"/>
      <x:c r="C31" s="3"/>
      <x:c r="D31" s="3" t="s">
        <x:v>509</x:v>
      </x:c>
      <x:c r="E31" s="3" t="s">
        <x:v>511</x:v>
      </x:c>
      <x:c r="H31" s="1">
        <x:v>30</x:v>
      </x:c>
      <x:c r="I31" s="2" t="str">
        <x:f t="shared" si="0"/>
        <x:v>每局前三次上菜，可以看见食物</x:v>
      </x:c>
    </x:row>
    <x:row r="32" ht="17.25" customHeight="1">
      <x:c r="B32" s="4"/>
      <x:c r="C32" s="3" t="s">
        <x:v>512</x:v>
      </x:c>
      <x:c r="D32" s="3" t="s">
        <x:v>512</x:v>
      </x:c>
      <x:c r="E32" s="3" t="s">
        <x:v>513</x:v>
      </x:c>
      <x:c r="H32" s="1">
        <x:v>31</x:v>
      </x:c>
      <x:c r="I32" s="2" t="str">
        <x:f t="shared" si="0"/>
        <x:v>随机将5个食物，变为至少同品质的食物</x:v>
      </x:c>
    </x:row>
    <x:row r="33" ht="17.25" customHeight="1">
      <x:c r="B33" s="4"/>
      <x:c r="C33" s="4"/>
      <x:c r="D33" s="3" t="s">
        <x:v>514</x:v>
      </x:c>
      <x:c r="E33" s="3" t="s">
        <x:v>515</x:v>
      </x:c>
      <x:c r="H33" s="1">
        <x:v>32</x:v>
      </x:c>
      <x:c r="I33" s="2" t="str">
        <x:f t="shared" si="0"/>
        <x:v>进入商店时，获得10金币</x:v>
      </x:c>
    </x:row>
    <x:row r="34" ht="17.25" customHeight="1">
      <x:c r="B34" s="4"/>
      <x:c r="C34" s="4"/>
      <x:c r="D34" s="3" t="s">
        <x:v>516</x:v>
      </x:c>
      <x:c r="E34" s="3" t="s">
        <x:v>517</x:v>
      </x:c>
      <x:c r="H34" s="1">
        <x:v>33</x:v>
      </x:c>
      <x:c r="I34" s="2" t="str">
        <x:f t="shared" si="0"/>
        <x:v>每周结束，额外执行一次利息</x:v>
      </x:c>
    </x:row>
    <x:row r="35" ht="17.25" customHeight="1">
      <x:c r="B35" s="4"/>
      <x:c r="C35" s="3"/>
      <x:c r="D35" s="3" t="s">
        <x:v>518</x:v>
      </x:c>
      <x:c r="E35" s="3" t="s">
        <x:v>519</x:v>
      </x:c>
      <x:c r="H35" s="1">
        <x:v>34</x:v>
      </x:c>
      <x:c r="I35" s="2" t="str">
        <x:f t="shared" si="0"/>
        <x:v>回合结束金币小于10时，获得10金币</x:v>
      </x:c>
    </x:row>
    <x:row r="36" ht="17.25" customHeight="1">
      <x:c r="B36" s="4"/>
      <x:c r="C36" s="3"/>
      <x:c r="D36" s="6" t="s">
        <x:v>520</x:v>
      </x:c>
      <x:c r="E36" s="3" t="s">
        <x:v>521</x:v>
      </x:c>
      <x:c r="H36" s="1">
        <x:v>35</x:v>
      </x:c>
      <x:c r="I36" s="2" t="str">
        <x:f t="shared" si="0"/>
        <x:v>利息上限扩展到10金币</x:v>
      </x:c>
      <x:c r="K36" t="n">
        <x:f>15*6</x:f>
        <x:v>90</x:v>
      </x:c>
    </x:row>
    <x:row r="37" ht="17.25" customHeight="1">
      <x:c r="B37" s="4"/>
      <x:c r="C37" s="3"/>
      <x:c r="D37" s="3" t="s">
        <x:v>522</x:v>
      </x:c>
      <x:c r="E37" s="3" t="s">
        <x:v>523</x:v>
      </x:c>
      <x:c r="H37" s="1">
        <x:v>36</x:v>
      </x:c>
      <x:c r="I37" s="2" t="str">
        <x:f t="shared" si="0"/>
        <x:v>临时获得300金币，下一周失去600金币</x:v>
      </x:c>
    </x:row>
    <x:row r="38" ht="17.25" customHeight="1">
      <x:c r="B38" s="4"/>
      <x:c r="C38" s="3" t="s">
        <x:v>524</x:v>
      </x:c>
      <x:c r="D38" s="3" t="s">
        <x:v>451</x:v>
      </x:c>
      <x:c r="E38" s="3" t="s">
        <x:v>525</x:v>
      </x:c>
      <x:c r="H38" s="1">
        <x:v>37</x:v>
      </x:c>
      <x:c r="I38" s="2" t="str">
        <x:f t="shared" si="0"/>
        <x:v>随机化时间轴的节点行动。</x:v>
      </x:c>
      <x:c r="K38" t="n">
        <x:f>3*50</x:f>
        <x:v>150</x:v>
      </x:c>
    </x:row>
    <x:row r="39" ht="17.25" customHeight="1">
      <x:c r="B39" s="4"/>
      <x:c r="C39" s="4"/>
      <x:c r="D39" s="3" t="s">
        <x:v>526</x:v>
      </x:c>
      <x:c r="E39" s="3" t="s">
        <x:v>527</x:v>
      </x:c>
      <x:c r="H39" s="1">
        <x:v>38</x:v>
      </x:c>
      <x:c r="I39" s="2" t="str">
        <x:f t="shared" si="0"/>
        <x:v>延后所有星级评鉴一天</x:v>
      </x:c>
    </x:row>
    <x:row r="40" ht="17.25" customHeight="1">
      <x:c r="B40" s="4"/>
      <x:c r="C40" s="4"/>
      <x:c r="D40" s="3" t="s">
        <x:v>528</x:v>
      </x:c>
      <x:c r="E40" s="3" t="s">
        <x:v>528</x:v>
      </x:c>
      <x:c r="H40" s="1">
        <x:v>39</x:v>
      </x:c>
      <x:c r="I40" s="2" t="str">
        <x:f t="shared" si="0"/>
        <x:v>周数-1</x:v>
      </x:c>
      <x:c r="K40" t="s">
        <x:v>529</x:v>
      </x:c>
    </x:row>
    <x:row r="41" ht="17.25" customHeight="1">
      <x:c r="B41" s="4"/>
      <x:c r="C41" s="4"/>
      <x:c r="D41" s="3" t="s">
        <x:v>530</x:v>
      </x:c>
      <x:c r="E41" s="3" t="s">
        <x:v>531</x:v>
      </x:c>
      <x:c r="H41" s="1">
        <x:v>40</x:v>
      </x:c>
      <x:c r="I41" s="2" t="str">
        <x:f t="shared" si="0"/>
        <x:v>增加一个奖励节点到时间轴上</x:v>
      </x:c>
    </x:row>
    <x:row r="42" ht="17.25" customHeight="1">
      <x:c r="B42" s="4"/>
      <x:c r="C42" s="4"/>
      <x:c r="D42" s="3" t="s">
        <x:v>532</x:v>
      </x:c>
      <x:c r="E42" s="3" t="s">
        <x:v>533</x:v>
      </x:c>
      <x:c r="H42" s="1">
        <x:v>41</x:v>
      </x:c>
      <x:c r="I42" s="2" t="str">
        <x:f t="shared" si="0"/>
        <x:v>增加一个利息节点到时间轴上</x:v>
      </x:c>
    </x:row>
    <x:row r="43" ht="17.25" customHeight="1">
      <x:c r="B43" s="4"/>
      <x:c r="C43" s="4" t="s">
        <x:v>534</x:v>
      </x:c>
      <x:c r="D43" s="3" t="s">
        <x:v>535</x:v>
      </x:c>
      <x:c r="E43" s="3" t="s">
        <x:v>536</x:v>
      </x:c>
      <x:c r="H43" s="1">
        <x:v>42</x:v>
      </x:c>
      <x:c r="I43" s="2" t="str">
        <x:f t="shared" si="0"/>
        <x:v>每上3个食物后，下1个食物倍率+2</x:v>
      </x:c>
    </x:row>
    <x:row r="44" ht="17.25" customHeight="1">
      <x:c r="B44" s="4"/>
      <x:c r="C44" s="3"/>
      <x:c r="D44" s="3" t="s">
        <x:v>537</x:v>
      </x:c>
      <x:c r="E44" s="3" t="s">
        <x:v>538</x:v>
      </x:c>
      <x:c r="H44" s="1">
        <x:v>43</x:v>
      </x:c>
      <x:c r="I44" s="2" t="str">
        <x:f t="shared" si="0"/>
        <x:v>第一个上的食物，倍率×2</x:v>
      </x:c>
    </x:row>
    <x:row r="45" ht="17.25" customHeight="1">
      <x:c r="B45" s="4"/>
      <x:c r="C45" s="4"/>
      <x:c r="D45" s="3" t="s">
        <x:v>539</x:v>
      </x:c>
      <x:c r="E45" s="3" t="s">
        <x:v>540</x:v>
      </x:c>
      <x:c r="H45" s="1">
        <x:v>44</x:v>
      </x:c>
      <x:c r="I45" s="2" t="str">
        <x:f t="shared" si="0"/>
        <x:v>最后一个上的食物，倍率×2</x:v>
      </x:c>
    </x:row>
    <x:row r="46" ht="17.25" customHeight="1">
      <x:c r="B46" s="4"/>
      <x:c r="C46" s="4" t="s">
        <x:v>541</x:v>
      </x:c>
      <x:c r="D46" s="3" t="s">
        <x:v>542</x:v>
      </x:c>
      <x:c r="E46" s="3" t="s">
        <x:v>543</x:v>
      </x:c>
      <x:c r="H46" s="1">
        <x:v>45</x:v>
      </x:c>
      <x:c r="I46" s="2" t="str">
        <x:f t="shared" si="0"/>
        <x:v>增加2个额外消耗品栏</x:v>
      </x:c>
      <x:c r="L46">
        <x:v>4</x:v>
      </x:c>
      <x:c r="N46">
        <x:v>2</x:v>
      </x:c>
      <x:c r="O46">
        <x:v>3</x:v>
      </x:c>
    </x:row>
    <x:row r="47" ht="17.25" customHeight="1">
      <x:c r="B47" s="4"/>
      <x:c r="C47" s="4"/>
      <x:c r="D47" s="3" t="s">
        <x:v>454</x:v>
      </x:c>
      <x:c r="E47" s="3" t="s">
        <x:v>544</x:v>
      </x:c>
      <x:c r="H47" s="1">
        <x:v>46</x:v>
      </x:c>
      <x:c r="I47" s="2" t="str">
        <x:f t="shared" si="0"/>
        <x:v>使用消耗品时，获得20金币</x:v>
      </x:c>
      <x:c r="L47">
        <x:v>9</x:v>
      </x:c>
    </x:row>
    <x:row r="48" ht="17.25" customHeight="1">
      <x:c r="B48" s="4"/>
      <x:c r="C48" s="4"/>
      <x:c r="D48" s="3" t="s">
        <x:v>545</x:v>
      </x:c>
      <x:c r="E48" s="3" t="s">
        <x:v>546</x:v>
      </x:c>
      <x:c r="H48" s="1">
        <x:v>47</x:v>
      </x:c>
      <x:c r="I48" s="2" t="str">
        <x:f t="shared" si="0"/>
        <x:v>无法获得消耗品，获得1000金币</x:v>
      </x:c>
    </x:row>
    <x:row r="49" ht="17.25" customHeight="1">
      <x:c r="B49" s="4"/>
      <x:c r="C49" s="3" t="s">
        <x:v>547</x:v>
      </x:c>
      <x:c r="D49" s="3" t="s">
        <x:v>548</x:v>
      </x:c>
      <x:c r="E49" s="3" t="s">
        <x:v>549</x:v>
      </x:c>
      <x:c r="H49" s="1">
        <x:v>48</x:v>
      </x:c>
      <x:c r="I49" s="2" t="str">
        <x:f t="shared" si="0"/>
        <x:v>强化两个随机风味到无风味食物上</x:v>
      </x:c>
    </x:row>
    <x:row r="50" ht="17.25" customHeight="1">
      <x:c r="B50" s="4"/>
      <x:c r="C50" s="4"/>
      <x:c r="D50" s="3" t="s">
        <x:v>550</x:v>
      </x:c>
      <x:c r="E50" s="3" t="s">
        <x:v>551</x:v>
      </x:c>
      <x:c r="H50" s="1">
        <x:v>49</x:v>
      </x:c>
      <x:c r="I50" s="2" t="str">
        <x:f t="shared" si="0"/>
        <x:v>移除1个食物的风味，获得200金币</x:v>
      </x:c>
    </x:row>
    <x:row r="51" ht="17.25" customHeight="1">
      <x:c r="B51" s="4"/>
      <x:c r="C51" s="4"/>
      <x:c r="D51" s="3" t="s">
        <x:v>552</x:v>
      </x:c>
      <x:c r="E51" s="3" t="s">
        <x:v>553</x:v>
      </x:c>
      <x:c r="H51" s="1">
        <x:v>50</x:v>
      </x:c>
      <x:c r="I51" s="2" t="str">
        <x:f t="shared" si="0"/>
        <x:v>移除1个食物的风味，其技能复制</x:v>
      </x:c>
    </x:row>
    <x:row r="52" ht="17.25" customHeight="1">
      <x:c r="B52" s="4"/>
      <x:c r="C52" s="3"/>
      <x:c r="D52" s="3" t="s">
        <x:v>554</x:v>
      </x:c>
      <x:c r="E52" s="3" t="s">
        <x:v>555</x:v>
      </x:c>
      <x:c r="H52" s="1">
        <x:v>51</x:v>
      </x:c>
      <x:c r="I52" s="2" t="str">
        <x:f t="shared" si="0"/>
        <x:v>移除1个食物的风味，其分数翻倍</x:v>
      </x:c>
    </x:row>
    <x:row r="53" ht="17.25" customHeight="1">
      <x:c r="B53" s="4"/>
      <x:c r="C53" s="4"/>
      <x:c r="D53" s="3" t="s">
        <x:v>556</x:v>
      </x:c>
      <x:c r="E53" s="3" t="s">
        <x:v>557</x:v>
      </x:c>
      <x:c r="H53" s="1">
        <x:v>52</x:v>
      </x:c>
      <x:c r="I53" s="2" t="str">
        <x:f t="shared" si="0"/>
        <x:v>允许1个食物拥有两个风味</x:v>
      </x:c>
    </x:row>
    <x:row r="54" ht="17.25" customHeight="1">
      <x:c r="B54" s="4"/>
      <x:c r="C54" s="4"/>
      <x:c r="D54" s="3" t="s">
        <x:v>558</x:v>
      </x:c>
      <x:c r="E54" s="3" t="s">
        <x:v>559</x:v>
      </x:c>
      <x:c r="H54" s="1">
        <x:v>53</x:v>
      </x:c>
      <x:c r="I54" s="2" t="str">
        <x:f t="shared" si="0"/>
        <x:v>将1个食物的风味强化到无风味食物上</x:v>
      </x:c>
    </x:row>
    <x:row r="55" ht="17.25" customHeight="1">
      <x:c r="B55" s="4"/>
      <x:c r="C55" s="3" t="s">
        <x:v>560</x:v>
      </x:c>
      <x:c r="D55" s="3" t="s">
        <x:v>561</x:v>
      </x:c>
      <x:c r="E55" s="3" t="s">
        <x:v>562</x:v>
      </x:c>
      <x:c r="H55" s="1">
        <x:v>54</x:v>
      </x:c>
      <x:c r="I55" s="2" t="str">
        <x:f t="shared" si="0"/>
        <x:v>强化两个随机标签到胃部格子上</x:v>
      </x:c>
    </x:row>
    <x:row r="56" ht="17.25" customHeight="1">
      <x:c r="B56" s="4"/>
      <x:c r="C56" s="4"/>
      <x:c r="D56" s="3" t="s">
        <x:v>563</x:v>
      </x:c>
      <x:c r="E56" s="3" t="s">
        <x:v>564</x:v>
      </x:c>
      <x:c r="H56" s="1">
        <x:v>55</x:v>
      </x:c>
      <x:c r="I56" s="2" t="str">
        <x:f t="shared" si="0"/>
        <x:v>将一个格子的标签强化到其他格子上</x:v>
      </x:c>
    </x:row>
    <x:row r="57" ht="17.25" customHeight="1">
      <x:c r="B57" s="4"/>
      <x:c r="C57" s="4" t="s">
        <x:v>565</x:v>
      </x:c>
      <x:c r="D57" s="3" t="s">
        <x:v>566</x:v>
      </x:c>
      <x:c r="E57" s="3" t="s">
        <x:v>567</x:v>
      </x:c>
      <x:c r="H57" s="1">
        <x:v>56</x:v>
      </x:c>
      <x:c r="I57" s="2" t="str">
        <x:f t="shared" si="0"/>
        <x:v>每4个事件的最后一个是奖励事件</x:v>
      </x:c>
    </x:row>
    <x:row r="58" ht="17.25" customHeight="1">
      <x:c r="B58" s="4"/>
      <x:c r="C58" s="4"/>
      <x:c r="D58" s="3" t="s">
        <x:v>566</x:v>
      </x:c>
      <x:c r="E58" s="3" t="s">
        <x:v>568</x:v>
      </x:c>
      <x:c r="H58" s="1">
        <x:v>57</x:v>
      </x:c>
      <x:c r="I58" s="2" t="str">
        <x:f t="shared" si="0"/>
        <x:v>事件中遇到奖励的概率提高</x:v>
      </x:c>
    </x:row>
    <x:row r="59" ht="17.25" customHeight="1">
      <x:c r="B59" s="4"/>
      <x:c r="C59" s="4"/>
      <x:c r="D59" s="3" t="s">
        <x:v>569</x:v>
      </x:c>
      <x:c r="E59" s="3" t="s">
        <x:v>570</x:v>
      </x:c>
      <x:c r="H59" s="1">
        <x:v>58</x:v>
      </x:c>
      <x:c r="I59" s="2" t="str">
        <x:f t="shared" si="0"/>
        <x:v>遇到事件的概率提高</x:v>
      </x:c>
    </x:row>
    <x:row r="60" ht="17.25" customHeight="1">
      <x:c r="B60" s="4"/>
      <x:c r="C60" s="4"/>
      <x:c r="D60" s="3" t="s">
        <x:v>571</x:v>
      </x:c>
      <x:c r="E60" s="3" t="s">
        <x:v>572</x:v>
      </x:c>
      <x:c r="H60" s="1">
        <x:v>59</x:v>
      </x:c>
      <x:c r="I60" s="2" t="str">
        <x:f t="shared" si="0"/>
        <x:v>完成一个事件，获得10金币</x:v>
      </x:c>
    </x:row>
    <x:row r="61" ht="17.25" customHeight="1">
      <x:c r="B61" s="4"/>
      <x:c r="C61" s="3"/>
      <x:c r="D61" s="3" t="s">
        <x:v>573</x:v>
      </x:c>
      <x:c r="E61" s="3" t="s">
        <x:v>574</x:v>
      </x:c>
      <x:c r="H61" s="1">
        <x:v>60</x:v>
      </x:c>
      <x:c r="I61" s="2" t="str">
        <x:f t="shared" si="0"/>
        <x:v>获得2次重新普通行动的</x:v>
      </x:c>
    </x:row>
    <x:row r="62" ht="17.25" customHeight="1">
      <x:c r="B62" s="4"/>
      <x:c r="C62" s="4" t="s">
        <x:v>575</x:v>
      </x:c>
      <x:c r="D62" s="3" t="s">
        <x:v>576</x:v>
      </x:c>
      <x:c r="E62" s="3" t="s">
        <x:v>577</x:v>
      </x:c>
      <x:c r="H62" s="1">
        <x:v>61</x:v>
      </x:c>
      <x:c r="I62" s="2" t="str">
        <x:f t="shared" si="0"/>
        <x:v>商店会自动补货</x:v>
      </x:c>
    </x:row>
    <x:row r="63" ht="17.25" customHeight="1">
      <x:c r="B63" s="4"/>
      <x:c r="C63" s="3" t="s">
        <x:v>578</x:v>
      </x:c>
      <x:c r="D63" s="3" t="s">
        <x:v>579</x:v>
      </x:c>
      <x:c r="E63" s="3" t="s">
        <x:v>580</x:v>
      </x:c>
      <x:c r="H63" s="1">
        <x:v>62</x:v>
      </x:c>
      <x:c r="I63" s="2" t="str">
        <x:f t="shared" si="0"/>
        <x:v>多选一食物时，可选数量+1</x:v>
      </x:c>
    </x:row>
    <x:row r="64" ht="17.25" customHeight="1">
      <x:c r="B64" s="4"/>
      <x:c r="C64" s="4"/>
      <x:c r="D64" s="3" t="s">
        <x:v>581</x:v>
      </x:c>
      <x:c r="E64" s="3" t="s">
        <x:v>582</x:v>
      </x:c>
      <x:c r="H64" s="1">
        <x:v>63</x:v>
      </x:c>
      <x:c r="I64" s="2" t="str">
        <x:f t="shared" si="0"/>
        <x:v>多选一食物时，可选次数+1，可选数量-1</x:v>
      </x:c>
    </x:row>
    <x:row r="65" ht="17.25" customHeight="1">
      <x:c r="B65" s="4"/>
      <x:c r="C65" s="4"/>
      <x:c r="D65" s="3" t="s">
        <x:v>583</x:v>
      </x:c>
      <x:c r="E65" s="3" t="s">
        <x:v>584</x:v>
      </x:c>
      <x:c r="H65" s="1">
        <x:v>64</x:v>
      </x:c>
      <x:c r="I65" s="2" t="str">
        <x:f t="shared" si="0"/>
        <x:v>每3次日常营业，额外获得一个多选一食物</x:v>
      </x:c>
    </x:row>
    <x:row r="66" ht="17.25" customHeight="1">
      <x:c r="B66" s="4"/>
      <x:c r="C66" s="4"/>
      <x:c r="D66" s="3" t="s">
        <x:v>585</x:v>
      </x:c>
      <x:c r="E66" s="3" t="s">
        <x:v>586</x:v>
      </x:c>
      <x:c r="H66" s="1">
        <x:v>65</x:v>
      </x:c>
      <x:c r="I66" s="2" t="str">
        <x:f t="shared" ref="I66:I94" si="1">E66</x:f>
        <x:v>每3次火热营业，额外获得一个多选一物品</x:v>
      </x:c>
    </x:row>
    <x:row r="67" ht="17.25" customHeight="1">
      <x:c r="B67" s="4"/>
      <x:c r="C67" s="4"/>
      <x:c r="D67" s="3" t="s">
        <x:v>587</x:v>
      </x:c>
      <x:c r="E67" s="3" t="s">
        <x:v>588</x:v>
      </x:c>
      <x:c r="H67" s="1">
        <x:v>66</x:v>
      </x:c>
      <x:c r="I67" s="2" t="str">
        <x:f t="shared" si="1"/>
        <x:v>随机复制1个食物</x:v>
      </x:c>
    </x:row>
    <x:row r="68" ht="17.25" customHeight="1">
      <x:c r="B68" s="4"/>
      <x:c r="C68" s="3" t="s">
        <x:v>589</x:v>
      </x:c>
      <x:c r="D68" s="3" t="s">
        <x:v>590</x:v>
      </x:c>
      <x:c r="E68" s="3" t="s">
        <x:v>591</x:v>
      </x:c>
      <x:c r="H68" s="1">
        <x:v>67</x:v>
      </x:c>
      <x:c r="I68" s="2" t="str">
        <x:f t="shared" si="1"/>
        <x:v>移除两个诅咒装饰品</x:v>
      </x:c>
    </x:row>
    <x:row r="69" ht="17.25" customHeight="1">
      <x:c r="B69" s="4"/>
      <x:c r="C69" s="3"/>
      <x:c r="D69" s="3" t="s">
        <x:v>592</x:v>
      </x:c>
      <x:c r="E69" s="3" t="s">
        <x:v>593</x:v>
      </x:c>
      <x:c r="H69" s="1">
        <x:v>68</x:v>
      </x:c>
      <x:c r="I69" s="2" t="str">
        <x:f t="shared" si="1"/>
        <x:v>移除所有诅咒装饰品，每移除一个获得100金币</x:v>
      </x:c>
    </x:row>
    <x:row r="70" ht="17.25" customHeight="1">
      <x:c r="B70" s="4" t="s">
        <x:v>594</x:v>
      </x:c>
      <x:c r="C70" s="4" t="s">
        <x:v>595</x:v>
      </x:c>
      <x:c r="D70" s="3" t="s">
        <x:v>596</x:v>
      </x:c>
      <x:c r="E70" s="3" t="s">
        <x:v>597</x:v>
      </x:c>
      <x:c r="H70" s="1">
        <x:v>69</x:v>
      </x:c>
      <x:c r="I70" s="2" t="str">
        <x:f t="shared" si="1"/>
        <x:v>食物获得的金币减少25%</x:v>
      </x:c>
    </x:row>
    <x:row r="71" ht="17.25" customHeight="1">
      <x:c r="B71" s="4"/>
      <x:c r="C71" s="4"/>
      <x:c r="D71" s="3" t="s">
        <x:v>598</x:v>
      </x:c>
      <x:c r="E71" s="3" t="s">
        <x:v>599</x:v>
      </x:c>
      <x:c r="H71" s="1">
        <x:v>70</x:v>
      </x:c>
      <x:c r="I71" s="2" t="str">
        <x:f t="shared" si="1"/>
        <x:v>商店的价格变高25%</x:v>
      </x:c>
    </x:row>
    <x:row r="72" ht="17.25" customHeight="1">
      <x:c r="B72" s="4"/>
      <x:c r="C72" s="4"/>
      <x:c r="D72" s="3" t="s">
        <x:v>600</x:v>
      </x:c>
      <x:c r="E72" s="3" t="s">
        <x:v>601</x:v>
      </x:c>
      <x:c r="H72" s="1">
        <x:v>71</x:v>
      </x:c>
      <x:c r="I72" s="2" t="str">
        <x:f t="shared" si="1"/>
        <x:v>无法再移除食物</x:v>
      </x:c>
    </x:row>
    <x:row r="73" ht="17.25" customHeight="1">
      <x:c r="B73" s="4"/>
      <x:c r="C73" s="4"/>
      <x:c r="D73" s="3" t="s">
        <x:v>602</x:v>
      </x:c>
      <x:c r="E73" s="3" t="s">
        <x:v>603</x:v>
      </x:c>
      <x:c r="H73" s="1">
        <x:v>72</x:v>
      </x:c>
      <x:c r="I73" s="2" t="str">
        <x:f t="shared" si="1"/>
        <x:v>跳过下一个商店或利息节点</x:v>
      </x:c>
    </x:row>
    <x:row r="74" ht="17.25" customHeight="1">
      <x:c r="B74" s="4"/>
      <x:c r="C74" s="3"/>
      <x:c r="D74" s="3" t="s">
        <x:v>604</x:v>
      </x:c>
      <x:c r="E74" s="3" t="s">
        <x:v>605</x:v>
      </x:c>
      <x:c r="H74" s="1">
        <x:v>73</x:v>
      </x:c>
      <x:c r="I74" s="2" t="str">
        <x:f t="shared" si="1"/>
        <x:v>多选一食物时，可选数量-1</x:v>
      </x:c>
    </x:row>
    <x:row r="75" ht="17.25" customHeight="1">
      <x:c r="B75" s="4"/>
      <x:c r="C75" s="3"/>
      <x:c r="D75" s="3" t="s">
        <x:v>606</x:v>
      </x:c>
      <x:c r="E75" s="3" t="s">
        <x:v>607</x:v>
      </x:c>
      <x:c r="H75" s="1">
        <x:v>74</x:v>
      </x:c>
      <x:c r="I75" s="2" t="str">
        <x:f t="shared" si="1"/>
        <x:v>日常营业目标美味值+10%</x:v>
      </x:c>
    </x:row>
    <x:row r="76" ht="17.25" customHeight="1">
      <x:c r="B76" s="3"/>
      <x:c r="C76" s="3"/>
      <x:c r="D76" s="3" t="s">
        <x:v>608</x:v>
      </x:c>
      <x:c r="E76" s="3" t="s">
        <x:v>609</x:v>
      </x:c>
      <x:c r="H76" s="1">
        <x:v>75</x:v>
      </x:c>
      <x:c r="I76" s="2" t="str">
        <x:f t="shared" si="1"/>
        <x:v>火热营业目标美味值+10%</x:v>
      </x:c>
    </x:row>
    <x:row r="77" ht="17.25" customHeight="1">
      <x:c r="B77" s="4"/>
      <x:c r="C77" s="4"/>
      <x:c r="D77" s="3" t="s">
        <x:v>610</x:v>
      </x:c>
      <x:c r="E77" s="3" t="s">
        <x:v>611</x:v>
      </x:c>
      <x:c r="H77" s="1">
        <x:v>76</x:v>
      </x:c>
      <x:c r="I77" s="2" t="str">
        <x:f t="shared" si="1"/>
        <x:v>星级评鉴食物目标美味值+10%</x:v>
      </x:c>
    </x:row>
    <x:row r="78" ht="17.25" customHeight="1">
      <x:c r="B78" s="4"/>
      <x:c r="C78" s="4"/>
      <x:c r="D78" s="3" t="s">
        <x:v>612</x:v>
      </x:c>
      <x:c r="E78" s="3" t="s">
        <x:v>613</x:v>
      </x:c>
      <x:c r="H78" s="1">
        <x:v>77</x:v>
      </x:c>
      <x:c r="I78" s="2" t="str">
        <x:f t="shared" si="1"/>
        <x:v>本周结束时，金币清空</x:v>
      </x:c>
    </x:row>
    <x:row r="79" ht="17.25" customHeight="1">
      <x:c r="B79" s="4" t="s">
        <x:v>614</x:v>
      </x:c>
      <x:c r="C79" s="4" t="s">
        <x:v>615</x:v>
      </x:c>
      <x:c r="D79" s="3" t="s">
        <x:v>616</x:v>
      </x:c>
      <x:c r="E79" s="3" t="s">
        <x:v>617</x:v>
      </x:c>
      <x:c r="H79" s="1">
        <x:v>78</x:v>
      </x:c>
      <x:c r="I79" s="2" t="str">
        <x:f t="shared" si="1"/>
        <x:v>所有食物额外被视为1个食物</x:v>
      </x:c>
    </x:row>
    <x:row r="80" ht="17.25" customHeight="1">
      <x:c r="B80" s="4"/>
      <x:c r="C80" s="4" t="s">
        <x:v>618</x:v>
      </x:c>
      <x:c r="D80" s="3" t="s">
        <x:v>619</x:v>
      </x:c>
      <x:c r="E80" s="3" t="s">
        <x:v>620</x:v>
      </x:c>
      <x:c r="H80" s="1">
        <x:v>79</x:v>
      </x:c>
      <x:c r="I80" s="2" t="str">
        <x:f t="shared" si="1"/>
        <x:v>传递时，被传递方倍率×1.1</x:v>
      </x:c>
    </x:row>
    <x:row r="81" ht="17.25" customHeight="1">
      <x:c r="B81" s="4"/>
      <x:c r="C81" s="4"/>
      <x:c r="D81" s="3" t="s">
        <x:v>619</x:v>
      </x:c>
      <x:c r="E81" s="3" t="s">
        <x:v>621</x:v>
      </x:c>
      <x:c r="H81" s="1">
        <x:v>80</x:v>
      </x:c>
      <x:c r="I81" s="2" t="str">
        <x:f t="shared" si="1"/>
        <x:v>传递时，传递方倍率×1.1</x:v>
      </x:c>
    </x:row>
    <x:row r="82" ht="17.25" customHeight="1">
      <x:c r="B82" s="4"/>
      <x:c r="C82" s="4"/>
      <x:c r="D82" s="3" t="s">
        <x:v>622</x:v>
      </x:c>
      <x:c r="E82" s="3" t="s">
        <x:v>623</x:v>
      </x:c>
      <x:c r="H82" s="1">
        <x:v>81</x:v>
      </x:c>
      <x:c r="I82" s="2" t="str">
        <x:f t="shared" si="1"/>
        <x:v>结算时，倍率×1（每一个技能+0.1倍）</x:v>
      </x:c>
    </x:row>
    <x:row r="83" ht="17.25" customHeight="1">
      <x:c r="B83" s="4"/>
      <x:c r="C83" s="4"/>
      <x:c r="D83" s="3" t="s">
        <x:v>624</x:v>
      </x:c>
      <x:c r="E83" s="3" t="s">
        <x:v>625</x:v>
      </x:c>
      <x:c r="H83" s="1">
        <x:v>82</x:v>
      </x:c>
      <x:c r="I83" s="2" t="str">
        <x:f t="shared" si="1"/>
        <x:v>传递10次后，获得10金币</x:v>
      </x:c>
    </x:row>
    <x:row r="84" ht="17.25" customHeight="1">
      <x:c r="B84" s="4"/>
      <x:c r="C84" s="4" t="s">
        <x:v>626</x:v>
      </x:c>
      <x:c r="D84" s="3" t="s">
        <x:v>627</x:v>
      </x:c>
      <x:c r="E84" s="3" t="s">
        <x:v>628</x:v>
      </x:c>
      <x:c r="H84" s="1">
        <x:v>83</x:v>
      </x:c>
      <x:c r="I84" s="2" t="str">
        <x:f t="shared" si="1"/>
        <x:v>每次保留10%的蛋糕层数至下一场经营挑战</x:v>
      </x:c>
    </x:row>
    <x:row r="85" ht="17.25" customHeight="1">
      <x:c r="B85" s="3"/>
      <x:c r="C85" s="3"/>
      <x:c r="D85" s="3" t="s">
        <x:v>629</x:v>
      </x:c>
      <x:c r="E85" s="3" t="s">
        <x:v>630</x:v>
      </x:c>
      <x:c r="H85" s="1">
        <x:v>84</x:v>
      </x:c>
      <x:c r="I85" s="2" t="str">
        <x:f t="shared" si="1"/>
        <x:v>蛋糕层数初始额外获得10层</x:v>
      </x:c>
    </x:row>
    <x:row r="86" ht="17.25" customHeight="1">
      <x:c r="B86" s="4"/>
      <x:c r="C86" s="3"/>
      <x:c r="D86" s="3" t="s">
        <x:v>631</x:v>
      </x:c>
      <x:c r="E86" s="3" t="s">
        <x:v>632</x:v>
      </x:c>
      <x:c r="H86" s="1">
        <x:v>85</x:v>
      </x:c>
      <x:c r="I86" s="2" t="str">
        <x:f t="shared" si="1"/>
        <x:v>蛋糕层数增加时，额外加1层</x:v>
      </x:c>
    </x:row>
    <x:row r="87" ht="17.25" customHeight="1">
      <x:c r="B87" s="4"/>
      <x:c r="C87" s="4"/>
      <x:c r="D87" s="3" t="s">
        <x:v>633</x:v>
      </x:c>
      <x:c r="E87" s="3" t="s">
        <x:v>634</x:v>
      </x:c>
      <x:c r="H87" s="1">
        <x:v>86</x:v>
      </x:c>
      <x:c r="I87" s="2" t="str">
        <x:f t="shared" si="1"/>
        <x:v>蛋糕层数大于100层时，获得10金币</x:v>
      </x:c>
    </x:row>
    <x:row r="88" ht="17.25" customHeight="1">
      <x:c r="B88" s="4"/>
      <x:c r="C88" s="4"/>
      <x:c r="D88" s="3" t="s">
        <x:v>635</x:v>
      </x:c>
      <x:c r="E88" s="3" t="s">
        <x:v>636</x:v>
      </x:c>
      <x:c r="H88" s="1">
        <x:v>87</x:v>
      </x:c>
      <x:c r="I88" s="2" t="str">
        <x:f t="shared" si="1"/>
        <x:v>蛋糕效果需求的层数-10</x:v>
      </x:c>
    </x:row>
    <x:row r="89" ht="17.25" customHeight="1">
      <x:c r="B89" s="4"/>
      <x:c r="C89" s="4"/>
      <x:c r="D89" s="3"/>
      <x:c r="E89" s="3"/>
      <x:c r="H89" s="1">
        <x:v>88</x:v>
      </x:c>
      <x:c r="I89" s="2">
        <x:f t="shared" si="1"/>
        <x:v>0</x:v>
      </x:c>
    </x:row>
    <x:row r="90" ht="17.25" customHeight="1">
      <x:c r="C90" s="3"/>
      <x:c r="D90" s="3"/>
      <x:c r="E90" s="3"/>
      <x:c r="I90" s="2">
        <x:f t="shared" si="1"/>
        <x:v>0</x:v>
      </x:c>
    </x:row>
    <x:row r="91" ht="17.25" customHeight="1">
      <x:c r="B91" s="4"/>
      <x:c r="C91" s="4"/>
      <x:c r="D91" s="3"/>
      <x:c r="E91" s="3"/>
      <x:c r="I91" s="2">
        <x:f t="shared" si="1"/>
        <x:v>0</x:v>
      </x:c>
    </x:row>
    <x:row r="92" ht="17.25" customHeight="1">
      <x:c r="B92" s="4"/>
      <x:c r="C92" s="4"/>
      <x:c r="D92" s="3"/>
      <x:c r="E92" s="3"/>
      <x:c r="I92" s="2">
        <x:f t="shared" si="1"/>
        <x:v>0</x:v>
      </x:c>
    </x:row>
    <x:row r="93" ht="17.25" customHeight="1">
      <x:c r="B93" s="4"/>
      <x:c r="C93" s="4"/>
      <x:c r="D93" s="3"/>
      <x:c r="E93" s="3"/>
      <x:c r="I93" s="2">
        <x:f t="shared" si="1"/>
        <x:v>0</x:v>
      </x:c>
    </x:row>
    <x:row r="94" ht="17.25" customHeight="1">
      <x:c r="B94" s="4"/>
      <x:c r="C94" s="4"/>
      <x:c r="D94" s="3"/>
      <x:c r="E94" s="3"/>
      <x:c r="I94" s="2">
        <x:f t="shared" si="1"/>
        <x:v>0</x:v>
      </x:c>
    </x:row>
    <x:row r="95" ht="17.25" customHeight="1">
      <x:c r="B95" s="4"/>
      <x:c r="C95" s="4"/>
      <x:c r="D95" s="3"/>
      <x:c r="E95" s="3"/>
    </x:row>
    <x:row r="96" ht="17.25" customHeight="1">
      <x:c r="B96" s="4"/>
    </x:row>
    <x:row r="97" ht="17.25" customHeight="1">
      <x:c r="B97" s="4"/>
    </x:row>
    <x:row r="98" ht="17.25" customHeight="1">
      <x:c r="B98" s="4"/>
    </x:row>
    <x:row r="99" ht="17.25" customHeight="1">
      <x:c r="B99" s="4"/>
    </x:row>
    <x:row r="100" ht="17.25" customHeight="1">
      <x:c r="B100" s="4"/>
    </x:row>
    <x:row r="101" ht="17.25" customHeight="1">
      <x:c r="B101" s="4"/>
    </x:row>
    <x:row r="102" ht="17.25" customHeight="1">
      <x:c r="B102" s="4"/>
    </x:row>
    <x:row r="103" ht="17.25" customHeight="1">
      <x:c r="B103" s="4"/>
    </x:row>
    <x:row r="104" ht="17.25" customHeight="1">
      <x:c r="B104" s="4"/>
    </x:row>
    <x:row r="105" ht="17.25" customHeight="1">
      <x:c r="B105" s="4"/>
      <x:c r="C105" s="4"/>
      <x:c r="D105" s="3"/>
      <x:c r="E105" s="3"/>
    </x:row>
    <x:row r="121">
      <x:c r="E121" s="8"/>
    </x:row>
    <x:row r="125">
      <x:c r="E125" s="8" t="s">
        <x:v>637</x:v>
      </x:c>
    </x:row>
    <x:row r="126">
      <x:c r="E126" s="8" t="s">
        <x:v>638</x:v>
      </x:c>
    </x:row>
    <x:row r="127">
      <x:c r="E127" s="8" t="s">
        <x:v>639</x:v>
      </x:c>
    </x:row>
    <x:row r="128">
      <x:c r="E128" s="8" t="s">
        <x:v>640</x:v>
      </x:c>
    </x:row>
    <x:row r="129">
      <x:c r="E129" s="8" t="s">
        <x:v>641</x:v>
      </x:c>
    </x:row>
    <x:row r="130">
      <x:c r="E130" s="8" t="s">
        <x:v>642</x:v>
      </x:c>
    </x:row>
    <x:row r="131">
      <x:c r="E131" s="8" t="s">
        <x:v>643</x:v>
      </x:c>
    </x:row>
    <x:row r="132">
      <x:c r="E132" s="8" t="s">
        <x:v>644</x:v>
      </x:c>
    </x:row>
    <x:row r="133">
      <x:c r="E133" s="8" t="s">
        <x:v>645</x:v>
      </x:c>
    </x:row>
    <x:row r="134">
      <x:c r="E134" s="8" t="s">
        <x:v>646</x:v>
      </x:c>
    </x:row>
    <x:row r="135">
      <x:c r="E135" s="8" t="s">
        <x:v>647</x:v>
      </x:c>
    </x:row>
    <x:row r="136">
      <x:c r="E136" s="8" t="s">
        <x:v>648</x:v>
      </x:c>
    </x:row>
    <x:row r="137">
      <x:c r="E137" s="8" t="s">
        <x:v>649</x:v>
      </x:c>
    </x:row>
    <x:row r="138">
      <x:c r="E138" s="8" t="s">
        <x:v>650</x:v>
      </x:c>
    </x:row>
    <x:row r="139">
      <x:c r="E139" s="8" t="s">
        <x:v>651</x:v>
      </x:c>
    </x:row>
    <x:row r="140">
      <x:c r="E140" s="8" t="s">
        <x:v>652</x:v>
      </x:c>
    </x:row>
    <x:row r="141">
      <x:c r="E141" s="8" t="s">
        <x:v>653</x:v>
      </x:c>
    </x:row>
    <x:row r="142">
      <x:c r="E142" s="8" t="s">
        <x:v>654</x:v>
      </x:c>
    </x:row>
    <x:row r="143">
      <x:c r="E143" s="8" t="s">
        <x:v>655</x:v>
      </x:c>
    </x:row>
    <x:row r="144">
      <x:c r="E144" s="8" t="s">
        <x:v>656</x:v>
      </x:c>
    </x:row>
    <x:row r="145">
      <x:c r="E145" s="8" t="s">
        <x:v>657</x:v>
      </x:c>
    </x:row>
    <x:row r="146">
      <x:c r="E146" s="8" t="s">
        <x:v>658</x:v>
      </x:c>
    </x:row>
    <x:row r="147">
      <x:c r="E147" s="8" t="s">
        <x:v>659</x:v>
      </x:c>
    </x:row>
    <x:row r="148">
      <x:c r="E148" s="8"/>
    </x:row>
    <x:row r="149">
      <x:c r="E149" s="8"/>
    </x:row>
    <x:row r="150">
      <x:c r="E150" s="8"/>
    </x:row>
    <x:row r="151">
      <x:c r="E151" s="8"/>
    </x:row>
    <x:row r="152">
      <x:c r="E152" s="8"/>
    </x:row>
  </x:sheetData>
  <x:pageMargins left="0.7" right="0.7" top="0.75" bottom="0.75" header="0.3" footer="0.3"/>
</x:worksheet>
</file>