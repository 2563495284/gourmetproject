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0e66ea4a4d45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h_base" sheetId="1" r:id="R8eba09af5c0e487f"/>
    <x:sheet xmlns:r="http://schemas.openxmlformats.org/officeDocument/2006/relationships" name="dish_variant" sheetId="2" r:id="R02e1f55aed2f4f5f"/>
    <x:sheet xmlns:r="http://schemas.openxmlformats.org/officeDocument/2006/relationships" name="skill" sheetId="3" r:id="Rf88d20c53d8b458f"/>
    <x:sheet xmlns:r="http://schemas.openxmlformats.org/officeDocument/2006/relationships" name="flavor" sheetId="4" r:id="Rfed65e6323134d26"/>
    <x:sheet xmlns:r="http://schemas.openxmlformats.org/officeDocument/2006/relationships" name="cake_layer_buff" sheetId="5" r:id="Rf9e2b4cff8e94586"/>
    <x:sheet xmlns:r="http://schemas.openxmlformats.org/officeDocument/2006/relationships" name="sub_skill" sheetId="6" r:id="Rf636764f7d3b46fe"/>
    <x:sheet xmlns:r="http://schemas.openxmlformats.org/officeDocument/2006/relationships" name="食物设计新" sheetId="9" r:id="R4d9c9a4f4fcd408a"/>
    <x:sheet xmlns:r="http://schemas.openxmlformats.org/officeDocument/2006/relationships" name="位置" sheetId="8" r:id="R42cf0881a32a4c8b"/>
  </x:sheets>
</x:workbook>
</file>

<file path=xl/sharedStrings.xml><?xml version="1.0" encoding="utf-8"?>
<x:sst xmlns:x="http://schemas.openxmlformats.org/spreadsheetml/2006/main">
  <x:si>
    <x:t xml:space="preserve">##var</x:t>
  </x:si>
  <x:si>
    <x:t xml:space="preserve">id</x:t>
  </x:si>
  <x:si>
    <x:t xml:space="preserve">name</x:t>
  </x:si>
  <x:si>
    <x:t xml:space="preserve">deliciousness</x:t>
  </x:si>
  <x:si>
    <x:t xml:space="preserve">allowRotate</x:t>
  </x:si>
  <x:si>
    <x:t xml:space="preserve">skills</x:t>
  </x:si>
  <x:si>
    <x:t xml:space="preserve">category</x:t>
  </x:si>
  <x:si>
    <x:t xml:space="preserve">countAs</x:t>
  </x:si>
  <x:si>
    <x:t xml:space="preserve">*shapeRows</x:t>
  </x:si>
  <x:si>
    <x:t xml:space="preserve">sortOrder</x:t>
  </x:si>
  <x:si>
    <x:t xml:space="preserve">archetypeWeights</x:t>
  </x:si>
  <x:si>
    <x:t xml:space="preserve">##comment</x:t>
  </x:si>
  <x:si>
    <x:t xml:space="preserve">食物基础ID</x:t>
  </x:si>
  <x:si>
    <x:t xml:space="preserve">食物名称</x:t>
  </x:si>
  <x:si>
    <x:t xml:space="preserve">基础分数</x:t>
  </x:si>
  <x:si>
    <x:t xml:space="preserve">是否允许旋转摆放</x:t>
  </x:si>
  <x:si>
    <x:t xml:space="preserve">技能ID列表(| 分隔)</x:t>
  </x:si>
  <x:si>
    <x:t xml:space="preserve">食物分类(如cake;空=无)</x:t>
  </x:si>
  <x:si>
    <x:t xml:space="preserve">静态有效份数(默认1)</x:t>
  </x:si>
  <x:si>
    <x:t xml:space="preserve">食物形状行列表</x:t>
  </x:si>
  <x:si>
    <x:t xml:space="preserve">食谱展示顺序(升序:从上到下、从左到右)</x:t>
  </x:si>
  <x:si>
    <x:t xml:space="preserve">流派0/1/2占比（固定3项，和为1）</x:t>
  </x:si>
  <x:si>
    <x:t xml:space="preserve">##type</x:t>
  </x:si>
  <x:si>
    <x:t xml:space="preserve">string</x:t>
  </x:si>
  <x:si>
    <x:t xml:space="preserve">int</x:t>
  </x:si>
  <x:si>
    <x:t xml:space="preserve">bool</x:t>
  </x:si>
  <x:si>
    <x:t xml:space="preserve">list,string</x:t>
  </x:si>
  <x:si>
    <x:t xml:space="preserve">(list#sep=,),float</x:t>
  </x:si>
  <x:si>
    <x:t xml:space="preserve">baseId</x:t>
  </x:si>
  <x:si>
    <x:t xml:space="preserve">flavorIds</x:t>
  </x:si>
  <x:si>
    <x:t xml:space="preserve">baseWeight</x:t>
  </x:si>
  <x:si>
    <x:t xml:space="preserve">price</x:t>
  </x:si>
  <x:si>
    <x:t xml:space="preserve">hiddenRange</x:t>
  </x:si>
  <x:si>
    <x:t xml:space="preserve">flavoredBaseWeight</x:t>
  </x:si>
  <x:si>
    <x:t xml:space="preserve">flavoredPrice</x:t>
  </x:si>
  <x:si>
    <x:t xml:space="preserve">flavoredHiddenRange</x:t>
  </x:si>
  <x:si>
    <x:t xml:space="preserve">rotation</x:t>
  </x:si>
  <x:si>
    <x:t xml:space="preserve">食物族ID(无风味食物ID)</x:t>
  </x:si>
  <x:si>
    <x:t xml:space="preserve">引用的食物基础ID</x:t>
  </x:si>
  <x:si>
    <x:t xml:space="preserve">自动生成的风味ID列表(|分隔;空=不生成风味变体)</x:t>
  </x:si>
  <x:si>
    <x:t xml:space="preserve">无风味随机基础权重</x:t>
  </x:si>
  <x:si>
    <x:t xml:space="preserve">无风味商店价格</x:t>
  </x:si>
  <x:si>
    <x:t xml:space="preserve">无风味出现隐藏分区间(单元格:min,max)</x:t>
  </x:si>
  <x:si>
    <x:t xml:space="preserve">风味变体共用随机基础权重</x:t>
  </x:si>
  <x:si>
    <x:t xml:space="preserve">风味变体共用商店价格</x:t>
  </x:si>
  <x:si>
    <x:t xml:space="preserve">风味变体共用出现隐藏分区间(单元格:min,max)</x:t>
  </x:si>
  <x:si>
    <x:t xml:space="preserve">共用固定旋转朝向(整格四向)</x:t>
  </x:si>
  <x:si>
    <x:t xml:space="preserve">策划备注</x:t>
  </x:si>
  <x:si>
    <x:t xml:space="preserve">float</x:t>
  </x:si>
  <x:si>
    <x:t xml:space="preserve">HiddenRange</x:t>
  </x:si>
  <x:si>
    <x:t xml:space="preserve">DishRotation</x:t>
  </x:si>
  <x:si>
    <x:t xml:space="preserve">subSkills</x:t>
  </x:si>
  <x:si>
    <x:t xml:space="preserve">技能ID</x:t>
  </x:si>
  <x:si>
    <x:t xml:space="preserve">本技能独占的有序子技能ID列表（| 分隔，命名为 skillId_序号）</x:t>
  </x:si>
  <x:si>
    <x:t xml:space="preserve">箭头饼干1</x:t>
  </x:si>
  <x:si>
    <x:t xml:space="preserve">箭头饼干2</x:t>
  </x:si>
  <x:si>
    <x:t xml:space="preserve">箭头饼干3</x:t>
  </x:si>
  <x:si>
    <x:t xml:space="preserve">箭头饼干4</x:t>
  </x:si>
  <x:si>
    <x:t xml:space="preserve">果冻</x:t>
  </x:si>
  <x:si>
    <x:t xml:space="preserve">糖霜蛋糕</x:t>
  </x:si>
  <x:si>
    <x:t xml:space="preserve">蛋挞</x:t>
  </x:si>
  <x:si>
    <x:t xml:space="preserve">糖豆</x:t>
  </x:si>
  <x:si>
    <x:t xml:space="preserve">芝士蛋糕</x:t>
  </x:si>
  <x:si>
    <x:t xml:space="preserve">慕斯蛋糕</x:t>
  </x:si>
  <x:si>
    <x:t xml:space="preserve">水果糖</x:t>
  </x:si>
  <x:si>
    <x:t xml:space="preserve">巧克力棒</x:t>
  </x:si>
  <x:si>
    <x:t xml:space="preserve">麻薯</x:t>
  </x:si>
  <x:si>
    <x:t xml:space="preserve">杯子蛋糕</x:t>
  </x:si>
  <x:si>
    <x:t xml:space="preserve">蛋卷</x:t>
  </x:si>
  <x:si>
    <x:t xml:space="preserve">糖葫芦</x:t>
  </x:si>
  <x:si>
    <x:t xml:space="preserve">软糖</x:t>
  </x:si>
  <x:si>
    <x:t xml:space="preserve">蛋糕卷</x:t>
  </x:si>
  <x:si>
    <x:t xml:space="preserve">蝴蝶酥</x:t>
  </x:si>
  <x:si>
    <x:t xml:space="preserve">戚风蛋糕</x:t>
  </x:si>
  <x:si>
    <x:t xml:space="preserve">桃酥</x:t>
  </x:si>
  <x:si>
    <x:t xml:space="preserve">奶油蛋糕</x:t>
  </x:si>
  <x:si>
    <x:t xml:space="preserve">拐杖糖</x:t>
  </x:si>
  <x:si>
    <x:t xml:space="preserve">黑森林蛋糕</x:t>
  </x:si>
  <x:si>
    <x:t xml:space="preserve">杨枝甘露</x:t>
  </x:si>
  <x:si>
    <x:t xml:space="preserve">水果蛋糕</x:t>
  </x:si>
  <x:si>
    <x:t xml:space="preserve">棉花糖</x:t>
  </x:si>
  <x:si>
    <x:t xml:space="preserve">大棒棒糖</x:t>
  </x:si>
  <x:si>
    <x:t xml:space="preserve">双层蛋糕</x:t>
  </x:si>
  <x:si>
    <x:t xml:space="preserve">desc</x:t>
  </x:si>
  <x:si>
    <x:t xml:space="preserve">effectType</x:t>
  </x:si>
  <x:si>
    <x:t xml:space="preserve">effectParam</x:t>
  </x:si>
  <x:si>
    <x:t xml:space="preserve">effectValue</x:t>
  </x:si>
  <x:si>
    <x:t xml:space="preserve">termId</x:t>
  </x:si>
  <x:si>
    <x:t xml:space="preserve">风味ID</x:t>
  </x:si>
  <x:si>
    <x:t xml:space="preserve">风味名称</x:t>
  </x:si>
  <x:si>
    <x:t xml:space="preserve">风味描述</x:t>
  </x:si>
  <x:si>
    <x:t xml:space="preserve">效果类型</x:t>
  </x:si>
  <x:si>
    <x:t xml:space="preserve">效果参数</x:t>
  </x:si>
  <x:si>
    <x:t xml:space="preserve">效果数值</x:t>
  </x:si>
  <x:si>
    <x:t xml:space="preserve">关联术语ID</x:t>
  </x:si>
  <x:si>
    <x:t xml:space="preserve">同一食物本体下的风味展示顺序(升序)</x:t>
  </x:si>
  <x:si>
    <x:t xml:space="preserve">FlavorEffectType</x:t>
  </x:si>
  <x:si>
    <x:t xml:space="preserve">list,float</x:t>
  </x:si>
  <x:si>
    <x:t xml:space="preserve">t_sweet</x:t>
  </x:si>
  <x:si>
    <x:t xml:space="preserve">甜</x:t>
  </x:si>
  <x:si>
    <x:t xml:space="preserve">优先结算</x:t>
  </x:si>
  <x:si>
    <x:t xml:space="preserve">SettlementLayer</x:t>
  </x:si>
  <x:si>
    <x:t xml:space="preserve">1</x:t>
  </x:si>
  <x:si>
    <x:t xml:space="preserve">结算优先级 +1 层，越先结算。</x:t>
  </x:si>
  <x:si>
    <x:t xml:space="preserve">t_bitter</x:t>
  </x:si>
  <x:si>
    <x:t xml:space="preserve">苦</x:t>
  </x:si>
  <x:si>
    <x:t xml:space="preserve">后置结算</x:t>
  </x:si>
  <x:si>
    <x:t xml:space="preserve">-1</x:t>
  </x:si>
  <x:si>
    <x:t xml:space="preserve">结算优先级 -1 层，越后结算。</x:t>
  </x:si>
  <x:si>
    <x:t xml:space="preserve">t_rust</x:t>
  </x:si>
  <x:si>
    <x:t xml:space="preserve">鲜</x:t>
  </x:si>
  <x:si>
    <x:t xml:space="preserve">结算时
+10 金币</x:t>
  </x:si>
  <x:si>
    <x:t xml:space="preserve">GrantGold</x:t>
  </x:si>
  <x:si>
    <x:t xml:space="preserve">结算时获得 10 金币。</x:t>
  </x:si>
  <x:si>
    <x:t xml:space="preserve">t_numb</x:t>
  </x:si>
  <x:si>
    <x:t xml:space="preserve">麻</x:t>
  </x:si>
  <x:si>
    <x:t xml:space="preserve">食物旋转90度</x:t>
  </x:si>
  <x:si>
    <x:t xml:space="preserve">Rotate</x:t>
  </x:si>
  <x:si>
    <x:t xml:space="preserve">上菜时逆时针旋转 90 度（可叠加）。</x:t>
  </x:si>
  <x:si>
    <x:t xml:space="preserve">t_sour</x:t>
  </x:si>
  <x:si>
    <x:t xml:space="preserve">酸</x:t>
  </x:si>
  <x:si>
    <x:t xml:space="preserve">结算开始时，若在食谱中
场上食物倍率 ×1.5</x:t>
  </x:si>
  <x:si>
    <x:t xml:space="preserve">SourRecipeMult</x:t>
  </x:si>
  <x:si>
    <x:t xml:space="preserve">1.5</x:t>
  </x:si>
  <x:si>
    <x:t xml:space="preserve">t_salty</x:t>
  </x:si>
  <x:si>
    <x:t xml:space="preserve">咸</x:t>
  </x:si>
  <x:si>
    <x:t xml:space="preserve">结算开始时，若在食谱中
场上食物基础分数 +20</x:t>
  </x:si>
  <x:si>
    <x:t xml:space="preserve">SaltyRecipeFlat</x:t>
  </x:si>
  <x:si>
    <x:t xml:space="preserve">order</x:t>
  </x:si>
  <x:si>
    <x:t xml:space="preserve">threshold</x:t>
  </x:si>
  <x:si>
    <x:t xml:space="preserve">valuePerLayer</x:t>
  </x:si>
  <x:si>
    <x:t xml:space="preserve">档位ID</x:t>
  </x:si>
  <x:si>
    <x:t xml:space="preserve">执行顺序</x:t>
  </x:si>
  <x:si>
    <x:t xml:space="preserve">层数阈值(≥生效)</x:t>
  </x:si>
  <x:si>
    <x:t xml:space="preserve">作用分类</x:t>
  </x:si>
  <x:si>
    <x:t xml:space="preserve">效果类型(SkillActionType)</x:t>
  </x:si>
  <x:si>
    <x:t xml:space="preserve">每层系数</x:t>
  </x:si>
  <x:si>
    <x:t xml:space="preserve">描述</x:t>
  </x:si>
  <x:si>
    <x:t xml:space="preserve">SkillActionType</x:t>
  </x:si>
  <x:si>
    <x:t xml:space="preserve">clb_flat</x:t>
  </x:si>
  <x:si>
    <x:t xml:space="preserve">cake</x:t>
  </x:si>
  <x:si>
    <x:t xml:space="preserve">AddFlat</x:t>
  </x:si>
  <x:si>
    <x:t xml:space="preserve">层数≥1：蛋糕基础分数 +3×层数</x:t>
  </x:si>
  <x:si>
    <x:t xml:space="preserve">clb_multflat</x:t>
  </x:si>
  <x:si>
    <x:t xml:space="preserve">AddMultFlat</x:t>
  </x:si>
  <x:si>
    <x:t xml:space="preserve">层数≥50：蛋糕倍率 +0.05×层数</x:t>
  </x:si>
  <x:si>
    <x:t xml:space="preserve">clb_mult</x:t>
  </x:si>
  <x:si>
    <x:t xml:space="preserve">AddMult</x:t>
  </x:si>
  <x:si>
    <x:t xml:space="preserve">层数≥100：蛋糕倍率 ×(0.02×层数)</x:t>
  </x:si>
  <x:si>
    <x:t xml:space="preserve">trigger</x:t>
  </x:si>
  <x:si>
    <x:t xml:space="preserve">condType</x:t>
  </x:si>
  <x:si>
    <x:t xml:space="preserve">condScope</x:t>
  </x:si>
  <x:si>
    <x:t xml:space="preserve">condUnit</x:t>
  </x:si>
  <x:si>
    <x:t xml:space="preserve">condMode</x:t>
  </x:si>
  <x:si>
    <x:t xml:space="preserve">condParam</x:t>
  </x:si>
  <x:si>
    <x:t xml:space="preserve">actionType</x:t>
  </x:si>
  <x:si>
    <x:t xml:space="preserve">actionScope</x:t>
  </x:si>
  <x:si>
    <x:t xml:space="preserve">actionCount</x:t>
  </x:si>
  <x:si>
    <x:t xml:space="preserve">actionValue</x:t>
  </x:si>
  <x:si>
    <x:t xml:space="preserve">actionParam</x:t>
  </x:si>
  <x:si>
    <x:t xml:space="preserve">signed</x:t>
  </x:si>
  <x:si>
    <x:t xml:space="preserve">descTemplate</x:t>
  </x:si>
  <x:si>
    <x:t xml:space="preserve">子技能ID（skillId_序号；每次关联独立一行，不复用）</x:t>
  </x:si>
  <x:si>
    <x:t xml:space="preserve">触发时机</x:t>
  </x:si>
  <x:si>
    <x:t xml:space="preserve">前提类型</x:t>
  </x:si>
  <x:si>
    <x:t xml:space="preserve">前提作用域</x:t>
  </x:si>
  <x:si>
    <x:t xml:space="preserve">计数单位</x:t>
  </x:si>
  <x:si>
    <x:t xml:space="preserve">计数模式</x:t>
  </x:si>
  <x:si>
    <x:t xml:space="preserve">前提附加参数</x:t>
  </x:si>
  <x:si>
    <x:t xml:space="preserve">行为类型</x:t>
  </x:si>
  <x:si>
    <x:t xml:space="preserve">行为作用域</x:t>
  </x:si>
  <x:si>
    <x:t xml:space="preserve">随机目标数(0=全部)</x:t>
  </x:si>
  <x:si>
    <x:t xml:space="preserve">行为数值</x:t>
  </x:si>
  <x:si>
    <x:t xml:space="preserve">行为参数</x:t>
  </x:si>
  <x:si>
    <x:t xml:space="preserve">数值正负号</x:t>
  </x:si>
  <x:si>
    <x:t xml:space="preserve">占位符描述模板</x:t>
  </x:si>
  <x:si>
    <x:t xml:space="preserve">关联术语ID(可空)</x:t>
  </x:si>
  <x:si>
    <x:t xml:space="preserve">SkillTrigger</x:t>
  </x:si>
  <x:si>
    <x:t xml:space="preserve">SkillConditionType</x:t>
  </x:si>
  <x:si>
    <x:t xml:space="preserve">SkillScope</x:t>
  </x:si>
  <x:si>
    <x:t xml:space="preserve">CountUnit</x:t>
  </x:si>
  <x:si>
    <x:t xml:space="preserve">CountMode</x:t>
  </x:si>
  <x:si>
    <x:t xml:space="preserve">反找食物</x:t>
  </x:si>
  <x:si>
    <x:t xml:space="preserve">RightAndSelf</x:t>
  </x:si>
  <x:si>
    <x:t xml:space="preserve">LeftAndSelf</x:t>
  </x:si>
  <x:si>
    <x:t xml:space="preserve">DownAndSelf</x:t>
  </x:si>
  <x:si>
    <x:t xml:space="preserve">UpAndSelf</x:t>
  </x:si>
  <x:si>
    <x:t xml:space="preserve">RoundAndSelf</x:t>
  </x:si>
  <x:si>
    <x:t xml:space="preserve">欢乐蛋糕</x:t>
  </x:si>
  <x:si>
    <x:t xml:space="preserve">Other</x:t>
  </x:si>
  <x:si>
    <x:t xml:space="preserve">ColumnAndSelf</x:t>
  </x:si>
  <x:si>
    <x:t xml:space="preserve">奶油</x:t>
  </x:si>
  <x:si>
    <x:t xml:space="preserve">All</x:t>
  </x:si>
  <x:si>
    <x:t xml:space="preserve">RowAndSelf</x:t>
  </x:si>
  <x:si>
    <x:t xml:space="preserve">法棍</x:t>
  </x:si>
  <x:si>
    <x:t xml:space="preserve">蛋糕切角</x:t>
  </x:si>
  <x:si>
    <x:t xml:space="preserve">Category</x:t>
  </x:si>
  <x:si>
    <x:t xml:space="preserve">长条蛋糕</x:t>
  </x:si>
  <x:si>
    <x:t xml:space="preserve">闪电泡芙</x:t>
  </x:si>
  <x:si>
    <x:t xml:space="preserve">巧克力条</x:t>
  </x:si>
  <x:si>
    <x:t xml:space="preserve">枫糖</x:t>
  </x:si>
  <x:si>
    <x:t xml:space="preserve">华夫饼</x:t>
  </x:si>
  <x:si>
    <x:t xml:space="preserve">巧克力酱</x:t>
  </x:si>
  <x:si>
    <x:t xml:space="preserve">芭菲</x:t>
  </x:si>
  <x:si>
    <x:t xml:space="preserve">Down</x:t>
  </x:si>
  <x:si>
    <x:t xml:space="preserve">苹果派</x:t>
  </x:si>
  <x:si>
    <x:t xml:space="preserve">食物</x:t>
  </x:si>
  <x:si>
    <x:t xml:space="preserve">形状</x:t>
  </x:si>
  <x:si>
    <x:t xml:space="preserve">美味值</x:t>
  </x:si>
  <x:si>
    <x:t xml:space="preserve">技能</x:t>
  </x:si>
  <x:si>
    <x:t xml:space="preserve">大小</x:t>
  </x:si>
  <x:si>
    <x:t xml:space="preserve">分数/基础分</x:t>
  </x:si>
  <x:si>
    <x:t xml:space="preserve">加倍率</x:t>
  </x:si>
  <x:si>
    <x:t xml:space="preserve">乘倍率</x:t>
  </x:si>
  <x:si>
    <x:t xml:space="preserve">蛋糕/格子数</x:t>
  </x:si>
  <x:si>
    <x:t xml:space="preserve">4 个基础充数
（数值低）</x:t>
  </x:si>
  <x:si>
    <x:t xml:space="preserve">XX</x:t>
  </x:si>
  <x:si>
    <x:t xml:space="preserve">右侧及自身
分数 +10</x:t>
  </x:si>
  <x:si>
    <x:t xml:space="preserve">左侧及自身
倍率 +0.5</x:t>
  </x:si>
  <x:si>
    <x:t xml:space="preserve">X</x:t>
  </x:si>
  <x:si>
    <x:t xml:space="preserve">下侧及自身
分数 +10</x:t>
  </x:si>
  <x:si>
    <x:t xml:space="preserve">上侧及自身
倍率 +0.5</x:t>
  </x:si>
  <x:si>
    <x:t xml:space="preserve">build</x:t>
  </x:si>
  <x:si>
    <x:t xml:space="preserve">效果</x:t>
  </x:si>
  <x:si>
    <x:t xml:space="preserve">位置</x:t>
  </x:si>
  <x:si>
    <x:t xml:space="preserve">3+3+3 个基础食物
（数值正常，主要用来引入机制）
4个通用食物</x:t>
  </x:si>
  <x:si>
    <x:t xml:space="preserve">周围及自身
没有空格时，倍率 +1.5</x:t>
  </x:si>
  <x:si>
    <x:t xml:space="preserve">通用</x:t>
  </x:si>
  <x:si>
    <x:t xml:space="preserve">周围</x:t>
  </x:si>
  <x:si>
    <x:t xml:space="preserve">之前及自身</x:t>
  </x:si>
  <x:si>
    <x:t xml:space="preserve">周围及自身每有1 个技能
欢乐蛋糕 +2 层</x:t>
  </x:si>
  <x:si>
    <x:t xml:space="preserve">蛋糕+传递</x:t>
  </x:si>
  <x:si>
    <x:t xml:space="preserve">buff</x:t>
  </x:si>
  <x:si>
    <x:t xml:space="preserve">之后及自身</x:t>
  </x:si>
  <x:si>
    <x:t xml:space="preserve">左侧及自身
每有1份食物，倍率 +0.5</x:t>
  </x:si>
  <x:si>
    <x:t xml:space="preserve">份数</x:t>
  </x:si>
  <x:si>
    <x:t xml:space="preserve">左</x:t>
  </x:si>
  <x:si>
    <x:t xml:space="preserve">右侧及自身
每有1 个技能，分数 +10
甜蜜传递1 个食物</x:t>
  </x:si>
  <x:si>
    <x:t xml:space="preserve">传递</x:t>
  </x:si>
  <x:si>
    <x:t xml:space="preserve">分数</x:t>
  </x:si>
  <x:si>
    <x:t xml:space="preserve">右</x:t>
  </x:si>
  <x:si>
    <x:t xml:space="preserve">周围及自身分数 +10
欢乐蛋糕 +6 层</x:t>
  </x:si>
  <x:si>
    <x:t xml:space="preserve">蛋糕</x:t>
  </x:si>
  <x:si>
    <x:t xml:space="preserve">分数+buff</x:t>
  </x:si>
  <x:si>
    <x:t xml:space="preserve">左侧及自身每有1份食物
欢乐蛋糕 +2 层</x:t>
  </x:si>
  <x:si>
    <x:t xml:space="preserve">份数+蛋糕</x:t>
  </x:si>
  <x:si>
    <x:t xml:space="preserve">首个结算时
所有食物分数+20</x:t>
  </x:si>
  <x:si>
    <x:t xml:space="preserve">上侧及自身倍率 +0.3
甜蜜传递2 个食物</x:t>
  </x:si>
  <x:si>
    <x:t xml:space="preserve">上</x:t>
  </x:si>
  <x:si>
    <x:t xml:space="preserve">周围及自身
每有1份食物，分数 +8
甜蜜传递1个食物</x:t>
  </x:si>
  <x:si>
    <x:t xml:space="preserve">传递+份数</x:t>
  </x:si>
  <x:si>
    <x:t xml:space="preserve">下侧及自身
每有2份食物，倍率 +1.2</x:t>
  </x:si>
  <x:si>
    <x:t xml:space="preserve">下</x:t>
  </x:si>
  <x:si>
    <x:t xml:space="preserve">本列食物倍率 +0.5
欢乐蛋糕 +5 层</x:t>
  </x:si>
  <x:si>
    <x:t xml:space="preserve">列</x:t>
  </x:si>
  <x:si>
    <x:t xml:space="preserve">全场没有空格时
所有食物分数 +20</x:t>
  </x:si>
  <x:si>
    <x:t xml:space="preserve">所有</x:t>
  </x:si>
  <x:si>
    <x:t xml:space="preserve">处于边缘时
边缘食物分数+30</x:t>
  </x:si>
  <x:si>
    <x:t xml:space="preserve">5+5+5 个略高级的食物
（数值进一步增强，在普通机制的基础上有更进一步的机制）
+4个通用</x:t>
  </x:si>
  <x:si>
    <x:t xml:space="preserve">XXX</x:t>
  </x:si>
  <x:si>
    <x:t xml:space="preserve">本行
每有1份食物，分数 +10</x:t>
  </x:si>
  <x:si>
    <x:t xml:space="preserve">行</x:t>
  </x:si>
  <x:si>
    <x:t xml:space="preserve">周围及自身
额外视为3份食物</x:t>
  </x:si>
  <x:si>
    <x:t xml:space="preserve">右侧及自身倍率 +1.5
甜蜜传递1 个食物</x:t>
  </x:si>
  <x:si>
    <x:t xml:space="preserve">蛋糕类食物倍率 +1
本行分数 +30</x:t>
  </x:si>
  <x:si>
    <x:t xml:space="preserve">周围及自身倍率 +1
欢乐蛋糕 +10 层</x:t>
  </x:si>
  <x:si>
    <x:t xml:space="preserve">每有1个空格
欢乐蛋糕+5层</x:t>
  </x:si>
  <x:si>
    <x:t xml:space="preserve">左侧及自身倍率+1
甜蜜传递至1个食物</x:t>
  </x:si>
  <x:si>
    <x:t xml:space="preserve">每有1个占2格的食物
此类食物分数+8</x:t>
  </x:si>
  <x:si>
    <x:t xml:space="preserve">每次结算
分数永久-20</x:t>
  </x:si>
  <x:si>
    <x:t xml:space="preserve">将本行食物中最高分数的1/4
加至本行其他食物上</x:t>
  </x:si>
  <x:si>
    <x:t xml:space="preserve">每有1个装饰品
本列分数+10</x:t>
  </x:si>
  <x:si>
    <x:t xml:space="preserve">本列倍率+2
营业结束后1/10概率移除食物</x:t>
  </x:si>
  <x:si>
    <x:t xml:space="preserve">结算后
本列获得甜蜜传递的食物
分数+60</x:t>
  </x:si>
  <x:si>
    <x:t xml:space="preserve">风味强化</x:t>
  </x:si>
  <x:si>
    <x:t xml:space="preserve">本列每有1个蛋糕
欢乐蛋糕+10层</x:t>
  </x:si>
  <x:si>
    <x:t xml:space="preserve">风味加分</x:t>
  </x:si>
  <x:si>
    <x:t xml:space="preserve">主动道具槽加分</x:t>
  </x:si>
  <x:si>
    <x:t xml:space="preserve">空主动道具槽加分</x:t>
  </x:si>
  <x:si>
    <x:t xml:space="preserve">周围及自身
倍率 ×1（每有1份食物+0.2）</x:t>
  </x:si>
  <x:si>
    <x:t xml:space="preserve">范围判定</x:t>
  </x:si>
  <x:si>
    <x:t xml:space="preserve">本列食物份数达6/15/30
倍率 +1.2/2.5/4</x:t>
  </x:si>
  <x:si>
    <x:t xml:space="preserve">丢弃次数转钱</x:t>
  </x:si>
  <x:si>
    <x:t xml:space="preserve">若没有食物 则----材质</x:t>
  </x:si>
  <x:si>
    <x:t xml:space="preserve">丢弃次数加分</x:t>
  </x:si>
  <x:si>
    <x:t xml:space="preserve">结算后
本列发动甜蜜传递的食物
倍率 ×1.5</x:t>
  </x:si>
  <x:si>
    <x:t xml:space="preserve">空格加分</x:t>
  </x:si>
  <x:si>
    <x:t xml:space="preserve">边缘/非边缘</x:t>
  </x:si>
  <x:si>
    <x:t xml:space="preserve">跳过奖励领取</x:t>
  </x:si>
  <x:si>
    <x:t xml:space="preserve">周围及自身
分数永久 +10
甜蜜传递1 个食物</x:t>
  </x:si>
  <x:si>
    <x:t xml:space="preserve">格子数加分</x:t>
  </x:si>
  <x:si>
    <x:t xml:space="preserve">金币加分</x:t>
  </x:si>
  <x:si>
    <x:t xml:space="preserve">第一个结算、最后一个结算</x:t>
  </x:si>
  <x:si>
    <x:t xml:space="preserve">欢乐蛋糕 +10 层
将自身分数加至蛋糕类食物上</x:t>
  </x:si>
  <x:si>
    <x:t xml:space="preserve">营业结算概率材质复制</x:t>
  </x:si>
  <x:si>
    <x:t xml:space="preserve">所有食物被视为蛋糕</x:t>
  </x:si>
  <x:si>
    <x:t xml:space="preserve">营业结束概率获得格子</x:t>
  </x:si>
  <x:si>
    <x:t xml:space="preserve">欢乐蛋糕+20～80层</x:t>
  </x:si>
  <x:si>
    <x:t xml:space="preserve">空格视为2份食物</x:t>
  </x:si>
  <x:si>
    <x:t xml:space="preserve">本列每个食物
将技能数计入份数</x:t>
  </x:si>
  <x:si>
    <x:t xml:space="preserve">结算后
本行食物甜蜜传递时
额外选择1个目标</x:t>
  </x:si>
  <x:si>
    <x:t xml:space="preserve">本行
每有1份食物，倍率+0.1
甜蜜传递至5个食物</x:t>
  </x:si>
  <x:si>
    <x:t xml:space="preserve">5+5+5 个略高级的食物
（数值进一步增强，在普通机制的基础上有更进一步的机制）+2个通用</x:t>
  </x:si>
  <x:si>
    <x:t xml:space="preserve">左侧及自身
倍率 ×1.8</x:t>
  </x:si>
  <x:si>
    <x:t xml:space="preserve">结算永久加分</x:t>
  </x:si>
  <x:si>
    <x:t xml:space="preserve">同种加分</x:t>
  </x:si>
  <x:si>
    <x:t xml:space="preserve">欢乐蛋糕x1.5 层
至少 +20 层</x:t>
  </x:si>
  <x:si>
    <x:t xml:space="preserve">连续结算不相同/相同</x:t>
  </x:si>
  <x:si>
    <x:t xml:space="preserve">本列+2倍率
结算后1/10概率破损</x:t>
  </x:si>
  <x:si>
    <x:t xml:space="preserve">传递额外选择目标</x:t>
  </x:si>
  <x:si>
    <x:t xml:space="preserve">使3 个带有甜蜜传递的食物
额外结算1 次甜蜜传递</x:t>
  </x:si>
  <x:si>
    <x:t xml:space="preserve">占2格的食物
每有1个，分数+5</x:t>
  </x:si>
  <x:si>
    <x:t xml:space="preserve">删除牌</x:t>
  </x:si>
  <x:si>
    <x:t xml:space="preserve">视为蛋糕</x:t>
  </x:si>
  <x:si>
    <x:t xml:space="preserve">丢弃的牌加分</x:t>
  </x:si>
  <x:si>
    <x:t xml:space="preserve">本行食物
达8/16/30份时，倍率 ×1.3/1.8/2.4</x:t>
  </x:si>
  <x:si>
    <x:t xml:space="preserve">风味额外视为数量</x:t>
  </x:si>
  <x:si>
    <x:t xml:space="preserve">本列
每有1份食物，倍率 +0.3</x:t>
  </x:si>
  <x:si>
    <x:t xml:space="preserve">欢乐蛋糕 +20层
本列蛋糕类食物
分数 +30</x:t>
  </x:si>
  <x:si>
    <x:t xml:space="preserve">每有1 个技能
倍率 +2
甜蜜传递3 个食物</x:t>
  </x:si>
  <x:si>
    <x:t xml:space="preserve">.X</x:t>
  </x:si>
  <x:si>
    <x:t xml:space="preserve">本行
每有1个风味，倍率+0.5</x:t>
  </x:si>
  <x:si>
    <x:t xml:space="preserve">处于非边缘时
非边缘食物倍率+2.5</x:t>
  </x:si>
  <x:si>
    <x:t xml:space="preserve">3+3+3个高级的食物
（数值进一步增强，在普通机制的基础上有更进一步的机制</x:t>
  </x:si>
  <x:si>
    <x:t xml:space="preserve">蛋糕数量达3/5/8时
蛋糕层数 +15/30/50
本行蛋糕倍率 ×1.5</x:t>
  </x:si>
  <x:si>
    <x:t xml:space="preserve">右侧及自身
倍率 ×2
甜蜜传递1 个食物</x:t>
  </x:si>
  <x:si>
    <x:t xml:space="preserve">周围及自身
每有1份食物，倍率 ×1.1</x:t>
  </x:si>
  <x:si>
    <x:t xml:space="preserve">倍率分配</x:t>
  </x:si>
  <x:si>
    <x:t xml:space="preserve">本列蛋糕倍率 ×1.5
将餐桌格子数的1/2
加至蛋糕层数上</x:t>
  </x:si>
  <x:si>
    <x:t xml:space="preserve">所有食物额外视为N份食物
（N为食物所占格子数-1）</x:t>
  </x:si>
  <x:si>
    <x:t xml:space="preserve">结算后
本列食物甜蜜传递时
额外选择2个目标</x:t>
  </x:si>
  <x:si>
    <x:t xml:space="preserve">1+1+1</x:t>
  </x:si>
  <x:si>
    <x:t xml:space="preserve">同行同列带有甜蜜传递的食物
执行1次它们的甜蜜传递</x:t>
  </x:si>
  <x:si>
    <x:t xml:space="preserve">问一下是几次</x:t>
  </x:si>
  <x:si>
    <x:t xml:space="preserve">所有食物
把份数的1/2加入倍率</x:t>
  </x:si>
  <x:si>
    <x:t xml:space="preserve">获得3种蛋糕技能</x:t>
  </x:si>
  <x:si>
    <x:t xml:space="preserve">每有1 个技能
倍率 ×2
甜蜜传递至同行食物</x:t>
  </x:si>
  <x:si>
    <x:t xml:space="preserve">同列</x:t>
  </x:si>
  <x:si>
    <x:t xml:space="preserve">上侧</x:t>
  </x:si>
  <x:si>
    <x:t xml:space="preserve">周围/同列</x:t>
  </x:si>
  <x:si>
    <x:t xml:space="preserve">同行</x:t>
  </x:si>
  <x:si>
    <x:t xml:space="preserve">同行/同列</x:t>
  </x:si>
  <x:si>
    <x:t xml:space="preserve">周围/同行</x:t>
  </x:si>
  <x:si>
    <x:t xml:space="preserve">左侧</x:t>
  </x:si>
  <x:si>
    <x:t xml:space="preserve">左侧/上侧</x:t>
  </x:si>
  <x:si>
    <x:t xml:space="preserve">右侧</x:t>
  </x:si>
  <x:si>
    <x:t xml:space="preserve">周围/同行/同列</x:t>
  </x:si>
  <x:si>
    <x:t xml:space="preserve">下侧</x:t>
  </x:si>
  <x:si>
    <x:t xml:space="preserve">下侧所有/下侧</x:t>
  </x:si>
  <x:si>
    <x:t xml:space="preserve">下侧所有</x:t>
  </x:si>
  <x:si>
    <x:t xml:space="preserve">左侧：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</x:si>
</x:sst>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2">
    <x:font>
      <x:sz val="11"/>
      <x:color theme="1"/>
      <x:name val="宋体"/>
    </x:font>
    <x:font>
      <x:sz val="12"/>
      <x:name val="宋体-简"/>
    </x:font>
    <x:font>
      <x:sz val="11"/>
      <x:name val="宋体"/>
    </x:font>
    <x:font>
      <x:sz val="12"/>
      <x:color rgb="FF101418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</x:fonts>
  <x:fills count="42">
    <x:fill>
      <x:patternFill patternType="none"/>
    </x:fill>
    <x:fill>
      <x:patternFill patternType="gray125"/>
    </x:fill>
    <x:fill>
      <x:patternFill patternType="solid">
        <x:fgColor theme="6" tint="0.8"/>
      </x:patternFill>
    </x:fill>
    <x:fill>
      <x:patternFill patternType="solid">
        <x:fgColor theme="7" tint="0.8"/>
      </x:patternFill>
    </x:fill>
    <x:fill>
      <x:patternFill patternType="solid">
        <x:fgColor theme="9" tint="0.4"/>
      </x:patternFill>
    </x:fill>
    <x:fill>
      <x:patternFill patternType="solid">
        <x:fgColor theme="8" tint="0.8"/>
      </x:patternFill>
    </x:fill>
    <x:fill>
      <x:patternFill patternType="solid">
        <x:fgColor theme="8" tint="0.6"/>
      </x:patternFill>
    </x:fill>
    <x:fill>
      <x:patternFill patternType="solid">
        <x:fgColor theme="9" tint="0.6"/>
      </x:patternFill>
    </x:fill>
    <x:fill>
      <x:patternFill patternType="solid">
        <x:fgColor theme="9" tint="-0.25"/>
      </x:patternFill>
    </x:fill>
    <x:fill>
      <x:patternFill patternType="solid">
        <x:fgColor theme="4" tint="0.8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8C6A43"/>
      </x:patternFill>
    </x:fill>
  </x:fills>
  <x:borders count="1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D9C8B4"/>
      </x:left>
      <x:right style="thin">
        <x:color rgb="FFD9C8B4"/>
      </x:right>
      <x:top style="thin">
        <x:color rgb="FFD9C8B4"/>
      </x:top>
      <x:bottom style="thin">
        <x:color rgb="FFD9C8B4"/>
      </x:bottom>
    </x:border>
    <x:border>
      <x:left style="thin">
        <x:color rgb="FFE6DDD3"/>
      </x:left>
      <x:right style="thin">
        <x:color rgb="FFE6DDD3"/>
      </x:right>
      <x:top style="thin">
        <x:color rgb="FFE6DDD3"/>
      </x:top>
      <x:bottom style="thin">
        <x:color rgb="FFE6DDD3"/>
      </x:bottom>
    </x:border>
  </x:borders>
  <x:cellStyleXfs count="49">
    <x:xf numFmtId="0" fontId="0" fillId="0" borderId="0"/>
    <x:xf numFmtId="43" fontId="0" fillId="0" borderId="0">
      <x:alignment vertical="center"/>
    </x:xf>
    <x:xf numFmtId="44" fontId="0" fillId="0" borderId="0">
      <x:alignment vertical="center"/>
    </x:xf>
    <x:xf numFmtId="9" fontId="0" fillId="0" borderId="0">
      <x:alignment vertical="center"/>
    </x:xf>
    <x:xf numFmtId="41" fontId="0" fillId="0" borderId="0">
      <x:alignment vertical="center"/>
    </x:xf>
    <x:xf numFmtId="42" fontId="0" fillId="0" borderId="0">
      <x:alignment vertical="center"/>
    </x:xf>
    <x:xf numFmtId="0" fontId="4" fillId="0" borderId="0">
      <x:alignment vertical="center"/>
    </x:xf>
    <x:xf numFmtId="0" fontId="5" fillId="0" borderId="0">
      <x:alignment vertical="center"/>
    </x:xf>
    <x:xf numFmtId="0" fontId="0" fillId="10" borderId="2">
      <x:alignment vertical="center"/>
    </x:xf>
    <x:xf numFmtId="0" fontId="6" fillId="0" borderId="0">
      <x:alignment vertical="center"/>
    </x:xf>
    <x:xf numFmtId="0" fontId="7" fillId="0" borderId="0">
      <x:alignment vertical="center"/>
    </x:xf>
    <x:xf numFmtId="0" fontId="8" fillId="0" borderId="0">
      <x:alignment vertical="center"/>
    </x:xf>
    <x:xf numFmtId="0" fontId="9" fillId="0" borderId="3">
      <x:alignment vertical="center"/>
    </x:xf>
    <x:xf numFmtId="0" fontId="10" fillId="0" borderId="3">
      <x:alignment vertical="center"/>
    </x:xf>
    <x:xf numFmtId="0" fontId="11" fillId="0" borderId="4">
      <x:alignment vertical="center"/>
    </x:xf>
    <x:xf numFmtId="0" fontId="11" fillId="0" borderId="0">
      <x:alignment vertical="center"/>
    </x:xf>
    <x:xf numFmtId="0" fontId="12" fillId="11" borderId="5">
      <x:alignment vertical="center"/>
    </x:xf>
    <x:xf numFmtId="0" fontId="13" fillId="12" borderId="6">
      <x:alignment vertical="center"/>
    </x:xf>
    <x:xf numFmtId="0" fontId="14" fillId="12" borderId="5">
      <x:alignment vertical="center"/>
    </x:xf>
    <x:xf numFmtId="0" fontId="15" fillId="13" borderId="7">
      <x:alignment vertical="center"/>
    </x:xf>
    <x:xf numFmtId="0" fontId="16" fillId="0" borderId="8">
      <x:alignment vertical="center"/>
    </x:xf>
    <x:xf numFmtId="0" fontId="17" fillId="0" borderId="9">
      <x:alignment vertical="center"/>
    </x:xf>
    <x:xf numFmtId="0" fontId="18" fillId="14" borderId="0">
      <x:alignment vertical="center"/>
    </x:xf>
    <x:xf numFmtId="0" fontId="19" fillId="15" borderId="0">
      <x:alignment vertical="center"/>
    </x:xf>
    <x:xf numFmtId="0" fontId="20" fillId="16" borderId="0">
      <x:alignment vertical="center"/>
    </x:xf>
    <x:xf numFmtId="0" fontId="21" fillId="17" borderId="0">
      <x:alignment vertical="center"/>
    </x:xf>
    <x:xf numFmtId="0" fontId="0" fillId="18" borderId="0">
      <x:alignment vertical="center"/>
    </x:xf>
    <x:xf numFmtId="0" fontId="0" fillId="19" borderId="0">
      <x:alignment vertical="center"/>
    </x:xf>
    <x:xf numFmtId="0" fontId="21" fillId="20" borderId="0">
      <x:alignment vertical="center"/>
    </x:xf>
    <x:xf numFmtId="0" fontId="21" fillId="21" borderId="0">
      <x:alignment vertical="center"/>
    </x:xf>
    <x:xf numFmtId="0" fontId="0" fillId="22" borderId="0">
      <x:alignment vertical="center"/>
    </x:xf>
    <x:xf numFmtId="0" fontId="0" fillId="23" borderId="0">
      <x:alignment vertical="center"/>
    </x:xf>
    <x:xf numFmtId="0" fontId="21" fillId="24" borderId="0">
      <x:alignment vertical="center"/>
    </x:xf>
    <x:xf numFmtId="0" fontId="21" fillId="25" borderId="0">
      <x:alignment vertical="center"/>
    </x:xf>
    <x:xf numFmtId="0" fontId="0" fillId="26" borderId="0">
      <x:alignment vertical="center"/>
    </x:xf>
    <x:xf numFmtId="0" fontId="0" fillId="27" borderId="0">
      <x:alignment vertical="center"/>
    </x:xf>
    <x:xf numFmtId="0" fontId="21" fillId="28" borderId="0">
      <x:alignment vertical="center"/>
    </x:xf>
    <x:xf numFmtId="0" fontId="21" fillId="29" borderId="0">
      <x:alignment vertical="center"/>
    </x:xf>
    <x:xf numFmtId="0" fontId="0" fillId="30" borderId="0">
      <x:alignment vertical="center"/>
    </x:xf>
    <x:xf numFmtId="0" fontId="0" fillId="31" borderId="0">
      <x:alignment vertical="center"/>
    </x:xf>
    <x:xf numFmtId="0" fontId="21" fillId="32" borderId="0">
      <x:alignment vertical="center"/>
    </x:xf>
    <x:xf numFmtId="0" fontId="21" fillId="33" borderId="0">
      <x:alignment vertical="center"/>
    </x:xf>
    <x:xf numFmtId="0" fontId="0" fillId="34" borderId="0">
      <x:alignment vertical="center"/>
    </x:xf>
    <x:xf numFmtId="0" fontId="0" fillId="35" borderId="0">
      <x:alignment vertical="center"/>
    </x:xf>
    <x:xf numFmtId="0" fontId="21" fillId="36" borderId="0">
      <x:alignment vertical="center"/>
    </x:xf>
    <x:xf numFmtId="0" fontId="21" fillId="37" borderId="0">
      <x:alignment vertical="center"/>
    </x:xf>
    <x:xf numFmtId="0" fontId="0" fillId="38" borderId="0">
      <x:alignment vertical="center"/>
    </x:xf>
    <x:xf numFmtId="0" fontId="0" fillId="39" borderId="0">
      <x:alignment vertical="center"/>
    </x:xf>
    <x:xf numFmtId="0" fontId="21" fillId="40" borderId="0">
      <x:alignment vertical="center"/>
    </x:xf>
  </x:cellStyleXfs>
  <x:cellXfs count="46">
    <x:xf numFmtId="0" fontId="0" fillId="0" borderId="0" xfId="0"/>
    <x:xf numFmtId="0" fontId="0" fillId="0" borderId="0" xfId="0" applyAlignment="1">
      <x:alignment horizontal="center" vertical="center"/>
    </x:xf>
    <x:xf numFmtId="0" fontId="0" fillId="0" borderId="1" xfId="0" applyBorder="1" applyAlignment="1">
      <x:alignment horizontal="center" vertical="center" wrapText="1"/>
    </x:xf>
    <x:xf numFmtId="0" fontId="0" fillId="2" borderId="1" xfId="0" applyFill="1" applyBorder="1" applyAlignment="1">
      <x:alignment horizontal="center" vertical="center" wrapText="1"/>
    </x:xf>
    <x:xf numFmtId="0" fontId="0" fillId="3" borderId="1" xfId="0" applyFill="1" applyBorder="1" applyAlignment="1">
      <x:alignment horizontal="center" vertical="center" wrapText="1"/>
    </x:xf>
    <x:xf numFmtId="0" fontId="0" fillId="4" borderId="1" xfId="0" applyFill="1" applyBorder="1" applyAlignment="1">
      <x:alignment horizontal="center" vertical="center" wrapText="1"/>
    </x:xf>
    <x:xf numFmtId="0" fontId="0" fillId="0" borderId="1" xfId="0" applyBorder="1" applyAlignment="1">
      <x:alignment horizontal="center" vertical="center"/>
    </x:xf>
    <x:xf numFmtId="0" fontId="0" fillId="5" borderId="1" xfId="0" applyFill="1" applyBorder="1" applyAlignment="1">
      <x:alignment horizontal="center" vertical="center"/>
    </x:xf>
    <x:xf numFmtId="0" fontId="0" fillId="0" borderId="0" xfId="0" applyFill="1" applyAlignment="1">
      <x:alignment horizontal="center" vertical="center"/>
    </x:xf>
    <x:xf numFmtId="0" fontId="1" fillId="0" borderId="0" xfId="0" applyFont="1" applyAlignment="1">
      <x:alignment horizontal="center" vertical="center"/>
    </x:xf>
    <x:xf numFmtId="0" fontId="2" fillId="6" borderId="0" xfId="0" applyFont="1" applyFill="1" applyAlignment="1">
      <x:alignment horizontal="center" vertical="center" wrapText="1"/>
    </x:xf>
    <x:xf numFmtId="0" fontId="2" fillId="0" borderId="0" xfId="0" applyFont="1" applyFill="1" applyAlignment="1">
      <x:alignment horizontal="center" vertical="center" wrapText="1"/>
    </x:xf>
    <x:xf numFmtId="0" fontId="2" fillId="7" borderId="0" xfId="0" applyFont="1" applyFill="1" applyAlignment="1">
      <x:alignment horizontal="center" vertical="center" wrapText="1"/>
    </x:xf>
    <x:xf numFmtId="0" fontId="0" fillId="6" borderId="0" xfId="0" applyFill="1" applyAlignment="1">
      <x:alignment horizontal="center" vertical="center" wrapText="1"/>
    </x:xf>
    <x:xf numFmtId="0" fontId="0" fillId="8" borderId="0" xfId="0" applyFill="1" applyAlignment="1">
      <x:alignment horizontal="center" vertical="center"/>
    </x:xf>
    <x:xf numFmtId="0" fontId="0" fillId="0" borderId="0" xfId="0" applyFill="1" applyAlignment="1">
      <x:alignment horizontal="center" vertical="center" wrapText="1"/>
    </x:xf>
    <x:xf numFmtId="0" fontId="2" fillId="0" borderId="0" xfId="0" applyFont="1" applyAlignment="1">
      <x:alignment horizontal="center" vertical="center" wrapText="1"/>
    </x:xf>
    <x:xf numFmtId="0" fontId="0" fillId="9" borderId="0" xfId="0" applyFill="1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0" fillId="8" borderId="0" xfId="0" applyFill="1" applyAlignment="1">
      <x:alignment horizontal="center" vertical="center" wrapText="1"/>
    </x:xf>
    <x:xf numFmtId="0" fontId="0" fillId="3" borderId="0" xfId="0" applyFill="1" applyAlignment="1">
      <x:alignment horizontal="center" vertical="center" wrapText="1"/>
    </x:xf>
    <x:xf numFmtId="0" fontId="1" fillId="0" borderId="0" xfId="0" applyFont="1" applyFill="1" applyAlignment="1">
      <x:alignment horizontal="center" vertical="center"/>
    </x:xf>
    <x:xf numFmtId="0" fontId="1" fillId="8" borderId="0" xfId="0" applyFont="1" applyFill="1" applyAlignment="1">
      <x:alignment horizontal="center" vertical="center"/>
    </x:xf>
    <x:xf numFmtId="0" fontId="3" fillId="0" borderId="0" xfId="0" applyFont="1" applyFill="1" applyAlignment="1">
      <x:alignment horizontal="center" vertical="center"/>
    </x:xf>
    <x:xf numFmtId="0" fontId="0" fillId="5" borderId="0" xfId="0" applyFill="1" applyAlignment="1">
      <x:alignment horizontal="center" vertical="center" wrapText="1"/>
    </x:xf>
    <x:xf numFmtId="0" fontId="0" fillId="7" borderId="0" xfId="0" applyFill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5" borderId="0" xfId="0" applyFill="1" applyAlignment="1">
      <x:alignment horizontal="center" vertical="center"/>
    </x:xf>
    <x:xf numFmtId="0" fontId="2" fillId="7" borderId="0" xfId="0" applyFont="1" applyFill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49" fontId="0" fillId="0" borderId="0" xfId="0" applyNumberFormat="1" applyAlignment="1">
      <x:alignment horizontal="center" vertical="center"/>
    </x:xf>
    <x:xf numFmtId="0" fontId="0" fillId="0" borderId="0" xfId="0" applyAlignment="1">
      <x:alignment horizontal="center"/>
    </x:xf>
    <x:xf numFmtId="0" fontId="0" fillId="0" borderId="0" xfId="0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41" borderId="0" xfId="0" applyNumberFormat="1" applyFont="1" applyFill="1" applyBorder="1"/>
    <x:xf numFmtId="0" fontId="15" fillId="41" borderId="0" xfId="0" applyNumberFormat="1" applyFont="1" applyFill="1" applyBorder="1"/>
    <x:xf numFmtId="0" fontId="15" fillId="41" borderId="10" xfId="0" applyNumberFormat="1" applyFont="1" applyFill="1" applyBorder="1"/>
    <x:xf numFmtId="0" fontId="15" fillId="41" borderId="10" xfId="0" applyNumberFormat="1" applyFont="1" applyFill="1" applyBorder="1" applyAlignment="1">
      <x:alignment wrapText="1"/>
    </x:xf>
    <x:xf numFmtId="0" fontId="15" fillId="41" borderId="10" xfId="0" applyNumberFormat="1" applyFont="1" applyFill="1" applyBorder="1" applyAlignment="1">
      <x:alignment horizontal="center" wrapText="1"/>
    </x:xf>
    <x:xf numFmtId="0" fontId="15" fillId="41" borderId="10" xfId="0" applyNumberFormat="1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/>
    <x:xf numFmtId="0" fontId="0" fillId="0" borderId="11" xfId="0" applyNumberFormat="1" applyFont="1" applyFill="1" applyBorder="1" applyAlignment="1">
      <x:alignment horizontal="center" vertical="center"/>
    </x:xf>
    <x:xf numFmtId="0" fontId="0" fillId="0" borderId="11" xfId="0" applyNumberFormat="1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horizontal="center" vertical="top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78329863ea4f02" /><Relationship Type="http://schemas.openxmlformats.org/officeDocument/2006/relationships/theme" Target="/xl/theme/theme1.xml" Id="Rb58c54dd93bb4db4" /><Relationship Type="http://schemas.openxmlformats.org/officeDocument/2006/relationships/sharedStrings" Target="/xl/sharedStrings.xml" Id="Reea74b7a04e84830" /><Relationship Type="http://schemas.openxmlformats.org/officeDocument/2006/relationships/worksheet" Target="/xl/worksheets/sheet1.xml" Id="R8eba09af5c0e487f" /><Relationship Type="http://schemas.openxmlformats.org/officeDocument/2006/relationships/worksheet" Target="/xl/worksheets/sheet2.xml" Id="R02e1f55aed2f4f5f" /><Relationship Type="http://schemas.openxmlformats.org/officeDocument/2006/relationships/worksheet" Target="/xl/worksheets/sheet3.xml" Id="Rf88d20c53d8b458f" /><Relationship Type="http://schemas.openxmlformats.org/officeDocument/2006/relationships/worksheet" Target="/xl/worksheets/sheet4.xml" Id="Rfed65e6323134d26" /><Relationship Type="http://schemas.openxmlformats.org/officeDocument/2006/relationships/worksheet" Target="/xl/worksheets/sheet5.xml" Id="Rf9e2b4cff8e94586" /><Relationship Type="http://schemas.openxmlformats.org/officeDocument/2006/relationships/worksheet" Target="/xl/worksheets/sheet6.xml" Id="Rf636764f7d3b46fe" /><Relationship Type="http://schemas.openxmlformats.org/officeDocument/2006/relationships/worksheet" Target="/xl/worksheets/sheet7.xml" Id="R4d9c9a4f4fcd408a" /><Relationship Type="http://schemas.openxmlformats.org/officeDocument/2006/relationships/worksheet" Target="/xl/worksheets/sheet8.xml" Id="R42cf0881a32a4c8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6.799999237060547"/>
  <x:cols>
    <x:col min="1" max="1" width="13.076923370361328" style="1" customWidth="1"/>
    <x:col min="2" max="2" width="220" style="1" hidden="0" customWidth="1"/>
    <x:col min="3" max="3" width="10.307692527770996" style="1" customWidth="1"/>
    <x:col min="4" max="4" width="13.461538314819336" style="1" customWidth="1"/>
    <x:col min="5" max="5" width="20" style="1" customWidth="1"/>
    <x:col min="6" max="6" width="250" style="1" hidden="0" customWidth="1"/>
    <x:col min="7" max="7" width="25.538461685180664" style="1" customWidth="1"/>
    <x:col min="8" max="8" width="20.076923370361328" style="1" customWidth="1"/>
    <x:col min="9" max="9" width="17.615385055541992" style="1" customWidth="1"/>
    <x:col min="10" max="10" width="25" style="1" customWidth="1"/>
    <x:col min="11" max="11" width="35.25" style="1" customWidth="1"/>
    <x:col min="12" max="13" width="11.692307472229004" style="1" customWidth="1"/>
    <x:col min="14" max="15" width="6.894230842590332" style="1" customWidth="1"/>
    <x:col min="16" max="21" width="7.04807710647583" style="1" customWidth="1"/>
    <x:col min="22" max="16381" width="9" style="1" customWidth="1"/>
    <x:col min="16382" max="16384" width="9" style="1" customWidth="0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26" t="s">
        <x:v>9</x:v>
      </x:c>
      <x:c r="K1" s="1" t="s">
        <x:v>10</x:v>
      </x:c>
      <x:c r="L1" s="26"/>
      <x:c r="M1" s="26"/>
      <x:c r="N1" s="26"/>
      <x:c r="O1" s="26" t="str">
        <x:f t="shared" ref="O1:Z1" si="0">""</x:f>
      </x:c>
      <x:c r="P1" s="26" t="str">
        <x:f t="shared" si="0"/>
      </x:c>
      <x:c r="Q1" s="26" t="str">
        <x:f t="shared" si="0"/>
      </x:c>
      <x:c r="R1" s="26" t="str">
        <x:f t="shared" si="0"/>
      </x:c>
      <x:c r="S1" s="26" t="str">
        <x:f t="shared" si="0"/>
      </x:c>
      <x:c r="T1" s="26" t="str">
        <x:f t="shared" si="0"/>
      </x:c>
      <x:c r="U1" s="26" t="str">
        <x:f t="shared" si="0"/>
      </x:c>
      <x:c r="V1" s="26" t="str">
        <x:f t="shared" si="0"/>
      </x:c>
      <x:c r="W1" s="26" t="str">
        <x:f t="shared" si="0"/>
      </x:c>
      <x:c r="X1" s="26" t="str">
        <x:f t="shared" si="0"/>
      </x:c>
      <x:c r="Y1" s="26" t="str">
        <x:f t="shared" si="0"/>
      </x:c>
      <x:c r="Z1" s="26" t="str">
        <x:f t="shared" si="0"/>
      </x:c>
    </x:row>
    <x:row r="2" ht="36" customHeight="1">
      <x:c r="A2" s="1" t="s">
        <x:v>11</x:v>
      </x:c>
      <x:c r="B2" s="1" t="s">
        <x:v>12</x:v>
      </x:c>
      <x:c r="C2" s="1" t="s">
        <x:v>13</x:v>
      </x:c>
      <x:c r="D2" s="1" t="s">
        <x:v>14</x:v>
      </x:c>
      <x:c r="E2" s="1" t="s">
        <x:v>15</x:v>
      </x:c>
      <x:c r="F2" s="1" t="s">
        <x:v>16</x:v>
      </x:c>
      <x:c r="G2" s="1" t="s">
        <x:v>17</x:v>
      </x:c>
      <x:c r="H2" s="1" t="s">
        <x:v>18</x:v>
      </x:c>
      <x:c r="I2" s="1" t="s">
        <x:v>19</x:v>
      </x:c>
      <x:c r="J2" s="33" t="s">
        <x:v>20</x:v>
      </x:c>
      <x:c r="K2" s="1" t="s">
        <x:v>21</x:v>
      </x:c>
      <x:c r="L2" s="26"/>
      <x:c r="M2" s="26"/>
      <x:c r="N2" s="26"/>
      <x:c r="O2" s="26" t="str">
        <x:f t="shared" ref="O2:Z2" si="1">""</x:f>
      </x:c>
      <x:c r="P2" s="26" t="str">
        <x:f t="shared" si="1"/>
      </x:c>
      <x:c r="Q2" s="26" t="str">
        <x:f t="shared" si="1"/>
      </x:c>
      <x:c r="R2" s="26" t="str">
        <x:f t="shared" si="1"/>
      </x:c>
      <x:c r="S2" s="26" t="str">
        <x:f t="shared" si="1"/>
      </x:c>
      <x:c r="T2" s="26" t="str">
        <x:f t="shared" si="1"/>
      </x:c>
      <x:c r="U2" s="26" t="str">
        <x:f t="shared" si="1"/>
      </x:c>
      <x:c r="V2" s="26" t="str">
        <x:f t="shared" si="1"/>
      </x:c>
      <x:c r="W2" s="26" t="str">
        <x:f t="shared" si="1"/>
      </x:c>
      <x:c r="X2" s="26" t="str">
        <x:f t="shared" si="1"/>
      </x:c>
      <x:c r="Y2" s="26" t="str">
        <x:f t="shared" si="1"/>
      </x:c>
      <x:c r="Z2" s="26" t="str">
        <x:f t="shared" si="1"/>
      </x:c>
    </x:row>
    <x:row r="3">
      <x:c r="A3" s="1" t="s">
        <x:v>22</x:v>
      </x:c>
      <x:c r="B3" s="1" t="s">
        <x:v>23</x:v>
      </x:c>
      <x:c r="C3" s="1" t="s">
        <x:v>23</x:v>
      </x:c>
      <x:c r="D3" s="1" t="s">
        <x:v>24</x:v>
      </x:c>
      <x:c r="E3" s="1" t="s">
        <x:v>25</x:v>
      </x:c>
      <x:c r="F3" s="1" t="s">
        <x:v>23</x:v>
      </x:c>
      <x:c r="G3" s="1" t="s">
        <x:v>23</x:v>
      </x:c>
      <x:c r="H3" s="1" t="s">
        <x:v>24</x:v>
      </x:c>
      <x:c r="I3" s="1" t="s">
        <x:v>26</x:v>
      </x:c>
      <x:c r="J3" s="26" t="s">
        <x:v>24</x:v>
      </x:c>
      <x:c r="K3" s="1" t="s">
        <x:v>27</x:v>
      </x:c>
      <x:c r="L3" s="26"/>
      <x:c r="M3" s="26"/>
      <x:c r="N3" s="26"/>
      <x:c r="O3" s="26" t="str">
        <x:f t="shared" ref="O3:Z3" si="2">""</x:f>
      </x:c>
      <x:c r="P3" s="26" t="str">
        <x:f t="shared" si="2"/>
      </x:c>
      <x:c r="Q3" s="26" t="str">
        <x:f t="shared" si="2"/>
      </x:c>
      <x:c r="R3" s="26" t="str">
        <x:f t="shared" si="2"/>
      </x:c>
      <x:c r="S3" s="26" t="str">
        <x:f t="shared" si="2"/>
      </x:c>
      <x:c r="T3" s="26" t="str">
        <x:f t="shared" si="2"/>
      </x:c>
      <x:c r="U3" s="26" t="str">
        <x:f t="shared" si="2"/>
      </x:c>
      <x:c r="V3" s="26" t="str">
        <x:f t="shared" si="2"/>
      </x:c>
      <x:c r="W3" s="26" t="str">
        <x:f t="shared" si="2"/>
      </x:c>
      <x:c r="X3" s="26" t="str">
        <x:f t="shared" si="2"/>
      </x:c>
      <x:c r="Y3" s="26" t="str">
        <x:f t="shared" si="2"/>
      </x:c>
      <x:c r="Z3" s="26" t="str">
        <x:f t="shared" si="2"/>
      </x:c>
    </x:row>
    <x:row r="4">
      <x:c r="A4" s="26"/>
      <x:c r="B4" s="8" t="str">
        <x:v>arrow_cookie_1</x:v>
      </x:c>
      <x:c r="C4" s="1" t="str">
        <x:v>右箭头饼干</x:v>
      </x:c>
      <x:c r="D4" s="1" t="n">
        <x:v>10</x:v>
      </x:c>
      <x:c r="E4" s="1" t="str">
        <x:v>false</x:v>
      </x:c>
      <x:c r="F4" s="1" t="str">
        <x:v>sk_arrow_cookie_1</x:v>
      </x:c>
      <x:c r="G4" s="26"/>
      <x:c r="H4" s="1" t="n">
        <x:v>1</x:v>
      </x:c>
      <x:c r="I4" s="1" t="str">
        <x:v>XX</x:v>
      </x:c>
      <x:c r="J4" s="26" t="n">
        <x:v>10</x:v>
      </x:c>
      <x:c r="K4" s="1" t="str">
        <x:v>0.333333,0.333333,0.333334</x:v>
      </x:c>
      <x:c r="O4" s="1" t="e">
        <x:v>#VALUE!</x:v>
      </x:c>
      <x:c r="P4" s="26">
        <x:v>2</x:v>
      </x:c>
      <x:c r="Q4" s="26">
        <x:v>2</x:v>
      </x:c>
      <x:c r="R4" s="26">
        <x:v>2</x:v>
      </x:c>
      <x:c r="S4" s="26">
        <x:v>2</x:v>
      </x:c>
      <x:c r="T4" s="26">
        <x:v>2</x:v>
      </x:c>
      <x:c r="U4" s="26">
        <x:v>2</x:v>
      </x:c>
      <x:c r="V4" s="26">
        <x:v>2</x:v>
      </x:c>
      <x:c r="W4" s="26">
        <x:v>2</x:v>
      </x:c>
      <x:c r="X4" s="26">
        <x:v>2</x:v>
      </x:c>
      <x:c r="Y4" s="26">
        <x:v>2</x:v>
      </x:c>
      <x:c r="Z4" s="26">
        <x:v>2</x:v>
      </x:c>
    </x:row>
    <x:row r="5">
      <x:c r="A5" s="26"/>
      <x:c r="B5" s="8" t="str">
        <x:v>arrow_cookie_2</x:v>
      </x:c>
      <x:c r="C5" s="1" t="str">
        <x:v>左箭头饼干</x:v>
      </x:c>
      <x:c r="D5" s="1" t="n">
        <x:v>10</x:v>
      </x:c>
      <x:c r="E5" s="1" t="str">
        <x:v>false</x:v>
      </x:c>
      <x:c r="F5" s="1" t="str">
        <x:v>sk_arrow_cookie_2</x:v>
      </x:c>
      <x:c r="G5" s="26"/>
      <x:c r="H5" s="1" t="n">
        <x:v>1</x:v>
      </x:c>
      <x:c r="I5" s="1" t="str">
        <x:v>XX</x:v>
      </x:c>
      <x:c r="J5" s="26" t="n">
        <x:v>20</x:v>
      </x:c>
      <x:c r="K5" s="1" t="str">
        <x:v>0.333333,0.333333,0.333334</x:v>
      </x:c>
      <x:c r="O5" s="1" t="e">
        <x:v>#VALUE!</x:v>
      </x:c>
      <x:c r="P5" s="26">
        <x:v>2</x:v>
      </x:c>
      <x:c r="Q5" s="26">
        <x:v>2</x:v>
      </x:c>
      <x:c r="R5" s="26">
        <x:v>2</x:v>
      </x:c>
      <x:c r="S5" s="26">
        <x:v>2</x:v>
      </x:c>
      <x:c r="T5" s="26">
        <x:v>2</x:v>
      </x:c>
      <x:c r="U5" s="26">
        <x:v>2</x:v>
      </x:c>
      <x:c r="V5" s="26">
        <x:v>2</x:v>
      </x:c>
      <x:c r="W5" s="26">
        <x:v>2</x:v>
      </x:c>
      <x:c r="X5" s="26">
        <x:v>2</x:v>
      </x:c>
      <x:c r="Y5" s="26">
        <x:v>2</x:v>
      </x:c>
      <x:c r="Z5" s="26">
        <x:v>2</x:v>
      </x:c>
    </x:row>
    <x:row r="6">
      <x:c r="A6" s="26"/>
      <x:c r="B6" s="1" t="str">
        <x:v>arrow_cookie_3</x:v>
      </x:c>
      <x:c r="C6" s="1" t="str">
        <x:v>下箭头饼干</x:v>
      </x:c>
      <x:c r="D6" s="1" t="n">
        <x:v>10</x:v>
      </x:c>
      <x:c r="E6" s="1" t="str">
        <x:v>false</x:v>
      </x:c>
      <x:c r="F6" s="1" t="str">
        <x:v>sk_arrow_cookie_3</x:v>
      </x:c>
      <x:c r="G6" s="26"/>
      <x:c r="H6" s="1" t="n">
        <x:v>1</x:v>
      </x:c>
      <x:c r="I6" s="1" t="str">
        <x:v>X</x:v>
      </x:c>
      <x:c r="J6" s="26" t="n">
        <x:v>30</x:v>
      </x:c>
      <x:c r="K6" s="1" t="str">
        <x:v>0.333333,0.333333,0.333334</x:v>
      </x:c>
      <x:c r="O6" s="1">
        <x:v>30</x:v>
      </x:c>
      <x:c r="P6" s="26">
        <x:v>2</x:v>
      </x:c>
      <x:c r="Q6" s="26">
        <x:v>2</x:v>
      </x:c>
      <x:c r="R6" s="26">
        <x:v>2</x:v>
      </x:c>
      <x:c r="S6" s="26">
        <x:v>2</x:v>
      </x:c>
      <x:c r="T6" s="26">
        <x:v>2</x:v>
      </x:c>
      <x:c r="U6" s="26">
        <x:v>2</x:v>
      </x:c>
      <x:c r="V6" s="26">
        <x:v>2</x:v>
      </x:c>
      <x:c r="W6" s="26">
        <x:v>2</x:v>
      </x:c>
      <x:c r="X6" s="26">
        <x:v>2</x:v>
      </x:c>
      <x:c r="Y6" s="26">
        <x:v>2</x:v>
      </x:c>
      <x:c r="Z6" s="26">
        <x:v>2</x:v>
      </x:c>
    </x:row>
    <x:row r="7">
      <x:c r="A7" s="26"/>
      <x:c r="B7" s="26"/>
      <x:c r="C7" s="26"/>
      <x:c r="D7" s="26"/>
      <x:c r="E7" s="26"/>
      <x:c r="F7" s="26"/>
      <x:c r="G7" s="26"/>
      <x:c r="H7" s="26"/>
      <x:c r="I7" s="1" t="str">
        <x:v>X</x:v>
      </x:c>
      <x:c r="J7" s="26"/>
      <x:c r="K7" s="26"/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26"/>
      <x:c r="Z7" s="26"/>
    </x:row>
    <x:row r="8">
      <x:c r="A8" s="26"/>
      <x:c r="B8" s="1" t="str">
        <x:v>arrow_cookie_4</x:v>
      </x:c>
      <x:c r="C8" s="1" t="str">
        <x:v>上箭头饼干</x:v>
      </x:c>
      <x:c r="D8" s="1" t="n">
        <x:v>10</x:v>
      </x:c>
      <x:c r="E8" s="1" t="str">
        <x:v>false</x:v>
      </x:c>
      <x:c r="F8" s="1" t="str">
        <x:v>sk_arrow_cookie_4</x:v>
      </x:c>
      <x:c r="G8" s="26"/>
      <x:c r="H8" s="1" t="n">
        <x:v>1</x:v>
      </x:c>
      <x:c r="I8" s="1" t="str">
        <x:v>X</x:v>
      </x:c>
      <x:c r="J8" s="26" t="n">
        <x:v>40</x:v>
      </x:c>
      <x:c r="K8" s="1" t="str">
        <x:v>0.333333,0.333333,0.333334</x:v>
      </x:c>
      <x:c r="O8" s="1" t="n">
        <x:f t="shared" ref="O8:O37" si="3">ROUNDUP(N8*1.5+20,-1)</x:f>
        <x:v>20</x:v>
      </x:c>
      <x:c r="P8" s="26">
        <x:v>2</x:v>
      </x:c>
      <x:c r="Q8" s="26">
        <x:v>2</x:v>
      </x:c>
      <x:c r="R8" s="26">
        <x:v>2</x:v>
      </x:c>
      <x:c r="S8" s="26">
        <x:v>2</x:v>
      </x:c>
      <x:c r="T8" s="26">
        <x:v>2</x:v>
      </x:c>
      <x:c r="U8" s="26">
        <x:v>2</x:v>
      </x:c>
      <x:c r="V8" s="26">
        <x:v>2</x:v>
      </x:c>
      <x:c r="W8" s="26">
        <x:v>2</x:v>
      </x:c>
      <x:c r="X8" s="26">
        <x:v>2</x:v>
      </x:c>
      <x:c r="Y8" s="26">
        <x:v>2</x:v>
      </x:c>
      <x:c r="Z8" s="26">
        <x:v>2</x:v>
      </x:c>
    </x:row>
    <x:row r="9">
      <x:c r="A9" s="26"/>
      <x:c r="B9" s="26"/>
      <x:c r="C9" s="26"/>
      <x:c r="D9" s="26"/>
      <x:c r="E9" s="26"/>
      <x:c r="F9" s="26"/>
      <x:c r="G9" s="26"/>
      <x:c r="H9" s="26"/>
      <x:c r="I9" s="1" t="str">
        <x:v>X</x:v>
      </x:c>
      <x:c r="J9" s="26"/>
      <x:c r="K9" s="26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6"/>
      <x:c r="Z9" s="26"/>
    </x:row>
    <x:row r="10">
      <x:c r="A10" s="26"/>
      <x:c r="B10" s="1" t="str">
        <x:v>jelly</x:v>
      </x:c>
      <x:c r="C10" s="1" t="str">
        <x:v>果冻</x:v>
      </x:c>
      <x:c r="D10" s="1" t="n">
        <x:v>20</x:v>
      </x:c>
      <x:c r="E10" s="1" t="str">
        <x:v>false</x:v>
      </x:c>
      <x:c r="F10" s="1" t="str">
        <x:v>sk_jelly</x:v>
      </x:c>
      <x:c r="G10" s="26"/>
      <x:c r="H10" s="1" t="n">
        <x:v>1</x:v>
      </x:c>
      <x:c r="I10" s="1" t="str">
        <x:v>XX</x:v>
      </x:c>
      <x:c r="J10" s="26" t="n">
        <x:v>50</x:v>
      </x:c>
      <x:c r="K10" s="1" t="str">
        <x:v>0.333333,0.333333,0.333334</x:v>
      </x:c>
      <x:c r="O10" s="1">
        <x:f t="shared" si="3"/>
        <x:v>20</x:v>
      </x:c>
      <x:c r="P10" s="26">
        <x:v>2</x:v>
      </x:c>
      <x:c r="Q10" s="26">
        <x:v>2</x:v>
      </x:c>
      <x:c r="R10" s="26">
        <x:v>2</x:v>
      </x:c>
      <x:c r="S10" s="26">
        <x:v>2</x:v>
      </x:c>
      <x:c r="T10" s="26">
        <x:v>2</x:v>
      </x:c>
      <x:c r="U10" s="26">
        <x:v>2</x:v>
      </x:c>
      <x:c r="V10" s="26">
        <x:v>2</x:v>
      </x:c>
      <x:c r="W10" s="26">
        <x:v>2</x:v>
      </x:c>
      <x:c r="X10" s="26">
        <x:v>2</x:v>
      </x:c>
      <x:c r="Y10" s="26">
        <x:v>2</x:v>
      </x:c>
      <x:c r="Z10" s="26">
        <x:v>2</x:v>
      </x:c>
    </x:row>
    <x:row r="11">
      <x:c r="A11" s="26"/>
      <x:c r="B11" s="1" t="str">
        <x:v>cupcake</x:v>
      </x:c>
      <x:c r="C11" s="1" t="str">
        <x:v>糖霜蛋糕</x:v>
      </x:c>
      <x:c r="D11" s="1" t="n">
        <x:v>20</x:v>
      </x:c>
      <x:c r="E11" s="1" t="str">
        <x:v>false</x:v>
      </x:c>
      <x:c r="F11" s="1" t="str">
        <x:v>sk_cupcake</x:v>
      </x:c>
      <x:c r="G11" s="1" t="str">
        <x:v>cake</x:v>
      </x:c>
      <x:c r="H11" s="1" t="n">
        <x:v>1</x:v>
      </x:c>
      <x:c r="I11" s="1" t="str">
        <x:v>XX</x:v>
      </x:c>
      <x:c r="J11" s="26" t="n">
        <x:v>60</x:v>
      </x:c>
      <x:c r="K11" s="1" t="str">
        <x:v>0.333333,0.333333,0.333334</x:v>
      </x:c>
      <x:c r="O11" s="1">
        <x:f t="shared" si="3"/>
        <x:v>20</x:v>
      </x:c>
      <x:c r="P11" s="26">
        <x:v>2</x:v>
      </x:c>
      <x:c r="Q11" s="26">
        <x:v>2</x:v>
      </x:c>
      <x:c r="R11" s="26">
        <x:v>2</x:v>
      </x:c>
      <x:c r="S11" s="26">
        <x:v>2</x:v>
      </x:c>
      <x:c r="T11" s="26">
        <x:v>2</x:v>
      </x:c>
      <x:c r="U11" s="26">
        <x:v>2</x:v>
      </x:c>
      <x:c r="V11" s="26">
        <x:v>2</x:v>
      </x:c>
      <x:c r="W11" s="26">
        <x:v>2</x:v>
      </x:c>
      <x:c r="X11" s="26">
        <x:v>2</x:v>
      </x:c>
      <x:c r="Y11" s="26">
        <x:v>2</x:v>
      </x:c>
      <x:c r="Z11" s="26">
        <x:v>2</x:v>
      </x:c>
    </x:row>
    <x:row r="12">
      <x:c r="A12" s="26"/>
      <x:c r="B12" s="1" t="str">
        <x:v>eggtart</x:v>
      </x:c>
      <x:c r="C12" s="1" t="str">
        <x:v>蛋挞</x:v>
      </x:c>
      <x:c r="D12" s="1" t="n">
        <x:v>20</x:v>
      </x:c>
      <x:c r="E12" s="1" t="str">
        <x:v>false</x:v>
      </x:c>
      <x:c r="F12" s="1" t="str">
        <x:v>sk_eggtart</x:v>
      </x:c>
      <x:c r="G12" s="26"/>
      <x:c r="H12" s="1" t="n">
        <x:v>1</x:v>
      </x:c>
      <x:c r="I12" s="1" t="str">
        <x:v>XX</x:v>
      </x:c>
      <x:c r="J12" s="26" t="n">
        <x:v>70</x:v>
      </x:c>
      <x:c r="K12" s="1" t="str">
        <x:v>0.333333,0.333333,0.333334</x:v>
      </x:c>
      <x:c r="O12" s="1">
        <x:f t="shared" si="3"/>
        <x:v>20</x:v>
      </x:c>
      <x:c r="P12" s="26">
        <x:v>2</x:v>
      </x:c>
      <x:c r="Q12" s="26">
        <x:v>2</x:v>
      </x:c>
      <x:c r="R12" s="26">
        <x:v>2</x:v>
      </x:c>
      <x:c r="S12" s="26">
        <x:v>2</x:v>
      </x:c>
      <x:c r="T12" s="26">
        <x:v>2</x:v>
      </x:c>
      <x:c r="U12" s="26">
        <x:v>2</x:v>
      </x:c>
      <x:c r="V12" s="26">
        <x:v>2</x:v>
      </x:c>
      <x:c r="W12" s="26">
        <x:v>2</x:v>
      </x:c>
      <x:c r="X12" s="26">
        <x:v>2</x:v>
      </x:c>
      <x:c r="Y12" s="26">
        <x:v>2</x:v>
      </x:c>
      <x:c r="Z12" s="26">
        <x:v>2</x:v>
      </x:c>
    </x:row>
    <x:row r="13">
      <x:c r="A13" s="26"/>
      <x:c r="B13" s="1" t="str">
        <x:v>sugarbean</x:v>
      </x:c>
      <x:c r="C13" s="1" t="str">
        <x:v>糖豆</x:v>
      </x:c>
      <x:c r="D13" s="1" t="n">
        <x:v>20</x:v>
      </x:c>
      <x:c r="E13" s="1" t="str">
        <x:v>false</x:v>
      </x:c>
      <x:c r="F13" s="1" t="str">
        <x:v>sk_sugarbean</x:v>
      </x:c>
      <x:c r="G13" s="26"/>
      <x:c r="H13" s="1" t="n">
        <x:v>1</x:v>
      </x:c>
      <x:c r="I13" s="1" t="str">
        <x:v>XX</x:v>
      </x:c>
      <x:c r="J13" s="26" t="n">
        <x:v>80</x:v>
      </x:c>
      <x:c r="K13" s="1" t="str">
        <x:v>0.333333,0.333333,0.333334</x:v>
      </x:c>
      <x:c r="O13" s="1">
        <x:f t="shared" si="3"/>
        <x:v>20</x:v>
      </x:c>
      <x:c r="P13" s="26">
        <x:v>2</x:v>
      </x:c>
      <x:c r="Q13" s="26">
        <x:v>2</x:v>
      </x:c>
      <x:c r="R13" s="26">
        <x:v>2</x:v>
      </x:c>
      <x:c r="S13" s="26">
        <x:v>2</x:v>
      </x:c>
      <x:c r="T13" s="26">
        <x:v>2</x:v>
      </x:c>
      <x:c r="U13" s="26">
        <x:v>2</x:v>
      </x:c>
      <x:c r="V13" s="26">
        <x:v>2</x:v>
      </x:c>
      <x:c r="W13" s="26">
        <x:v>2</x:v>
      </x:c>
      <x:c r="X13" s="26">
        <x:v>2</x:v>
      </x:c>
      <x:c r="Y13" s="26">
        <x:v>2</x:v>
      </x:c>
      <x:c r="Z13" s="26">
        <x:v>2</x:v>
      </x:c>
    </x:row>
    <x:row r="14">
      <x:c r="A14" s="26"/>
      <x:c r="B14" s="1" t="str">
        <x:v>cheesecake</x:v>
      </x:c>
      <x:c r="C14" s="1" t="str">
        <x:v>芝士蛋糕</x:v>
      </x:c>
      <x:c r="D14" s="1" t="n">
        <x:v>20</x:v>
      </x:c>
      <x:c r="E14" s="1" t="str">
        <x:v>false</x:v>
      </x:c>
      <x:c r="F14" s="1" t="str">
        <x:v>sk_cheesecake</x:v>
      </x:c>
      <x:c r="G14" s="1" t="str">
        <x:v>cake</x:v>
      </x:c>
      <x:c r="H14" s="1" t="n">
        <x:v>1</x:v>
      </x:c>
      <x:c r="I14" s="1" t="str">
        <x:v>XX</x:v>
      </x:c>
      <x:c r="J14" s="26" t="n">
        <x:v>90</x:v>
      </x:c>
      <x:c r="K14" s="1" t="str">
        <x:v>0.333333,0.333333,0.333334</x:v>
      </x:c>
      <x:c r="O14" s="1">
        <x:f t="shared" si="3"/>
        <x:v>20</x:v>
      </x:c>
      <x:c r="P14" s="26">
        <x:v>2</x:v>
      </x:c>
      <x:c r="Q14" s="1">
        <x:v>2</x:v>
      </x:c>
      <x:c r="R14" s="1">
        <x:v>2</x:v>
      </x:c>
      <x:c r="S14" s="1">
        <x:v>2</x:v>
      </x:c>
      <x:c r="T14" s="1">
        <x:v>2</x:v>
      </x:c>
      <x:c r="U14" s="1">
        <x:v>2</x:v>
      </x:c>
      <x:c r="V14" s="1">
        <x:v>2</x:v>
      </x:c>
      <x:c r="W14" s="1">
        <x:v>2</x:v>
      </x:c>
      <x:c r="X14" s="1">
        <x:v>2</x:v>
      </x:c>
      <x:c r="Y14" s="1">
        <x:v>2</x:v>
      </x:c>
      <x:c r="Z14" s="26">
        <x:v>2</x:v>
      </x:c>
    </x:row>
    <x:row r="15">
      <x:c r="A15" s="26"/>
      <x:c r="B15" s="1" t="str">
        <x:v>mousse</x:v>
      </x:c>
      <x:c r="C15" s="1" t="str">
        <x:v>慕斯蛋糕</x:v>
      </x:c>
      <x:c r="D15" s="1" t="n">
        <x:v>20</x:v>
      </x:c>
      <x:c r="E15" s="1" t="str">
        <x:v>false</x:v>
      </x:c>
      <x:c r="F15" s="1" t="str">
        <x:v>sk_mousse</x:v>
      </x:c>
      <x:c r="G15" s="1" t="str">
        <x:v>cake</x:v>
      </x:c>
      <x:c r="H15" s="1" t="n">
        <x:v>1</x:v>
      </x:c>
      <x:c r="I15" s="1" t="str">
        <x:v>XX</x:v>
      </x:c>
      <x:c r="J15" s="26" t="n">
        <x:v>100</x:v>
      </x:c>
      <x:c r="K15" s="1" t="str">
        <x:v>0.333333,0.333333,0.333334</x:v>
      </x:c>
      <x:c r="O15" s="1">
        <x:f t="shared" si="3"/>
        <x:v>20</x:v>
      </x:c>
      <x:c r="P15" s="26">
        <x:v>2</x:v>
      </x:c>
      <x:c r="Q15" s="1">
        <x:v>2</x:v>
      </x:c>
      <x:c r="R15" s="1">
        <x:v>2</x:v>
      </x:c>
      <x:c r="S15" s="1">
        <x:v>2</x:v>
      </x:c>
      <x:c r="T15" s="1">
        <x:v>2</x:v>
      </x:c>
      <x:c r="U15" s="1">
        <x:v>2</x:v>
      </x:c>
      <x:c r="V15" s="1">
        <x:v>2</x:v>
      </x:c>
      <x:c r="W15" s="1">
        <x:v>2</x:v>
      </x:c>
      <x:c r="X15" s="1">
        <x:v>2</x:v>
      </x:c>
      <x:c r="Y15" s="1">
        <x:v>2</x:v>
      </x:c>
      <x:c r="Z15" s="26">
        <x:v>2</x:v>
      </x:c>
    </x:row>
    <x:row r="16">
      <x:c r="A16" s="26"/>
      <x:c r="B16" s="1" t="str">
        <x:v>caramel_pudding</x:v>
      </x:c>
      <x:c r="C16" s="1" t="str">
        <x:v>焦糖布丁</x:v>
      </x:c>
      <x:c r="D16" s="1" t="n">
        <x:v>20</x:v>
      </x:c>
      <x:c r="E16" s="1" t="str">
        <x:v>false</x:v>
      </x:c>
      <x:c r="F16" s="1" t="str">
        <x:v>sk_caramel_pudding</x:v>
      </x:c>
      <x:c r="G16" s="26"/>
      <x:c r="H16" s="1" t="n">
        <x:v>1</x:v>
      </x:c>
      <x:c r="I16" s="1" t="str">
        <x:v>XX</x:v>
      </x:c>
      <x:c r="J16" s="26" t="n">
        <x:v>110</x:v>
      </x:c>
      <x:c r="K16" s="1" t="str">
        <x:v>0.333333,0.333333,0.333334</x:v>
      </x:c>
      <x:c r="O16" s="1">
        <x:f t="shared" si="3"/>
        <x:v>20</x:v>
      </x:c>
      <x:c r="P16" s="26">
        <x:v>2</x:v>
      </x:c>
      <x:c r="Q16" s="1">
        <x:v>2</x:v>
      </x:c>
      <x:c r="R16" s="1">
        <x:v>2</x:v>
      </x:c>
      <x:c r="S16" s="1">
        <x:v>2</x:v>
      </x:c>
      <x:c r="T16" s="1">
        <x:v>2</x:v>
      </x:c>
      <x:c r="U16" s="1">
        <x:v>2</x:v>
      </x:c>
      <x:c r="V16" s="1">
        <x:v>2</x:v>
      </x:c>
      <x:c r="W16" s="1">
        <x:v>2</x:v>
      </x:c>
      <x:c r="X16" s="1">
        <x:v>2</x:v>
      </x:c>
      <x:c r="Y16" s="1">
        <x:v>2</x:v>
      </x:c>
      <x:c r="Z16" s="26">
        <x:v>2</x:v>
      </x:c>
    </x:row>
    <x:row r="17">
      <x:c r="A17" s="26"/>
      <x:c r="B17" s="26" t="str">
        <x:v>fruit_candy</x:v>
      </x:c>
      <x:c r="C17" s="26" t="str">
        <x:v>水果糖</x:v>
      </x:c>
      <x:c r="D17" s="26" t="n">
        <x:v>20</x:v>
      </x:c>
      <x:c r="E17" s="26" t="str">
        <x:v>false</x:v>
      </x:c>
      <x:c r="F17" s="26" t="str">
        <x:v>sk_fruit_candy</x:v>
      </x:c>
      <x:c r="G17" s="26"/>
      <x:c r="H17" s="26" t="n">
        <x:v>1</x:v>
      </x:c>
      <x:c r="I17" s="1" t="str">
        <x:v>X</x:v>
      </x:c>
      <x:c r="J17" s="26" t="n">
        <x:v>120</x:v>
      </x:c>
      <x:c r="K17" s="26" t="str">
        <x:v>0.333333,0.333333,0.333334</x:v>
      </x:c>
      <x:c r="L17" s="26"/>
      <x:c r="M17" s="26"/>
      <x:c r="N17" s="26"/>
      <x:c r="O17" s="26"/>
      <x:c r="P17" s="26"/>
      <x:c r="Z17" s="26"/>
    </x:row>
    <x:row r="18">
      <x:c r="A18" s="26"/>
      <x:c r="B18" s="1"/>
      <x:c r="C18" s="1"/>
      <x:c r="D18" s="1"/>
      <x:c r="E18" s="1"/>
      <x:c r="F18" s="1"/>
      <x:c r="G18" s="26"/>
      <x:c r="H18" s="1"/>
      <x:c r="I18" s="1" t="str">
        <x:v>X</x:v>
      </x:c>
      <x:c r="J18" s="26"/>
      <x:c r="K18" s="1"/>
      <x:c r="O18" s="1">
        <x:f t="shared" si="3"/>
        <x:v>20</x:v>
      </x:c>
      <x:c r="P18" s="26">
        <x:v>2</x:v>
      </x:c>
      <x:c r="Q18" s="1">
        <x:v>2</x:v>
      </x:c>
      <x:c r="R18" s="1">
        <x:v>2</x:v>
      </x:c>
      <x:c r="S18" s="1">
        <x:v>2</x:v>
      </x:c>
      <x:c r="T18" s="1">
        <x:v>2</x:v>
      </x:c>
      <x:c r="U18" s="1">
        <x:v>2</x:v>
      </x:c>
      <x:c r="V18" s="1">
        <x:v>2</x:v>
      </x:c>
      <x:c r="W18" s="1">
        <x:v>2</x:v>
      </x:c>
      <x:c r="X18" s="1">
        <x:v>2</x:v>
      </x:c>
      <x:c r="Y18" s="1">
        <x:v>2</x:v>
      </x:c>
      <x:c r="Z18" s="26">
        <x:v>2</x:v>
      </x:c>
    </x:row>
    <x:row r="19">
      <x:c r="A19" s="26"/>
      <x:c r="B19" s="26" t="str">
        <x:v>choco_bar</x:v>
      </x:c>
      <x:c r="C19" s="26" t="str">
        <x:v>巧克力棒</x:v>
      </x:c>
      <x:c r="D19" s="26" t="n">
        <x:v>20</x:v>
      </x:c>
      <x:c r="E19" s="26" t="str">
        <x:v>false</x:v>
      </x:c>
      <x:c r="F19" s="26" t="str">
        <x:v>sk_choco_bar</x:v>
      </x:c>
      <x:c r="G19" s="26"/>
      <x:c r="H19" s="26" t="n">
        <x:v>1</x:v>
      </x:c>
      <x:c r="I19" s="1" t="str">
        <x:v>X</x:v>
      </x:c>
      <x:c r="J19" s="26" t="n">
        <x:v>130</x:v>
      </x:c>
      <x:c r="K19" s="26" t="str">
        <x:v>0.333333,0.333333,0.333334</x:v>
      </x:c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>
      <x:c r="A20" s="26"/>
      <x:c r="B20" s="1"/>
      <x:c r="C20" s="1"/>
      <x:c r="D20" s="1"/>
      <x:c r="E20" s="1"/>
      <x:c r="F20" s="1"/>
      <x:c r="G20" s="26"/>
      <x:c r="H20" s="1"/>
      <x:c r="I20" s="1" t="str">
        <x:v>X</x:v>
      </x:c>
      <x:c r="J20" s="26"/>
      <x:c r="K20" s="1"/>
      <x:c r="O20" s="1">
        <x:f t="shared" si="3"/>
        <x:v>20</x:v>
      </x:c>
      <x:c r="P20" s="26">
        <x:v>2</x:v>
      </x:c>
      <x:c r="Q20" s="26">
        <x:v>2</x:v>
      </x:c>
      <x:c r="R20" s="26">
        <x:v>2</x:v>
      </x:c>
      <x:c r="S20" s="26">
        <x:v>2</x:v>
      </x:c>
      <x:c r="T20" s="26">
        <x:v>2</x:v>
      </x:c>
      <x:c r="U20" s="26">
        <x:v>2</x:v>
      </x:c>
      <x:c r="V20" s="26">
        <x:v>2</x:v>
      </x:c>
      <x:c r="W20" s="26">
        <x:v>2</x:v>
      </x:c>
      <x:c r="X20" s="26">
        <x:v>2</x:v>
      </x:c>
      <x:c r="Y20" s="26">
        <x:v>2</x:v>
      </x:c>
      <x:c r="Z20" s="26">
        <x:v>2</x:v>
      </x:c>
    </x:row>
    <x:row r="21">
      <x:c r="A21" s="26"/>
      <x:c r="B21" s="26" t="str">
        <x:v>mochi</x:v>
      </x:c>
      <x:c r="C21" s="26" t="str">
        <x:v>麻薯</x:v>
      </x:c>
      <x:c r="D21" s="26" t="n">
        <x:v>20</x:v>
      </x:c>
      <x:c r="E21" s="26" t="str">
        <x:v>false</x:v>
      </x:c>
      <x:c r="F21" s="26" t="str">
        <x:v>sk_mochi</x:v>
      </x:c>
      <x:c r="G21" s="26"/>
      <x:c r="H21" s="26" t="n">
        <x:v>2</x:v>
      </x:c>
      <x:c r="I21" s="1" t="str">
        <x:v>X</x:v>
      </x:c>
      <x:c r="J21" s="26" t="n">
        <x:v>140</x:v>
      </x:c>
      <x:c r="K21" s="26" t="str">
        <x:v>0.333333,0.333333,0.333334</x:v>
      </x:c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>
      <x:c r="A22" s="26"/>
      <x:c r="B22" s="1"/>
      <x:c r="C22" s="1"/>
      <x:c r="D22" s="1"/>
      <x:c r="E22" s="1"/>
      <x:c r="F22" s="1"/>
      <x:c r="G22" s="1"/>
      <x:c r="H22" s="1"/>
      <x:c r="I22" s="1" t="str">
        <x:v>X</x:v>
      </x:c>
      <x:c r="J22" s="26"/>
      <x:c r="K22" s="1"/>
      <x:c r="O22" s="1">
        <x:f t="shared" si="3"/>
        <x:v>20</x:v>
      </x:c>
      <x:c r="P22" s="26">
        <x:v>2</x:v>
      </x:c>
      <x:c r="Q22" s="26">
        <x:v>2</x:v>
      </x:c>
      <x:c r="R22" s="26">
        <x:v>2</x:v>
      </x:c>
      <x:c r="S22" s="26">
        <x:v>2</x:v>
      </x:c>
      <x:c r="T22" s="26">
        <x:v>2</x:v>
      </x:c>
      <x:c r="U22" s="26">
        <x:v>2</x:v>
      </x:c>
      <x:c r="V22" s="26">
        <x:v>2</x:v>
      </x:c>
      <x:c r="W22" s="26">
        <x:v>2</x:v>
      </x:c>
      <x:c r="X22" s="26">
        <x:v>2</x:v>
      </x:c>
      <x:c r="Y22" s="26">
        <x:v>2</x:v>
      </x:c>
      <x:c r="Z22" s="26">
        <x:v>2</x:v>
      </x:c>
    </x:row>
    <x:row r="23">
      <x:c r="A23" s="26"/>
      <x:c r="B23" s="26" t="str">
        <x:v>cup_cake</x:v>
      </x:c>
      <x:c r="C23" s="26" t="str">
        <x:v>杯子蛋糕</x:v>
      </x:c>
      <x:c r="D23" s="26" t="n">
        <x:v>20</x:v>
      </x:c>
      <x:c r="E23" s="26" t="str">
        <x:v>false</x:v>
      </x:c>
      <x:c r="F23" s="26" t="str">
        <x:v>sk_cup_cake</x:v>
      </x:c>
      <x:c r="G23" s="26" t="str">
        <x:v>cake</x:v>
      </x:c>
      <x:c r="H23" s="26" t="n">
        <x:v>1</x:v>
      </x:c>
      <x:c r="I23" s="1" t="str">
        <x:v>X</x:v>
      </x:c>
      <x:c r="J23" s="26" t="n">
        <x:v>150</x:v>
      </x:c>
      <x:c r="K23" s="26" t="str">
        <x:v>0.333333,0.333333,0.333334</x:v>
      </x:c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>
      <x:c r="A24" s="26"/>
      <x:c r="B24" s="1"/>
      <x:c r="C24" s="1"/>
      <x:c r="D24" s="1"/>
      <x:c r="E24" s="1"/>
      <x:c r="F24" s="1"/>
      <x:c r="G24" s="26"/>
      <x:c r="H24" s="1"/>
      <x:c r="I24" s="1" t="str">
        <x:v>X</x:v>
      </x:c>
      <x:c r="J24" s="26"/>
      <x:c r="K24" s="1"/>
      <x:c r="O24" s="1">
        <x:f t="shared" si="3"/>
        <x:v>20</x:v>
      </x:c>
      <x:c r="P24" s="26">
        <x:v>2</x:v>
      </x:c>
      <x:c r="Q24" s="26">
        <x:v>2</x:v>
      </x:c>
      <x:c r="R24" s="26">
        <x:v>2</x:v>
      </x:c>
      <x:c r="S24" s="26">
        <x:v>2</x:v>
      </x:c>
      <x:c r="T24" s="26">
        <x:v>2</x:v>
      </x:c>
      <x:c r="U24" s="26">
        <x:v>2</x:v>
      </x:c>
      <x:c r="V24" s="26">
        <x:v>2</x:v>
      </x:c>
      <x:c r="W24" s="26">
        <x:v>2</x:v>
      </x:c>
      <x:c r="X24" s="26">
        <x:v>2</x:v>
      </x:c>
      <x:c r="Y24" s="26">
        <x:v>2</x:v>
      </x:c>
      <x:c r="Z24" s="26">
        <x:v>2</x:v>
      </x:c>
    </x:row>
    <x:row r="25">
      <x:c r="A25" s="26"/>
      <x:c r="B25" s="26" t="str">
        <x:v>cream_puff</x:v>
      </x:c>
      <x:c r="C25" s="26" t="str">
        <x:v>奶油泡芙</x:v>
      </x:c>
      <x:c r="D25" s="26" t="n">
        <x:v>20</x:v>
      </x:c>
      <x:c r="E25" s="26" t="str">
        <x:v>false</x:v>
      </x:c>
      <x:c r="F25" s="26" t="str">
        <x:v>sk_cream_puff</x:v>
      </x:c>
      <x:c r="G25" s="26"/>
      <x:c r="H25" s="26" t="n">
        <x:v>1</x:v>
      </x:c>
      <x:c r="I25" s="1" t="str">
        <x:v>X</x:v>
      </x:c>
      <x:c r="J25" s="26" t="n">
        <x:v>160</x:v>
      </x:c>
      <x:c r="K25" s="26" t="str">
        <x:v>0.333333,0.333333,0.333334</x:v>
      </x:c>
      <x:c r="L25" s="26"/>
      <x:c r="M25" s="26"/>
      <x:c r="N25" s="26"/>
      <x:c r="O25" s="26"/>
      <x:c r="P25" s="26"/>
      <x:c r="Q25" s="26"/>
      <x:c r="R25" s="26"/>
      <x:c r="S25" s="26"/>
      <x:c r="V25" s="26"/>
      <x:c r="W25" s="26"/>
      <x:c r="X25" s="26"/>
      <x:c r="Y25" s="26"/>
      <x:c r="Z25" s="26"/>
    </x:row>
    <x:row r="26">
      <x:c r="A26" s="26"/>
      <x:c r="B26" s="1"/>
      <x:c r="C26" s="1"/>
      <x:c r="D26" s="1"/>
      <x:c r="E26" s="1"/>
      <x:c r="F26" s="1"/>
      <x:c r="G26" s="26"/>
      <x:c r="H26" s="1"/>
      <x:c r="I26" s="1" t="str">
        <x:v>X</x:v>
      </x:c>
      <x:c r="J26" s="26"/>
      <x:c r="K26" s="1"/>
      <x:c r="O26" s="1">
        <x:f t="shared" si="3"/>
        <x:v>20</x:v>
      </x:c>
      <x:c r="P26" s="26">
        <x:v>3</x:v>
      </x:c>
      <x:c r="Q26" s="26">
        <x:v>3</x:v>
      </x:c>
      <x:c r="R26" s="1">
        <x:v>3</x:v>
      </x:c>
      <x:c r="S26" s="26">
        <x:v>3</x:v>
      </x:c>
      <x:c r="T26" s="1">
        <x:v>3</x:v>
      </x:c>
      <x:c r="U26" s="1">
        <x:v>3</x:v>
      </x:c>
      <x:c r="V26" s="26">
        <x:v>3</x:v>
      </x:c>
      <x:c r="W26" s="26">
        <x:v>3</x:v>
      </x:c>
      <x:c r="X26" s="26">
        <x:v>3</x:v>
      </x:c>
      <x:c r="Y26" s="26">
        <x:v>3</x:v>
      </x:c>
      <x:c r="Z26" s="26">
        <x:v>3</x:v>
      </x:c>
    </x:row>
    <x:row r="27">
      <x:c r="A27" s="26"/>
      <x:c r="B27" s="1" t="str">
        <x:v>ice_cream</x:v>
      </x:c>
      <x:c r="C27" s="1" t="str">
        <x:v>冰淇淋</x:v>
      </x:c>
      <x:c r="D27" s="1" t="n">
        <x:v>100</x:v>
      </x:c>
      <x:c r="E27" s="1" t="str">
        <x:v>false</x:v>
      </x:c>
      <x:c r="F27" s="1" t="str">
        <x:v>sk_ice_cream</x:v>
      </x:c>
      <x:c r="G27" s="26"/>
      <x:c r="H27" s="1" t="n">
        <x:v>1</x:v>
      </x:c>
      <x:c r="I27" s="1" t="str">
        <x:v>X</x:v>
      </x:c>
      <x:c r="J27" s="26" t="n">
        <x:v>170</x:v>
      </x:c>
      <x:c r="K27" s="1" t="str">
        <x:v>0.333333,0.333333,0.333334</x:v>
      </x:c>
      <x:c r="O27" s="1">
        <x:f t="shared" si="3"/>
        <x:v>20</x:v>
      </x:c>
      <x:c r="P27" s="26">
        <x:v>3</x:v>
      </x:c>
      <x:c r="Q27" s="26">
        <x:v>3</x:v>
      </x:c>
      <x:c r="R27" s="1">
        <x:v>3</x:v>
      </x:c>
      <x:c r="S27" s="26">
        <x:v>3</x:v>
      </x:c>
      <x:c r="T27" s="1">
        <x:v>3</x:v>
      </x:c>
      <x:c r="U27" s="1">
        <x:v>3</x:v>
      </x:c>
      <x:c r="V27" s="26">
        <x:v>3</x:v>
      </x:c>
      <x:c r="W27" s="26">
        <x:v>3</x:v>
      </x:c>
      <x:c r="X27" s="26">
        <x:v>3</x:v>
      </x:c>
      <x:c r="Y27" s="26">
        <x:v>3</x:v>
      </x:c>
      <x:c r="Z27" s="26">
        <x:v>3</x:v>
      </x:c>
    </x:row>
    <x:row r="28">
      <x:c r="A28" s="26"/>
      <x:c r="B28" s="1"/>
      <x:c r="C28" s="1"/>
      <x:c r="D28" s="1"/>
      <x:c r="E28" s="1"/>
      <x:c r="F28" s="1"/>
      <x:c r="G28" s="26"/>
      <x:c r="H28" s="1"/>
      <x:c r="I28" s="1" t="str">
        <x:v>X</x:v>
      </x:c>
      <x:c r="J28" s="26"/>
      <x:c r="K28" s="1"/>
      <x:c r="O28" s="1">
        <x:f t="shared" si="3"/>
        <x:v>20</x:v>
      </x:c>
      <x:c r="P28" s="26">
        <x:v>3</x:v>
      </x:c>
      <x:c r="Q28" s="26">
        <x:v>3</x:v>
      </x:c>
      <x:c r="R28" s="1">
        <x:v>3</x:v>
      </x:c>
      <x:c r="S28" s="26">
        <x:v>3</x:v>
      </x:c>
      <x:c r="T28" s="1">
        <x:v>3</x:v>
      </x:c>
      <x:c r="U28" s="1">
        <x:v>3</x:v>
      </x:c>
      <x:c r="V28" s="26">
        <x:v>3</x:v>
      </x:c>
      <x:c r="W28" s="26">
        <x:v>3</x:v>
      </x:c>
      <x:c r="X28" s="26">
        <x:v>3</x:v>
      </x:c>
      <x:c r="Y28" s="26">
        <x:v>3</x:v>
      </x:c>
      <x:c r="Z28" s="26">
        <x:v>3</x:v>
      </x:c>
    </x:row>
    <x:row r="29">
      <x:c r="A29" s="26"/>
      <x:c r="B29" s="1" t="str">
        <x:v>eggroll</x:v>
      </x:c>
      <x:c r="C29" s="1" t="str">
        <x:v>蛋卷</x:v>
      </x:c>
      <x:c r="D29" s="1" t="n">
        <x:v>30</x:v>
      </x:c>
      <x:c r="E29" s="1" t="str">
        <x:v>false</x:v>
      </x:c>
      <x:c r="F29" s="1" t="str">
        <x:v>sk_eggroll</x:v>
      </x:c>
      <x:c r="G29" s="1"/>
      <x:c r="H29" s="1" t="n">
        <x:v>3</x:v>
      </x:c>
      <x:c r="I29" s="1" t="str">
        <x:v>XXX</x:v>
      </x:c>
      <x:c r="J29" s="26" t="n">
        <x:v>180</x:v>
      </x:c>
      <x:c r="K29" s="1" t="str">
        <x:v>0.333333,0.333333,0.333334</x:v>
      </x:c>
      <x:c r="O29" s="1">
        <x:f t="shared" si="3"/>
        <x:v>20</x:v>
      </x:c>
      <x:c r="P29" s="26">
        <x:v>3</x:v>
      </x:c>
      <x:c r="Q29" s="26">
        <x:v>3</x:v>
      </x:c>
      <x:c r="R29" s="1">
        <x:v>3</x:v>
      </x:c>
      <x:c r="S29" s="26">
        <x:v>3</x:v>
      </x:c>
      <x:c r="T29" s="1">
        <x:v>3</x:v>
      </x:c>
      <x:c r="U29" s="30">
        <x:v>3</x:v>
      </x:c>
      <x:c r="V29" s="26">
        <x:v>3</x:v>
      </x:c>
      <x:c r="W29" s="26">
        <x:v>3</x:v>
      </x:c>
      <x:c r="X29" s="26">
        <x:v>3</x:v>
      </x:c>
      <x:c r="Y29" s="26">
        <x:v>3</x:v>
      </x:c>
      <x:c r="Z29" s="26">
        <x:v>3</x:v>
      </x:c>
    </x:row>
    <x:row r="30">
      <x:c r="A30" s="26"/>
      <x:c r="B30" s="1" t="str">
        <x:v>osmanthus_cake</x:v>
      </x:c>
      <x:c r="C30" s="1" t="str">
        <x:v>桂花糕</x:v>
      </x:c>
      <x:c r="D30" s="1" t="n">
        <x:v>30</x:v>
      </x:c>
      <x:c r="E30" s="1" t="str">
        <x:v>false</x:v>
      </x:c>
      <x:c r="F30" s="1" t="str">
        <x:v>sk_osmanthus_cake</x:v>
      </x:c>
      <x:c r="G30" s="1"/>
      <x:c r="H30" s="1" t="n">
        <x:v>1</x:v>
      </x:c>
      <x:c r="I30" s="1" t="str">
        <x:v>XXX</x:v>
      </x:c>
      <x:c r="J30" s="26" t="n">
        <x:v>190</x:v>
      </x:c>
      <x:c r="K30" s="1" t="str">
        <x:v>0.333333,0.333333,0.333334</x:v>
      </x:c>
      <x:c r="O30" s="1">
        <x:f t="shared" si="3"/>
        <x:v>20</x:v>
      </x:c>
      <x:c r="P30" s="26">
        <x:v>3</x:v>
      </x:c>
      <x:c r="Q30" s="26">
        <x:v>3</x:v>
      </x:c>
      <x:c r="R30" s="1">
        <x:v>3</x:v>
      </x:c>
      <x:c r="S30" s="26">
        <x:v>3</x:v>
      </x:c>
      <x:c r="T30" s="1">
        <x:v>3</x:v>
      </x:c>
      <x:c r="U30" s="30">
        <x:v>3</x:v>
      </x:c>
      <x:c r="V30" s="26">
        <x:v>3</x:v>
      </x:c>
      <x:c r="W30" s="26">
        <x:v>3</x:v>
      </x:c>
      <x:c r="X30" s="26">
        <x:v>3</x:v>
      </x:c>
      <x:c r="Y30" s="26">
        <x:v>3</x:v>
      </x:c>
      <x:c r="Z30" s="26">
        <x:v>3</x:v>
      </x:c>
    </x:row>
    <x:row r="31">
      <x:c r="A31" s="26"/>
      <x:c r="B31" s="1" t="str">
        <x:v>tanghulu</x:v>
      </x:c>
      <x:c r="C31" s="1" t="str">
        <x:v>糖葫芦</x:v>
      </x:c>
      <x:c r="D31" s="1" t="n">
        <x:v>30</x:v>
      </x:c>
      <x:c r="E31" s="1" t="str">
        <x:v>false</x:v>
      </x:c>
      <x:c r="F31" s="1" t="str">
        <x:v>sk_tanghulu</x:v>
      </x:c>
      <x:c r="G31" s="26"/>
      <x:c r="H31" s="1" t="n">
        <x:v>1</x:v>
      </x:c>
      <x:c r="I31" s="1" t="str">
        <x:v>XXX</x:v>
      </x:c>
      <x:c r="J31" s="26" t="n">
        <x:v>200</x:v>
      </x:c>
      <x:c r="K31" s="1" t="str">
        <x:v>0.333333,0.333333,0.333334</x:v>
      </x:c>
      <x:c r="O31" s="1">
        <x:f t="shared" si="3"/>
        <x:v>20</x:v>
      </x:c>
      <x:c r="P31" s="26">
        <x:v>3</x:v>
      </x:c>
      <x:c r="Q31" s="26">
        <x:v>3</x:v>
      </x:c>
      <x:c r="R31" s="1">
        <x:v>3</x:v>
      </x:c>
      <x:c r="S31" s="30">
        <x:v>3</x:v>
      </x:c>
      <x:c r="T31" s="30">
        <x:v>3</x:v>
      </x:c>
      <x:c r="U31" s="30">
        <x:v>3</x:v>
      </x:c>
      <x:c r="V31" s="26">
        <x:v>3</x:v>
      </x:c>
      <x:c r="W31" s="26">
        <x:v>3</x:v>
      </x:c>
      <x:c r="X31" s="26">
        <x:v>3</x:v>
      </x:c>
      <x:c r="Y31" s="26">
        <x:v>3</x:v>
      </x:c>
      <x:c r="Z31" s="26">
        <x:v>3</x:v>
      </x:c>
    </x:row>
    <x:row r="32">
      <x:c r="A32" s="26"/>
      <x:c r="B32" s="26" t="str">
        <x:v>napoleon_cake</x:v>
      </x:c>
      <x:c r="C32" s="26" t="str">
        <x:v>拿破仑蛋糕</x:v>
      </x:c>
      <x:c r="D32" s="26" t="n">
        <x:v>30</x:v>
      </x:c>
      <x:c r="E32" s="26" t="str">
        <x:v>false</x:v>
      </x:c>
      <x:c r="F32" s="26" t="str">
        <x:v>sk_napoleon_cake</x:v>
      </x:c>
      <x:c r="G32" s="26" t="str">
        <x:v>cake</x:v>
      </x:c>
      <x:c r="H32" s="26" t="n">
        <x:v>1</x:v>
      </x:c>
      <x:c r="I32" s="1" t="str">
        <x:v>XXX</x:v>
      </x:c>
      <x:c r="J32" s="26" t="n">
        <x:v>210</x:v>
      </x:c>
      <x:c r="K32" s="26" t="str">
        <x:v>0.333333,0.333333,0.333334</x:v>
      </x:c>
      <x:c r="L32" s="26"/>
      <x:c r="M32" s="26"/>
      <x:c r="N32" s="26"/>
      <x:c r="O32" s="26"/>
      <x:c r="P32" s="26"/>
      <x:c r="Q32" s="26"/>
      <x:c r="R32" s="26"/>
      <x:c r="S32" s="30"/>
      <x:c r="T32" s="30"/>
      <x:c r="U32" s="26"/>
      <x:c r="V32" s="26"/>
      <x:c r="W32" s="26"/>
      <x:c r="X32" s="26"/>
      <x:c r="Y32" s="26"/>
      <x:c r="Z32" s="26"/>
    </x:row>
    <x:row r="33">
      <x:c r="A33" s="26"/>
      <x:c r="B33" s="26" t="str">
        <x:v>honey_cake</x:v>
      </x:c>
      <x:c r="C33" s="26" t="str">
        <x:v>蜂蜜蛋糕</x:v>
      </x:c>
      <x:c r="D33" s="26" t="n">
        <x:v>30</x:v>
      </x:c>
      <x:c r="E33" s="26" t="str">
        <x:v>false</x:v>
      </x:c>
      <x:c r="F33" s="26" t="str">
        <x:v>sk_honey_cake</x:v>
      </x:c>
      <x:c r="G33" s="26" t="str">
        <x:v>cake</x:v>
      </x:c>
      <x:c r="H33" s="26" t="n">
        <x:v>1</x:v>
      </x:c>
      <x:c r="I33" s="1" t="str">
        <x:v>XXX</x:v>
      </x:c>
      <x:c r="J33" s="26" t="n">
        <x:v>220</x:v>
      </x:c>
      <x:c r="K33" s="26" t="str">
        <x:v>0.333333,0.333333,0.333334</x:v>
      </x:c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>
      <x:c r="A34" s="26"/>
      <x:c r="B34" s="1" t="str">
        <x:v>tree_ring_cake</x:v>
      </x:c>
      <x:c r="C34" s="1" t="str">
        <x:v>年轮蛋糕</x:v>
      </x:c>
      <x:c r="D34" s="1" t="n">
        <x:v>30</x:v>
      </x:c>
      <x:c r="E34" s="1" t="str">
        <x:v>false</x:v>
      </x:c>
      <x:c r="F34" s="1" t="str">
        <x:v>sk_tree_ring_cake</x:v>
      </x:c>
      <x:c r="G34" s="26" t="str">
        <x:v>cake</x:v>
      </x:c>
      <x:c r="H34" s="1" t="n">
        <x:v>1</x:v>
      </x:c>
      <x:c r="I34" s="1" t="str">
        <x:v>XXX</x:v>
      </x:c>
      <x:c r="J34" s="26" t="n">
        <x:v>230</x:v>
      </x:c>
      <x:c r="K34" s="1" t="str">
        <x:v>0.333333,0.333333,0.333334</x:v>
      </x:c>
      <x:c r="O34" s="1">
        <x:f t="shared" si="3"/>
        <x:v>20</x:v>
      </x:c>
      <x:c r="P34" s="26">
        <x:v>3</x:v>
      </x:c>
      <x:c r="Q34" s="26">
        <x:v>3</x:v>
      </x:c>
      <x:c r="R34" s="26">
        <x:v>3</x:v>
      </x:c>
      <x:c r="S34" s="26">
        <x:v>3</x:v>
      </x:c>
      <x:c r="T34" s="26">
        <x:v>3</x:v>
      </x:c>
      <x:c r="U34" s="26">
        <x:v>3</x:v>
      </x:c>
      <x:c r="V34" s="26">
        <x:v>3</x:v>
      </x:c>
      <x:c r="W34" s="26">
        <x:v>3</x:v>
      </x:c>
      <x:c r="X34" s="26">
        <x:v>3</x:v>
      </x:c>
      <x:c r="Y34" s="26">
        <x:v>3</x:v>
      </x:c>
      <x:c r="Z34" s="26">
        <x:v>3</x:v>
      </x:c>
    </x:row>
    <x:row r="35">
      <x:c r="A35" s="26"/>
      <x:c r="B35" s="26" t="str">
        <x:v>nougat</x:v>
      </x:c>
      <x:c r="C35" s="26" t="str">
        <x:v>牛轧糖</x:v>
      </x:c>
      <x:c r="D35" s="26" t="n">
        <x:v>30</x:v>
      </x:c>
      <x:c r="E35" s="26" t="str">
        <x:v>false</x:v>
      </x:c>
      <x:c r="F35" s="26" t="str">
        <x:v>sk_nougat</x:v>
      </x:c>
      <x:c r="G35" s="26"/>
      <x:c r="H35" s="26" t="n">
        <x:v>1</x:v>
      </x:c>
      <x:c r="I35" s="1" t="str">
        <x:v>XXX</x:v>
      </x:c>
      <x:c r="J35" s="26" t="n">
        <x:v>240</x:v>
      </x:c>
      <x:c r="K35" s="26" t="str">
        <x:v>0.333333,0.333333,0.333334</x:v>
      </x:c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>
      <x:c r="A36" s="26"/>
      <x:c r="B36" s="26" t="str">
        <x:v>hawthorn_cake</x:v>
      </x:c>
      <x:c r="C36" s="26" t="str">
        <x:v>山楂糕</x:v>
      </x:c>
      <x:c r="D36" s="26" t="n">
        <x:v>30</x:v>
      </x:c>
      <x:c r="E36" s="26" t="str">
        <x:v>false</x:v>
      </x:c>
      <x:c r="F36" s="26" t="str">
        <x:v>sk_hawthorn_cake</x:v>
      </x:c>
      <x:c r="G36" s="26"/>
      <x:c r="H36" s="26" t="n">
        <x:v>1</x:v>
      </x:c>
      <x:c r="I36" s="1" t="str">
        <x:v>XXX</x:v>
      </x:c>
      <x:c r="J36" s="26" t="n">
        <x:v>250</x:v>
      </x:c>
      <x:c r="K36" s="26" t="str">
        <x:v>0.333333,0.333333,0.333334</x:v>
      </x:c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>
      <x:c r="A37" s="26"/>
      <x:c r="B37" s="1" t="str">
        <x:v>souffle</x:v>
      </x:c>
      <x:c r="C37" s="1" t="str">
        <x:v>舒芙蕾</x:v>
      </x:c>
      <x:c r="D37" s="1" t="n">
        <x:v>300</x:v>
      </x:c>
      <x:c r="E37" s="1" t="str">
        <x:v>false</x:v>
      </x:c>
      <x:c r="F37" s="1" t="str">
        <x:v>sk_souffle</x:v>
      </x:c>
      <x:c r="G37" s="26"/>
      <x:c r="H37" s="1" t="n">
        <x:v>1</x:v>
      </x:c>
      <x:c r="I37" s="1" t="str">
        <x:v>XXX</x:v>
      </x:c>
      <x:c r="J37" s="26" t="n">
        <x:v>260</x:v>
      </x:c>
      <x:c r="K37" s="1" t="str">
        <x:v>0.333333,0.333333,0.333334</x:v>
      </x:c>
      <x:c r="O37" s="1">
        <x:f t="shared" si="3"/>
        <x:v>20</x:v>
      </x:c>
      <x:c r="P37" s="26">
        <x:v>3</x:v>
      </x:c>
      <x:c r="Q37" s="26">
        <x:v>3</x:v>
      </x:c>
      <x:c r="R37" s="26">
        <x:v>3</x:v>
      </x:c>
      <x:c r="S37" s="26">
        <x:v>3</x:v>
      </x:c>
      <x:c r="T37" s="26">
        <x:v>3</x:v>
      </x:c>
      <x:c r="U37" s="26">
        <x:v>3</x:v>
      </x:c>
      <x:c r="V37" s="26">
        <x:v>3</x:v>
      </x:c>
      <x:c r="W37" s="26">
        <x:v>3</x:v>
      </x:c>
      <x:c r="X37" s="26">
        <x:v>3</x:v>
      </x:c>
      <x:c r="Y37" s="26">
        <x:v>3</x:v>
      </x:c>
      <x:c r="Z37" s="26">
        <x:v>3</x:v>
      </x:c>
    </x:row>
    <x:row r="38">
      <x:c r="A38" s="26"/>
      <x:c r="B38" s="26" t="str">
        <x:v>fruit_tart</x:v>
      </x:c>
      <x:c r="C38" s="26" t="str">
        <x:v>水果挞</x:v>
      </x:c>
      <x:c r="D38" s="26" t="n">
        <x:v>30</x:v>
      </x:c>
      <x:c r="E38" s="26" t="str">
        <x:v>false</x:v>
      </x:c>
      <x:c r="F38" s="26" t="str">
        <x:v>sk_fruit_tart</x:v>
      </x:c>
      <x:c r="G38" s="26"/>
      <x:c r="H38" s="26" t="n">
        <x:v>1</x:v>
      </x:c>
      <x:c r="I38" s="1" t="str">
        <x:v>XXX</x:v>
      </x:c>
      <x:c r="J38" s="26" t="n">
        <x:v>270</x:v>
      </x:c>
      <x:c r="K38" s="26" t="str">
        <x:v>0.333333,0.333333,0.333334</x:v>
      </x:c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>
      <x:c r="A39" s="26"/>
      <x:c r="B39" s="26" t="str">
        <x:v>strawberry_sundae</x:v>
      </x:c>
      <x:c r="C39" s="26" t="str">
        <x:v>草莓圣代</x:v>
      </x:c>
      <x:c r="D39" s="26" t="n">
        <x:v>30</x:v>
      </x:c>
      <x:c r="E39" s="26" t="str">
        <x:v>false</x:v>
      </x:c>
      <x:c r="F39" s="26" t="str">
        <x:v>sk_strawberry_sundae</x:v>
      </x:c>
      <x:c r="G39" s="26"/>
      <x:c r="H39" s="26" t="n">
        <x:v>1</x:v>
      </x:c>
      <x:c r="I39" s="1" t="str">
        <x:v>X</x:v>
      </x:c>
      <x:c r="J39" s="26" t="n">
        <x:v>280</x:v>
      </x:c>
      <x:c r="K39" s="26" t="str">
        <x:v>0.333333,0.333333,0.333334</x:v>
      </x:c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>
      <x:c r="A40" s="26"/>
      <x:c r="B40" s="1"/>
      <x:c r="C40" s="1"/>
      <x:c r="D40" s="1"/>
      <x:c r="E40" s="1"/>
      <x:c r="F40" s="1"/>
      <x:c r="G40" s="1"/>
      <x:c r="H40" s="1"/>
      <x:c r="I40" s="1" t="str">
        <x:v>X</x:v>
      </x:c>
      <x:c r="J40" s="26"/>
      <x:c r="K40" s="1"/>
      <x:c r="O40" s="1" t="e">
        <x:v>#VALUE!</x:v>
      </x:c>
      <x:c r="P40" s="26">
        <x:v>3</x:v>
      </x:c>
      <x:c r="Q40" s="26">
        <x:v>3</x:v>
      </x:c>
      <x:c r="R40" s="26">
        <x:v>3</x:v>
      </x:c>
      <x:c r="S40" s="26">
        <x:v>3</x:v>
      </x:c>
      <x:c r="T40" s="26">
        <x:v>3</x:v>
      </x:c>
      <x:c r="U40" s="26">
        <x:v>3</x:v>
      </x:c>
      <x:c r="V40" s="26">
        <x:v>3</x:v>
      </x:c>
      <x:c r="W40" s="26">
        <x:v>3</x:v>
      </x:c>
      <x:c r="X40" s="26">
        <x:v>3</x:v>
      </x:c>
      <x:c r="Y40" s="26">
        <x:v>3</x:v>
      </x:c>
      <x:c r="Z40" s="26">
        <x:v>3</x:v>
      </x:c>
    </x:row>
    <x:row r="41">
      <x:c r="A41" s="26"/>
      <x:c r="B41" s="26"/>
      <x:c r="C41" s="26"/>
      <x:c r="D41" s="26"/>
      <x:c r="E41" s="26"/>
      <x:c r="F41" s="26"/>
      <x:c r="G41" s="26"/>
      <x:c r="H41" s="26"/>
      <x:c r="I41" s="1" t="str">
        <x:v>X</x:v>
      </x:c>
      <x:c r="J41" s="26"/>
      <x:c r="K41" s="26"/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>
      <x:c r="A42" s="26"/>
      <x:c r="B42" s="26" t="str">
        <x:v>rock_sugar_pear</x:v>
      </x:c>
      <x:c r="C42" s="26" t="str">
        <x:v>冰糖雪梨</x:v>
      </x:c>
      <x:c r="D42" s="26" t="n">
        <x:v>30</x:v>
      </x:c>
      <x:c r="E42" s="26" t="str">
        <x:v>false</x:v>
      </x:c>
      <x:c r="F42" s="26" t="str">
        <x:v>sk_rock_sugar_pear</x:v>
      </x:c>
      <x:c r="G42" s="26"/>
      <x:c r="H42" s="26" t="n">
        <x:v>1</x:v>
      </x:c>
      <x:c r="I42" s="1" t="str">
        <x:v>X</x:v>
      </x:c>
      <x:c r="J42" s="26" t="n">
        <x:v>290</x:v>
      </x:c>
      <x:c r="K42" s="26" t="str">
        <x:v>0.333333,0.333333,0.333334</x:v>
      </x:c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>
      <x:c r="A43" s="26"/>
      <x:c r="B43" s="1"/>
      <x:c r="C43" s="1"/>
      <x:c r="D43" s="1"/>
      <x:c r="E43" s="1"/>
      <x:c r="F43" s="1"/>
      <x:c r="G43" s="26"/>
      <x:c r="H43" s="1"/>
      <x:c r="I43" s="1" t="str">
        <x:v>X</x:v>
      </x:c>
      <x:c r="J43" s="26"/>
      <x:c r="K43" s="1"/>
      <x:c r="O43" s="1" t="e">
        <x:v>#VALUE!</x:v>
      </x:c>
      <x:c r="P43" s="26">
        <x:v>3</x:v>
      </x:c>
      <x:c r="Q43" s="26">
        <x:v>3</x:v>
      </x:c>
      <x:c r="R43" s="26">
        <x:v>3</x:v>
      </x:c>
      <x:c r="S43" s="26">
        <x:v>3</x:v>
      </x:c>
      <x:c r="T43" s="26">
        <x:v>3</x:v>
      </x:c>
      <x:c r="U43" s="26">
        <x:v>3</x:v>
      </x:c>
      <x:c r="V43" s="26">
        <x:v>3</x:v>
      </x:c>
      <x:c r="W43" s="26">
        <x:v>3</x:v>
      </x:c>
      <x:c r="X43" s="26">
        <x:v>3</x:v>
      </x:c>
      <x:c r="Y43" s="26">
        <x:v>3</x:v>
      </x:c>
      <x:c r="Z43" s="26">
        <x:v>3</x:v>
      </x:c>
    </x:row>
    <x:row r="44">
      <x:c r="A44" s="26"/>
      <x:c r="B44" s="26"/>
      <x:c r="C44" s="26"/>
      <x:c r="D44" s="26"/>
      <x:c r="E44" s="26"/>
      <x:c r="F44" s="26"/>
      <x:c r="G44" s="26"/>
      <x:c r="H44" s="26"/>
      <x:c r="I44" s="1" t="str">
        <x:v>X</x:v>
      </x:c>
      <x:c r="J44" s="26"/>
      <x:c r="K44" s="26"/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>
      <x:c r="A45" s="26"/>
      <x:c r="B45" s="1" t="str">
        <x:v>popping_candy</x:v>
      </x:c>
      <x:c r="C45" s="1" t="str">
        <x:v>跳跳糖</x:v>
      </x:c>
      <x:c r="D45" s="1" t="n">
        <x:v>30</x:v>
      </x:c>
      <x:c r="E45" s="1" t="str">
        <x:v>false</x:v>
      </x:c>
      <x:c r="F45" s="1" t="str">
        <x:v>sk_popping_candy</x:v>
      </x:c>
      <x:c r="G45" s="1"/>
      <x:c r="H45" s="1" t="n">
        <x:v>1</x:v>
      </x:c>
      <x:c r="I45" s="1" t="str">
        <x:v>X</x:v>
      </x:c>
      <x:c r="J45" s="26" t="n">
        <x:v>300</x:v>
      </x:c>
      <x:c r="K45" s="1" t="str">
        <x:v>0.333333,0.333333,0.333334</x:v>
      </x:c>
      <x:c r="O45" s="1" t="e">
        <x:v>#VALUE!</x:v>
      </x:c>
      <x:c r="P45" s="26">
        <x:v>4</x:v>
      </x:c>
      <x:c r="Q45" s="26">
        <x:v>4</x:v>
      </x:c>
      <x:c r="R45" s="26">
        <x:v>4</x:v>
      </x:c>
      <x:c r="S45" s="26">
        <x:v>4</x:v>
      </x:c>
      <x:c r="T45" s="26">
        <x:v>4</x:v>
      </x:c>
      <x:c r="U45" s="26">
        <x:v>4</x:v>
      </x:c>
      <x:c r="V45" s="26">
        <x:v>4</x:v>
      </x:c>
      <x:c r="W45" s="26">
        <x:v>4</x:v>
      </x:c>
      <x:c r="X45" s="26">
        <x:v>4</x:v>
      </x:c>
      <x:c r="Y45" s="26">
        <x:v>4</x:v>
      </x:c>
      <x:c r="Z45" s="26">
        <x:v>4</x:v>
      </x:c>
    </x:row>
    <x:row r="46">
      <x:c r="A46" s="26"/>
      <x:c r="B46" s="26"/>
      <x:c r="C46" s="26"/>
      <x:c r="D46" s="26"/>
      <x:c r="E46" s="26"/>
      <x:c r="F46" s="26"/>
      <x:c r="G46" s="26"/>
      <x:c r="H46" s="26"/>
      <x:c r="I46" s="1" t="str">
        <x:v>X</x:v>
      </x:c>
      <x:c r="J46" s="26"/>
      <x:c r="K46" s="26"/>
      <x:c r="L46" s="26"/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>
      <x:c r="A47" s="26"/>
      <x:c r="B47" s="1"/>
      <x:c r="C47" s="1"/>
      <x:c r="D47" s="1"/>
      <x:c r="E47" s="1"/>
      <x:c r="F47" s="1"/>
      <x:c r="G47" s="26"/>
      <x:c r="H47" s="1"/>
      <x:c r="I47" s="1" t="str">
        <x:v>X</x:v>
      </x:c>
      <x:c r="J47" s="26"/>
      <x:c r="K47" s="1"/>
      <x:c r="O47" s="1" t="e">
        <x:v>#VALUE!</x:v>
      </x:c>
      <x:c r="P47" s="26">
        <x:v>4</x:v>
      </x:c>
      <x:c r="Q47" s="26">
        <x:v>4</x:v>
      </x:c>
      <x:c r="R47" s="26">
        <x:v>4</x:v>
      </x:c>
      <x:c r="S47" s="26">
        <x:v>4</x:v>
      </x:c>
      <x:c r="T47" s="26">
        <x:v>4</x:v>
      </x:c>
      <x:c r="U47" s="26">
        <x:v>4</x:v>
      </x:c>
      <x:c r="V47" s="26">
        <x:v>4</x:v>
      </x:c>
      <x:c r="W47" s="26">
        <x:v>4</x:v>
      </x:c>
      <x:c r="X47" s="26">
        <x:v>4</x:v>
      </x:c>
      <x:c r="Y47" s="26">
        <x:v>4</x:v>
      </x:c>
      <x:c r="Z47" s="26">
        <x:v>4</x:v>
      </x:c>
    </x:row>
    <x:row r="48">
      <x:c r="A48" s="26"/>
      <x:c r="B48" s="26" t="str">
        <x:v>mille_crepe_cake</x:v>
      </x:c>
      <x:c r="C48" s="26" t="str">
        <x:v>千层蛋糕</x:v>
      </x:c>
      <x:c r="D48" s="26" t="n">
        <x:v>30</x:v>
      </x:c>
      <x:c r="E48" s="26" t="str">
        <x:v>false</x:v>
      </x:c>
      <x:c r="F48" s="26" t="str">
        <x:v>sk_mille_crepe_cake</x:v>
      </x:c>
      <x:c r="G48" s="26" t="str">
        <x:v>cake</x:v>
      </x:c>
      <x:c r="H48" s="26" t="n">
        <x:v>1</x:v>
      </x:c>
      <x:c r="I48" s="1" t="str">
        <x:v>X</x:v>
      </x:c>
      <x:c r="J48" s="26" t="n">
        <x:v>310</x:v>
      </x:c>
      <x:c r="K48" s="26" t="str">
        <x:v>0.333333,0.333333,0.333334</x:v>
      </x:c>
      <x:c r="L48" s="26"/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>
      <x:c r="A49" s="26"/>
      <x:c r="B49" s="1"/>
      <x:c r="C49" s="1"/>
      <x:c r="D49" s="1"/>
      <x:c r="E49" s="1"/>
      <x:c r="F49" s="1"/>
      <x:c r="G49" s="26"/>
      <x:c r="H49" s="1"/>
      <x:c r="I49" s="1" t="str">
        <x:v>X</x:v>
      </x:c>
      <x:c r="J49" s="26"/>
      <x:c r="K49" s="1"/>
      <x:c r="O49" s="1" t="e">
        <x:v>#VALUE!</x:v>
      </x:c>
      <x:c r="P49" s="26">
        <x:v>4</x:v>
      </x:c>
      <x:c r="Q49" s="26">
        <x:v>4</x:v>
      </x:c>
      <x:c r="R49" s="26">
        <x:v>4</x:v>
      </x:c>
      <x:c r="S49" s="26">
        <x:v>4</x:v>
      </x:c>
      <x:c r="T49" s="26">
        <x:v>4</x:v>
      </x:c>
      <x:c r="U49" s="26">
        <x:v>4</x:v>
      </x:c>
      <x:c r="V49" s="26">
        <x:v>4</x:v>
      </x:c>
      <x:c r="W49" s="26">
        <x:v>4</x:v>
      </x:c>
      <x:c r="X49" s="26">
        <x:v>4</x:v>
      </x:c>
      <x:c r="Y49" s="26">
        <x:v>4</x:v>
      </x:c>
      <x:c r="Z49" s="26">
        <x:v>4</x:v>
      </x:c>
    </x:row>
    <x:row r="50">
      <x:c r="A50" s="26"/>
      <x:c r="B50" s="26"/>
      <x:c r="C50" s="26"/>
      <x:c r="D50" s="26"/>
      <x:c r="E50" s="26"/>
      <x:c r="F50" s="26"/>
      <x:c r="G50" s="26"/>
      <x:c r="H50" s="26"/>
      <x:c r="I50" s="1" t="str">
        <x:v>X</x:v>
      </x:c>
      <x:c r="J50" s="26"/>
      <x:c r="K50" s="26"/>
      <x:c r="L50" s="26"/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>
      <x:c r="A51" s="26"/>
      <x:c r="B51" s="1" t="str">
        <x:v>soybean_glutinous_roll</x:v>
      </x:c>
      <x:c r="C51" s="1" t="str">
        <x:v>驴打滚</x:v>
      </x:c>
      <x:c r="D51" s="1" t="n">
        <x:v>30</x:v>
      </x:c>
      <x:c r="E51" s="1" t="str">
        <x:v>false</x:v>
      </x:c>
      <x:c r="F51" s="1" t="str">
        <x:v>sk_soybean_glutinous_roll</x:v>
      </x:c>
      <x:c r="G51" s="26"/>
      <x:c r="H51" s="1" t="n">
        <x:v>1</x:v>
      </x:c>
      <x:c r="I51" s="1" t="str">
        <x:v>X</x:v>
      </x:c>
      <x:c r="J51" s="26" t="n">
        <x:v>320</x:v>
      </x:c>
      <x:c r="K51" s="1" t="str">
        <x:v>0.333333,0.333333,0.333334</x:v>
      </x:c>
      <x:c r="O51" s="1" t="e">
        <x:v>#VALUE!</x:v>
      </x:c>
      <x:c r="P51" s="26">
        <x:v>4</x:v>
      </x:c>
      <x:c r="Q51" s="26">
        <x:v>4</x:v>
      </x:c>
      <x:c r="R51" s="26">
        <x:v>4</x:v>
      </x:c>
      <x:c r="S51" s="26">
        <x:v>4</x:v>
      </x:c>
      <x:c r="T51" s="26">
        <x:v>4</x:v>
      </x:c>
      <x:c r="U51" s="26">
        <x:v>4</x:v>
      </x:c>
      <x:c r="V51" s="26">
        <x:v>4</x:v>
      </x:c>
      <x:c r="W51" s="26">
        <x:v>4</x:v>
      </x:c>
      <x:c r="X51" s="26">
        <x:v>4</x:v>
      </x:c>
      <x:c r="Y51" s="26">
        <x:v>4</x:v>
      </x:c>
      <x:c r="Z51" s="26">
        <x:v>4</x:v>
      </x:c>
    </x:row>
    <x:row r="52">
      <x:c r="A52" s="26"/>
      <x:c r="B52" s="26"/>
      <x:c r="C52" s="26"/>
      <x:c r="D52" s="26"/>
      <x:c r="E52" s="26"/>
      <x:c r="F52" s="26"/>
      <x:c r="G52" s="26"/>
      <x:c r="H52" s="26"/>
      <x:c r="I52" s="1" t="str">
        <x:v>X</x:v>
      </x:c>
      <x:c r="J52" s="26"/>
      <x:c r="K52" s="26"/>
      <x:c r="L52" s="26"/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>
      <x:c r="A53" s="26"/>
      <x:c r="B53" s="1"/>
      <x:c r="C53" s="1"/>
      <x:c r="D53" s="1"/>
      <x:c r="E53" s="1"/>
      <x:c r="F53" s="1"/>
      <x:c r="G53" s="1"/>
      <x:c r="H53" s="1"/>
      <x:c r="I53" s="1" t="str">
        <x:v>X</x:v>
      </x:c>
      <x:c r="J53" s="26"/>
      <x:c r="K53" s="1"/>
      <x:c r="O53" s="1" t="e">
        <x:v>#VALUE!</x:v>
      </x:c>
      <x:c r="P53" s="26">
        <x:v>4</x:v>
      </x:c>
      <x:c r="Q53" s="26">
        <x:v>4</x:v>
      </x:c>
      <x:c r="R53" s="26">
        <x:v>4</x:v>
      </x:c>
      <x:c r="S53" s="26">
        <x:v>4</x:v>
      </x:c>
      <x:c r="T53" s="26">
        <x:v>4</x:v>
      </x:c>
      <x:c r="U53" s="26">
        <x:v>4</x:v>
      </x:c>
      <x:c r="V53" s="26">
        <x:v>4</x:v>
      </x:c>
      <x:c r="W53" s="26">
        <x:v>4</x:v>
      </x:c>
      <x:c r="X53" s="26">
        <x:v>4</x:v>
      </x:c>
      <x:c r="Y53" s="26">
        <x:v>4</x:v>
      </x:c>
      <x:c r="Z53" s="26">
        <x:v>4</x:v>
      </x:c>
    </x:row>
    <x:row r="54">
      <x:c r="A54" s="26"/>
      <x:c r="B54" s="26" t="str">
        <x:v>sachima</x:v>
      </x:c>
      <x:c r="C54" s="26" t="str">
        <x:v>沙琪玛</x:v>
      </x:c>
      <x:c r="D54" s="26" t="n">
        <x:v>30</x:v>
      </x:c>
      <x:c r="E54" s="26" t="str">
        <x:v>false</x:v>
      </x:c>
      <x:c r="F54" s="26" t="str">
        <x:v>sk_sachima</x:v>
      </x:c>
      <x:c r="G54" s="26"/>
      <x:c r="H54" s="26" t="n">
        <x:v>3</x:v>
      </x:c>
      <x:c r="I54" s="1" t="str">
        <x:v>X</x:v>
      </x:c>
      <x:c r="J54" s="26" t="n">
        <x:v>330</x:v>
      </x:c>
      <x:c r="K54" s="26" t="str">
        <x:v>0.333333,0.333333,0.333334</x:v>
      </x:c>
      <x:c r="L54" s="26"/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>
      <x:c r="A55" s="26"/>
      <x:c r="B55" s="1"/>
      <x:c r="C55" s="1"/>
      <x:c r="D55" s="1"/>
      <x:c r="E55" s="1"/>
      <x:c r="F55" s="1"/>
      <x:c r="G55" s="26"/>
      <x:c r="H55" s="1"/>
      <x:c r="I55" s="1" t="str">
        <x:v>X</x:v>
      </x:c>
      <x:c r="J55" s="26"/>
      <x:c r="K55" s="1"/>
      <x:c r="O55" s="1" t="e">
        <x:v>#VALUE!</x:v>
      </x:c>
      <x:c r="P55" s="26">
        <x:v>4</x:v>
      </x:c>
      <x:c r="Q55" s="26">
        <x:v>4</x:v>
      </x:c>
      <x:c r="R55" s="26">
        <x:v>4</x:v>
      </x:c>
      <x:c r="S55" s="26">
        <x:v>4</x:v>
      </x:c>
      <x:c r="T55" s="26">
        <x:v>4</x:v>
      </x:c>
      <x:c r="U55" s="26">
        <x:v>4</x:v>
      </x:c>
      <x:c r="V55" s="26">
        <x:v>4</x:v>
      </x:c>
      <x:c r="W55" s="26">
        <x:v>4</x:v>
      </x:c>
      <x:c r="X55" s="26">
        <x:v>4</x:v>
      </x:c>
      <x:c r="Y55" s="26">
        <x:v>4</x:v>
      </x:c>
      <x:c r="Z55" s="26">
        <x:v>4</x:v>
      </x:c>
    </x:row>
    <x:row r="56">
      <x:c r="A56" s="26"/>
      <x:c r="B56" s="26"/>
      <x:c r="C56" s="26"/>
      <x:c r="D56" s="26"/>
      <x:c r="E56" s="26"/>
      <x:c r="F56" s="26"/>
      <x:c r="G56" s="26"/>
      <x:c r="H56" s="26"/>
      <x:c r="I56" s="1" t="str">
        <x:v>X</x:v>
      </x:c>
      <x:c r="J56" s="26"/>
      <x:c r="K56" s="26"/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>
      <x:c r="A57" s="26"/>
      <x:c r="B57" s="26" t="str">
        <x:v>gummy</x:v>
      </x:c>
      <x:c r="C57" s="26" t="str">
        <x:v>软糖</x:v>
      </x:c>
      <x:c r="D57" s="26" t="n">
        <x:v>30</x:v>
      </x:c>
      <x:c r="E57" s="26" t="str">
        <x:v>false</x:v>
      </x:c>
      <x:c r="F57" s="26" t="str">
        <x:v>sk_gummy</x:v>
      </x:c>
      <x:c r="G57" s="26"/>
      <x:c r="H57" s="26" t="n">
        <x:v>1</x:v>
      </x:c>
      <x:c r="I57" s="1" t="str">
        <x:v>X</x:v>
      </x:c>
      <x:c r="J57" s="26" t="n">
        <x:v>340</x:v>
      </x:c>
      <x:c r="K57" s="26" t="str">
        <x:v>0.333333,0.333333,0.333334</x:v>
      </x:c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>
      <x:c r="A58" s="26"/>
      <x:c r="B58" s="1"/>
      <x:c r="C58" s="1"/>
      <x:c r="D58" s="1"/>
      <x:c r="E58" s="1"/>
      <x:c r="F58" s="1"/>
      <x:c r="G58" s="1"/>
      <x:c r="H58" s="1"/>
      <x:c r="I58" s="1" t="str">
        <x:v>X</x:v>
      </x:c>
      <x:c r="J58" s="26"/>
      <x:c r="K58" s="1"/>
      <x:c r="O58" s="1" t="e">
        <x:v>#VALUE!</x:v>
      </x:c>
      <x:c r="P58" s="26">
        <x:v>6</x:v>
      </x:c>
      <x:c r="Q58" s="26">
        <x:v>6</x:v>
      </x:c>
      <x:c r="R58" s="26">
        <x:v>6</x:v>
      </x:c>
      <x:c r="S58" s="26">
        <x:v>6</x:v>
      </x:c>
      <x:c r="T58" s="26">
        <x:v>6</x:v>
      </x:c>
      <x:c r="U58" s="26">
        <x:v>6</x:v>
      </x:c>
      <x:c r="V58" s="26">
        <x:v>6</x:v>
      </x:c>
      <x:c r="W58" s="26">
        <x:v>6</x:v>
      </x:c>
      <x:c r="X58" s="26">
        <x:v>6</x:v>
      </x:c>
      <x:c r="Y58" s="26">
        <x:v>6</x:v>
      </x:c>
      <x:c r="Z58" s="26">
        <x:v>6</x:v>
      </x:c>
    </x:row>
    <x:row r="59">
      <x:c r="A59" s="26"/>
      <x:c r="B59" s="26"/>
      <x:c r="C59" s="26"/>
      <x:c r="D59" s="26"/>
      <x:c r="E59" s="26"/>
      <x:c r="F59" s="26"/>
      <x:c r="G59" s="26"/>
      <x:c r="H59" s="26"/>
      <x:c r="I59" s="1" t="str">
        <x:v>X</x:v>
      </x:c>
      <x:c r="J59" s="26"/>
      <x:c r="K59" s="26"/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>
      <x:c r="A60" s="26"/>
      <x:c r="B60" s="1" t="str">
        <x:v>chocolate_wafer</x:v>
      </x:c>
      <x:c r="C60" s="1" t="str">
        <x:v>巧克力威化</x:v>
      </x:c>
      <x:c r="D60" s="1" t="n">
        <x:v>30</x:v>
      </x:c>
      <x:c r="E60" s="1" t="str">
        <x:v>false</x:v>
      </x:c>
      <x:c r="F60" s="1" t="str">
        <x:v>sk_chocolate_wafer</x:v>
      </x:c>
      <x:c r="G60" s="26"/>
      <x:c r="H60" s="1" t="n">
        <x:v>1</x:v>
      </x:c>
      <x:c r="I60" s="1" t="str">
        <x:v>X</x:v>
      </x:c>
      <x:c r="J60" s="26" t="n">
        <x:v>350</x:v>
      </x:c>
      <x:c r="K60" s="1" t="str">
        <x:v>0.333333,0.333333,0.333334</x:v>
      </x:c>
      <x:c r="O60" s="1" t="e">
        <x:v>#VALUE!</x:v>
      </x:c>
      <x:c r="P60" s="26">
        <x:v>6</x:v>
      </x:c>
      <x:c r="Q60" s="26">
        <x:v>6</x:v>
      </x:c>
      <x:c r="R60" s="26">
        <x:v>6</x:v>
      </x:c>
      <x:c r="S60" s="26">
        <x:v>6</x:v>
      </x:c>
      <x:c r="T60" s="26">
        <x:v>6</x:v>
      </x:c>
      <x:c r="U60" s="26">
        <x:v>6</x:v>
      </x:c>
      <x:c r="V60" s="26">
        <x:v>6</x:v>
      </x:c>
      <x:c r="W60" s="26">
        <x:v>6</x:v>
      </x:c>
      <x:c r="X60" s="26">
        <x:v>6</x:v>
      </x:c>
      <x:c r="Y60" s="26">
        <x:v>6</x:v>
      </x:c>
      <x:c r="Z60" s="26">
        <x:v>6</x:v>
      </x:c>
    </x:row>
    <x:row r="61">
      <x:c r="A61" s="26"/>
      <x:c r="B61" s="26"/>
      <x:c r="C61" s="26"/>
      <x:c r="D61" s="26"/>
      <x:c r="E61" s="26"/>
      <x:c r="F61" s="26"/>
      <x:c r="G61" s="26"/>
      <x:c r="H61" s="26"/>
      <x:c r="I61" s="1" t="str">
        <x:v>X</x:v>
      </x:c>
      <x:c r="J61" s="26"/>
      <x:c r="K61" s="26"/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>
      <x:c r="A62" s="26"/>
      <x:c r="B62" s="1"/>
      <x:c r="C62" s="1"/>
      <x:c r="D62" s="1"/>
      <x:c r="E62" s="1"/>
      <x:c r="F62" s="1"/>
      <x:c r="G62" s="26"/>
      <x:c r="H62" s="1"/>
      <x:c r="I62" s="1" t="str">
        <x:v>X</x:v>
      </x:c>
      <x:c r="J62" s="26"/>
      <x:c r="K62" s="1"/>
      <x:c r="O62" s="1" t="e">
        <x:v>#VALUE!</x:v>
      </x:c>
      <x:c r="P62" s="26">
        <x:v>6</x:v>
      </x:c>
      <x:c r="Q62" s="26">
        <x:v>6</x:v>
      </x:c>
      <x:c r="R62" s="26">
        <x:v>6</x:v>
      </x:c>
      <x:c r="S62" s="26">
        <x:v>6</x:v>
      </x:c>
      <x:c r="T62" s="26">
        <x:v>6</x:v>
      </x:c>
      <x:c r="U62" s="26">
        <x:v>6</x:v>
      </x:c>
      <x:c r="V62" s="26">
        <x:v>6</x:v>
      </x:c>
      <x:c r="W62" s="26">
        <x:v>6</x:v>
      </x:c>
      <x:c r="X62" s="26">
        <x:v>6</x:v>
      </x:c>
      <x:c r="Y62" s="26">
        <x:v>6</x:v>
      </x:c>
      <x:c r="Z62" s="26">
        <x:v>6</x:v>
      </x:c>
    </x:row>
    <x:row r="63">
      <x:c r="A63" s="26"/>
      <x:c r="B63" s="26" t="str">
        <x:v>cake_roll</x:v>
      </x:c>
      <x:c r="C63" s="26" t="str">
        <x:v>蛋糕卷</x:v>
      </x:c>
      <x:c r="D63" s="26" t="n">
        <x:v>30</x:v>
      </x:c>
      <x:c r="E63" s="26" t="str">
        <x:v>false</x:v>
      </x:c>
      <x:c r="F63" s="26" t="str">
        <x:v>sk_cake_roll</x:v>
      </x:c>
      <x:c r="G63" s="26" t="str">
        <x:v>cake</x:v>
      </x:c>
      <x:c r="H63" s="26" t="n">
        <x:v>1</x:v>
      </x:c>
      <x:c r="I63" s="1" t="str">
        <x:v>X</x:v>
      </x:c>
      <x:c r="J63" s="26" t="n">
        <x:v>360</x:v>
      </x:c>
      <x:c r="K63" s="26" t="str">
        <x:v>0.333333,0.333333,0.333334</x:v>
      </x:c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>
      <x:c r="A64" s="26"/>
      <x:c r="B64" s="1"/>
      <x:c r="C64" s="1"/>
      <x:c r="D64" s="1"/>
      <x:c r="E64" s="1"/>
      <x:c r="F64" s="1"/>
      <x:c r="G64" s="1"/>
      <x:c r="H64" s="1"/>
      <x:c r="I64" s="1" t="str">
        <x:v>X</x:v>
      </x:c>
      <x:c r="J64" s="26"/>
      <x:c r="K64" s="1"/>
      <x:c r="O64" s="1" t="e">
        <x:v>#VALUE!</x:v>
      </x:c>
      <x:c r="P64" s="26">
        <x:v>6</x:v>
      </x:c>
      <x:c r="Q64" s="26">
        <x:v>6</x:v>
      </x:c>
      <x:c r="R64" s="26">
        <x:v>6</x:v>
      </x:c>
      <x:c r="S64" s="26">
        <x:v>6</x:v>
      </x:c>
      <x:c r="T64" s="26">
        <x:v>6</x:v>
      </x:c>
      <x:c r="U64" s="26">
        <x:v>6</x:v>
      </x:c>
      <x:c r="V64" s="26">
        <x:v>6</x:v>
      </x:c>
      <x:c r="W64" s="26">
        <x:v>6</x:v>
      </x:c>
      <x:c r="X64" s="26">
        <x:v>6</x:v>
      </x:c>
      <x:c r="Y64" s="26">
        <x:v>6</x:v>
      </x:c>
      <x:c r="Z64" s="26">
        <x:v>6</x:v>
      </x:c>
    </x:row>
    <x:row r="65">
      <x:c r="A65" s="26"/>
      <x:c r="B65" s="26"/>
      <x:c r="C65" s="26"/>
      <x:c r="D65" s="26"/>
      <x:c r="E65" s="26"/>
      <x:c r="F65" s="26"/>
      <x:c r="G65" s="26"/>
      <x:c r="H65" s="26"/>
      <x:c r="I65" s="1" t="str">
        <x:v>X</x:v>
      </x:c>
      <x:c r="J65" s="26"/>
      <x:c r="K65" s="26"/>
      <x:c r="L65" s="26"/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>
      <x:c r="A66" s="26"/>
      <x:c r="B66" s="26" t="str">
        <x:v>fondant_cake</x:v>
      </x:c>
      <x:c r="C66" s="26" t="str">
        <x:v>翻糖蛋糕</x:v>
      </x:c>
      <x:c r="D66" s="26" t="n">
        <x:v>30</x:v>
      </x:c>
      <x:c r="E66" s="26" t="str">
        <x:v>false</x:v>
      </x:c>
      <x:c r="F66" s="26" t="str">
        <x:v>sk_fondant_cake</x:v>
      </x:c>
      <x:c r="G66" s="26" t="str">
        <x:v>cake</x:v>
      </x:c>
      <x:c r="H66" s="26" t="n">
        <x:v>1</x:v>
      </x:c>
      <x:c r="I66" s="1" t="str">
        <x:v>XX</x:v>
      </x:c>
      <x:c r="J66" s="26" t="n">
        <x:v>370</x:v>
      </x:c>
      <x:c r="K66" s="26" t="str">
        <x:v>0.333333,0.333333,0.333334</x:v>
      </x:c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>
      <x:c r="A67" s="26"/>
      <x:c r="B67" s="1"/>
      <x:c r="C67" s="1"/>
      <x:c r="D67" s="1"/>
      <x:c r="E67" s="1"/>
      <x:c r="F67" s="1"/>
      <x:c r="G67" s="26"/>
      <x:c r="H67" s="1"/>
      <x:c r="I67" s="1" t="str">
        <x:v>XX</x:v>
      </x:c>
      <x:c r="J67" s="26"/>
      <x:c r="K67" s="1"/>
      <x:c r="O67" s="1" t="e">
        <x:v>#VALUE!</x:v>
      </x:c>
      <x:c r="P67" s="26">
        <x:v>6</x:v>
      </x:c>
      <x:c r="Q67" s="26">
        <x:v>6</x:v>
      </x:c>
      <x:c r="R67" s="26">
        <x:v>6</x:v>
      </x:c>
      <x:c r="S67" s="26">
        <x:v>6</x:v>
      </x:c>
      <x:c r="T67" s="26">
        <x:v>6</x:v>
      </x:c>
      <x:c r="U67" s="26">
        <x:v>6</x:v>
      </x:c>
      <x:c r="V67" s="26">
        <x:v>6</x:v>
      </x:c>
      <x:c r="W67" s="26">
        <x:v>6</x:v>
      </x:c>
      <x:c r="X67" s="26">
        <x:v>6</x:v>
      </x:c>
      <x:c r="Y67" s="26">
        <x:v>6</x:v>
      </x:c>
      <x:c r="Z67" s="26">
        <x:v>6</x:v>
      </x:c>
    </x:row>
    <x:row r="68">
      <x:c r="A68" s="26"/>
      <x:c r="B68" s="26" t="str">
        <x:v>matcha_cake</x:v>
      </x:c>
      <x:c r="C68" s="26" t="str">
        <x:v>抹茶蛋糕</x:v>
      </x:c>
      <x:c r="D68" s="26" t="n">
        <x:v>30</x:v>
      </x:c>
      <x:c r="E68" s="26" t="str">
        <x:v>false</x:v>
      </x:c>
      <x:c r="F68" s="26" t="str">
        <x:v>sk_matcha_cake</x:v>
      </x:c>
      <x:c r="G68" s="26" t="str">
        <x:v>cake</x:v>
      </x:c>
      <x:c r="H68" s="26" t="n">
        <x:v>1</x:v>
      </x:c>
      <x:c r="I68" s="1" t="str">
        <x:v>XX</x:v>
      </x:c>
      <x:c r="J68" s="26" t="n">
        <x:v>380</x:v>
      </x:c>
      <x:c r="K68" s="26" t="str">
        <x:v>0.333333,0.333333,0.333334</x:v>
      </x:c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>
      <x:c r="A69" s="26"/>
      <x:c r="B69" s="26"/>
      <x:c r="C69" s="26"/>
      <x:c r="D69" s="26"/>
      <x:c r="E69" s="26"/>
      <x:c r="F69" s="26"/>
      <x:c r="G69" s="26"/>
      <x:c r="H69" s="26"/>
      <x:c r="I69" s="1" t="str">
        <x:v>XX</x:v>
      </x:c>
      <x:c r="J69" s="26"/>
      <x:c r="K69" s="26"/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>
      <x:c r="A70" s="26"/>
      <x:c r="B70" s="1" t="str">
        <x:v>mung_bean_cake</x:v>
      </x:c>
      <x:c r="C70" s="1" t="str">
        <x:v>绿豆糕</x:v>
      </x:c>
      <x:c r="D70" s="1" t="n">
        <x:v>30</x:v>
      </x:c>
      <x:c r="E70" s="1" t="str">
        <x:v>false</x:v>
      </x:c>
      <x:c r="F70" s="1" t="str">
        <x:v>sk_mung_bean_cake</x:v>
      </x:c>
      <x:c r="G70" s="26"/>
      <x:c r="H70" s="1" t="n">
        <x:v>1</x:v>
      </x:c>
      <x:c r="I70" s="1" t="str">
        <x:v>XX</x:v>
      </x:c>
      <x:c r="J70" s="26" t="n">
        <x:v>390</x:v>
      </x:c>
      <x:c r="K70" s="1" t="str">
        <x:v>0.333333,0.333333,0.333334</x:v>
      </x:c>
      <x:c r="O70" s="1" t="e">
        <x:v>#VALUE!</x:v>
      </x:c>
      <x:c r="P70" s="26">
        <x:v>6</x:v>
      </x:c>
      <x:c r="Q70" s="26">
        <x:v>6</x:v>
      </x:c>
      <x:c r="R70" s="26">
        <x:v>6</x:v>
      </x:c>
      <x:c r="S70" s="26">
        <x:v>6</x:v>
      </x:c>
      <x:c r="T70" s="26">
        <x:v>6</x:v>
      </x:c>
      <x:c r="U70" s="26">
        <x:v>6</x:v>
      </x:c>
      <x:c r="V70" s="26">
        <x:v>6</x:v>
      </x:c>
      <x:c r="W70" s="26">
        <x:v>6</x:v>
      </x:c>
      <x:c r="X70" s="26">
        <x:v>6</x:v>
      </x:c>
      <x:c r="Y70" s="26">
        <x:v>6</x:v>
      </x:c>
      <x:c r="Z70" s="26">
        <x:v>6</x:v>
      </x:c>
    </x:row>
    <x:row r="71">
      <x:c r="A71" s="26"/>
      <x:c r="B71" s="26"/>
      <x:c r="C71" s="26"/>
      <x:c r="D71" s="26"/>
      <x:c r="E71" s="26"/>
      <x:c r="F71" s="26"/>
      <x:c r="G71" s="26"/>
      <x:c r="H71" s="26"/>
      <x:c r="I71" s="1" t="str">
        <x:v>XX</x:v>
      </x:c>
      <x:c r="J71" s="26"/>
      <x:c r="K71" s="26"/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</x:row>
    <x:row r="72">
      <x:c r="A72" s="26"/>
      <x:c r="B72" s="26" t="str">
        <x:v>egg_yolk_pastry</x:v>
      </x:c>
      <x:c r="C72" s="26" t="str">
        <x:v>蛋黄酥</x:v>
      </x:c>
      <x:c r="D72" s="26" t="n">
        <x:v>30</x:v>
      </x:c>
      <x:c r="E72" s="26" t="str">
        <x:v>false</x:v>
      </x:c>
      <x:c r="F72" s="26" t="str">
        <x:v>sk_egg_yolk_pastry</x:v>
      </x:c>
      <x:c r="G72" s="26"/>
      <x:c r="H72" s="26" t="n">
        <x:v>1</x:v>
      </x:c>
      <x:c r="I72" s="1" t="str">
        <x:v>XX</x:v>
      </x:c>
      <x:c r="J72" s="26" t="n">
        <x:v>400</x:v>
      </x:c>
      <x:c r="K72" s="26" t="str">
        <x:v>0.333333,0.333333,0.333334</x:v>
      </x:c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>
      <x:c r="A73" s="26"/>
      <x:c r="B73" s="1"/>
      <x:c r="C73" s="1"/>
      <x:c r="D73" s="1"/>
      <x:c r="E73" s="1"/>
      <x:c r="F73" s="1"/>
      <x:c r="G73" s="26"/>
      <x:c r="H73" s="1"/>
      <x:c r="I73" s="1" t="str">
        <x:v>XX</x:v>
      </x:c>
      <x:c r="J73" s="26"/>
      <x:c r="K73" s="1"/>
      <x:c r="L73" s="30"/>
      <x:c r="M73" s="30"/>
      <x:c r="O73" s="1" t="e">
        <x:v>#VALUE!</x:v>
      </x:c>
      <x:c r="P73" s="26">
        <x:v>9</x:v>
      </x:c>
      <x:c r="Q73" s="26">
        <x:v>9</x:v>
      </x:c>
      <x:c r="R73" s="26">
        <x:v>9</x:v>
      </x:c>
      <x:c r="S73" s="26">
        <x:v>9</x:v>
      </x:c>
      <x:c r="T73" s="26">
        <x:v>9</x:v>
      </x:c>
      <x:c r="U73" s="26">
        <x:v>9</x:v>
      </x:c>
      <x:c r="V73" s="26">
        <x:v>9</x:v>
      </x:c>
      <x:c r="W73" s="26">
        <x:v>9</x:v>
      </x:c>
      <x:c r="X73" s="26">
        <x:v>9</x:v>
      </x:c>
      <x:c r="Y73" s="26">
        <x:v>9</x:v>
      </x:c>
      <x:c r="Z73" s="26">
        <x:v>9</x:v>
      </x:c>
    </x:row>
    <x:row r="74">
      <x:c r="A74" s="26"/>
      <x:c r="B74" s="26" t="str">
        <x:v>chocolate_truffle</x:v>
      </x:c>
      <x:c r="C74" s="26" t="str">
        <x:v>松露巧克力</x:v>
      </x:c>
      <x:c r="D74" s="26" t="n">
        <x:v>30</x:v>
      </x:c>
      <x:c r="E74" s="26" t="str">
        <x:v>false</x:v>
      </x:c>
      <x:c r="F74" s="26" t="str">
        <x:v>sk_chocolate_truffle</x:v>
      </x:c>
      <x:c r="G74" s="26"/>
      <x:c r="H74" s="26" t="n">
        <x:v>1</x:v>
      </x:c>
      <x:c r="I74" s="1" t="str">
        <x:v>XX</x:v>
      </x:c>
      <x:c r="J74" s="26" t="n">
        <x:v>410</x:v>
      </x:c>
      <x:c r="K74" s="26" t="str">
        <x:v>0.333333,0.333333,0.333334</x:v>
      </x:c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>
      <x:c r="A75" s="26"/>
      <x:c r="B75" s="26"/>
      <x:c r="C75" s="26"/>
      <x:c r="D75" s="26"/>
      <x:c r="E75" s="26"/>
      <x:c r="F75" s="26"/>
      <x:c r="G75" s="26"/>
      <x:c r="H75" s="26"/>
      <x:c r="I75" s="1" t="str">
        <x:v>XX</x:v>
      </x:c>
      <x:c r="J75" s="26"/>
      <x:c r="K75" s="26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>
      <x:c r="A76" s="26"/>
      <x:c r="B76" s="1" t="str">
        <x:v>liquor_chocolate</x:v>
      </x:c>
      <x:c r="C76" s="1" t="str">
        <x:v>酒心巧克力</x:v>
      </x:c>
      <x:c r="D76" s="1" t="n">
        <x:v>30</x:v>
      </x:c>
      <x:c r="E76" s="1" t="str">
        <x:v>false</x:v>
      </x:c>
      <x:c r="F76" s="1" t="str">
        <x:v>sk_liquor_chocolate</x:v>
      </x:c>
      <x:c r="G76" s="26"/>
      <x:c r="H76" s="1" t="n">
        <x:v>1</x:v>
      </x:c>
      <x:c r="I76" s="1" t="str">
        <x:v>XX</x:v>
      </x:c>
      <x:c r="J76" s="26" t="n">
        <x:v>420</x:v>
      </x:c>
      <x:c r="K76" s="1" t="str">
        <x:v>0.333333,0.333333,0.333334</x:v>
      </x:c>
      <x:c r="L76" s="30"/>
      <x:c r="M76" s="30"/>
      <x:c r="O76" s="1" t="e">
        <x:v>#VALUE!</x:v>
      </x:c>
      <x:c r="P76" s="26">
        <x:v>9</x:v>
      </x:c>
      <x:c r="Q76" s="26">
        <x:v>9</x:v>
      </x:c>
      <x:c r="R76" s="26">
        <x:v>9</x:v>
      </x:c>
      <x:c r="S76" s="26">
        <x:v>9</x:v>
      </x:c>
      <x:c r="T76" s="26">
        <x:v>9</x:v>
      </x:c>
      <x:c r="U76" s="26">
        <x:v>9</x:v>
      </x:c>
      <x:c r="V76" s="26">
        <x:v>9</x:v>
      </x:c>
      <x:c r="W76" s="26">
        <x:v>9</x:v>
      </x:c>
      <x:c r="X76" s="26">
        <x:v>9</x:v>
      </x:c>
      <x:c r="Y76" s="26">
        <x:v>9</x:v>
      </x:c>
      <x:c r="Z76" s="26">
        <x:v>9</x:v>
      </x:c>
    </x:row>
    <x:row r="77">
      <x:c r="A77" s="26"/>
      <x:c r="B77" s="26"/>
      <x:c r="C77" s="26"/>
      <x:c r="D77" s="26"/>
      <x:c r="E77" s="26"/>
      <x:c r="F77" s="26"/>
      <x:c r="G77" s="26"/>
      <x:c r="H77" s="26"/>
      <x:c r="I77" s="1" t="str">
        <x:v>XX</x:v>
      </x:c>
      <x:c r="J77" s="26"/>
      <x:c r="K77" s="26"/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</x:row>
    <x:row r="78">
      <x:c r="A78" s="26"/>
      <x:c r="B78" s="26" t="str">
        <x:v>palmier</x:v>
      </x:c>
      <x:c r="C78" s="26" t="str">
        <x:v>蝴蝶酥</x:v>
      </x:c>
      <x:c r="D78" s="26" t="n">
        <x:v>30</x:v>
      </x:c>
      <x:c r="E78" s="26" t="str">
        <x:v>false</x:v>
      </x:c>
      <x:c r="F78" s="26" t="str">
        <x:v>sk_palmier</x:v>
      </x:c>
      <x:c r="G78" s="26"/>
      <x:c r="H78" s="26" t="n">
        <x:v>1</x:v>
      </x:c>
      <x:c r="I78" s="1" t="str">
        <x:v>XX</x:v>
      </x:c>
      <x:c r="J78" s="26" t="n">
        <x:v>430</x:v>
      </x:c>
      <x:c r="K78" s="26" t="str">
        <x:v>0.333333,0.333333,0.333334</x:v>
      </x:c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>
      <x:c r="A79" s="26"/>
      <x:c r="B79" s="1"/>
      <x:c r="C79" s="1"/>
      <x:c r="D79" s="1"/>
      <x:c r="E79" s="1"/>
      <x:c r="F79" s="1"/>
      <x:c r="G79" s="1"/>
      <x:c r="H79" s="1"/>
      <x:c r="I79" s="1" t="str">
        <x:v>XX</x:v>
      </x:c>
      <x:c r="J79" s="26"/>
      <x:c r="K79" s="1"/>
      <x:c r="L79" s="30"/>
      <x:c r="M79" s="30"/>
      <x:c r="O79" s="1" t="e">
        <x:v>#VALUE!</x:v>
      </x:c>
      <x:c r="P79" s="26">
        <x:v>12</x:v>
      </x:c>
      <x:c r="Q79" s="26">
        <x:v>12</x:v>
      </x:c>
      <x:c r="R79" s="26">
        <x:v>12</x:v>
      </x:c>
      <x:c r="S79" s="26">
        <x:v>12</x:v>
      </x:c>
      <x:c r="T79" s="26">
        <x:v>12</x:v>
      </x:c>
      <x:c r="U79" s="26">
        <x:v>12</x:v>
      </x:c>
      <x:c r="V79" s="26">
        <x:v>12</x:v>
      </x:c>
      <x:c r="W79" s="26">
        <x:v>12</x:v>
      </x:c>
      <x:c r="X79" s="26">
        <x:v>12</x:v>
      </x:c>
      <x:c r="Y79" s="26">
        <x:v>12</x:v>
      </x:c>
      <x:c r="Z79" s="26">
        <x:v>12</x:v>
      </x:c>
    </x:row>
    <x:row r="80">
      <x:c r="A80" s="26"/>
      <x:c r="B80" s="26" t="str">
        <x:v>chiffion</x:v>
      </x:c>
      <x:c r="C80" s="26" t="str">
        <x:v>戚风蛋糕</x:v>
      </x:c>
      <x:c r="D80" s="26" t="n">
        <x:v>40</x:v>
      </x:c>
      <x:c r="E80" s="26" t="str">
        <x:v>false</x:v>
      </x:c>
      <x:c r="F80" s="26" t="str">
        <x:v>sk_chiffion</x:v>
      </x:c>
      <x:c r="G80" s="26" t="str">
        <x:v>cake</x:v>
      </x:c>
      <x:c r="H80" s="26" t="n">
        <x:v>1</x:v>
      </x:c>
      <x:c r="I80" s="1" t="str">
        <x:v>XX</x:v>
      </x:c>
      <x:c r="J80" s="26" t="n">
        <x:v>440</x:v>
      </x:c>
      <x:c r="K80" s="26" t="str">
        <x:v>0.333333,0.333333,0.333334</x:v>
      </x:c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>
      <x:c r="A81" s="26"/>
      <x:c r="B81" s="26"/>
      <x:c r="C81" s="26"/>
      <x:c r="D81" s="26"/>
      <x:c r="E81" s="26"/>
      <x:c r="F81" s="26"/>
      <x:c r="G81" s="26"/>
      <x:c r="H81" s="26"/>
      <x:c r="I81" s="1" t="str">
        <x:v>XX</x:v>
      </x:c>
      <x:c r="J81" s="26"/>
      <x:c r="K81" s="26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>
      <x:c r="A82" s="26"/>
      <x:c r="B82" s="26" t="str">
        <x:v>toffee_candy</x:v>
      </x:c>
      <x:c r="C82" s="26" t="str">
        <x:v>太妃糖</x:v>
      </x:c>
      <x:c r="D82" s="26" t="n">
        <x:v>40</x:v>
      </x:c>
      <x:c r="E82" s="26" t="str">
        <x:v>false</x:v>
      </x:c>
      <x:c r="F82" s="26" t="str">
        <x:v>sk_toffee_candy</x:v>
      </x:c>
      <x:c r="G82" s="26"/>
      <x:c r="H82" s="26" t="n">
        <x:v>1</x:v>
      </x:c>
      <x:c r="I82" s="1" t="str">
        <x:v>XX</x:v>
      </x:c>
      <x:c r="J82" s="26" t="n">
        <x:v>450</x:v>
      </x:c>
      <x:c r="K82" s="26" t="str">
        <x:v>0.333333,0.333333,0.333334</x:v>
      </x:c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>
      <x:c r="A83" s="26"/>
      <x:c r="B83" s="1"/>
      <x:c r="C83" s="1"/>
      <x:c r="D83" s="1"/>
      <x:c r="E83" s="1"/>
      <x:c r="F83" s="26"/>
      <x:c r="G83" s="26"/>
      <x:c r="H83" s="1"/>
      <x:c r="I83" s="1" t="str">
        <x:v>XX</x:v>
      </x:c>
      <x:c r="J83" s="26"/>
      <x:c r="K83" s="26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>
      <x:c r="A84" s="26"/>
      <x:c r="B84" s="26" t="str">
        <x:v>taosu</x:v>
      </x:c>
      <x:c r="C84" s="26" t="str">
        <x:v>桃酥</x:v>
      </x:c>
      <x:c r="D84" s="26" t="n">
        <x:v>40</x:v>
      </x:c>
      <x:c r="E84" s="26" t="str">
        <x:v>false</x:v>
      </x:c>
      <x:c r="F84" s="26" t="str">
        <x:v>sk_taosu</x:v>
      </x:c>
      <x:c r="G84" s="26"/>
      <x:c r="H84" s="26" t="n">
        <x:v>6</x:v>
      </x:c>
      <x:c r="I84" s="26" t="str">
        <x:v>XX</x:v>
      </x:c>
      <x:c r="J84" s="26" t="n">
        <x:v>460</x:v>
      </x:c>
      <x:c r="K84" s="26" t="str">
        <x:v>0.333333,0.333333,0.333334</x:v>
      </x:c>
    </x:row>
    <x:row r="85">
      <x:c r="A85" s="26"/>
      <x:c r="B85" s="26"/>
      <x:c r="C85" s="26"/>
      <x:c r="D85" s="26"/>
      <x:c r="E85" s="26"/>
      <x:c r="F85" s="26"/>
      <x:c r="G85" s="26"/>
      <x:c r="H85" s="26"/>
      <x:c r="I85" s="26" t="str">
        <x:v>XX</x:v>
      </x:c>
      <x:c r="J85" s="26"/>
      <x:c r="K85" s="26"/>
      <x:c r="M85" s="30"/>
    </x:row>
    <x:row r="86">
      <x:c r="A86" s="26"/>
      <x:c r="B86" s="26" t="str">
        <x:v>brown_sugar_steamed_cake</x:v>
      </x:c>
      <x:c r="C86" s="26" t="str">
        <x:v>红糖发糕</x:v>
      </x:c>
      <x:c r="D86" s="26" t="n">
        <x:v>40</x:v>
      </x:c>
      <x:c r="E86" s="26" t="str">
        <x:v>false</x:v>
      </x:c>
      <x:c r="F86" s="26" t="str">
        <x:v>sk_brown_sugar_steamed_cake</x:v>
      </x:c>
      <x:c r="G86" s="26"/>
      <x:c r="H86" s="26" t="n">
        <x:v>5</x:v>
      </x:c>
      <x:c r="I86" s="26" t="str">
        <x:v>XX</x:v>
      </x:c>
      <x:c r="J86" s="26" t="n">
        <x:v>470</x:v>
      </x:c>
      <x:c r="K86" s="26" t="str">
        <x:v>0.333333,0.333333,0.333334</x:v>
      </x:c>
      <x:c r="M86" s="30"/>
    </x:row>
    <x:row r="87">
      <x:c r="A87" s="26"/>
      <x:c r="B87" s="26"/>
      <x:c r="C87" s="26"/>
      <x:c r="D87" s="26"/>
      <x:c r="E87" s="26"/>
      <x:c r="F87" s="26"/>
      <x:c r="G87" s="26"/>
      <x:c r="H87" s="26"/>
      <x:c r="I87" s="26" t="str">
        <x:v>XX</x:v>
      </x:c>
      <x:c r="J87" s="26"/>
      <x:c r="K87" s="26"/>
      <x:c r="M87" s="30"/>
    </x:row>
    <x:row r="88">
      <x:c r="A88" s="26"/>
      <x:c r="B88" s="26" t="str">
        <x:v>cream_cake</x:v>
      </x:c>
      <x:c r="C88" s="26" t="str">
        <x:v>奶油蛋糕</x:v>
      </x:c>
      <x:c r="D88" s="26" t="n">
        <x:v>40</x:v>
      </x:c>
      <x:c r="E88" s="26" t="str">
        <x:v>false</x:v>
      </x:c>
      <x:c r="F88" s="26" t="str">
        <x:v>sk_cream_cake</x:v>
      </x:c>
      <x:c r="G88" s="26" t="str">
        <x:v>cake</x:v>
      </x:c>
      <x:c r="H88" s="26" t="n">
        <x:v>1</x:v>
      </x:c>
      <x:c r="I88" s="26" t="str">
        <x:v>XX</x:v>
      </x:c>
      <x:c r="J88" s="26" t="n">
        <x:v>480</x:v>
      </x:c>
      <x:c r="K88" s="26" t="str">
        <x:v>0.333333,0.333333,0.333334</x:v>
      </x:c>
      <x:c r="M88" s="30"/>
    </x:row>
    <x:row r="89">
      <x:c r="A89" s="26"/>
      <x:c r="B89" s="26"/>
      <x:c r="C89" s="26"/>
      <x:c r="D89" s="26"/>
      <x:c r="E89" s="26"/>
      <x:c r="F89" s="26"/>
      <x:c r="G89" s="26"/>
      <x:c r="H89" s="26"/>
      <x:c r="I89" s="26" t="str">
        <x:v>XX</x:v>
      </x:c>
      <x:c r="J89" s="26"/>
      <x:c r="K89" s="26"/>
      <x:c r="M89" s="30"/>
    </x:row>
    <x:row r="90">
      <x:c r="A90" s="26"/>
      <x:c r="B90" s="26" t="str">
        <x:v>candycane</x:v>
      </x:c>
      <x:c r="C90" s="26" t="str">
        <x:v>拐杖糖</x:v>
      </x:c>
      <x:c r="D90" s="26" t="n">
        <x:v>40</x:v>
      </x:c>
      <x:c r="E90" s="26" t="str">
        <x:v>false</x:v>
      </x:c>
      <x:c r="F90" s="26" t="str">
        <x:v>sk_candycane</x:v>
      </x:c>
      <x:c r="G90" s="26"/>
      <x:c r="H90" s="26" t="n">
        <x:v>1</x:v>
      </x:c>
      <x:c r="I90" s="26" t="str">
        <x:v>XX</x:v>
      </x:c>
      <x:c r="J90" s="26" t="n">
        <x:v>490</x:v>
      </x:c>
      <x:c r="K90" s="26" t="str">
        <x:v>0.333333,0.333333,0.333334</x:v>
      </x:c>
      <x:c r="M90" s="30"/>
    </x:row>
    <x:row r="91">
      <x:c r="A91" s="26"/>
      <x:c r="B91" s="26"/>
      <x:c r="C91" s="26"/>
      <x:c r="D91" s="26"/>
      <x:c r="E91" s="26"/>
      <x:c r="F91" s="26"/>
      <x:c r="G91" s="26"/>
      <x:c r="H91" s="26"/>
      <x:c r="I91" s="26" t="str">
        <x:v>.X</x:v>
      </x:c>
      <x:c r="J91" s="26"/>
      <x:c r="K91" s="26"/>
      <x:c r="M91" s="30"/>
    </x:row>
    <x:row r="92">
      <x:c r="A92" s="26"/>
      <x:c r="B92" s="26"/>
      <x:c r="C92" s="26"/>
      <x:c r="D92" s="26"/>
      <x:c r="E92" s="26"/>
      <x:c r="F92" s="26"/>
      <x:c r="G92" s="26"/>
      <x:c r="H92" s="26"/>
      <x:c r="I92" s="26" t="str">
        <x:v>.X</x:v>
      </x:c>
      <x:c r="J92" s="26"/>
      <x:c r="K92" s="26"/>
      <x:c r="M92" s="30"/>
    </x:row>
    <x:row r="93">
      <x:c r="A93" s="26"/>
      <x:c r="B93" s="26" t="str">
        <x:v>fruit_shaved_ice</x:v>
      </x:c>
      <x:c r="C93" s="26" t="str">
        <x:v>水果刨冰</x:v>
      </x:c>
      <x:c r="D93" s="26" t="n">
        <x:v>40</x:v>
      </x:c>
      <x:c r="E93" s="26" t="str">
        <x:v>false</x:v>
      </x:c>
      <x:c r="F93" s="26" t="str">
        <x:v>sk_fruit_shaved_ice</x:v>
      </x:c>
      <x:c r="G93" s="26"/>
      <x:c r="H93" s="26" t="n">
        <x:v>1</x:v>
      </x:c>
      <x:c r="I93" s="26" t="str">
        <x:v>XX</x:v>
      </x:c>
      <x:c r="J93" s="26" t="n">
        <x:v>500</x:v>
      </x:c>
      <x:c r="K93" s="26" t="str">
        <x:v>0.333333,0.333333,0.333334</x:v>
      </x:c>
      <x:c r="M93" s="30"/>
    </x:row>
    <x:row r="94">
      <x:c r="A94" s="26"/>
      <x:c r="B94" s="26"/>
      <x:c r="C94" s="26"/>
      <x:c r="D94" s="26"/>
      <x:c r="E94" s="26"/>
      <x:c r="F94" s="26"/>
      <x:c r="G94" s="26"/>
      <x:c r="H94" s="26"/>
      <x:c r="I94" s="26" t="str">
        <x:v>XX</x:v>
      </x:c>
      <x:c r="J94" s="26"/>
      <x:c r="K94" s="26"/>
      <x:c r="M94" s="30"/>
    </x:row>
    <x:row r="95">
      <x:c r="A95" s="26"/>
      <x:c r="B95" s="26" t="str">
        <x:v>coconut_milk_jelly</x:v>
      </x:c>
      <x:c r="C95" s="26" t="str">
        <x:v>椰奶冻</x:v>
      </x:c>
      <x:c r="D95" s="26" t="n">
        <x:v>40</x:v>
      </x:c>
      <x:c r="E95" s="26" t="str">
        <x:v>false</x:v>
      </x:c>
      <x:c r="F95" s="26" t="str">
        <x:v>sk_coconut_milk_jelly</x:v>
      </x:c>
      <x:c r="G95" s="26"/>
      <x:c r="H95" s="26" t="n">
        <x:v>1</x:v>
      </x:c>
      <x:c r="I95" s="26" t="str">
        <x:v>XX</x:v>
      </x:c>
      <x:c r="J95" s="26" t="n">
        <x:v>510</x:v>
      </x:c>
      <x:c r="K95" s="26" t="str">
        <x:v>0.333333,0.333333,0.333334</x:v>
      </x:c>
      <x:c r="M95" s="30"/>
    </x:row>
    <x:row r="96">
      <x:c r="A96" s="26"/>
      <x:c r="B96" s="26"/>
      <x:c r="C96" s="26"/>
      <x:c r="D96" s="26"/>
      <x:c r="E96" s="26"/>
      <x:c r="F96" s="26"/>
      <x:c r="G96" s="26"/>
      <x:c r="H96" s="26"/>
      <x:c r="I96" s="26" t="str">
        <x:v>XX</x:v>
      </x:c>
      <x:c r="J96" s="26"/>
      <x:c r="K96" s="26"/>
      <x:c r="M96" s="30"/>
    </x:row>
    <x:row r="97">
      <x:c r="A97" s="26"/>
      <x:c r="B97" s="26" t="str">
        <x:v>black_forest_cake</x:v>
      </x:c>
      <x:c r="C97" s="26" t="str">
        <x:v>黑森林蛋糕</x:v>
      </x:c>
      <x:c r="D97" s="26" t="n">
        <x:v>60</x:v>
      </x:c>
      <x:c r="E97" s="26" t="str">
        <x:v>false</x:v>
      </x:c>
      <x:c r="F97" s="26" t="str">
        <x:v>sk_black_forest_cake</x:v>
      </x:c>
      <x:c r="G97" s="26" t="str">
        <x:v>cake</x:v>
      </x:c>
      <x:c r="H97" s="26" t="n">
        <x:v>1</x:v>
      </x:c>
      <x:c r="I97" s="26" t="str">
        <x:v>XXX</x:v>
      </x:c>
      <x:c r="J97" s="26" t="n">
        <x:v>520</x:v>
      </x:c>
      <x:c r="K97" s="26" t="str">
        <x:v>0.333333,0.333333,0.333334</x:v>
      </x:c>
      <x:c r="M97" s="30"/>
    </x:row>
    <x:row r="98">
      <x:c r="A98" s="26"/>
      <x:c r="B98" s="26"/>
      <x:c r="C98" s="26"/>
      <x:c r="D98" s="26"/>
      <x:c r="E98" s="26"/>
      <x:c r="F98" s="26"/>
      <x:c r="G98" s="26"/>
      <x:c r="H98" s="26"/>
      <x:c r="I98" s="26" t="str">
        <x:v>XXX</x:v>
      </x:c>
      <x:c r="J98" s="26"/>
      <x:c r="K98" s="26"/>
    </x:row>
    <x:row r="99">
      <x:c r="A99" s="26"/>
      <x:c r="B99" s="26" t="str">
        <x:v>nama_chocolate</x:v>
      </x:c>
      <x:c r="C99" s="26" t="str">
        <x:v>生巧克力</x:v>
      </x:c>
      <x:c r="D99" s="26" t="n">
        <x:v>60</x:v>
      </x:c>
      <x:c r="E99" s="26" t="str">
        <x:v>false</x:v>
      </x:c>
      <x:c r="F99" s="26" t="str">
        <x:v>sk_nama_chocolate</x:v>
      </x:c>
      <x:c r="G99" s="26"/>
      <x:c r="H99" s="26" t="n">
        <x:v>1</x:v>
      </x:c>
      <x:c r="I99" s="26" t="str">
        <x:v>XXX</x:v>
      </x:c>
      <x:c r="J99" s="26" t="n">
        <x:v>530</x:v>
      </x:c>
      <x:c r="K99" s="26" t="str">
        <x:v>0.333333,0.333333,0.333334</x:v>
      </x:c>
    </x:row>
    <x:row r="100">
      <x:c r="A100" s="26"/>
      <x:c r="B100" s="26"/>
      <x:c r="C100" s="26"/>
      <x:c r="D100" s="26"/>
      <x:c r="E100" s="26"/>
      <x:c r="F100" s="26"/>
      <x:c r="G100" s="26"/>
      <x:c r="H100" s="26"/>
      <x:c r="I100" s="26" t="str">
        <x:v>XXX</x:v>
      </x:c>
      <x:c r="J100" s="26"/>
      <x:c r="K100" s="26"/>
    </x:row>
    <x:row r="101">
      <x:c r="A101" s="26"/>
      <x:c r="B101" s="26" t="str">
        <x:v>mango_sago</x:v>
      </x:c>
      <x:c r="C101" s="26" t="str">
        <x:v>杨枝甘露</x:v>
      </x:c>
      <x:c r="D101" s="26" t="n">
        <x:v>60</x:v>
      </x:c>
      <x:c r="E101" s="26" t="str">
        <x:v>false</x:v>
      </x:c>
      <x:c r="F101" s="26" t="str">
        <x:v>sk_mango_sago</x:v>
      </x:c>
      <x:c r="G101" s="26"/>
      <x:c r="H101" s="26" t="n">
        <x:v>8</x:v>
      </x:c>
      <x:c r="I101" s="26" t="str">
        <x:v>XXX</x:v>
      </x:c>
      <x:c r="J101" s="26" t="n">
        <x:v>540</x:v>
      </x:c>
      <x:c r="K101" s="26" t="str">
        <x:v>0.333333,0.333333,0.333334</x:v>
      </x:c>
    </x:row>
    <x:row r="102">
      <x:c r="A102" s="26"/>
      <x:c r="B102" s="26"/>
      <x:c r="C102" s="26"/>
      <x:c r="D102" s="26"/>
      <x:c r="E102" s="26"/>
      <x:c r="F102" s="26"/>
      <x:c r="G102" s="26"/>
      <x:c r="H102" s="26"/>
      <x:c r="I102" s="26" t="str">
        <x:v>XXX</x:v>
      </x:c>
      <x:c r="J102" s="26"/>
      <x:c r="K102" s="26"/>
    </x:row>
    <x:row r="103">
      <x:c r="A103" s="26"/>
      <x:c r="B103" s="26" t="str">
        <x:v>fruit_cake</x:v>
      </x:c>
      <x:c r="C103" s="26" t="str">
        <x:v>水果蛋糕</x:v>
      </x:c>
      <x:c r="D103" s="26" t="n">
        <x:v>60</x:v>
      </x:c>
      <x:c r="E103" s="26" t="str">
        <x:v>false</x:v>
      </x:c>
      <x:c r="F103" s="26" t="str">
        <x:v>sk_fruit_cake</x:v>
      </x:c>
      <x:c r="G103" s="26" t="str">
        <x:v>cake</x:v>
      </x:c>
      <x:c r="H103" s="26" t="n">
        <x:v>1</x:v>
      </x:c>
      <x:c r="I103" s="26" t="str">
        <x:v>XX</x:v>
      </x:c>
      <x:c r="J103" s="26" t="n">
        <x:v>550</x:v>
      </x:c>
      <x:c r="K103" s="26" t="str">
        <x:v>0.333333,0.333333,0.333334</x:v>
      </x:c>
    </x:row>
    <x:row r="104">
      <x:c r="A104" s="26"/>
      <x:c r="B104" s="26"/>
      <x:c r="C104" s="26"/>
      <x:c r="D104" s="26"/>
      <x:c r="E104" s="26"/>
      <x:c r="F104" s="26"/>
      <x:c r="G104" s="26"/>
      <x:c r="H104" s="26"/>
      <x:c r="I104" s="26" t="str">
        <x:v>XX</x:v>
      </x:c>
      <x:c r="J104" s="26"/>
      <x:c r="K104" s="26"/>
    </x:row>
    <x:row r="105">
      <x:c r="A105" s="26"/>
      <x:c r="B105" s="26"/>
      <x:c r="C105" s="26"/>
      <x:c r="D105" s="26"/>
      <x:c r="E105" s="26"/>
      <x:c r="F105" s="26"/>
      <x:c r="G105" s="26"/>
      <x:c r="H105" s="26"/>
      <x:c r="I105" s="26" t="str">
        <x:v>XX</x:v>
      </x:c>
      <x:c r="J105" s="26"/>
      <x:c r="K105" s="26"/>
    </x:row>
    <x:row r="106">
      <x:c r="A106" s="26"/>
      <x:c r="B106" s="26" t="str">
        <x:v>fermented_rice_balls</x:v>
      </x:c>
      <x:c r="C106" s="26" t="str">
        <x:v>酒酿圆子</x:v>
      </x:c>
      <x:c r="D106" s="26" t="n">
        <x:v>60</x:v>
      </x:c>
      <x:c r="E106" s="26" t="str">
        <x:v>false</x:v>
      </x:c>
      <x:c r="F106" s="26" t="str">
        <x:v>sk_fermented_rice_balls</x:v>
      </x:c>
      <x:c r="G106" s="26"/>
      <x:c r="H106" s="26" t="n">
        <x:v>1</x:v>
      </x:c>
      <x:c r="I106" s="26" t="str">
        <x:v>XX</x:v>
      </x:c>
      <x:c r="J106" s="26" t="n">
        <x:v>560</x:v>
      </x:c>
      <x:c r="K106" s="26" t="str">
        <x:v>0.333333,0.333333,0.333334</x:v>
      </x:c>
    </x:row>
    <x:row r="107">
      <x:c r="A107" s="26"/>
      <x:c r="B107" s="26"/>
      <x:c r="C107" s="26"/>
      <x:c r="D107" s="26"/>
      <x:c r="E107" s="26"/>
      <x:c r="F107" s="26"/>
      <x:c r="G107" s="26"/>
      <x:c r="H107" s="26"/>
      <x:c r="I107" s="26" t="str">
        <x:v>XX</x:v>
      </x:c>
      <x:c r="J107" s="26"/>
      <x:c r="K107" s="26"/>
    </x:row>
    <x:row r="108">
      <x:c r="A108" s="26"/>
      <x:c r="B108" s="26"/>
      <x:c r="C108" s="26"/>
      <x:c r="D108" s="26"/>
      <x:c r="E108" s="26"/>
      <x:c r="F108" s="26"/>
      <x:c r="G108" s="26"/>
      <x:c r="H108" s="26"/>
      <x:c r="I108" s="26" t="str">
        <x:v>XX</x:v>
      </x:c>
      <x:c r="J108" s="26"/>
      <x:c r="K108" s="26"/>
    </x:row>
    <x:row r="109">
      <x:c r="A109" s="26"/>
      <x:c r="B109" s="26" t="str">
        <x:v>marshmallow</x:v>
      </x:c>
      <x:c r="C109" s="26" t="str">
        <x:v>棉花糖</x:v>
      </x:c>
      <x:c r="D109" s="26" t="n">
        <x:v>60</x:v>
      </x:c>
      <x:c r="E109" s="26" t="str">
        <x:v>false</x:v>
      </x:c>
      <x:c r="F109" s="26" t="str">
        <x:v>sk_marshmallow</x:v>
      </x:c>
      <x:c r="G109" s="26"/>
      <x:c r="H109" s="26" t="n">
        <x:v>1</x:v>
      </x:c>
      <x:c r="I109" s="26" t="str">
        <x:v>XX</x:v>
      </x:c>
      <x:c r="J109" s="26" t="n">
        <x:v>570</x:v>
      </x:c>
      <x:c r="K109" s="26" t="str">
        <x:v>0.333333,0.333333,0.333334</x:v>
      </x:c>
    </x:row>
    <x:row r="110">
      <x:c r="A110" s="26"/>
      <x:c r="B110" s="26"/>
      <x:c r="C110" s="26"/>
      <x:c r="D110" s="26"/>
      <x:c r="E110" s="26"/>
      <x:c r="F110" s="26"/>
      <x:c r="G110" s="26"/>
      <x:c r="H110" s="26"/>
      <x:c r="I110" s="26" t="str">
        <x:v>XX</x:v>
      </x:c>
      <x:c r="J110" s="26"/>
      <x:c r="K110" s="26"/>
    </x:row>
    <x:row r="111">
      <x:c r="A111" s="26"/>
      <x:c r="B111" s="26"/>
      <x:c r="C111" s="26"/>
      <x:c r="D111" s="26"/>
      <x:c r="E111" s="26"/>
      <x:c r="F111" s="26"/>
      <x:c r="G111" s="26"/>
      <x:c r="H111" s="26"/>
      <x:c r="I111" s="26" t="str">
        <x:v>XX</x:v>
      </x:c>
      <x:c r="J111" s="26"/>
      <x:c r="K111" s="26"/>
    </x:row>
    <x:row r="112">
      <x:c r="A112" s="26"/>
      <x:c r="B112" s="26" t="str">
        <x:v>big_lollipop</x:v>
      </x:c>
      <x:c r="C112" s="26" t="str">
        <x:v>大棒棒糖</x:v>
      </x:c>
      <x:c r="D112" s="26" t="n">
        <x:v>100</x:v>
      </x:c>
      <x:c r="E112" s="26" t="str">
        <x:v>false</x:v>
      </x:c>
      <x:c r="F112" s="26" t="str">
        <x:v>sk_big_lollipop</x:v>
      </x:c>
      <x:c r="G112" s="26"/>
      <x:c r="H112" s="26" t="n">
        <x:v>1</x:v>
      </x:c>
      <x:c r="I112" s="26" t="str">
        <x:v>XXX</x:v>
      </x:c>
      <x:c r="J112" s="26" t="n">
        <x:v>580</x:v>
      </x:c>
      <x:c r="K112" s="26" t="str">
        <x:v>0.333333,0.333333,0.333334</x:v>
      </x:c>
    </x:row>
    <x:row r="113">
      <x:c r="A113" s="26"/>
      <x:c r="B113" s="26"/>
      <x:c r="C113" s="26"/>
      <x:c r="D113" s="26"/>
      <x:c r="E113" s="26"/>
      <x:c r="F113" s="26"/>
      <x:c r="G113" s="26"/>
      <x:c r="H113" s="26"/>
      <x:c r="I113" s="26" t="str">
        <x:v>XXX</x:v>
      </x:c>
      <x:c r="J113" s="26"/>
      <x:c r="K113" s="26"/>
    </x:row>
    <x:row r="114">
      <x:c r="A114" s="26"/>
      <x:c r="B114" s="26"/>
      <x:c r="C114" s="26"/>
      <x:c r="D114" s="26"/>
      <x:c r="E114" s="26"/>
      <x:c r="F114" s="26"/>
      <x:c r="G114" s="26"/>
      <x:c r="H114" s="26"/>
      <x:c r="I114" s="26" t="str">
        <x:v>XXX</x:v>
      </x:c>
      <x:c r="J114" s="26"/>
      <x:c r="K114" s="26"/>
    </x:row>
    <x:row r="115">
      <x:c r="A115" s="26"/>
      <x:c r="B115" s="26" t="str">
        <x:v>double_skin_milk</x:v>
      </x:c>
      <x:c r="C115" s="26" t="str">
        <x:v>双皮奶</x:v>
      </x:c>
      <x:c r="D115" s="26" t="n">
        <x:v>100</x:v>
      </x:c>
      <x:c r="E115" s="26" t="str">
        <x:v>false</x:v>
      </x:c>
      <x:c r="F115" s="26" t="str">
        <x:v>sk_double_skin_milk</x:v>
      </x:c>
      <x:c r="G115" s="26"/>
      <x:c r="H115" s="26" t="n">
        <x:v>1</x:v>
      </x:c>
      <x:c r="I115" s="26" t="str">
        <x:v>XXX</x:v>
      </x:c>
      <x:c r="J115" s="26" t="n">
        <x:v>590</x:v>
      </x:c>
      <x:c r="K115" s="26" t="str">
        <x:v>0.333333,0.333333,0.333334</x:v>
      </x:c>
    </x:row>
    <x:row r="116">
      <x:c r="A116" s="26"/>
      <x:c r="B116" s="26"/>
      <x:c r="C116" s="26"/>
      <x:c r="D116" s="26"/>
      <x:c r="E116" s="26"/>
      <x:c r="F116" s="26"/>
      <x:c r="G116" s="26"/>
      <x:c r="H116" s="26"/>
      <x:c r="I116" s="26" t="str">
        <x:v>XXX</x:v>
      </x:c>
      <x:c r="J116" s="26"/>
      <x:c r="K116" s="26"/>
    </x:row>
    <x:row r="117">
      <x:c r="A117" s="26"/>
      <x:c r="B117" s="26"/>
      <x:c r="C117" s="26"/>
      <x:c r="D117" s="26"/>
      <x:c r="E117" s="26"/>
      <x:c r="F117" s="26"/>
      <x:c r="G117" s="26"/>
      <x:c r="H117" s="26"/>
      <x:c r="I117" s="26" t="str">
        <x:v>XXX</x:v>
      </x:c>
      <x:c r="J117" s="26"/>
      <x:c r="K117" s="26"/>
    </x:row>
    <x:row r="118">
      <x:c r="A118" s="26"/>
      <x:c r="B118" s="26" t="str">
        <x:v>double_cake</x:v>
      </x:c>
      <x:c r="C118" s="26" t="str">
        <x:v>双层蛋糕</x:v>
      </x:c>
      <x:c r="D118" s="26" t="n">
        <x:v>100</x:v>
      </x:c>
      <x:c r="E118" s="26" t="str">
        <x:v>false</x:v>
      </x:c>
      <x:c r="F118" s="26" t="str">
        <x:v>sk_double_cake</x:v>
      </x:c>
      <x:c r="G118" s="26" t="str">
        <x:v>cake</x:v>
      </x:c>
      <x:c r="H118" s="26" t="n">
        <x:v>1</x:v>
      </x:c>
      <x:c r="I118" s="26" t="str">
        <x:v>XXX</x:v>
      </x:c>
      <x:c r="J118" s="26" t="n">
        <x:v>600</x:v>
      </x:c>
      <x:c r="K118" s="26" t="str">
        <x:v>0.333333,0.333333,0.333334</x:v>
      </x:c>
    </x:row>
    <x:row r="119">
      <x:c r="A119" s="26"/>
      <x:c r="B119" s="26"/>
      <x:c r="C119" s="26"/>
      <x:c r="D119" s="26"/>
      <x:c r="E119" s="26"/>
      <x:c r="F119" s="26"/>
      <x:c r="G119" s="26"/>
      <x:c r="H119" s="26"/>
      <x:c r="I119" s="26" t="str">
        <x:v>XXX</x:v>
      </x:c>
      <x:c r="J119" s="26"/>
      <x:c r="K119" s="26"/>
    </x:row>
    <x:row r="120">
      <x:c r="A120" s="26"/>
      <x:c r="B120" s="26"/>
      <x:c r="C120" s="26"/>
      <x:c r="D120" s="26"/>
      <x:c r="E120" s="26"/>
      <x:c r="F120" s="26"/>
      <x:c r="G120" s="26"/>
      <x:c r="H120" s="26"/>
      <x:c r="I120" s="26" t="str">
        <x:v>XXX</x:v>
      </x:c>
      <x:c r="J120" s="26"/>
      <x:c r="K120" s="26"/>
    </x:row>
    <x:row r="121">
      <x:c r="A121" s="26"/>
      <x:c r="B121" s="26"/>
      <x:c r="C121" s="26"/>
      <x:c r="D121" s="26"/>
      <x:c r="E121" s="26"/>
      <x:c r="F121" s="26"/>
      <x:c r="G121" s="26"/>
      <x:c r="H121" s="26"/>
      <x:c r="I121" s="26" t="str">
        <x:v>XXX</x:v>
      </x:c>
      <x:c r="J121" s="26"/>
      <x:c r="K121" s="26"/>
    </x:row>
    <x:row r="122">
      <x:c r="A122" s="26"/>
      <x:c r="B122" s="26" t="str">
        <x:v>custard_bun</x:v>
      </x:c>
      <x:c r="C122" s="26" t="str">
        <x:v>奶黄包</x:v>
      </x:c>
      <x:c r="D122" s="26" t="n">
        <x:v>10</x:v>
      </x:c>
      <x:c r="E122" s="26" t="str">
        <x:v>false</x:v>
      </x:c>
      <x:c r="F122" s="26"/>
      <x:c r="G122" s="26"/>
      <x:c r="H122" s="26" t="n">
        <x:v>1</x:v>
      </x:c>
      <x:c r="I122" s="26" t="str">
        <x:v>X</x:v>
      </x:c>
      <x:c r="J122" s="26" t="n">
        <x:v>10000</x:v>
      </x:c>
      <x:c r="K122" s="26" t="str">
        <x:v>0.333333,0.333333,0.333334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6.799999237060547"/>
  <x:cols>
    <x:col min="1" max="1" width="13.076923370361328" style="1" customWidth="1"/>
    <x:col min="2" max="2" width="220" style="1" hidden="0" customWidth="1"/>
    <x:col min="3" max="3" width="220" style="1" hidden="0" customWidth="1"/>
    <x:col min="4" max="4" width="38" style="1" customWidth="1"/>
    <x:col min="5" max="5" width="15.15384578704834" style="1" customWidth="1"/>
    <x:col min="6" max="6" width="10.307692527770996" style="1" customWidth="1"/>
    <x:col min="7" max="7" width="23" style="30" customWidth="1"/>
    <x:col min="8" max="10" width="23" style="1" customWidth="1"/>
    <x:col min="11" max="11" width="9" style="1" customWidth="0"/>
    <x:col min="12" max="12" width="14" style="1" customWidth="1"/>
    <x:col min="13" max="16384" width="9" style="1" customWidth="0"/>
  </x:cols>
  <x:sheetData>
    <x:row r="1">
      <x:c r="A1" s="1" t="s">
        <x:v>0</x:v>
      </x:c>
      <x:c r="B1" s="1" t="s">
        <x:v>1</x:v>
      </x:c>
      <x:c r="C1" s="1" t="s">
        <x:v>28</x:v>
      </x:c>
      <x:c r="D1" s="1" t="s">
        <x:v>29</x:v>
      </x:c>
      <x:c r="E1" s="1" t="s">
        <x:v>30</x:v>
      </x:c>
      <x:c r="F1" s="1" t="s">
        <x:v>31</x:v>
      </x:c>
      <x:c r="G1" s="30" t="s">
        <x:v>32</x:v>
      </x:c>
      <x:c r="H1" s="1" t="s">
        <x:v>33</x:v>
      </x:c>
      <x:c r="I1" s="31" t="s">
        <x:v>34</x:v>
      </x:c>
      <x:c r="J1" s="31" t="s">
        <x:v>35</x:v>
      </x:c>
      <x:c r="K1" s="31" t="s">
        <x:v>36</x:v>
      </x:c>
      <x:c r="L1" s="31"/>
    </x:row>
    <x:row r="2">
      <x:c r="A2" s="1" t="s">
        <x:v>11</x:v>
      </x:c>
      <x:c r="B2" s="1" t="s">
        <x:v>37</x:v>
      </x:c>
      <x:c r="C2" s="1" t="s">
        <x:v>38</x:v>
      </x:c>
      <x:c r="D2" s="1" t="s">
        <x:v>39</x:v>
      </x:c>
      <x:c r="E2" s="1" t="s">
        <x:v>40</x:v>
      </x:c>
      <x:c r="F2" s="1" t="s">
        <x:v>41</x:v>
      </x:c>
      <x:c r="G2" s="30" t="s">
        <x:v>42</x:v>
      </x:c>
      <x:c r="H2" s="1" t="s">
        <x:v>43</x:v>
      </x:c>
      <x:c r="I2" s="31" t="s">
        <x:v>44</x:v>
      </x:c>
      <x:c r="J2" s="31" t="s">
        <x:v>45</x:v>
      </x:c>
      <x:c r="K2" s="31" t="s">
        <x:v>46</x:v>
      </x:c>
      <x:c r="L2" s="31" t="s">
        <x:v>47</x:v>
      </x:c>
    </x:row>
    <x:row r="3">
      <x:c r="A3" s="1" t="s">
        <x:v>22</x:v>
      </x:c>
      <x:c r="B3" s="1" t="s">
        <x:v>23</x:v>
      </x:c>
      <x:c r="C3" s="1" t="s">
        <x:v>23</x:v>
      </x:c>
      <x:c r="D3" s="1" t="s">
        <x:v>23</x:v>
      </x:c>
      <x:c r="E3" s="1" t="s">
        <x:v>48</x:v>
      </x:c>
      <x:c r="F3" s="1" t="s">
        <x:v>24</x:v>
      </x:c>
      <x:c r="G3" s="30" t="s">
        <x:v>49</x:v>
      </x:c>
      <x:c r="H3" s="1" t="s">
        <x:v>48</x:v>
      </x:c>
      <x:c r="I3" s="31" t="s">
        <x:v>24</x:v>
      </x:c>
      <x:c r="J3" s="31" t="s">
        <x:v>49</x:v>
      </x:c>
      <x:c r="K3" s="31" t="s">
        <x:v>50</x:v>
      </x:c>
      <x:c r="L3" s="31"/>
    </x:row>
    <x:row r="4">
      <x:c r="A4" s="31"/>
      <x:c r="B4" s="1" t="str">
        <x:v>arrow_cookie_1</x:v>
      </x:c>
      <x:c r="C4" s="8" t="str">
        <x:v>arrow_cookie_1</x:v>
      </x:c>
      <x:c r="D4" s="32"/>
      <x:c r="E4" s="1" t="n">
        <x:v>0</x:v>
      </x:c>
      <x:c r="F4" s="1" t="n">
        <x:v>100</x:v>
      </x:c>
      <x:c r="G4" s="30" t="str">
        <x:v>0,0</x:v>
      </x:c>
      <x:c r="H4" s="1" t="n">
        <x:v>0</x:v>
      </x:c>
      <x:c r="I4" s="31" t="n">
        <x:v>0</x:v>
      </x:c>
      <x:c r="J4" s="31" t="str">
        <x:v>0,0</x:v>
      </x:c>
      <x:c r="K4" s="31" t="str">
        <x:v>Deg0</x:v>
      </x:c>
      <x:c r="L4" s="31" t="str">
        <x:v>箭头饼干1</x:v>
      </x:c>
    </x:row>
    <x:row r="5">
      <x:c r="A5" s="31"/>
      <x:c r="B5" s="1" t="str">
        <x:v>arrow_cookie_2</x:v>
      </x:c>
      <x:c r="C5" s="1" t="str">
        <x:v>arrow_cookie_2</x:v>
      </x:c>
      <x:c r="D5" s="32"/>
      <x:c r="E5" s="1" t="n">
        <x:v>0</x:v>
      </x:c>
      <x:c r="F5" s="1" t="n">
        <x:v>100</x:v>
      </x:c>
      <x:c r="G5" s="30" t="str">
        <x:v>0,0</x:v>
      </x:c>
      <x:c r="H5" s="1" t="n">
        <x:v>0</x:v>
      </x:c>
      <x:c r="I5" s="31" t="n">
        <x:v>0</x:v>
      </x:c>
      <x:c r="J5" s="31" t="str">
        <x:v>0,0</x:v>
      </x:c>
      <x:c r="K5" s="31" t="str">
        <x:v>Deg0</x:v>
      </x:c>
      <x:c r="L5" s="31" t="str">
        <x:v>箭头饼干2</x:v>
      </x:c>
    </x:row>
    <x:row r="6">
      <x:c r="A6" s="31"/>
      <x:c r="B6" s="1" t="str">
        <x:v>arrow_cookie_3</x:v>
      </x:c>
      <x:c r="C6" s="1" t="str">
        <x:v>arrow_cookie_3</x:v>
      </x:c>
      <x:c r="D6" s="32"/>
      <x:c r="E6" s="1" t="n">
        <x:v>0</x:v>
      </x:c>
      <x:c r="F6" s="1" t="n">
        <x:v>100</x:v>
      </x:c>
      <x:c r="G6" s="30" t="str">
        <x:v>0,0</x:v>
      </x:c>
      <x:c r="H6" s="1" t="n">
        <x:v>0</x:v>
      </x:c>
      <x:c r="I6" s="31" t="n">
        <x:v>0</x:v>
      </x:c>
      <x:c r="J6" s="31" t="str">
        <x:v>0,0</x:v>
      </x:c>
      <x:c r="K6" s="31" t="str">
        <x:v>Deg0</x:v>
      </x:c>
      <x:c r="L6" s="31" t="str">
        <x:v>箭头饼干3</x:v>
      </x:c>
    </x:row>
    <x:row r="7">
      <x:c r="A7" s="31"/>
      <x:c r="B7" s="1" t="str">
        <x:v>arrow_cookie_4</x:v>
      </x:c>
      <x:c r="C7" s="1" t="str">
        <x:v>arrow_cookie_4</x:v>
      </x:c>
      <x:c r="D7" s="32"/>
      <x:c r="E7" s="1" t="n">
        <x:v>0</x:v>
      </x:c>
      <x:c r="F7" s="1" t="n">
        <x:v>100</x:v>
      </x:c>
      <x:c r="G7" s="30" t="str">
        <x:v>0,0</x:v>
      </x:c>
      <x:c r="H7" s="1" t="n">
        <x:v>0</x:v>
      </x:c>
      <x:c r="I7" s="31" t="n">
        <x:v>0</x:v>
      </x:c>
      <x:c r="J7" s="31" t="str">
        <x:v>0,0</x:v>
      </x:c>
      <x:c r="K7" s="31" t="str">
        <x:v>Deg0</x:v>
      </x:c>
      <x:c r="L7" s="31" t="str">
        <x:v>箭头饼干4</x:v>
      </x:c>
    </x:row>
    <x:row r="8">
      <x:c r="A8" s="31"/>
      <x:c r="B8" s="1" t="str">
        <x:v>jelly</x:v>
      </x:c>
      <x:c r="C8" s="1" t="str">
        <x:v>jelly</x:v>
      </x:c>
      <x:c r="D8" s="32" t="str">
        <x:v>t_sweet|t_sour|t_salty|t_bitter|t_numb|t_rust</x:v>
      </x:c>
      <x:c r="E8" s="1" t="n">
        <x:v>1200</x:v>
      </x:c>
      <x:c r="F8" s="1" t="n">
        <x:v>30</x:v>
      </x:c>
      <x:c r="G8" s="30" t="str">
        <x:v>10,45</x:v>
      </x:c>
      <x:c r="H8" s="1" t="n">
        <x:v>100</x:v>
      </x:c>
      <x:c r="I8" s="31" t="n">
        <x:v>70</x:v>
      </x:c>
      <x:c r="J8" s="31" t="str">
        <x:v>45,80</x:v>
      </x:c>
      <x:c r="K8" s="31" t="str">
        <x:v>Deg0</x:v>
      </x:c>
      <x:c r="L8" s="31" t="str">
        <x:v>果冻</x:v>
      </x:c>
    </x:row>
    <x:row r="9">
      <x:c r="A9" s="31"/>
      <x:c r="B9" s="1" t="str">
        <x:f t="shared" ref="B9:B43" si="0">C9</x:f>
        <x:v>cupcake</x:v>
      </x:c>
      <x:c r="C9" s="1" t="str">
        <x:v>cupcake</x:v>
      </x:c>
      <x:c r="D9" s="32" t="str">
        <x:v>t_sweet|t_sour|t_salty|t_bitter|t_numb|t_rust</x:v>
      </x:c>
      <x:c r="E9" s="1" t="n">
        <x:v>1200</x:v>
      </x:c>
      <x:c r="F9" s="1" t="n">
        <x:v>30</x:v>
      </x:c>
      <x:c r="G9" s="30" t="str">
        <x:v>10,45</x:v>
      </x:c>
      <x:c r="H9" s="1" t="n">
        <x:v>100</x:v>
      </x:c>
      <x:c r="I9" s="31" t="n">
        <x:v>70</x:v>
      </x:c>
      <x:c r="J9" s="31" t="str">
        <x:v>45,80</x:v>
      </x:c>
      <x:c r="K9" s="31" t="str">
        <x:v>Deg0</x:v>
      </x:c>
      <x:c r="L9" s="31" t="str">
        <x:v>糖霜蛋糕</x:v>
      </x:c>
    </x:row>
    <x:row r="10">
      <x:c r="A10" s="31"/>
      <x:c r="B10" s="1" t="str">
        <x:f t="shared" si="0"/>
        <x:v>eggtart</x:v>
      </x:c>
      <x:c r="C10" s="1" t="str">
        <x:v>eggtart</x:v>
      </x:c>
      <x:c r="D10" s="32" t="str">
        <x:v>t_sweet|t_sour|t_salty|t_bitter|t_numb|t_rust</x:v>
      </x:c>
      <x:c r="E10" s="1" t="n">
        <x:v>1200</x:v>
      </x:c>
      <x:c r="F10" s="1" t="n">
        <x:v>30</x:v>
      </x:c>
      <x:c r="G10" s="30" t="str">
        <x:v>10,45</x:v>
      </x:c>
      <x:c r="H10" s="1" t="n">
        <x:v>100</x:v>
      </x:c>
      <x:c r="I10" s="31" t="n">
        <x:v>70</x:v>
      </x:c>
      <x:c r="J10" s="31" t="str">
        <x:v>45,80</x:v>
      </x:c>
      <x:c r="K10" s="31" t="str">
        <x:v>Deg0</x:v>
      </x:c>
      <x:c r="L10" s="31" t="str">
        <x:v>蛋挞</x:v>
      </x:c>
    </x:row>
    <x:row r="11">
      <x:c r="A11" s="31"/>
      <x:c r="B11" s="1" t="str">
        <x:f t="shared" si="0"/>
        <x:v>sugarbean</x:v>
      </x:c>
      <x:c r="C11" s="1" t="str">
        <x:v>sugarbean</x:v>
      </x:c>
      <x:c r="D11" s="32" t="str">
        <x:v>t_sweet|t_sour|t_salty|t_bitter|t_numb|t_rust</x:v>
      </x:c>
      <x:c r="E11" s="1" t="n">
        <x:v>1200</x:v>
      </x:c>
      <x:c r="F11" s="1" t="n">
        <x:v>30</x:v>
      </x:c>
      <x:c r="G11" s="30" t="str">
        <x:v>10,45</x:v>
      </x:c>
      <x:c r="H11" s="1" t="n">
        <x:v>100</x:v>
      </x:c>
      <x:c r="I11" s="31" t="n">
        <x:v>70</x:v>
      </x:c>
      <x:c r="J11" s="31" t="str">
        <x:v>45,80</x:v>
      </x:c>
      <x:c r="K11" s="31" t="str">
        <x:v>Deg0</x:v>
      </x:c>
      <x:c r="L11" s="31" t="str">
        <x:v>糖豆</x:v>
      </x:c>
    </x:row>
    <x:row r="12">
      <x:c r="A12" s="31"/>
      <x:c r="B12" s="1" t="str">
        <x:f t="shared" si="0"/>
        <x:v>cheesecake</x:v>
      </x:c>
      <x:c r="C12" s="1" t="str">
        <x:v>cheesecake</x:v>
      </x:c>
      <x:c r="D12" s="32" t="str">
        <x:v>t_sweet|t_sour|t_salty|t_bitter|t_numb|t_rust</x:v>
      </x:c>
      <x:c r="E12" s="1" t="n">
        <x:v>1200</x:v>
      </x:c>
      <x:c r="F12" s="1" t="n">
        <x:v>30</x:v>
      </x:c>
      <x:c r="G12" s="30" t="str">
        <x:v>10,45</x:v>
      </x:c>
      <x:c r="H12" s="1" t="n">
        <x:v>100</x:v>
      </x:c>
      <x:c r="I12" s="31" t="n">
        <x:v>70</x:v>
      </x:c>
      <x:c r="J12" s="31" t="str">
        <x:v>45,80</x:v>
      </x:c>
      <x:c r="K12" s="31" t="str">
        <x:v>Deg0</x:v>
      </x:c>
      <x:c r="L12" s="31" t="str">
        <x:v>芝士蛋糕</x:v>
      </x:c>
    </x:row>
    <x:row r="13">
      <x:c r="A13" s="31"/>
      <x:c r="B13" s="1" t="str">
        <x:f t="shared" si="0"/>
        <x:v>mousse</x:v>
      </x:c>
      <x:c r="C13" s="1" t="str">
        <x:v>mousse</x:v>
      </x:c>
      <x:c r="D13" s="32" t="str">
        <x:v>t_sweet|t_sour|t_salty|t_bitter|t_numb|t_rust</x:v>
      </x:c>
      <x:c r="E13" s="1" t="n">
        <x:v>1200</x:v>
      </x:c>
      <x:c r="F13" s="1" t="n">
        <x:v>30</x:v>
      </x:c>
      <x:c r="G13" s="30" t="str">
        <x:v>10,45</x:v>
      </x:c>
      <x:c r="H13" s="1" t="n">
        <x:v>100</x:v>
      </x:c>
      <x:c r="I13" s="31" t="n">
        <x:v>70</x:v>
      </x:c>
      <x:c r="J13" s="31" t="str">
        <x:v>45,80</x:v>
      </x:c>
      <x:c r="K13" s="31" t="str">
        <x:v>Deg0</x:v>
      </x:c>
      <x:c r="L13" s="31" t="str">
        <x:v>慕斯蛋糕</x:v>
      </x:c>
    </x:row>
    <x:row r="14">
      <x:c r="A14" s="31"/>
      <x:c r="B14" s="1" t="str">
        <x:f t="shared" si="0"/>
        <x:v>caramel_pudding</x:v>
      </x:c>
      <x:c r="C14" s="1" t="str">
        <x:v>caramel_pudding</x:v>
      </x:c>
      <x:c r="D14" s="32" t="str">
        <x:v>t_sweet|t_sour|t_salty|t_bitter|t_numb|t_rust</x:v>
      </x:c>
      <x:c r="E14" s="1" t="n">
        <x:v>1200</x:v>
      </x:c>
      <x:c r="F14" s="1" t="n">
        <x:v>30</x:v>
      </x:c>
      <x:c r="G14" s="30" t="str">
        <x:v>10,45</x:v>
      </x:c>
      <x:c r="H14" s="1" t="n">
        <x:v>100</x:v>
      </x:c>
      <x:c r="I14" s="31" t="n">
        <x:v>70</x:v>
      </x:c>
      <x:c r="J14" s="31" t="str">
        <x:v>45,80</x:v>
      </x:c>
      <x:c r="K14" s="31" t="str">
        <x:v>Deg0</x:v>
      </x:c>
      <x:c r="L14" s="31" t="str">
        <x:v>焦糖布丁</x:v>
      </x:c>
    </x:row>
    <x:row r="15">
      <x:c r="A15" s="31"/>
      <x:c r="B15" s="1" t="str">
        <x:f t="shared" si="0"/>
        <x:v>fruit_candy</x:v>
      </x:c>
      <x:c r="C15" s="1" t="str">
        <x:v>fruit_candy</x:v>
      </x:c>
      <x:c r="D15" s="32" t="str">
        <x:v>t_sweet|t_sour|t_salty|t_bitter|t_numb|t_rust</x:v>
      </x:c>
      <x:c r="E15" s="1" t="n">
        <x:v>1200</x:v>
      </x:c>
      <x:c r="F15" s="1" t="n">
        <x:v>30</x:v>
      </x:c>
      <x:c r="G15" s="30" t="str">
        <x:v>10,45</x:v>
      </x:c>
      <x:c r="H15" s="1" t="n">
        <x:v>100</x:v>
      </x:c>
      <x:c r="I15" s="31" t="n">
        <x:v>70</x:v>
      </x:c>
      <x:c r="J15" s="31" t="str">
        <x:v>45,80</x:v>
      </x:c>
      <x:c r="K15" s="31" t="str">
        <x:v>Deg0</x:v>
      </x:c>
      <x:c r="L15" s="31" t="str">
        <x:v>水果糖</x:v>
      </x:c>
    </x:row>
    <x:row r="16">
      <x:c r="A16" s="31"/>
      <x:c r="B16" s="1" t="str">
        <x:f t="shared" si="0"/>
        <x:v>choco_bar</x:v>
      </x:c>
      <x:c r="C16" s="1" t="str">
        <x:v>choco_bar</x:v>
      </x:c>
      <x:c r="D16" s="32" t="str">
        <x:v>t_sweet|t_sour|t_salty|t_bitter|t_numb|t_rust</x:v>
      </x:c>
      <x:c r="E16" s="1" t="n">
        <x:v>1200</x:v>
      </x:c>
      <x:c r="F16" s="1" t="n">
        <x:v>30</x:v>
      </x:c>
      <x:c r="G16" s="30" t="str">
        <x:v>10,45</x:v>
      </x:c>
      <x:c r="H16" s="1" t="n">
        <x:v>100</x:v>
      </x:c>
      <x:c r="I16" s="31" t="n">
        <x:v>70</x:v>
      </x:c>
      <x:c r="J16" s="31" t="str">
        <x:v>45,80</x:v>
      </x:c>
      <x:c r="K16" s="31" t="str">
        <x:v>Deg0</x:v>
      </x:c>
      <x:c r="L16" s="31" t="str">
        <x:v>巧克力棒</x:v>
      </x:c>
    </x:row>
    <x:row r="17">
      <x:c r="A17" s="31"/>
      <x:c r="B17" s="1" t="str">
        <x:f t="shared" si="0"/>
        <x:v>mochi</x:v>
      </x:c>
      <x:c r="C17" s="1" t="str">
        <x:v>mochi</x:v>
      </x:c>
      <x:c r="D17" s="32" t="str">
        <x:v>t_sweet|t_sour|t_salty|t_bitter|t_numb|t_rust</x:v>
      </x:c>
      <x:c r="E17" s="1" t="n">
        <x:v>1200</x:v>
      </x:c>
      <x:c r="F17" s="1" t="n">
        <x:v>30</x:v>
      </x:c>
      <x:c r="G17" s="30" t="str">
        <x:v>10,45</x:v>
      </x:c>
      <x:c r="H17" s="1" t="n">
        <x:v>100</x:v>
      </x:c>
      <x:c r="I17" s="31" t="n">
        <x:v>70</x:v>
      </x:c>
      <x:c r="J17" s="31" t="str">
        <x:v>45,80</x:v>
      </x:c>
      <x:c r="K17" s="31" t="str">
        <x:v>Deg0</x:v>
      </x:c>
      <x:c r="L17" s="31" t="str">
        <x:v>麻薯</x:v>
      </x:c>
    </x:row>
    <x:row r="18">
      <x:c r="A18" s="31"/>
      <x:c r="B18" s="1" t="str">
        <x:f t="shared" si="0"/>
        <x:v>cup_cake</x:v>
      </x:c>
      <x:c r="C18" s="1" t="str">
        <x:v>cup_cake</x:v>
      </x:c>
      <x:c r="D18" s="32" t="str">
        <x:v>t_sweet|t_sour|t_salty|t_bitter|t_numb|t_rust</x:v>
      </x:c>
      <x:c r="E18" s="1" t="n">
        <x:v>1200</x:v>
      </x:c>
      <x:c r="F18" s="1" t="n">
        <x:v>30</x:v>
      </x:c>
      <x:c r="G18" s="30" t="str">
        <x:v>10,45</x:v>
      </x:c>
      <x:c r="H18" s="1" t="n">
        <x:v>100</x:v>
      </x:c>
      <x:c r="I18" s="31" t="n">
        <x:v>70</x:v>
      </x:c>
      <x:c r="J18" s="31" t="str">
        <x:v>45,80</x:v>
      </x:c>
      <x:c r="K18" s="31" t="str">
        <x:v>Deg0</x:v>
      </x:c>
      <x:c r="L18" s="31" t="str">
        <x:v>杯子蛋糕</x:v>
      </x:c>
    </x:row>
    <x:row r="19">
      <x:c r="A19" s="31"/>
      <x:c r="B19" s="1" t="str">
        <x:f t="shared" si="0"/>
        <x:v>cream_puff</x:v>
      </x:c>
      <x:c r="C19" s="1" t="str">
        <x:v>cream_puff</x:v>
      </x:c>
      <x:c r="D19" s="32" t="str">
        <x:v>t_sweet|t_sour|t_salty|t_bitter|t_numb|t_rust</x:v>
      </x:c>
      <x:c r="E19" s="1" t="n">
        <x:v>1200</x:v>
      </x:c>
      <x:c r="F19" s="1" t="n">
        <x:v>30</x:v>
      </x:c>
      <x:c r="G19" s="30" t="str">
        <x:v>10,45</x:v>
      </x:c>
      <x:c r="H19" s="1" t="n">
        <x:v>100</x:v>
      </x:c>
      <x:c r="I19" s="31" t="n">
        <x:v>70</x:v>
      </x:c>
      <x:c r="J19" s="31" t="str">
        <x:v>45,80</x:v>
      </x:c>
      <x:c r="K19" s="31" t="str">
        <x:v>Deg0</x:v>
      </x:c>
      <x:c r="L19" s="31" t="str">
        <x:v>奶油泡芙</x:v>
      </x:c>
    </x:row>
    <x:row r="20">
      <x:c r="A20" s="31"/>
      <x:c r="B20" s="1" t="str">
        <x:f t="shared" si="0"/>
        <x:v>ice_cream</x:v>
      </x:c>
      <x:c r="C20" s="1" t="str">
        <x:v>ice_cream</x:v>
      </x:c>
      <x:c r="D20" s="32" t="str">
        <x:v>t_sweet|t_sour|t_salty|t_bitter|t_numb|t_rust</x:v>
      </x:c>
      <x:c r="E20" s="1" t="n">
        <x:v>1200</x:v>
      </x:c>
      <x:c r="F20" s="1" t="n">
        <x:v>30</x:v>
      </x:c>
      <x:c r="G20" s="30" t="str">
        <x:v>10,45</x:v>
      </x:c>
      <x:c r="H20" s="1" t="n">
        <x:v>100</x:v>
      </x:c>
      <x:c r="I20" s="31" t="n">
        <x:v>70</x:v>
      </x:c>
      <x:c r="J20" s="31" t="str">
        <x:v>45,80</x:v>
      </x:c>
      <x:c r="K20" s="31" t="str">
        <x:v>Deg0</x:v>
      </x:c>
      <x:c r="L20" s="31" t="str">
        <x:v>冰淇淋</x:v>
      </x:c>
    </x:row>
    <x:row r="21">
      <x:c r="A21" s="31"/>
      <x:c r="B21" s="1" t="str">
        <x:f t="shared" si="0"/>
        <x:v>eggroll</x:v>
      </x:c>
      <x:c r="C21" s="1" t="str">
        <x:v>eggroll</x:v>
      </x:c>
      <x:c r="D21" s="32" t="str">
        <x:v>t_sweet|t_sour|t_salty|t_bitter|t_numb|t_rust</x:v>
      </x:c>
      <x:c r="E21" s="1" t="n">
        <x:v>1200</x:v>
      </x:c>
      <x:c r="F21" s="1" t="n">
        <x:v>45</x:v>
      </x:c>
      <x:c r="G21" s="30" t="str">
        <x:v>20,60</x:v>
      </x:c>
      <x:c r="H21" s="1" t="n">
        <x:v>100</x:v>
      </x:c>
      <x:c r="I21" s="31" t="n">
        <x:v>90</x:v>
      </x:c>
      <x:c r="J21" s="31" t="str">
        <x:v>50,90</x:v>
      </x:c>
      <x:c r="K21" s="31" t="str">
        <x:v>Deg0</x:v>
      </x:c>
      <x:c r="L21" s="31" t="str">
        <x:v>蛋卷</x:v>
      </x:c>
    </x:row>
    <x:row r="22">
      <x:c r="A22" s="31"/>
      <x:c r="B22" s="1" t="str">
        <x:f t="shared" si="0"/>
        <x:v>osmanthus_cake</x:v>
      </x:c>
      <x:c r="C22" s="1" t="str">
        <x:v>osmanthus_cake</x:v>
      </x:c>
      <x:c r="D22" s="32" t="str">
        <x:v>t_sweet|t_sour|t_salty|t_bitter|t_numb|t_rust</x:v>
      </x:c>
      <x:c r="E22" s="1" t="n">
        <x:v>1200</x:v>
      </x:c>
      <x:c r="F22" s="1" t="n">
        <x:v>45</x:v>
      </x:c>
      <x:c r="G22" s="30" t="str">
        <x:v>20,60</x:v>
      </x:c>
      <x:c r="H22" s="1" t="n">
        <x:v>100</x:v>
      </x:c>
      <x:c r="I22" s="31" t="n">
        <x:v>90</x:v>
      </x:c>
      <x:c r="J22" s="31" t="str">
        <x:v>50,90</x:v>
      </x:c>
      <x:c r="K22" s="31" t="str">
        <x:v>Deg0</x:v>
      </x:c>
      <x:c r="L22" s="31" t="str">
        <x:v>桂花糕</x:v>
      </x:c>
    </x:row>
    <x:row r="23">
      <x:c r="A23" s="31"/>
      <x:c r="B23" s="1" t="str">
        <x:f t="shared" si="0"/>
        <x:v>tanghulu</x:v>
      </x:c>
      <x:c r="C23" s="1" t="str">
        <x:v>tanghulu</x:v>
      </x:c>
      <x:c r="D23" s="32" t="str">
        <x:v>t_sweet|t_sour|t_salty|t_bitter|t_numb|t_rust</x:v>
      </x:c>
      <x:c r="E23" s="1" t="n">
        <x:v>1200</x:v>
      </x:c>
      <x:c r="F23" s="1" t="n">
        <x:v>45</x:v>
      </x:c>
      <x:c r="G23" s="30" t="str">
        <x:v>20,60</x:v>
      </x:c>
      <x:c r="H23" s="1" t="n">
        <x:v>100</x:v>
      </x:c>
      <x:c r="I23" s="31" t="n">
        <x:v>90</x:v>
      </x:c>
      <x:c r="J23" s="31" t="str">
        <x:v>50,90</x:v>
      </x:c>
      <x:c r="K23" s="31" t="str">
        <x:v>Deg0</x:v>
      </x:c>
      <x:c r="L23" s="31" t="str">
        <x:v>糖葫芦</x:v>
      </x:c>
    </x:row>
    <x:row r="24">
      <x:c r="A24" s="31"/>
      <x:c r="B24" s="1" t="str">
        <x:f t="shared" si="0"/>
        <x:v>napoleon_cake</x:v>
      </x:c>
      <x:c r="C24" s="1" t="str">
        <x:v>napoleon_cake</x:v>
      </x:c>
      <x:c r="D24" s="32" t="str">
        <x:v>t_sweet|t_sour|t_salty|t_bitter|t_numb|t_rust</x:v>
      </x:c>
      <x:c r="E24" s="1" t="n">
        <x:v>1200</x:v>
      </x:c>
      <x:c r="F24" s="1" t="n">
        <x:v>45</x:v>
      </x:c>
      <x:c r="G24" s="30" t="str">
        <x:v>20,60</x:v>
      </x:c>
      <x:c r="H24" s="1" t="n">
        <x:v>100</x:v>
      </x:c>
      <x:c r="I24" s="31" t="n">
        <x:v>90</x:v>
      </x:c>
      <x:c r="J24" s="31" t="str">
        <x:v>50,90</x:v>
      </x:c>
      <x:c r="K24" s="31" t="str">
        <x:v>Deg0</x:v>
      </x:c>
      <x:c r="L24" s="31" t="str">
        <x:v>拿破仑蛋糕</x:v>
      </x:c>
    </x:row>
    <x:row r="25">
      <x:c r="A25" s="31"/>
      <x:c r="B25" s="1" t="str">
        <x:f t="shared" si="0"/>
        <x:v>honey_cake</x:v>
      </x:c>
      <x:c r="C25" s="1" t="str">
        <x:v>honey_cake</x:v>
      </x:c>
      <x:c r="D25" s="32" t="str">
        <x:v>t_sweet|t_sour|t_salty|t_bitter|t_numb|t_rust</x:v>
      </x:c>
      <x:c r="E25" s="1" t="n">
        <x:v>1200</x:v>
      </x:c>
      <x:c r="F25" s="1" t="n">
        <x:v>45</x:v>
      </x:c>
      <x:c r="G25" s="30" t="str">
        <x:v>20,60</x:v>
      </x:c>
      <x:c r="H25" s="1" t="n">
        <x:v>100</x:v>
      </x:c>
      <x:c r="I25" s="31" t="n">
        <x:v>90</x:v>
      </x:c>
      <x:c r="J25" s="31" t="str">
        <x:v>50,90</x:v>
      </x:c>
      <x:c r="K25" s="31" t="str">
        <x:v>Deg0</x:v>
      </x:c>
      <x:c r="L25" s="31" t="str">
        <x:v>蜂蜜蛋糕</x:v>
      </x:c>
    </x:row>
    <x:row r="26">
      <x:c r="A26" s="31"/>
      <x:c r="B26" s="1" t="str">
        <x:f t="shared" si="0"/>
        <x:v>tree_ring_cake</x:v>
      </x:c>
      <x:c r="C26" s="1" t="str">
        <x:v>tree_ring_cake</x:v>
      </x:c>
      <x:c r="D26" s="32" t="str">
        <x:v>t_sweet|t_sour|t_salty|t_bitter|t_numb|t_rust</x:v>
      </x:c>
      <x:c r="E26" s="1" t="n">
        <x:v>1200</x:v>
      </x:c>
      <x:c r="F26" s="1" t="n">
        <x:v>45</x:v>
      </x:c>
      <x:c r="G26" s="30" t="str">
        <x:v>20,60</x:v>
      </x:c>
      <x:c r="H26" s="1" t="n">
        <x:v>100</x:v>
      </x:c>
      <x:c r="I26" s="31" t="n">
        <x:v>90</x:v>
      </x:c>
      <x:c r="J26" s="31" t="str">
        <x:v>50,90</x:v>
      </x:c>
      <x:c r="K26" s="31" t="str">
        <x:v>Deg0</x:v>
      </x:c>
      <x:c r="L26" s="31" t="str">
        <x:v>年轮蛋糕</x:v>
      </x:c>
    </x:row>
    <x:row r="27">
      <x:c r="A27" s="31"/>
      <x:c r="B27" s="1" t="str">
        <x:f t="shared" si="0"/>
        <x:v>nougat</x:v>
      </x:c>
      <x:c r="C27" s="1" t="str">
        <x:v>nougat</x:v>
      </x:c>
      <x:c r="D27" s="32" t="str">
        <x:v>t_sweet|t_sour|t_salty|t_bitter|t_numb|t_rust</x:v>
      </x:c>
      <x:c r="E27" s="1" t="n">
        <x:v>1200</x:v>
      </x:c>
      <x:c r="F27" s="1" t="n">
        <x:v>45</x:v>
      </x:c>
      <x:c r="G27" s="30" t="str">
        <x:v>20,60</x:v>
      </x:c>
      <x:c r="H27" s="1" t="n">
        <x:v>100</x:v>
      </x:c>
      <x:c r="I27" s="31" t="n">
        <x:v>90</x:v>
      </x:c>
      <x:c r="J27" s="31" t="str">
        <x:v>50,90</x:v>
      </x:c>
      <x:c r="K27" s="31" t="str">
        <x:v>Deg0</x:v>
      </x:c>
      <x:c r="L27" s="31" t="str">
        <x:v>牛轧糖</x:v>
      </x:c>
    </x:row>
    <x:row r="28">
      <x:c r="A28" s="31"/>
      <x:c r="B28" s="1" t="str">
        <x:f t="shared" si="0"/>
        <x:v>hawthorn_cake</x:v>
      </x:c>
      <x:c r="C28" s="8" t="str">
        <x:v>hawthorn_cake</x:v>
      </x:c>
      <x:c r="D28" s="1" t="str">
        <x:v>t_sweet|t_sour|t_salty|t_bitter|t_numb|t_rust</x:v>
      </x:c>
      <x:c r="E28" s="1" t="n">
        <x:v>1200</x:v>
      </x:c>
      <x:c r="F28" s="1" t="n">
        <x:v>45</x:v>
      </x:c>
      <x:c r="G28" s="30" t="str">
        <x:v>20,60</x:v>
      </x:c>
      <x:c r="H28" s="1" t="n">
        <x:v>100</x:v>
      </x:c>
      <x:c r="I28" s="31" t="n">
        <x:v>90</x:v>
      </x:c>
      <x:c r="J28" s="31" t="str">
        <x:v>50,90</x:v>
      </x:c>
      <x:c r="K28" s="31" t="str">
        <x:v>Deg0</x:v>
      </x:c>
      <x:c r="L28" s="31" t="str">
        <x:v>山楂糕</x:v>
      </x:c>
    </x:row>
    <x:row r="29">
      <x:c r="A29" s="31"/>
      <x:c r="B29" s="1" t="str">
        <x:f t="shared" si="0"/>
        <x:v>souffle</x:v>
      </x:c>
      <x:c r="C29" s="8" t="str">
        <x:v>souffle</x:v>
      </x:c>
      <x:c r="D29" s="31" t="str">
        <x:v>t_sweet|t_sour|t_salty|t_bitter|t_numb|t_rust</x:v>
      </x:c>
      <x:c r="E29" s="1" t="n">
        <x:v>1200</x:v>
      </x:c>
      <x:c r="F29" s="1" t="n">
        <x:v>45</x:v>
      </x:c>
      <x:c r="G29" s="30" t="str">
        <x:v>20,60</x:v>
      </x:c>
      <x:c r="H29" s="1" t="n">
        <x:v>100</x:v>
      </x:c>
      <x:c r="I29" s="31" t="n">
        <x:v>90</x:v>
      </x:c>
      <x:c r="J29" s="31" t="str">
        <x:v>50,90</x:v>
      </x:c>
      <x:c r="K29" s="31" t="str">
        <x:v>Deg0</x:v>
      </x:c>
      <x:c r="L29" s="31" t="str">
        <x:v>舒芙蕾</x:v>
      </x:c>
    </x:row>
    <x:row r="30">
      <x:c r="A30" s="31"/>
      <x:c r="B30" s="1" t="str">
        <x:f t="shared" si="0"/>
        <x:v>fruit_tart</x:v>
      </x:c>
      <x:c r="C30" s="8" t="str">
        <x:v>fruit_tart</x:v>
      </x:c>
      <x:c r="D30" s="1" t="str">
        <x:v>t_sweet|t_sour|t_salty|t_bitter|t_numb|t_rust</x:v>
      </x:c>
      <x:c r="E30" s="1" t="n">
        <x:v>1200</x:v>
      </x:c>
      <x:c r="F30" s="1" t="n">
        <x:v>45</x:v>
      </x:c>
      <x:c r="G30" s="30" t="str">
        <x:v>20,60</x:v>
      </x:c>
      <x:c r="H30" s="1" t="n">
        <x:v>100</x:v>
      </x:c>
      <x:c r="I30" s="31" t="n">
        <x:v>90</x:v>
      </x:c>
      <x:c r="J30" s="31" t="str">
        <x:v>50,90</x:v>
      </x:c>
      <x:c r="K30" s="31" t="str">
        <x:v>Deg0</x:v>
      </x:c>
      <x:c r="L30" s="31" t="str">
        <x:v>水果挞</x:v>
      </x:c>
    </x:row>
    <x:row r="31">
      <x:c r="A31" s="31"/>
      <x:c r="B31" s="1" t="str">
        <x:f t="shared" si="0"/>
        <x:v>strawberry_sundae</x:v>
      </x:c>
      <x:c r="C31" s="8" t="str">
        <x:v>strawberry_sundae</x:v>
      </x:c>
      <x:c r="D31" s="1" t="str">
        <x:v>t_sweet|t_sour|t_salty|t_bitter|t_numb|t_rust</x:v>
      </x:c>
      <x:c r="E31" s="1" t="n">
        <x:v>1200</x:v>
      </x:c>
      <x:c r="F31" s="1" t="n">
        <x:v>45</x:v>
      </x:c>
      <x:c r="G31" s="30" t="str">
        <x:v>20,60</x:v>
      </x:c>
      <x:c r="H31" s="1" t="n">
        <x:v>100</x:v>
      </x:c>
      <x:c r="I31" s="31" t="n">
        <x:v>90</x:v>
      </x:c>
      <x:c r="J31" s="31" t="str">
        <x:v>50,90</x:v>
      </x:c>
      <x:c r="K31" s="31" t="str">
        <x:v>Deg0</x:v>
      </x:c>
      <x:c r="L31" s="31" t="str">
        <x:v>草莓圣代</x:v>
      </x:c>
    </x:row>
    <x:row r="32">
      <x:c r="A32" s="31"/>
      <x:c r="B32" s="1" t="str">
        <x:f t="shared" si="0"/>
        <x:v>rock_sugar_pear</x:v>
      </x:c>
      <x:c r="C32" s="8" t="str">
        <x:v>rock_sugar_pear</x:v>
      </x:c>
      <x:c r="D32" s="1" t="str">
        <x:v>t_sweet|t_sour|t_salty|t_bitter|t_numb|t_rust</x:v>
      </x:c>
      <x:c r="E32" s="1" t="n">
        <x:v>1200</x:v>
      </x:c>
      <x:c r="F32" s="1" t="n">
        <x:v>45</x:v>
      </x:c>
      <x:c r="G32" s="30" t="str">
        <x:v>20,60</x:v>
      </x:c>
      <x:c r="H32" s="1" t="n">
        <x:v>100</x:v>
      </x:c>
      <x:c r="I32" s="31" t="n">
        <x:v>90</x:v>
      </x:c>
      <x:c r="J32" s="31" t="str">
        <x:v>50,90</x:v>
      </x:c>
      <x:c r="K32" s="31" t="str">
        <x:v>Deg0</x:v>
      </x:c>
      <x:c r="L32" s="31" t="str">
        <x:v>冰糖雪梨</x:v>
      </x:c>
    </x:row>
    <x:row r="33">
      <x:c r="A33" s="31"/>
      <x:c r="B33" s="1" t="str">
        <x:f t="shared" si="0"/>
        <x:v>popping_candy</x:v>
      </x:c>
      <x:c r="C33" s="8" t="str">
        <x:v>popping_candy</x:v>
      </x:c>
      <x:c r="D33" s="1" t="str">
        <x:v>t_sweet|t_sour|t_salty|t_bitter|t_numb|t_rust</x:v>
      </x:c>
      <x:c r="E33" s="1" t="n">
        <x:v>1200</x:v>
      </x:c>
      <x:c r="F33" s="1" t="n">
        <x:v>45</x:v>
      </x:c>
      <x:c r="G33" s="30" t="str">
        <x:v>20,60</x:v>
      </x:c>
      <x:c r="H33" s="1" t="n">
        <x:v>100</x:v>
      </x:c>
      <x:c r="I33" s="31" t="n">
        <x:v>90</x:v>
      </x:c>
      <x:c r="J33" s="31" t="str">
        <x:v>50,90</x:v>
      </x:c>
      <x:c r="K33" s="31" t="str">
        <x:v>Deg0</x:v>
      </x:c>
      <x:c r="L33" s="31" t="str">
        <x:v>跳跳糖</x:v>
      </x:c>
    </x:row>
    <x:row r="34">
      <x:c r="A34" s="31"/>
      <x:c r="B34" s="1" t="str">
        <x:f t="shared" si="0"/>
        <x:v>mille_crepe_cake</x:v>
      </x:c>
      <x:c r="C34" s="8" t="str">
        <x:v>mille_crepe_cake</x:v>
      </x:c>
      <x:c r="D34" s="1" t="str">
        <x:v>t_sweet|t_sour|t_salty|t_bitter|t_numb|t_rust</x:v>
      </x:c>
      <x:c r="E34" s="1" t="n">
        <x:v>1200</x:v>
      </x:c>
      <x:c r="F34" s="1" t="n">
        <x:v>45</x:v>
      </x:c>
      <x:c r="G34" s="30" t="str">
        <x:v>20,60</x:v>
      </x:c>
      <x:c r="H34" s="1" t="n">
        <x:v>100</x:v>
      </x:c>
      <x:c r="I34" s="31" t="n">
        <x:v>90</x:v>
      </x:c>
      <x:c r="J34" s="31" t="str">
        <x:v>50,90</x:v>
      </x:c>
      <x:c r="K34" s="31" t="str">
        <x:v>Deg0</x:v>
      </x:c>
      <x:c r="L34" s="31" t="str">
        <x:v>千层蛋糕</x:v>
      </x:c>
    </x:row>
    <x:row r="35">
      <x:c r="A35" s="31"/>
      <x:c r="B35" s="1" t="str">
        <x:f t="shared" si="0"/>
        <x:v>soybean_glutinous_roll</x:v>
      </x:c>
      <x:c r="C35" s="8" t="str">
        <x:v>soybean_glutinous_roll</x:v>
      </x:c>
      <x:c r="D35" s="1" t="str">
        <x:v>t_sweet|t_sour|t_salty|t_bitter|t_numb|t_rust</x:v>
      </x:c>
      <x:c r="E35" s="1" t="n">
        <x:v>1200</x:v>
      </x:c>
      <x:c r="F35" s="1" t="n">
        <x:v>45</x:v>
      </x:c>
      <x:c r="G35" s="30" t="str">
        <x:v>20,60</x:v>
      </x:c>
      <x:c r="H35" s="1" t="n">
        <x:v>100</x:v>
      </x:c>
      <x:c r="I35" s="31" t="n">
        <x:v>90</x:v>
      </x:c>
      <x:c r="J35" s="31" t="str">
        <x:v>50,90</x:v>
      </x:c>
      <x:c r="K35" s="31" t="str">
        <x:v>Deg0</x:v>
      </x:c>
      <x:c r="L35" s="31" t="str">
        <x:v>驴打滚</x:v>
      </x:c>
    </x:row>
    <x:row r="36">
      <x:c r="A36" s="31"/>
      <x:c r="B36" s="1" t="str">
        <x:f t="shared" si="0"/>
        <x:v>sachima</x:v>
      </x:c>
      <x:c r="C36" s="8" t="str">
        <x:v>sachima</x:v>
      </x:c>
      <x:c r="D36" s="31" t="str">
        <x:v>t_sweet|t_sour|t_salty|t_bitter|t_numb|t_rust</x:v>
      </x:c>
      <x:c r="E36" s="1" t="n">
        <x:v>1200</x:v>
      </x:c>
      <x:c r="F36" s="1" t="n">
        <x:v>45</x:v>
      </x:c>
      <x:c r="G36" s="30" t="str">
        <x:v>20,60</x:v>
      </x:c>
      <x:c r="H36" s="1" t="n">
        <x:v>100</x:v>
      </x:c>
      <x:c r="I36" s="31" t="n">
        <x:v>90</x:v>
      </x:c>
      <x:c r="J36" s="31" t="str">
        <x:v>50,90</x:v>
      </x:c>
      <x:c r="K36" s="31" t="str">
        <x:v>Deg0</x:v>
      </x:c>
      <x:c r="L36" s="31" t="str">
        <x:v>沙琪玛</x:v>
      </x:c>
    </x:row>
    <x:row r="37">
      <x:c r="A37" s="31"/>
      <x:c r="B37" s="1" t="str">
        <x:f t="shared" si="0"/>
        <x:v>gummy</x:v>
      </x:c>
      <x:c r="C37" s="8" t="str">
        <x:v>gummy</x:v>
      </x:c>
      <x:c r="D37" s="1" t="str">
        <x:v>t_sweet|t_sour|t_salty|t_bitter|t_numb|t_rust</x:v>
      </x:c>
      <x:c r="E37" s="1" t="n">
        <x:v>1200</x:v>
      </x:c>
      <x:c r="F37" s="1" t="n">
        <x:v>45</x:v>
      </x:c>
      <x:c r="G37" s="30" t="str">
        <x:v>20,60</x:v>
      </x:c>
      <x:c r="H37" s="1" t="n">
        <x:v>100</x:v>
      </x:c>
      <x:c r="I37" s="31" t="n">
        <x:v>90</x:v>
      </x:c>
      <x:c r="J37" s="31" t="str">
        <x:v>50,90</x:v>
      </x:c>
      <x:c r="K37" s="31" t="str">
        <x:v>Deg0</x:v>
      </x:c>
      <x:c r="L37" s="31" t="str">
        <x:v>软糖</x:v>
      </x:c>
    </x:row>
    <x:row r="38">
      <x:c r="A38" s="31"/>
      <x:c r="B38" s="1" t="str">
        <x:f t="shared" si="0"/>
        <x:v>chocolate_wafer</x:v>
      </x:c>
      <x:c r="C38" s="8" t="str">
        <x:v>chocolate_wafer</x:v>
      </x:c>
      <x:c r="D38" s="1" t="str">
        <x:v>t_sweet|t_sour|t_salty|t_bitter|t_numb|t_rust</x:v>
      </x:c>
      <x:c r="E38" s="1" t="n">
        <x:v>1200</x:v>
      </x:c>
      <x:c r="F38" s="1" t="n">
        <x:v>45</x:v>
      </x:c>
      <x:c r="G38" s="30" t="str">
        <x:v>20,60</x:v>
      </x:c>
      <x:c r="H38" s="1" t="n">
        <x:v>100</x:v>
      </x:c>
      <x:c r="I38" s="31" t="n">
        <x:v>90</x:v>
      </x:c>
      <x:c r="J38" s="31" t="str">
        <x:v>50,90</x:v>
      </x:c>
      <x:c r="K38" s="31" t="str">
        <x:v>Deg0</x:v>
      </x:c>
      <x:c r="L38" s="31" t="str">
        <x:v>巧克力威化</x:v>
      </x:c>
    </x:row>
    <x:row r="39">
      <x:c r="A39" s="31"/>
      <x:c r="B39" s="1" t="str">
        <x:f t="shared" si="0"/>
        <x:v>cake_roll</x:v>
      </x:c>
      <x:c r="C39" s="8" t="str">
        <x:v>cake_roll</x:v>
      </x:c>
      <x:c r="D39" s="1" t="str">
        <x:v>t_sweet|t_sour|t_salty|t_bitter|t_numb|t_rust</x:v>
      </x:c>
      <x:c r="E39" s="1" t="n">
        <x:v>1200</x:v>
      </x:c>
      <x:c r="F39" s="1" t="n">
        <x:v>45</x:v>
      </x:c>
      <x:c r="G39" s="30" t="str">
        <x:v>20,60</x:v>
      </x:c>
      <x:c r="H39" s="1" t="n">
        <x:v>100</x:v>
      </x:c>
      <x:c r="I39" s="31" t="n">
        <x:v>90</x:v>
      </x:c>
      <x:c r="J39" s="31" t="str">
        <x:v>50,90</x:v>
      </x:c>
      <x:c r="K39" s="31" t="str">
        <x:v>Deg0</x:v>
      </x:c>
      <x:c r="L39" s="31" t="str">
        <x:v>蛋糕卷</x:v>
      </x:c>
    </x:row>
    <x:row r="40">
      <x:c r="A40" s="31"/>
      <x:c r="B40" s="1" t="str">
        <x:f t="shared" si="0"/>
        <x:v>fondant_cake</x:v>
      </x:c>
      <x:c r="C40" s="8" t="str">
        <x:v>fondant_cake</x:v>
      </x:c>
      <x:c r="D40" s="1" t="str">
        <x:v>t_sweet|t_sour|t_salty|t_bitter|t_numb|t_rust</x:v>
      </x:c>
      <x:c r="E40" s="1" t="n">
        <x:v>1200</x:v>
      </x:c>
      <x:c r="F40" s="1" t="n">
        <x:v>45</x:v>
      </x:c>
      <x:c r="G40" s="30" t="str">
        <x:v>20,60</x:v>
      </x:c>
      <x:c r="H40" s="1" t="n">
        <x:v>100</x:v>
      </x:c>
      <x:c r="I40" s="31" t="n">
        <x:v>90</x:v>
      </x:c>
      <x:c r="J40" s="31" t="str">
        <x:v>50,90</x:v>
      </x:c>
      <x:c r="K40" s="31" t="str">
        <x:v>Deg0</x:v>
      </x:c>
      <x:c r="L40" s="31" t="str">
        <x:v>翻糖蛋糕</x:v>
      </x:c>
    </x:row>
    <x:row r="41">
      <x:c r="A41" s="31"/>
      <x:c r="B41" s="1" t="str">
        <x:f t="shared" si="0"/>
        <x:v>matcha_cake</x:v>
      </x:c>
      <x:c r="C41" s="8" t="str">
        <x:v>matcha_cake</x:v>
      </x:c>
      <x:c r="D41" s="1" t="str">
        <x:v>t_sweet|t_sour|t_salty|t_bitter|t_numb|t_rust</x:v>
      </x:c>
      <x:c r="E41" s="1" t="n">
        <x:v>1200</x:v>
      </x:c>
      <x:c r="F41" s="1" t="n">
        <x:v>45</x:v>
      </x:c>
      <x:c r="G41" s="30" t="str">
        <x:v>20,60</x:v>
      </x:c>
      <x:c r="H41" s="1" t="n">
        <x:v>100</x:v>
      </x:c>
      <x:c r="I41" s="31" t="n">
        <x:v>90</x:v>
      </x:c>
      <x:c r="J41" s="31" t="str">
        <x:v>50,90</x:v>
      </x:c>
      <x:c r="K41" s="31" t="str">
        <x:v>Deg0</x:v>
      </x:c>
      <x:c r="L41" s="31" t="str">
        <x:v>抹茶蛋糕</x:v>
      </x:c>
    </x:row>
    <x:row r="42">
      <x:c r="A42" s="31"/>
      <x:c r="B42" s="1" t="str">
        <x:f t="shared" si="0"/>
        <x:v>mung_bean_cake</x:v>
      </x:c>
      <x:c r="C42" s="8" t="str">
        <x:v>mung_bean_cake</x:v>
      </x:c>
      <x:c r="D42" s="1" t="str">
        <x:v>t_sweet|t_sour|t_salty|t_bitter|t_numb|t_rust</x:v>
      </x:c>
      <x:c r="E42" s="1" t="n">
        <x:v>1200</x:v>
      </x:c>
      <x:c r="F42" s="1" t="n">
        <x:v>45</x:v>
      </x:c>
      <x:c r="G42" s="30" t="str">
        <x:v>20,60</x:v>
      </x:c>
      <x:c r="H42" s="1" t="n">
        <x:v>100</x:v>
      </x:c>
      <x:c r="I42" s="31" t="n">
        <x:v>90</x:v>
      </x:c>
      <x:c r="J42" s="31" t="str">
        <x:v>50,90</x:v>
      </x:c>
      <x:c r="K42" s="31" t="str">
        <x:v>Deg0</x:v>
      </x:c>
      <x:c r="L42" s="31" t="str">
        <x:v>绿豆糕</x:v>
      </x:c>
    </x:row>
    <x:row r="43">
      <x:c r="A43" s="31"/>
      <x:c r="B43" s="1" t="str">
        <x:f t="shared" si="0"/>
        <x:v>egg_yolk_pastry</x:v>
      </x:c>
      <x:c r="C43" s="8" t="str">
        <x:v>egg_yolk_pastry</x:v>
      </x:c>
      <x:c r="D43" s="31" t="str">
        <x:v>t_sweet|t_sour|t_salty|t_bitter|t_numb|t_rust</x:v>
      </x:c>
      <x:c r="E43" s="1" t="n">
        <x:v>1200</x:v>
      </x:c>
      <x:c r="F43" s="1" t="n">
        <x:v>45</x:v>
      </x:c>
      <x:c r="G43" s="30" t="str">
        <x:v>20,60</x:v>
      </x:c>
      <x:c r="H43" s="1" t="n">
        <x:v>100</x:v>
      </x:c>
      <x:c r="I43" s="31" t="n">
        <x:v>90</x:v>
      </x:c>
      <x:c r="J43" s="31" t="str">
        <x:v>50,90</x:v>
      </x:c>
      <x:c r="K43" s="31" t="str">
        <x:v>Deg0</x:v>
      </x:c>
      <x:c r="L43" s="31" t="str">
        <x:v>蛋黄酥</x:v>
      </x:c>
    </x:row>
    <x:row r="44">
      <x:c r="A44" s="31"/>
      <x:c r="B44" s="31" t="str">
        <x:v>chocolate_truffle</x:v>
      </x:c>
      <x:c r="C44" s="8" t="str">
        <x:v>chocolate_truffle</x:v>
      </x:c>
      <x:c r="D44" s="31" t="str">
        <x:v>t_sweet|t_sour|t_salty|t_bitter|t_numb|t_rust</x:v>
      </x:c>
      <x:c r="E44" s="31" t="n">
        <x:v>1200</x:v>
      </x:c>
      <x:c r="F44" s="31" t="n">
        <x:v>45</x:v>
      </x:c>
      <x:c r="G44" s="31" t="str">
        <x:v>20,60</x:v>
      </x:c>
      <x:c r="H44" s="31" t="n">
        <x:v>100</x:v>
      </x:c>
      <x:c r="I44" s="31" t="n">
        <x:v>90</x:v>
      </x:c>
      <x:c r="J44" s="31" t="str">
        <x:v>50,90</x:v>
      </x:c>
      <x:c r="K44" s="31" t="str">
        <x:v>Deg0</x:v>
      </x:c>
      <x:c r="L44" t="str">
        <x:v>松露巧克力</x:v>
      </x:c>
    </x:row>
    <x:row r="45">
      <x:c r="A45" s="31"/>
      <x:c r="B45" s="31" t="str">
        <x:v>liquor_chocolate</x:v>
      </x:c>
      <x:c r="C45" s="8" t="str">
        <x:v>liquor_chocolate</x:v>
      </x:c>
      <x:c r="D45" s="31" t="str">
        <x:v>t_sweet|t_sour|t_salty|t_bitter|t_numb|t_rust</x:v>
      </x:c>
      <x:c r="E45" s="31" t="n">
        <x:v>1200</x:v>
      </x:c>
      <x:c r="F45" s="31" t="n">
        <x:v>45</x:v>
      </x:c>
      <x:c r="G45" s="31" t="str">
        <x:v>20,60</x:v>
      </x:c>
      <x:c r="H45" s="31" t="n">
        <x:v>100</x:v>
      </x:c>
      <x:c r="I45" s="31" t="n">
        <x:v>90</x:v>
      </x:c>
      <x:c r="J45" s="31" t="str">
        <x:v>50,90</x:v>
      </x:c>
      <x:c r="K45" s="31" t="str">
        <x:v>Deg0</x:v>
      </x:c>
      <x:c r="L45" t="str">
        <x:v>酒心巧克力</x:v>
      </x:c>
    </x:row>
    <x:row r="46">
      <x:c r="A46" s="31"/>
      <x:c r="B46" s="31" t="str">
        <x:v>palmier</x:v>
      </x:c>
      <x:c r="C46" s="8" t="str">
        <x:v>palmier</x:v>
      </x:c>
      <x:c r="D46" s="31" t="str">
        <x:v>t_sweet|t_sour|t_salty|t_bitter|t_numb|t_rust</x:v>
      </x:c>
      <x:c r="E46" s="31" t="n">
        <x:v>1200</x:v>
      </x:c>
      <x:c r="F46" s="31" t="n">
        <x:v>45</x:v>
      </x:c>
      <x:c r="G46" s="31" t="str">
        <x:v>20,60</x:v>
      </x:c>
      <x:c r="H46" s="31" t="n">
        <x:v>100</x:v>
      </x:c>
      <x:c r="I46" s="31" t="n">
        <x:v>90</x:v>
      </x:c>
      <x:c r="J46" s="31" t="str">
        <x:v>50,90</x:v>
      </x:c>
      <x:c r="K46" s="31" t="str">
        <x:v>Deg0</x:v>
      </x:c>
      <x:c r="L46" t="str">
        <x:v>蝴蝶酥</x:v>
      </x:c>
    </x:row>
    <x:row r="47">
      <x:c r="A47" s="31"/>
      <x:c r="B47" s="31" t="str">
        <x:v>chiffion</x:v>
      </x:c>
      <x:c r="C47" s="8" t="str">
        <x:v>chiffion</x:v>
      </x:c>
      <x:c r="D47" s="31" t="str">
        <x:v>t_sweet|t_sour|t_salty|t_bitter|t_numb|t_rust</x:v>
      </x:c>
      <x:c r="E47" s="31" t="n">
        <x:v>1200</x:v>
      </x:c>
      <x:c r="F47" s="31" t="n">
        <x:v>60</x:v>
      </x:c>
      <x:c r="G47" s="31" t="str">
        <x:v>30,75</x:v>
      </x:c>
      <x:c r="H47" s="31" t="n">
        <x:v>100</x:v>
      </x:c>
      <x:c r="I47" s="31" t="n">
        <x:v>110</x:v>
      </x:c>
      <x:c r="J47" s="31" t="str">
        <x:v>55,100</x:v>
      </x:c>
      <x:c r="K47" s="31" t="str">
        <x:v>Deg0</x:v>
      </x:c>
      <x:c r="L47" t="str">
        <x:v>戚风蛋糕</x:v>
      </x:c>
    </x:row>
    <x:row r="48">
      <x:c r="A48" s="31"/>
      <x:c r="B48" s="31" t="str">
        <x:v>toffee_candy</x:v>
      </x:c>
      <x:c r="C48" s="8" t="str">
        <x:v>toffee_candy</x:v>
      </x:c>
      <x:c r="D48" s="31" t="str">
        <x:v>t_sweet|t_sour|t_salty|t_bitter|t_numb|t_rust</x:v>
      </x:c>
      <x:c r="E48" s="31" t="n">
        <x:v>1200</x:v>
      </x:c>
      <x:c r="F48" s="31" t="n">
        <x:v>60</x:v>
      </x:c>
      <x:c r="G48" s="31" t="str">
        <x:v>30,75</x:v>
      </x:c>
      <x:c r="H48" s="31" t="n">
        <x:v>100</x:v>
      </x:c>
      <x:c r="I48" s="31" t="n">
        <x:v>110</x:v>
      </x:c>
      <x:c r="J48" s="31" t="str">
        <x:v>55,100</x:v>
      </x:c>
      <x:c r="K48" s="31" t="str">
        <x:v>Deg0</x:v>
      </x:c>
      <x:c r="L48" t="str">
        <x:v>太妃糖</x:v>
      </x:c>
    </x:row>
    <x:row r="49">
      <x:c r="A49" s="31"/>
      <x:c r="B49" s="31" t="str">
        <x:v>taosu</x:v>
      </x:c>
      <x:c r="C49" s="8" t="str">
        <x:v>taosu</x:v>
      </x:c>
      <x:c r="D49" s="31" t="str">
        <x:v>t_sweet|t_sour|t_salty|t_bitter|t_numb|t_rust</x:v>
      </x:c>
      <x:c r="E49" s="31" t="n">
        <x:v>1200</x:v>
      </x:c>
      <x:c r="F49" s="31" t="n">
        <x:v>60</x:v>
      </x:c>
      <x:c r="G49" s="31" t="str">
        <x:v>30,75</x:v>
      </x:c>
      <x:c r="H49" s="31" t="n">
        <x:v>100</x:v>
      </x:c>
      <x:c r="I49" s="31" t="n">
        <x:v>110</x:v>
      </x:c>
      <x:c r="J49" s="31" t="str">
        <x:v>55,100</x:v>
      </x:c>
      <x:c r="K49" s="31" t="str">
        <x:v>Deg0</x:v>
      </x:c>
      <x:c r="L49" t="str">
        <x:v>桃酥</x:v>
      </x:c>
    </x:row>
    <x:row r="50">
      <x:c r="A50" s="31"/>
      <x:c r="B50" s="31" t="str">
        <x:v>brown_sugar_steamed_cake</x:v>
      </x:c>
      <x:c r="C50" s="8" t="str">
        <x:v>brown_sugar_steamed_cake</x:v>
      </x:c>
      <x:c r="D50" s="31" t="str">
        <x:v>t_sweet|t_sour|t_salty|t_bitter|t_numb|t_rust</x:v>
      </x:c>
      <x:c r="E50" s="31" t="n">
        <x:v>1200</x:v>
      </x:c>
      <x:c r="F50" s="31" t="n">
        <x:v>60</x:v>
      </x:c>
      <x:c r="G50" s="31" t="str">
        <x:v>30,75</x:v>
      </x:c>
      <x:c r="H50" s="31" t="n">
        <x:v>100</x:v>
      </x:c>
      <x:c r="I50" s="31" t="n">
        <x:v>110</x:v>
      </x:c>
      <x:c r="J50" s="31" t="str">
        <x:v>55,100</x:v>
      </x:c>
      <x:c r="K50" s="31" t="str">
        <x:v>Deg0</x:v>
      </x:c>
      <x:c r="L50" t="str">
        <x:v>红糖发糕</x:v>
      </x:c>
    </x:row>
    <x:row r="51">
      <x:c r="A51" s="31"/>
      <x:c r="B51" s="31" t="str">
        <x:v>cream_cake</x:v>
      </x:c>
      <x:c r="C51" s="8" t="str">
        <x:v>cream_cake</x:v>
      </x:c>
      <x:c r="D51" s="31" t="str">
        <x:v>t_sweet|t_sour|t_salty|t_bitter|t_numb|t_rust</x:v>
      </x:c>
      <x:c r="E51" s="31" t="n">
        <x:v>1200</x:v>
      </x:c>
      <x:c r="F51" s="31" t="n">
        <x:v>60</x:v>
      </x:c>
      <x:c r="G51" s="31" t="str">
        <x:v>30,75</x:v>
      </x:c>
      <x:c r="H51" s="31" t="n">
        <x:v>100</x:v>
      </x:c>
      <x:c r="I51" s="31" t="n">
        <x:v>110</x:v>
      </x:c>
      <x:c r="J51" s="31" t="str">
        <x:v>55,100</x:v>
      </x:c>
      <x:c r="K51" s="31" t="str">
        <x:v>Deg0</x:v>
      </x:c>
      <x:c r="L51" t="str">
        <x:v>奶油蛋糕</x:v>
      </x:c>
    </x:row>
    <x:row r="52">
      <x:c r="A52" s="31"/>
      <x:c r="B52" s="31" t="str">
        <x:v>candycane</x:v>
      </x:c>
      <x:c r="C52" s="8" t="str">
        <x:v>candycane</x:v>
      </x:c>
      <x:c r="D52" s="31" t="str">
        <x:v>t_sweet|t_sour|t_salty|t_bitter|t_numb|t_rust</x:v>
      </x:c>
      <x:c r="E52" s="31" t="n">
        <x:v>1200</x:v>
      </x:c>
      <x:c r="F52" s="31" t="n">
        <x:v>60</x:v>
      </x:c>
      <x:c r="G52" s="31" t="str">
        <x:v>30,75</x:v>
      </x:c>
      <x:c r="H52" s="31" t="n">
        <x:v>100</x:v>
      </x:c>
      <x:c r="I52" s="31" t="n">
        <x:v>110</x:v>
      </x:c>
      <x:c r="J52" s="31" t="str">
        <x:v>55,100</x:v>
      </x:c>
      <x:c r="K52" s="31" t="str">
        <x:v>Deg0</x:v>
      </x:c>
      <x:c r="L52" t="str">
        <x:v>拐杖糖</x:v>
      </x:c>
    </x:row>
    <x:row r="53">
      <x:c r="A53" s="31"/>
      <x:c r="B53" s="31" t="str">
        <x:v>fruit_shaved_ice</x:v>
      </x:c>
      <x:c r="C53" s="31" t="str">
        <x:v>fruit_shaved_ice</x:v>
      </x:c>
      <x:c r="D53" s="31" t="str">
        <x:v>t_sweet|t_sour|t_salty|t_bitter|t_numb|t_rust</x:v>
      </x:c>
      <x:c r="E53" s="31" t="n">
        <x:v>1200</x:v>
      </x:c>
      <x:c r="F53" s="31" t="n">
        <x:v>60</x:v>
      </x:c>
      <x:c r="G53" s="31" t="str">
        <x:v>30,75</x:v>
      </x:c>
      <x:c r="H53" s="31" t="n">
        <x:v>100</x:v>
      </x:c>
      <x:c r="I53" s="31" t="n">
        <x:v>110</x:v>
      </x:c>
      <x:c r="J53" s="31" t="str">
        <x:v>55,100</x:v>
      </x:c>
      <x:c r="K53" s="31" t="str">
        <x:v>Deg0</x:v>
      </x:c>
      <x:c r="L53" t="str">
        <x:v>水果刨冰</x:v>
      </x:c>
    </x:row>
    <x:row r="54">
      <x:c r="A54" s="31"/>
      <x:c r="B54" s="31" t="str">
        <x:v>coconut_milk_jelly</x:v>
      </x:c>
      <x:c r="C54" s="31" t="str">
        <x:v>coconut_milk_jelly</x:v>
      </x:c>
      <x:c r="D54" s="31" t="str">
        <x:v>t_sweet|t_sour|t_salty|t_bitter|t_numb|t_rust</x:v>
      </x:c>
      <x:c r="E54" s="31" t="n">
        <x:v>1200</x:v>
      </x:c>
      <x:c r="F54" s="31" t="n">
        <x:v>60</x:v>
      </x:c>
      <x:c r="G54" s="31" t="str">
        <x:v>30,75</x:v>
      </x:c>
      <x:c r="H54" s="31" t="n">
        <x:v>100</x:v>
      </x:c>
      <x:c r="I54" s="31" t="n">
        <x:v>110</x:v>
      </x:c>
      <x:c r="J54" s="31" t="str">
        <x:v>55,100</x:v>
      </x:c>
      <x:c r="K54" s="31" t="str">
        <x:v>Deg0</x:v>
      </x:c>
      <x:c r="L54" t="str">
        <x:v>椰奶冻</x:v>
      </x:c>
    </x:row>
    <x:row r="55">
      <x:c r="A55" s="31"/>
      <x:c r="B55" s="31" t="str">
        <x:v>black_forest_cake</x:v>
      </x:c>
      <x:c r="C55" s="31" t="str">
        <x:v>black_forest_cake</x:v>
      </x:c>
      <x:c r="D55" s="31" t="str">
        <x:v>t_sweet|t_sour|t_salty|t_bitter|t_numb|t_rust</x:v>
      </x:c>
      <x:c r="E55" s="31" t="n">
        <x:v>1200</x:v>
      </x:c>
      <x:c r="F55" s="31" t="n">
        <x:v>90</x:v>
      </x:c>
      <x:c r="G55" s="31" t="str">
        <x:v>40,90</x:v>
      </x:c>
      <x:c r="H55" s="31" t="n">
        <x:v>100</x:v>
      </x:c>
      <x:c r="I55" s="31" t="n">
        <x:v>160</x:v>
      </x:c>
      <x:c r="J55" s="31" t="str">
        <x:v>70,120</x:v>
      </x:c>
      <x:c r="K55" s="31" t="str">
        <x:v>Deg0</x:v>
      </x:c>
      <x:c r="L55" t="str">
        <x:v>黑森林蛋糕</x:v>
      </x:c>
    </x:row>
    <x:row r="56">
      <x:c r="A56" s="31"/>
      <x:c r="B56" s="31" t="str">
        <x:v>nama_chocolate</x:v>
      </x:c>
      <x:c r="C56" s="31" t="str">
        <x:v>nama_chocolate</x:v>
      </x:c>
      <x:c r="D56" s="31" t="str">
        <x:v>t_sweet|t_sour|t_salty|t_bitter|t_numb|t_rust</x:v>
      </x:c>
      <x:c r="E56" s="31" t="n">
        <x:v>1200</x:v>
      </x:c>
      <x:c r="F56" s="31" t="n">
        <x:v>90</x:v>
      </x:c>
      <x:c r="G56" s="31" t="str">
        <x:v>40,90</x:v>
      </x:c>
      <x:c r="H56" s="31" t="n">
        <x:v>100</x:v>
      </x:c>
      <x:c r="I56" s="31" t="n">
        <x:v>160</x:v>
      </x:c>
      <x:c r="J56" s="31" t="str">
        <x:v>70,120</x:v>
      </x:c>
      <x:c r="K56" s="31" t="str">
        <x:v>Deg0</x:v>
      </x:c>
      <x:c r="L56" t="str">
        <x:v>生巧克力</x:v>
      </x:c>
    </x:row>
    <x:row r="57">
      <x:c r="A57" s="31"/>
      <x:c r="B57" s="31" t="str">
        <x:v>mango_sago</x:v>
      </x:c>
      <x:c r="C57" s="31" t="str">
        <x:v>mango_sago</x:v>
      </x:c>
      <x:c r="D57" s="31" t="str">
        <x:v>t_sweet|t_sour|t_salty|t_bitter|t_numb|t_rust</x:v>
      </x:c>
      <x:c r="E57" s="31" t="n">
        <x:v>1200</x:v>
      </x:c>
      <x:c r="F57" s="31" t="n">
        <x:v>90</x:v>
      </x:c>
      <x:c r="G57" s="31" t="str">
        <x:v>40,90</x:v>
      </x:c>
      <x:c r="H57" s="31" t="n">
        <x:v>100</x:v>
      </x:c>
      <x:c r="I57" s="31" t="n">
        <x:v>160</x:v>
      </x:c>
      <x:c r="J57" s="31" t="str">
        <x:v>70,120</x:v>
      </x:c>
      <x:c r="K57" s="31" t="str">
        <x:v>Deg0</x:v>
      </x:c>
      <x:c r="L57" t="str">
        <x:v>杨枝甘露</x:v>
      </x:c>
    </x:row>
    <x:row r="58">
      <x:c r="A58" s="31"/>
      <x:c r="B58" s="31" t="str">
        <x:v>fruit_cake</x:v>
      </x:c>
      <x:c r="C58" s="31" t="str">
        <x:v>fruit_cake</x:v>
      </x:c>
      <x:c r="D58" s="31" t="str">
        <x:v>t_sweet|t_sour|t_salty|t_bitter|t_numb|t_rust</x:v>
      </x:c>
      <x:c r="E58" s="31" t="n">
        <x:v>1200</x:v>
      </x:c>
      <x:c r="F58" s="31" t="n">
        <x:v>90</x:v>
      </x:c>
      <x:c r="G58" s="31" t="str">
        <x:v>40,90</x:v>
      </x:c>
      <x:c r="H58" s="31" t="n">
        <x:v>100</x:v>
      </x:c>
      <x:c r="I58" s="31" t="n">
        <x:v>160</x:v>
      </x:c>
      <x:c r="J58" s="31" t="str">
        <x:v>70,120</x:v>
      </x:c>
      <x:c r="K58" s="31" t="str">
        <x:v>Deg0</x:v>
      </x:c>
      <x:c r="L58" t="str">
        <x:v>水果蛋糕</x:v>
      </x:c>
    </x:row>
    <x:row r="59">
      <x:c r="A59" s="31"/>
      <x:c r="B59" s="31" t="str">
        <x:v>fermented_rice_balls</x:v>
      </x:c>
      <x:c r="C59" s="31" t="str">
        <x:v>fermented_rice_balls</x:v>
      </x:c>
      <x:c r="D59" s="31" t="str">
        <x:v>t_sweet|t_sour|t_salty|t_bitter|t_numb|t_rust</x:v>
      </x:c>
      <x:c r="E59" s="31" t="n">
        <x:v>1200</x:v>
      </x:c>
      <x:c r="F59" s="31" t="n">
        <x:v>90</x:v>
      </x:c>
      <x:c r="G59" s="31" t="str">
        <x:v>40,90</x:v>
      </x:c>
      <x:c r="H59" s="31" t="n">
        <x:v>100</x:v>
      </x:c>
      <x:c r="I59" s="31" t="n">
        <x:v>160</x:v>
      </x:c>
      <x:c r="J59" s="31" t="str">
        <x:v>70,120</x:v>
      </x:c>
      <x:c r="K59" s="31" t="str">
        <x:v>Deg0</x:v>
      </x:c>
      <x:c r="L59" t="str">
        <x:v>酒酿圆子</x:v>
      </x:c>
    </x:row>
    <x:row r="60">
      <x:c r="A60" s="31"/>
      <x:c r="B60" s="31" t="str">
        <x:v>marshmallow</x:v>
      </x:c>
      <x:c r="C60" s="31" t="str">
        <x:v>marshmallow</x:v>
      </x:c>
      <x:c r="D60" s="31" t="str">
        <x:v>t_sweet|t_sour|t_salty|t_bitter|t_numb|t_rust</x:v>
      </x:c>
      <x:c r="E60" s="31" t="n">
        <x:v>1200</x:v>
      </x:c>
      <x:c r="F60" s="31" t="n">
        <x:v>90</x:v>
      </x:c>
      <x:c r="G60" s="31" t="str">
        <x:v>40,90</x:v>
      </x:c>
      <x:c r="H60" s="31" t="n">
        <x:v>100</x:v>
      </x:c>
      <x:c r="I60" s="31" t="n">
        <x:v>160</x:v>
      </x:c>
      <x:c r="J60" s="31" t="str">
        <x:v>70,120</x:v>
      </x:c>
      <x:c r="K60" s="31" t="str">
        <x:v>Deg0</x:v>
      </x:c>
      <x:c r="L60" t="str">
        <x:v>棉花糖</x:v>
      </x:c>
    </x:row>
    <x:row r="61">
      <x:c r="A61" s="31"/>
      <x:c r="B61" s="31" t="str">
        <x:v>big_lollipop</x:v>
      </x:c>
      <x:c r="C61" s="31" t="str">
        <x:v>big_lollipop</x:v>
      </x:c>
      <x:c r="D61" s="31" t="str">
        <x:v>t_sweet|t_sour|t_salty|t_bitter|t_numb|t_rust</x:v>
      </x:c>
      <x:c r="E61" s="31" t="n">
        <x:v>1200</x:v>
      </x:c>
      <x:c r="F61" s="31" t="n">
        <x:v>135</x:v>
      </x:c>
      <x:c r="G61" s="31" t="str">
        <x:v>45,100</x:v>
      </x:c>
      <x:c r="H61" s="31" t="n">
        <x:v>100</x:v>
      </x:c>
      <x:c r="I61" s="31" t="n">
        <x:v>230</x:v>
      </x:c>
      <x:c r="J61" s="31" t="str">
        <x:v>80,130</x:v>
      </x:c>
      <x:c r="K61" s="31" t="str">
        <x:v>Deg0</x:v>
      </x:c>
      <x:c r="L61" t="str">
        <x:v>大棒棒糖</x:v>
      </x:c>
    </x:row>
    <x:row r="62">
      <x:c r="A62" s="31"/>
      <x:c r="B62" s="31" t="str">
        <x:v>double_skin_milk</x:v>
      </x:c>
      <x:c r="C62" s="31" t="str">
        <x:v>double_skin_milk</x:v>
      </x:c>
      <x:c r="D62" s="31" t="str">
        <x:v>t_sweet|t_sour|t_salty|t_bitter|t_numb|t_rust</x:v>
      </x:c>
      <x:c r="E62" s="31" t="n">
        <x:v>1200</x:v>
      </x:c>
      <x:c r="F62" s="31" t="n">
        <x:v>135</x:v>
      </x:c>
      <x:c r="G62" s="31" t="str">
        <x:v>45,100</x:v>
      </x:c>
      <x:c r="H62" s="31" t="n">
        <x:v>100</x:v>
      </x:c>
      <x:c r="I62" s="31" t="n">
        <x:v>230</x:v>
      </x:c>
      <x:c r="J62" s="31" t="str">
        <x:v>80,130</x:v>
      </x:c>
      <x:c r="K62" s="31" t="str">
        <x:v>Deg0</x:v>
      </x:c>
      <x:c r="L62" t="str">
        <x:v>双皮奶</x:v>
      </x:c>
    </x:row>
    <x:row r="63">
      <x:c r="A63" s="31"/>
      <x:c r="B63" s="31" t="str">
        <x:v>double_cake</x:v>
      </x:c>
      <x:c r="C63" s="31" t="str">
        <x:v>double_cake</x:v>
      </x:c>
      <x:c r="D63" s="31" t="str">
        <x:v>t_sweet|t_sour|t_salty|t_bitter|t_numb|t_rust</x:v>
      </x:c>
      <x:c r="E63" s="31" t="n">
        <x:v>1200</x:v>
      </x:c>
      <x:c r="F63" s="31" t="n">
        <x:v>180</x:v>
      </x:c>
      <x:c r="G63" s="31" t="str">
        <x:v>45,100</x:v>
      </x:c>
      <x:c r="H63" s="31" t="n">
        <x:v>100</x:v>
      </x:c>
      <x:c r="I63" s="31" t="n">
        <x:v>290</x:v>
      </x:c>
      <x:c r="J63" s="31" t="str">
        <x:v>80,130</x:v>
      </x:c>
      <x:c r="K63" s="31" t="str">
        <x:v>Deg0</x:v>
      </x:c>
      <x:c r="L63" t="str">
        <x:v>双层蛋糕</x:v>
      </x:c>
    </x:row>
    <x:row r="64">
      <x:c r="A64" s="31"/>
      <x:c r="I64" s="31"/>
      <x:c r="J64" s="31"/>
    </x:row>
    <x:row r="65">
      <x:c r="A65" s="31"/>
      <x:c r="I65" s="31"/>
      <x:c r="J65" s="31"/>
    </x:row>
    <x:row r="66">
      <x:c r="A66" s="31"/>
      <x:c r="I66" s="31"/>
      <x:c r="J66" s="31"/>
    </x:row>
    <x:row r="67">
      <x:c r="A67" s="31"/>
      <x:c r="I67" s="31"/>
      <x:c r="J67" s="31"/>
    </x:row>
    <x:row r="68">
      <x:c r="A68" s="31"/>
      <x:c r="I68" s="31"/>
      <x:c r="J68" s="31"/>
    </x:row>
    <x:row r="69">
      <x:c r="A69" s="31"/>
      <x:c r="I69" s="31"/>
      <x:c r="J69" s="31"/>
    </x:row>
    <x:row r="70">
      <x:c r="A70" s="31"/>
      <x:c r="I70" s="31"/>
      <x:c r="J70" s="31"/>
    </x:row>
    <x:row r="71">
      <x:c r="A71" s="31"/>
      <x:c r="I71" s="31"/>
      <x:c r="J71" s="31"/>
    </x:row>
    <x:row r="72">
      <x:c r="A72" s="31"/>
      <x:c r="I72" s="31"/>
      <x:c r="J72" s="31"/>
    </x:row>
    <x:row r="73">
      <x:c r="A73" s="31"/>
      <x:c r="I73" s="31"/>
      <x:c r="J73" s="31"/>
    </x:row>
    <x:row r="74">
      <x:c r="A74" s="31"/>
      <x:c r="I74" s="31"/>
      <x:c r="J74" s="31"/>
    </x:row>
    <x:row r="75">
      <x:c r="A75" s="31"/>
      <x:c r="I75" s="31"/>
      <x:c r="J75" s="31"/>
    </x:row>
    <x:row r="76">
      <x:c r="A76" s="31"/>
      <x:c r="C76" s="8"/>
      <x:c r="I76" s="31"/>
      <x:c r="J76" s="31"/>
    </x:row>
    <x:row r="77">
      <x:c r="A77" s="31"/>
      <x:c r="C77" s="8"/>
      <x:c r="I77" s="31"/>
      <x:c r="J77" s="31"/>
    </x:row>
    <x:row r="78">
      <x:c r="A78" s="31"/>
      <x:c r="C78" s="8"/>
      <x:c r="I78" s="31"/>
      <x:c r="J78" s="31"/>
    </x:row>
    <x:row r="79">
      <x:c r="A79" s="31"/>
      <x:c r="C79" s="8"/>
      <x:c r="I79" s="31"/>
      <x:c r="J79" s="31"/>
    </x:row>
    <x:row r="80">
      <x:c r="A80" s="31"/>
      <x:c r="C80" s="8"/>
      <x:c r="I80" s="31"/>
      <x:c r="J80" s="31"/>
    </x:row>
    <x:row r="81">
      <x:c r="A81" s="31"/>
      <x:c r="C81" s="8"/>
      <x:c r="I81" s="31"/>
      <x:c r="J81" s="31"/>
    </x:row>
    <x:row r="82">
      <x:c r="A82" s="31"/>
      <x:c r="C82" s="8"/>
      <x:c r="I82" s="31"/>
      <x:c r="J82" s="31"/>
    </x:row>
    <x:row r="83">
      <x:c r="A83" s="31"/>
      <x:c r="C83" s="8"/>
      <x:c r="I83" s="31"/>
      <x:c r="J83" s="31"/>
    </x:row>
    <x:row r="84">
      <x:c r="A84" s="31"/>
      <x:c r="C84" s="8"/>
      <x:c r="I84" s="31"/>
      <x:c r="J84" s="31"/>
    </x:row>
    <x:row r="85">
      <x:c r="A85" s="31"/>
      <x:c r="C85" s="8"/>
      <x:c r="I85" s="31"/>
      <x:c r="J85" s="31"/>
    </x:row>
    <x:row r="86">
      <x:c r="A86" s="31"/>
      <x:c r="C86" s="8"/>
      <x:c r="I86" s="31"/>
      <x:c r="J86" s="31"/>
    </x:row>
    <x:row r="87">
      <x:c r="A87" s="31"/>
      <x:c r="C87" s="8"/>
      <x:c r="I87" s="31"/>
      <x:c r="J87" s="31"/>
    </x:row>
    <x:row r="88">
      <x:c r="A88" s="31"/>
      <x:c r="C88" s="8"/>
      <x:c r="I88" s="31"/>
      <x:c r="J88" s="31"/>
    </x:row>
    <x:row r="89">
      <x:c r="A89" s="31"/>
      <x:c r="C89" s="8"/>
      <x:c r="I89" s="31"/>
      <x:c r="J89" s="31"/>
    </x:row>
    <x:row r="90">
      <x:c r="A90" s="31"/>
      <x:c r="C90" s="8"/>
      <x:c r="I90" s="31"/>
      <x:c r="J90" s="31"/>
    </x:row>
    <x:row r="91">
      <x:c r="A91" s="31"/>
      <x:c r="C91" s="8"/>
      <x:c r="I91" s="31"/>
      <x:c r="J91" s="31"/>
    </x:row>
    <x:row r="92">
      <x:c r="A92" s="31"/>
      <x:c r="C92" s="8"/>
      <x:c r="I92" s="31"/>
      <x:c r="J92" s="31"/>
    </x:row>
    <x:row r="93">
      <x:c r="A93" s="31"/>
      <x:c r="C93" s="8"/>
      <x:c r="I93" s="31"/>
      <x:c r="J93" s="31"/>
    </x:row>
    <x:row r="94">
      <x:c r="A94" s="31"/>
      <x:c r="C94" s="8"/>
      <x:c r="I94" s="31"/>
      <x:c r="J94" s="31"/>
    </x:row>
    <x:row r="95">
      <x:c r="A95" s="31"/>
      <x:c r="C95" s="8"/>
      <x:c r="I95" s="31"/>
      <x:c r="J95" s="31"/>
    </x:row>
    <x:row r="96">
      <x:c r="A96" s="31"/>
      <x:c r="C96" s="8"/>
      <x:c r="I96" s="31"/>
      <x:c r="J96" s="31"/>
    </x:row>
    <x:row r="97">
      <x:c r="A97" s="31"/>
      <x:c r="C97" s="8"/>
      <x:c r="I97" s="31"/>
      <x:c r="J97" s="31"/>
    </x:row>
    <x:row r="98">
      <x:c r="A98" s="31"/>
      <x:c r="C98" s="8"/>
      <x:c r="I98" s="31"/>
      <x:c r="J98" s="31"/>
    </x:row>
    <x:row r="99">
      <x:c r="A99" s="31"/>
      <x:c r="C99" s="8"/>
      <x:c r="I99" s="31"/>
      <x:c r="J99" s="31"/>
    </x:row>
    <x:row r="100">
      <x:c r="A100" s="31"/>
      <x:c r="C100" s="8"/>
      <x:c r="I100" s="31"/>
      <x:c r="J100" s="31"/>
    </x:row>
    <x:row r="101">
      <x:c r="A101" s="31"/>
      <x:c r="I101" s="31"/>
      <x:c r="J101" s="31"/>
    </x:row>
    <x:row r="102">
      <x:c r="A102" s="31"/>
      <x:c r="I102" s="31"/>
      <x:c r="J102" s="31"/>
    </x:row>
    <x:row r="103">
      <x:c r="A103" s="31"/>
      <x:c r="I103" s="31"/>
      <x:c r="J103" s="31"/>
    </x:row>
    <x:row r="104">
      <x:c r="A104" s="31"/>
      <x:c r="I104" s="31"/>
      <x:c r="J104" s="31"/>
    </x:row>
    <x:row r="105">
      <x:c r="A105" s="31"/>
      <x:c r="I105" s="31"/>
      <x:c r="J105" s="31"/>
    </x:row>
    <x:row r="106">
      <x:c r="A106" s="31"/>
      <x:c r="I106" s="31"/>
      <x:c r="J106" s="31"/>
    </x:row>
    <x:row r="107">
      <x:c r="A107" s="31"/>
      <x:c r="I107" s="31"/>
      <x:c r="J107" s="31"/>
    </x:row>
    <x:row r="108">
      <x:c r="A108" s="31"/>
      <x:c r="I108" s="31"/>
      <x:c r="J108" s="31"/>
    </x:row>
    <x:row r="109">
      <x:c r="A109" s="31"/>
      <x:c r="I109" s="31"/>
      <x:c r="J109" s="31"/>
    </x:row>
    <x:row r="110">
      <x:c r="A110" s="31"/>
      <x:c r="I110" s="31"/>
      <x:c r="J110" s="31"/>
    </x:row>
    <x:row r="111">
      <x:c r="A111" s="31"/>
      <x:c r="I111" s="31"/>
      <x:c r="J111" s="31"/>
    </x:row>
    <x:row r="112">
      <x:c r="A112" s="31"/>
      <x:c r="I112" s="31"/>
      <x:c r="J112" s="31"/>
    </x:row>
    <x:row r="113">
      <x:c r="A113" s="31"/>
      <x:c r="I113" s="31"/>
      <x:c r="J113" s="31"/>
    </x:row>
    <x:row r="114">
      <x:c r="A114" s="31"/>
      <x:c r="I114" s="31"/>
      <x:c r="J114" s="31"/>
    </x:row>
    <x:row r="115">
      <x:c r="A115" s="31"/>
      <x:c r="I115" s="31"/>
      <x:c r="J115" s="31"/>
    </x:row>
    <x:row r="116">
      <x:c r="A116" s="31"/>
      <x:c r="I116" s="31"/>
      <x:c r="J116" s="31"/>
    </x:row>
    <x:row r="117">
      <x:c r="A117" s="31"/>
      <x:c r="I117" s="31"/>
      <x:c r="J117" s="31"/>
    </x:row>
    <x:row r="118">
      <x:c r="A118" s="31"/>
      <x:c r="I118" s="31"/>
      <x:c r="J118" s="31"/>
    </x:row>
    <x:row r="119">
      <x:c r="A119" s="31"/>
      <x:c r="I119" s="31"/>
      <x:c r="J119" s="31"/>
    </x:row>
    <x:row r="120">
      <x:c r="A120" s="31"/>
      <x:c r="I120" s="31"/>
      <x:c r="J120" s="31"/>
    </x:row>
    <x:row r="121">
      <x:c r="A121" s="31"/>
      <x:c r="I121" s="31"/>
      <x:c r="J121" s="31"/>
    </x:row>
    <x:row r="122">
      <x:c r="A122" s="31"/>
      <x:c r="I122" s="31"/>
      <x:c r="J122" s="31"/>
    </x:row>
    <x:row r="123">
      <x:c r="A123" s="31"/>
      <x:c r="I123" s="31"/>
      <x:c r="J123" s="31"/>
    </x:row>
    <x:row r="124">
      <x:c r="A124" s="31"/>
      <x:c r="C124" s="8"/>
      <x:c r="I124" s="31"/>
      <x:c r="J124" s="31"/>
    </x:row>
    <x:row r="125">
      <x:c r="A125" s="31"/>
      <x:c r="C125" s="8"/>
      <x:c r="I125" s="31"/>
      <x:c r="J125" s="31"/>
    </x:row>
    <x:row r="126">
      <x:c r="A126" s="31"/>
      <x:c r="C126" s="8"/>
      <x:c r="I126" s="31"/>
      <x:c r="J126" s="31"/>
    </x:row>
    <x:row r="127">
      <x:c r="A127" s="31"/>
      <x:c r="C127" s="8"/>
      <x:c r="I127" s="31"/>
      <x:c r="J127" s="31"/>
    </x:row>
    <x:row r="128">
      <x:c r="A128" s="31"/>
      <x:c r="C128" s="8"/>
      <x:c r="I128" s="31"/>
      <x:c r="J128" s="31"/>
    </x:row>
    <x:row r="129">
      <x:c r="A129" s="31"/>
      <x:c r="C129" s="8"/>
      <x:c r="I129" s="31"/>
      <x:c r="J129" s="31"/>
    </x:row>
    <x:row r="130">
      <x:c r="A130" s="31"/>
      <x:c r="C130" s="8"/>
      <x:c r="I130" s="31"/>
      <x:c r="J130" s="31"/>
    </x:row>
    <x:row r="131">
      <x:c r="A131" s="31"/>
      <x:c r="C131" s="8"/>
      <x:c r="I131" s="31"/>
      <x:c r="J131" s="31"/>
    </x:row>
    <x:row r="132">
      <x:c r="A132" s="31"/>
      <x:c r="C132" s="8"/>
      <x:c r="I132" s="31"/>
      <x:c r="J132" s="31"/>
    </x:row>
    <x:row r="133">
      <x:c r="A133" s="31"/>
      <x:c r="C133" s="8"/>
      <x:c r="I133" s="31"/>
      <x:c r="J133" s="31"/>
    </x:row>
    <x:row r="134">
      <x:c r="A134" s="31"/>
      <x:c r="C134" s="8"/>
      <x:c r="I134" s="31"/>
      <x:c r="J134" s="31"/>
    </x:row>
    <x:row r="135">
      <x:c r="A135" s="31"/>
      <x:c r="C135" s="8"/>
      <x:c r="I135" s="31"/>
      <x:c r="J135" s="31"/>
    </x:row>
    <x:row r="136">
      <x:c r="A136" s="31"/>
      <x:c r="C136" s="8"/>
      <x:c r="I136" s="31"/>
      <x:c r="J136" s="31"/>
    </x:row>
    <x:row r="137">
      <x:c r="A137" s="31"/>
      <x:c r="C137" s="8"/>
      <x:c r="I137" s="31"/>
      <x:c r="J137" s="31"/>
    </x:row>
    <x:row r="138">
      <x:c r="A138" s="31"/>
      <x:c r="C138" s="8"/>
      <x:c r="I138" s="31"/>
      <x:c r="J138" s="31"/>
    </x:row>
    <x:row r="139">
      <x:c r="A139" s="31"/>
      <x:c r="C139" s="8"/>
      <x:c r="I139" s="31"/>
      <x:c r="J139" s="31"/>
    </x:row>
    <x:row r="140">
      <x:c r="A140" s="31"/>
      <x:c r="C140" s="8"/>
      <x:c r="I140" s="31"/>
      <x:c r="J140" s="31"/>
    </x:row>
    <x:row r="141">
      <x:c r="A141" s="31"/>
      <x:c r="C141" s="8"/>
      <x:c r="I141" s="31"/>
      <x:c r="J141" s="31"/>
    </x:row>
    <x:row r="142">
      <x:c r="A142" s="31"/>
      <x:c r="C142" s="8"/>
      <x:c r="I142" s="31"/>
      <x:c r="J142" s="31"/>
    </x:row>
    <x:row r="143">
      <x:c r="A143" s="31"/>
      <x:c r="C143" s="8"/>
      <x:c r="I143" s="31"/>
      <x:c r="J143" s="31"/>
    </x:row>
    <x:row r="144">
      <x:c r="A144" s="31"/>
      <x:c r="C144" s="8"/>
      <x:c r="I144" s="31"/>
      <x:c r="J144" s="31"/>
    </x:row>
    <x:row r="145">
      <x:c r="A145" s="31"/>
      <x:c r="C145" s="8"/>
      <x:c r="I145" s="31"/>
      <x:c r="J145" s="31"/>
    </x:row>
    <x:row r="146">
      <x:c r="A146" s="31"/>
      <x:c r="C146" s="8"/>
      <x:c r="I146" s="31"/>
      <x:c r="J146" s="31"/>
    </x:row>
    <x:row r="147">
      <x:c r="A147" s="31"/>
      <x:c r="C147" s="8"/>
      <x:c r="I147" s="31"/>
      <x:c r="J147" s="31"/>
    </x:row>
    <x:row r="148">
      <x:c r="A148" s="31"/>
      <x:c r="C148" s="8"/>
      <x:c r="I148" s="31"/>
      <x:c r="J148" s="31"/>
    </x:row>
    <x:row r="149">
      <x:c r="A149" s="31"/>
      <x:c r="I149" s="31"/>
      <x:c r="J149" s="31"/>
    </x:row>
    <x:row r="150">
      <x:c r="A150" s="31"/>
      <x:c r="I150" s="31"/>
      <x:c r="J150" s="31"/>
    </x:row>
    <x:row r="151">
      <x:c r="A151" s="31"/>
      <x:c r="I151" s="31"/>
      <x:c r="J151" s="31"/>
    </x:row>
    <x:row r="152">
      <x:c r="A152" s="31"/>
      <x:c r="I152" s="31"/>
      <x:c r="J152" s="31"/>
    </x:row>
    <x:row r="153">
      <x:c r="A153" s="31"/>
      <x:c r="I153" s="31"/>
      <x:c r="J153" s="31"/>
    </x:row>
    <x:row r="154">
      <x:c r="A154" s="31"/>
      <x:c r="I154" s="31"/>
      <x:c r="J154" s="31"/>
    </x:row>
    <x:row r="155">
      <x:c r="A155" s="31"/>
      <x:c r="I155" s="31"/>
      <x:c r="J155" s="31"/>
    </x:row>
    <x:row r="156">
      <x:c r="A156" s="31"/>
      <x:c r="I156" s="31"/>
      <x:c r="J156" s="31"/>
    </x:row>
    <x:row r="157">
      <x:c r="A157" s="31"/>
      <x:c r="I157" s="31"/>
      <x:c r="J157" s="31"/>
    </x:row>
    <x:row r="158">
      <x:c r="A158" s="31"/>
      <x:c r="I158" s="31"/>
      <x:c r="J158" s="31"/>
    </x:row>
    <x:row r="159">
      <x:c r="A159" s="31"/>
      <x:c r="I159" s="31"/>
      <x:c r="J159" s="31"/>
    </x:row>
    <x:row r="160">
      <x:c r="A160" s="31"/>
      <x:c r="I160" s="31"/>
      <x:c r="J160" s="31"/>
    </x:row>
    <x:row r="161">
      <x:c r="A161" s="31"/>
      <x:c r="I161" s="31"/>
      <x:c r="J161" s="31"/>
    </x:row>
    <x:row r="162">
      <x:c r="A162" s="31"/>
      <x:c r="I162" s="31"/>
      <x:c r="J162" s="31"/>
    </x:row>
    <x:row r="163">
      <x:c r="A163" s="31"/>
      <x:c r="I163" s="31"/>
      <x:c r="J163" s="31"/>
    </x:row>
    <x:row r="164">
      <x:c r="A164" s="31"/>
      <x:c r="I164" s="31"/>
      <x:c r="J164" s="31"/>
    </x:row>
    <x:row r="165">
      <x:c r="A165" s="31"/>
      <x:c r="I165" s="31"/>
      <x:c r="J165" s="31"/>
    </x:row>
    <x:row r="166">
      <x:c r="A166" s="31"/>
      <x:c r="I166" s="31"/>
      <x:c r="J166" s="31"/>
    </x:row>
    <x:row r="167">
      <x:c r="A167" s="31"/>
      <x:c r="I167" s="31"/>
      <x:c r="J167" s="31"/>
    </x:row>
    <x:row r="168">
      <x:c r="A168" s="31"/>
      <x:c r="I168" s="31"/>
      <x:c r="J168" s="31"/>
    </x:row>
    <x:row r="169">
      <x:c r="A169" s="31"/>
      <x:c r="I169" s="31"/>
      <x:c r="J169" s="31"/>
    </x:row>
    <x:row r="170">
      <x:c r="A170" s="31"/>
      <x:c r="I170" s="31"/>
      <x:c r="J170" s="31"/>
    </x:row>
    <x:row r="171">
      <x:c r="A171" s="31"/>
      <x:c r="I171" s="31"/>
      <x:c r="J171" s="31"/>
    </x:row>
    <x:row r="172">
      <x:c r="A172" s="31"/>
      <x:c r="C172" s="8"/>
      <x:c r="I172" s="31"/>
      <x:c r="J172" s="31"/>
    </x:row>
    <x:row r="173">
      <x:c r="A173" s="31"/>
      <x:c r="C173" s="8"/>
      <x:c r="I173" s="31"/>
      <x:c r="J173" s="31"/>
    </x:row>
    <x:row r="174">
      <x:c r="A174" s="31"/>
      <x:c r="C174" s="8"/>
      <x:c r="I174" s="31"/>
      <x:c r="J174" s="31"/>
    </x:row>
    <x:row r="175">
      <x:c r="A175" s="31"/>
      <x:c r="C175" s="8"/>
      <x:c r="I175" s="31"/>
      <x:c r="J175" s="31"/>
    </x:row>
    <x:row r="176">
      <x:c r="A176" s="31"/>
      <x:c r="C176" s="8"/>
      <x:c r="I176" s="31"/>
      <x:c r="J176" s="31"/>
    </x:row>
    <x:row r="177">
      <x:c r="A177" s="31"/>
      <x:c r="C177" s="8"/>
      <x:c r="I177" s="31"/>
      <x:c r="J177" s="31"/>
    </x:row>
    <x:row r="178">
      <x:c r="A178" s="31"/>
      <x:c r="C178" s="8"/>
      <x:c r="I178" s="31"/>
      <x:c r="J178" s="31"/>
    </x:row>
    <x:row r="179">
      <x:c r="A179" s="31"/>
      <x:c r="C179" s="8"/>
      <x:c r="I179" s="31"/>
      <x:c r="J179" s="31"/>
    </x:row>
    <x:row r="180">
      <x:c r="A180" s="31"/>
      <x:c r="C180" s="8"/>
      <x:c r="I180" s="31"/>
      <x:c r="J180" s="31"/>
    </x:row>
    <x:row r="181">
      <x:c r="A181" s="31"/>
      <x:c r="C181" s="8"/>
      <x:c r="I181" s="31"/>
      <x:c r="J181" s="31"/>
    </x:row>
    <x:row r="182">
      <x:c r="A182" s="31"/>
      <x:c r="C182" s="8"/>
      <x:c r="I182" s="31"/>
      <x:c r="J182" s="31"/>
    </x:row>
    <x:row r="183">
      <x:c r="A183" s="31"/>
      <x:c r="C183" s="8"/>
      <x:c r="I183" s="31"/>
      <x:c r="J183" s="31"/>
    </x:row>
    <x:row r="184">
      <x:c r="A184" s="31"/>
      <x:c r="C184" s="8"/>
      <x:c r="I184" s="31"/>
      <x:c r="J184" s="31"/>
    </x:row>
    <x:row r="185">
      <x:c r="A185" s="31"/>
      <x:c r="C185" s="8"/>
      <x:c r="I185" s="31"/>
      <x:c r="J185" s="31"/>
    </x:row>
    <x:row r="186">
      <x:c r="A186" s="31"/>
      <x:c r="C186" s="8"/>
      <x:c r="I186" s="31"/>
      <x:c r="J186" s="31"/>
    </x:row>
    <x:row r="187">
      <x:c r="A187" s="31"/>
      <x:c r="C187" s="8"/>
      <x:c r="I187" s="31"/>
      <x:c r="J187" s="31"/>
    </x:row>
    <x:row r="188">
      <x:c r="A188" s="31"/>
      <x:c r="C188" s="8"/>
      <x:c r="I188" s="31"/>
      <x:c r="J188" s="31"/>
    </x:row>
    <x:row r="189">
      <x:c r="A189" s="31"/>
      <x:c r="C189" s="8"/>
      <x:c r="I189" s="31"/>
      <x:c r="J189" s="31"/>
    </x:row>
    <x:row r="190">
      <x:c r="A190" s="31"/>
      <x:c r="C190" s="8"/>
      <x:c r="I190" s="31"/>
      <x:c r="J190" s="31"/>
    </x:row>
    <x:row r="191">
      <x:c r="A191" s="31"/>
      <x:c r="C191" s="8"/>
      <x:c r="I191" s="31"/>
      <x:c r="J191" s="31"/>
    </x:row>
    <x:row r="192">
      <x:c r="A192" s="31"/>
      <x:c r="C192" s="8"/>
      <x:c r="I192" s="31"/>
      <x:c r="J192" s="31"/>
    </x:row>
    <x:row r="193">
      <x:c r="A193" s="31"/>
      <x:c r="C193" s="8"/>
      <x:c r="I193" s="31"/>
      <x:c r="J193" s="31"/>
    </x:row>
    <x:row r="194">
      <x:c r="A194" s="31"/>
      <x:c r="C194" s="8"/>
      <x:c r="I194" s="31"/>
      <x:c r="J194" s="31"/>
    </x:row>
    <x:row r="195">
      <x:c r="A195" s="31"/>
      <x:c r="C195" s="8"/>
      <x:c r="I195" s="31"/>
      <x:c r="J195" s="31"/>
    </x:row>
    <x:row r="196">
      <x:c r="A196" s="31"/>
      <x:c r="C196" s="8"/>
      <x:c r="I196" s="31"/>
      <x:c r="J196" s="31"/>
    </x:row>
    <x:row r="197">
      <x:c r="A197" s="31"/>
      <x:c r="I197" s="31"/>
      <x:c r="J197" s="31"/>
    </x:row>
    <x:row r="198">
      <x:c r="A198" s="31"/>
      <x:c r="I198" s="31"/>
      <x:c r="J198" s="31"/>
    </x:row>
    <x:row r="199">
      <x:c r="A199" s="31"/>
      <x:c r="I199" s="31"/>
      <x:c r="J199" s="31"/>
    </x:row>
    <x:row r="200">
      <x:c r="A200" s="31"/>
      <x:c r="I200" s="31"/>
      <x:c r="J200" s="31"/>
    </x:row>
    <x:row r="201">
      <x:c r="A201" s="31"/>
      <x:c r="I201" s="31"/>
      <x:c r="J201" s="31"/>
    </x:row>
    <x:row r="202">
      <x:c r="A202" s="31"/>
      <x:c r="I202" s="31"/>
      <x:c r="J202" s="31"/>
    </x:row>
    <x:row r="203">
      <x:c r="A203" s="31"/>
      <x:c r="I203" s="31"/>
      <x:c r="J203" s="31"/>
    </x:row>
    <x:row r="204">
      <x:c r="A204" s="31"/>
      <x:c r="I204" s="31"/>
      <x:c r="J204" s="31"/>
    </x:row>
    <x:row r="205">
      <x:c r="A205" s="31"/>
      <x:c r="I205" s="31"/>
      <x:c r="J205" s="31"/>
    </x:row>
    <x:row r="206">
      <x:c r="A206" s="31"/>
      <x:c r="I206" s="31"/>
      <x:c r="J206" s="31"/>
    </x:row>
    <x:row r="207">
      <x:c r="A207" s="31"/>
      <x:c r="I207" s="31"/>
      <x:c r="J207" s="31"/>
    </x:row>
    <x:row r="208">
      <x:c r="A208" s="31"/>
      <x:c r="I208" s="31"/>
      <x:c r="J208" s="31"/>
    </x:row>
    <x:row r="209">
      <x:c r="A209" s="31"/>
      <x:c r="I209" s="31"/>
      <x:c r="J209" s="31"/>
    </x:row>
    <x:row r="210">
      <x:c r="A210" s="31"/>
      <x:c r="I210" s="31"/>
      <x:c r="J210" s="31"/>
    </x:row>
    <x:row r="211">
      <x:c r="A211" s="31"/>
      <x:c r="I211" s="31"/>
      <x:c r="J211" s="31"/>
    </x:row>
    <x:row r="212">
      <x:c r="A212" s="31"/>
      <x:c r="I212" s="31"/>
      <x:c r="J212" s="31"/>
    </x:row>
    <x:row r="213">
      <x:c r="A213" s="31"/>
      <x:c r="I213" s="31"/>
      <x:c r="J213" s="31"/>
    </x:row>
    <x:row r="214">
      <x:c r="A214" s="31"/>
      <x:c r="I214" s="31"/>
      <x:c r="J214" s="31"/>
    </x:row>
    <x:row r="215">
      <x:c r="A215" s="31"/>
      <x:c r="I215" s="31"/>
      <x:c r="J215" s="31"/>
    </x:row>
    <x:row r="216">
      <x:c r="A216" s="31"/>
      <x:c r="I216" s="31"/>
      <x:c r="J216" s="31"/>
    </x:row>
    <x:row r="217">
      <x:c r="A217" s="31"/>
      <x:c r="I217" s="31"/>
      <x:c r="J217" s="31"/>
    </x:row>
    <x:row r="218">
      <x:c r="A218" s="31"/>
      <x:c r="I218" s="31"/>
    </x:row>
    <x:row r="219">
      <x:c r="A219" s="31"/>
      <x:c r="I219" s="31"/>
      <x:c r="J219" s="31"/>
    </x:row>
    <x:row r="220">
      <x:c r="A220" s="31"/>
      <x:c r="C220" s="8"/>
      <x:c r="I220" s="31"/>
      <x:c r="J220" s="31"/>
    </x:row>
    <x:row r="221">
      <x:c r="A221" s="31"/>
      <x:c r="C221" s="8"/>
      <x:c r="I221" s="31"/>
      <x:c r="J221" s="31"/>
    </x:row>
    <x:row r="222">
      <x:c r="A222" s="31"/>
      <x:c r="C222" s="8"/>
      <x:c r="I222" s="31"/>
      <x:c r="J222" s="31"/>
    </x:row>
    <x:row r="223">
      <x:c r="A223" s="31"/>
      <x:c r="C223" s="8"/>
      <x:c r="I223" s="31"/>
      <x:c r="J223" s="31"/>
    </x:row>
    <x:row r="224">
      <x:c r="A224" s="31"/>
      <x:c r="C224" s="8"/>
      <x:c r="I224" s="31"/>
      <x:c r="J224" s="31"/>
    </x:row>
    <x:row r="225">
      <x:c r="A225" s="31"/>
      <x:c r="C225" s="8"/>
      <x:c r="I225" s="31"/>
      <x:c r="J225" s="31"/>
    </x:row>
    <x:row r="226">
      <x:c r="A226" s="31"/>
      <x:c r="C226" s="8"/>
      <x:c r="I226" s="31"/>
      <x:c r="J226" s="31"/>
    </x:row>
    <x:row r="227">
      <x:c r="A227" s="31"/>
      <x:c r="C227" s="8"/>
      <x:c r="I227" s="31"/>
      <x:c r="J227" s="31"/>
    </x:row>
    <x:row r="228">
      <x:c r="A228" s="31"/>
      <x:c r="C228" s="8"/>
      <x:c r="I228" s="31"/>
      <x:c r="J228" s="31"/>
    </x:row>
    <x:row r="229">
      <x:c r="A229" s="31"/>
      <x:c r="C229" s="8"/>
      <x:c r="I229" s="31"/>
      <x:c r="J229" s="31"/>
    </x:row>
    <x:row r="230">
      <x:c r="A230" s="31"/>
      <x:c r="C230" s="8"/>
      <x:c r="I230" s="31"/>
      <x:c r="J230" s="31"/>
    </x:row>
    <x:row r="231">
      <x:c r="A231" s="31"/>
      <x:c r="C231" s="8"/>
      <x:c r="I231" s="31"/>
      <x:c r="J231" s="31"/>
    </x:row>
    <x:row r="232">
      <x:c r="A232" s="31"/>
      <x:c r="C232" s="8"/>
      <x:c r="I232" s="31"/>
      <x:c r="J232" s="31"/>
    </x:row>
    <x:row r="233">
      <x:c r="A233" s="31"/>
      <x:c r="C233" s="8"/>
      <x:c r="I233" s="31"/>
      <x:c r="J233" s="31"/>
    </x:row>
    <x:row r="234">
      <x:c r="A234" s="31"/>
      <x:c r="C234" s="8"/>
      <x:c r="I234" s="31"/>
      <x:c r="J234" s="31"/>
    </x:row>
    <x:row r="235">
      <x:c r="A235" s="31"/>
      <x:c r="C235" s="8"/>
      <x:c r="I235" s="31"/>
      <x:c r="J235" s="31"/>
    </x:row>
    <x:row r="236">
      <x:c r="A236" s="31"/>
      <x:c r="C236" s="8"/>
      <x:c r="I236" s="31"/>
      <x:c r="J236" s="31"/>
    </x:row>
    <x:row r="237">
      <x:c r="A237" s="31"/>
      <x:c r="C237" s="8"/>
      <x:c r="I237" s="31"/>
      <x:c r="J237" s="31"/>
    </x:row>
    <x:row r="238">
      <x:c r="A238" s="31"/>
      <x:c r="C238" s="8"/>
      <x:c r="I238" s="31"/>
      <x:c r="J238" s="31"/>
    </x:row>
    <x:row r="239">
      <x:c r="A239" s="31"/>
      <x:c r="C239" s="8"/>
      <x:c r="I239" s="31"/>
      <x:c r="J239" s="31"/>
    </x:row>
    <x:row r="240">
      <x:c r="A240" s="31"/>
      <x:c r="C240" s="8"/>
      <x:c r="I240" s="31"/>
      <x:c r="J240" s="31"/>
    </x:row>
    <x:row r="241">
      <x:c r="A241" s="31"/>
      <x:c r="C241" s="8"/>
      <x:c r="I241" s="31"/>
      <x:c r="J241" s="31"/>
    </x:row>
    <x:row r="242">
      <x:c r="A242" s="31"/>
      <x:c r="C242" s="8"/>
      <x:c r="I242" s="31"/>
      <x:c r="J242" s="31"/>
    </x:row>
    <x:row r="243">
      <x:c r="A243" s="31"/>
      <x:c r="C243" s="8"/>
      <x:c r="I243" s="31"/>
      <x:c r="J243" s="31"/>
    </x:row>
    <x:row r="244">
      <x:c r="A244" s="31"/>
      <x:c r="C244" s="8"/>
      <x:c r="I244" s="31"/>
      <x:c r="J244" s="31"/>
    </x:row>
    <x:row r="245">
      <x:c r="A245" s="31"/>
      <x:c r="I245" s="31"/>
      <x:c r="J245" s="31"/>
    </x:row>
    <x:row r="246">
      <x:c r="A246" s="31"/>
      <x:c r="I246" s="31"/>
      <x:c r="J246" s="31"/>
    </x:row>
    <x:row r="247">
      <x:c r="A247" s="31"/>
      <x:c r="I247" s="31"/>
      <x:c r="J247" s="31"/>
    </x:row>
    <x:row r="248">
      <x:c r="A248" s="31"/>
      <x:c r="I248" s="31"/>
      <x:c r="J248" s="31"/>
    </x:row>
    <x:row r="249">
      <x:c r="A249" s="31"/>
      <x:c r="I249" s="31"/>
      <x:c r="J249" s="31"/>
    </x:row>
    <x:row r="250">
      <x:c r="A250" s="31"/>
      <x:c r="I250" s="31"/>
      <x:c r="J250" s="31"/>
    </x:row>
    <x:row r="251">
      <x:c r="A251" s="31"/>
      <x:c r="I251" s="31"/>
      <x:c r="J251" s="31"/>
    </x:row>
    <x:row r="252">
      <x:c r="A252" s="31"/>
      <x:c r="I252" s="31"/>
      <x:c r="J252" s="31"/>
    </x:row>
    <x:row r="253">
      <x:c r="A253" s="31"/>
      <x:c r="I253" s="31"/>
      <x:c r="J253" s="31"/>
    </x:row>
    <x:row r="254">
      <x:c r="A254" s="31"/>
      <x:c r="I254" s="31"/>
      <x:c r="J254" s="31"/>
    </x:row>
    <x:row r="255">
      <x:c r="A255" s="31"/>
      <x:c r="I255" s="31"/>
      <x:c r="J255" s="31"/>
    </x:row>
    <x:row r="256">
      <x:c r="A256" s="31"/>
      <x:c r="I256" s="31"/>
      <x:c r="J256" s="31"/>
    </x:row>
    <x:row r="257">
      <x:c r="A257" s="31"/>
      <x:c r="I257" s="31"/>
      <x:c r="J257" s="31"/>
    </x:row>
    <x:row r="258">
      <x:c r="A258" s="31"/>
      <x:c r="I258" s="31"/>
      <x:c r="J258" s="31"/>
    </x:row>
    <x:row r="259">
      <x:c r="A259" s="31"/>
      <x:c r="I259" s="31"/>
      <x:c r="J259" s="31"/>
    </x:row>
    <x:row r="268">
      <x:c r="C268" s="8"/>
    </x:row>
    <x:row r="269">
      <x:c r="C269" s="8"/>
    </x:row>
    <x:row r="270">
      <x:c r="C270" s="8"/>
    </x:row>
    <x:row r="271">
      <x:c r="C271" s="8"/>
    </x:row>
    <x:row r="272">
      <x:c r="C272" s="8"/>
    </x:row>
    <x:row r="273">
      <x:c r="C273" s="8"/>
    </x:row>
    <x:row r="274">
      <x:c r="C274" s="8"/>
    </x:row>
    <x:row r="275">
      <x:c r="C275" s="8"/>
    </x:row>
    <x:row r="276">
      <x:c r="C276" s="8"/>
    </x:row>
    <x:row r="277">
      <x:c r="C277" s="8"/>
    </x:row>
    <x:row r="278">
      <x:c r="C278" s="8"/>
    </x:row>
    <x:row r="279">
      <x:c r="C279" s="8"/>
    </x:row>
    <x:row r="280">
      <x:c r="C280" s="8"/>
    </x:row>
    <x:row r="281">
      <x:c r="C281" s="8"/>
    </x:row>
    <x:row r="282">
      <x:c r="C282" s="8"/>
    </x:row>
    <x:row r="283">
      <x:c r="C283" s="8"/>
    </x:row>
    <x:row r="284">
      <x:c r="C284" s="8"/>
    </x:row>
    <x:row r="285">
      <x:c r="C285" s="8"/>
    </x:row>
    <x:row r="286">
      <x:c r="C286" s="8"/>
    </x:row>
    <x:row r="287">
      <x:c r="C287" s="8"/>
    </x:row>
    <x:row r="288">
      <x:c r="C288" s="8"/>
    </x:row>
    <x:row r="289">
      <x:c r="C289" s="8"/>
    </x:row>
    <x:row r="290">
      <x:c r="C290" s="8"/>
    </x:row>
    <x:row r="291">
      <x:c r="C291" s="8"/>
    </x:row>
    <x:row r="292">
      <x:c r="C292" s="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6.799999237060547"/>
  <x:cols>
    <x:col min="1" max="1" width="13.076923370361328" style="26" customWidth="1"/>
    <x:col min="2" max="2" width="240" style="26" hidden="0" customWidth="1"/>
    <x:col min="3" max="4" width="53.230770111083984" style="26" customWidth="1"/>
    <x:col min="5" max="6" width="9" style="26" customWidth="0"/>
    <x:col min="7" max="7" width="240" style="26" hidden="0" customWidth="1"/>
    <x:col min="8" max="8" width="240" style="26" hidden="0" customWidth="1"/>
    <x:col min="9" max="9" width="9" style="26" customWidth="0"/>
    <x:col min="10" max="10" width="220" style="26" hidden="0" customWidth="1"/>
    <x:col min="11" max="16384" width="9" style="26" customWidth="0"/>
    <x:col min="3" max="3" width="255" hidden="0" customWidth="1"/>
  </x:cols>
  <x:sheetData>
    <x:row r="1">
      <x:c r="A1" s="26" t="s">
        <x:v>0</x:v>
      </x:c>
      <x:c r="B1" s="26" t="s">
        <x:v>1</x:v>
      </x:c>
      <x:c r="C1" s="26" t="s">
        <x:v>51</x:v>
      </x:c>
    </x:row>
    <x:row r="2">
      <x:c r="A2" s="26" t="s">
        <x:v>11</x:v>
      </x:c>
      <x:c r="B2" s="26" t="s">
        <x:v>52</x:v>
      </x:c>
      <x:c r="C2" s="26" t="s">
        <x:v>53</x:v>
      </x:c>
    </x:row>
    <x:row r="3">
      <x:c r="A3" s="26" t="s">
        <x:v>22</x:v>
      </x:c>
      <x:c r="B3" s="26" t="s">
        <x:v>23</x:v>
      </x:c>
      <x:c r="C3" s="26" t="s">
        <x:v>23</x:v>
      </x:c>
    </x:row>
    <x:row r="4">
      <x:c r="A4"/>
      <x:c r="B4" s="26" t="str">
        <x:v>sk_arrow_cookie_1</x:v>
      </x:c>
      <x:c r="C4" s="26" t="str">
        <x:v>sk_arrow_cookie_1_1</x:v>
      </x:c>
      <x:c r="G4" s="26" t="str">
        <x:v>sk_arrow_cookie_1_1</x:v>
      </x:c>
      <x:c r="J4" s="26" t="str">
        <x:v>arrow_cookie_1</x:v>
      </x:c>
      <x:c r="K4" s="26" t="s">
        <x:v>54</x:v>
      </x:c>
    </x:row>
    <x:row r="5">
      <x:c r="A5"/>
      <x:c r="B5" s="26" t="str">
        <x:v>sk_arrow_cookie_2</x:v>
      </x:c>
      <x:c r="C5" s="26" t="str">
        <x:v>sk_arrow_cookie_2_1</x:v>
      </x:c>
      <x:c r="G5" s="26" t="str">
        <x:v>sk_arrow_cookie_2_1</x:v>
      </x:c>
      <x:c r="J5" s="26" t="str">
        <x:v>arrow_cookie_2</x:v>
      </x:c>
      <x:c r="K5" s="26" t="s">
        <x:v>55</x:v>
      </x:c>
    </x:row>
    <x:row r="6">
      <x:c r="A6"/>
      <x:c r="B6" s="26" t="str">
        <x:v>sk_arrow_cookie_3</x:v>
      </x:c>
      <x:c r="C6" s="26" t="str">
        <x:v>sk_arrow_cookie_3_1</x:v>
      </x:c>
      <x:c r="G6" s="26" t="str">
        <x:v>sk_arrow_cookie_3_1</x:v>
      </x:c>
      <x:c r="J6" s="26" t="str">
        <x:v>arrow_cookie_3</x:v>
      </x:c>
      <x:c r="K6" s="26" t="s">
        <x:v>56</x:v>
      </x:c>
    </x:row>
    <x:row r="7">
      <x:c r="A7"/>
      <x:c r="B7" s="26" t="str">
        <x:v>sk_arrow_cookie_4</x:v>
      </x:c>
      <x:c r="C7" s="26" t="str">
        <x:v>sk_arrow_cookie_4_1</x:v>
      </x:c>
      <x:c r="G7" s="26" t="str">
        <x:v>sk_arrow_cookie_4_1</x:v>
      </x:c>
      <x:c r="J7" s="26" t="str">
        <x:v>arrow_cookie_4</x:v>
      </x:c>
      <x:c r="K7" s="26" t="s">
        <x:v>57</x:v>
      </x:c>
    </x:row>
    <x:row r="8">
      <x:c r="A8"/>
      <x:c r="B8" s="26" t="str">
        <x:v>sk_jelly</x:v>
      </x:c>
      <x:c r="C8" s="26" t="str">
        <x:v>sk_jelly_1</x:v>
      </x:c>
      <x:c r="G8" s="26" t="str">
        <x:v>sk_jelly_1</x:v>
      </x:c>
      <x:c r="J8" s="26" t="str">
        <x:v>jelly</x:v>
      </x:c>
      <x:c r="K8" s="26" t="s">
        <x:v>58</x:v>
      </x:c>
    </x:row>
    <x:row r="9">
      <x:c r="A9"/>
      <x:c r="B9" s="26" t="str">
        <x:v>sk_cupcake</x:v>
      </x:c>
      <x:c r="C9" s="26" t="str">
        <x:v>sk_cupcake_1</x:v>
      </x:c>
      <x:c r="G9" s="26" t="str">
        <x:v>sk_cupcake_1</x:v>
      </x:c>
      <x:c r="J9" s="26" t="str">
        <x:v>cupcake</x:v>
      </x:c>
      <x:c r="K9" s="26" t="s">
        <x:v>59</x:v>
      </x:c>
    </x:row>
    <x:row r="10">
      <x:c r="A10"/>
      <x:c r="B10" s="26" t="str">
        <x:v>sk_eggtart</x:v>
      </x:c>
      <x:c r="C10" s="26" t="str">
        <x:v>sk_eggtart_1</x:v>
      </x:c>
      <x:c r="G10" s="26" t="str">
        <x:v>sk_eggtart_1</x:v>
      </x:c>
      <x:c r="J10" s="26" t="str">
        <x:v>eggtart</x:v>
      </x:c>
      <x:c r="K10" s="26" t="s">
        <x:v>60</x:v>
      </x:c>
    </x:row>
    <x:row r="11">
      <x:c r="A11"/>
      <x:c r="B11" s="26" t="str">
        <x:v>sk_sugarbean</x:v>
      </x:c>
      <x:c r="C11" s="26" t="str">
        <x:v>sk_sugarbean_1|sk_sugarbean_2</x:v>
      </x:c>
      <x:c r="G11" s="26" t="str">
        <x:v>sk_sugarbean_1</x:v>
      </x:c>
      <x:c r="H11" s="26" t="str">
        <x:v>sk_sugarbean_2</x:v>
      </x:c>
      <x:c r="J11" s="26" t="str">
        <x:v>sugarbean</x:v>
      </x:c>
      <x:c r="K11" s="26" t="s">
        <x:v>61</x:v>
      </x:c>
    </x:row>
    <x:row r="12">
      <x:c r="A12"/>
      <x:c r="B12" s="26" t="str">
        <x:v>sk_cheesecake</x:v>
      </x:c>
      <x:c r="C12" s="26" t="str">
        <x:v>sk_cheesecake_1|sk_cheesecake_2</x:v>
      </x:c>
      <x:c r="G12" s="26" t="str">
        <x:v>sk_cheesecake_1</x:v>
      </x:c>
      <x:c r="H12" s="26" t="str">
        <x:v>sk_cheesecake_2</x:v>
      </x:c>
      <x:c r="J12" s="26" t="str">
        <x:v>cheesecake</x:v>
      </x:c>
      <x:c r="K12" s="26" t="s">
        <x:v>62</x:v>
      </x:c>
    </x:row>
    <x:row r="13">
      <x:c r="A13"/>
      <x:c r="B13" s="26" t="str">
        <x:v>sk_mousse</x:v>
      </x:c>
      <x:c r="C13" s="26" t="str">
        <x:v>sk_mousse_1</x:v>
      </x:c>
      <x:c r="G13" s="26" t="str">
        <x:v>sk_mousse_1</x:v>
      </x:c>
      <x:c r="J13" s="26" t="str">
        <x:v>mousse</x:v>
      </x:c>
      <x:c r="K13" s="26" t="s">
        <x:v>63</x:v>
      </x:c>
    </x:row>
    <x:row r="14">
      <x:c r="A14"/>
      <x:c r="B14" s="26" t="str">
        <x:v>sk_caramel_pudding</x:v>
      </x:c>
      <x:c r="C14" s="26" t="str">
        <x:v>sk_caramel_pudding_1</x:v>
      </x:c>
      <x:c r="G14" s="26" t="str">
        <x:v>sk_fruit_candy_1</x:v>
      </x:c>
      <x:c r="H14" s="26" t="str">
        <x:v>sk_fruit_candy_2</x:v>
      </x:c>
      <x:c r="J14" s="26" t="str">
        <x:v>fruit_candy</x:v>
      </x:c>
      <x:c r="K14" s="26" t="s">
        <x:v>64</x:v>
      </x:c>
    </x:row>
    <x:row r="15">
      <x:c r="A15"/>
      <x:c r="B15" s="26" t="str">
        <x:v>sk_fruit_candy</x:v>
      </x:c>
      <x:c r="C15" s="26" t="str">
        <x:v>sk_fruit_candy_1|sk_fruit_candy_2</x:v>
      </x:c>
      <x:c r="G15" s="26" t="str">
        <x:v>sk_choco_bar_1</x:v>
      </x:c>
      <x:c r="H15" s="26" t="str">
        <x:v>sk_choco_bar_2</x:v>
      </x:c>
      <x:c r="J15" s="26" t="str">
        <x:v>choco_bar</x:v>
      </x:c>
      <x:c r="K15" s="26" t="s">
        <x:v>65</x:v>
      </x:c>
    </x:row>
    <x:row r="16">
      <x:c r="A16"/>
      <x:c r="B16" s="26" t="str">
        <x:v>sk_choco_bar</x:v>
      </x:c>
      <x:c r="C16" s="26" t="str">
        <x:v>sk_choco_bar_1|sk_choco_bar_2</x:v>
      </x:c>
      <x:c r="G16" s="26" t="str">
        <x:v>sk_mochi_1</x:v>
      </x:c>
      <x:c r="J16" s="26" t="str">
        <x:v>mochi</x:v>
      </x:c>
      <x:c r="K16" s="26" t="s">
        <x:v>66</x:v>
      </x:c>
    </x:row>
    <x:row r="17">
      <x:c r="A17"/>
      <x:c r="B17" s="26" t="str">
        <x:v>sk_mochi</x:v>
      </x:c>
      <x:c r="C17" s="26" t="str">
        <x:v>sk_mochi_1</x:v>
      </x:c>
      <x:c r="G17" s="26" t="str">
        <x:v>sk_cup_cake_1</x:v>
      </x:c>
      <x:c r="H17" s="26" t="str">
        <x:v>sk_cup_cake_2</x:v>
      </x:c>
      <x:c r="J17" s="26" t="str">
        <x:v>cup_cake</x:v>
      </x:c>
      <x:c r="K17" s="26" t="s">
        <x:v>67</x:v>
      </x:c>
    </x:row>
    <x:row r="18">
      <x:c r="A18"/>
      <x:c r="B18" s="26" t="str">
        <x:v>sk_cup_cake</x:v>
      </x:c>
      <x:c r="C18" s="26" t="str">
        <x:v>sk_cup_cake_1|sk_cup_cake_2</x:v>
      </x:c>
      <x:c r="G18" s="26" t="str">
        <x:v>sk_cream_puff_1</x:v>
      </x:c>
      <x:c r="J18" s="26" t="str">
        <x:v>cream_puff</x:v>
      </x:c>
      <x:c r="K18" s="26" t="str">
        <x:v>奶油泡芙</x:v>
      </x:c>
    </x:row>
    <x:row r="19">
      <x:c r="A19"/>
      <x:c r="B19" s="26" t="str">
        <x:v>sk_cream_puff</x:v>
      </x:c>
      <x:c r="C19" s="26" t="str">
        <x:v>sk_cream_puff_1</x:v>
      </x:c>
      <x:c r="G19" s="26" t="str">
        <x:v>sk_eggroll_1</x:v>
      </x:c>
      <x:c r="J19" s="26" t="str">
        <x:v>eggroll</x:v>
      </x:c>
      <x:c r="K19" s="26" t="s">
        <x:v>68</x:v>
      </x:c>
    </x:row>
    <x:row r="20">
      <x:c r="A20"/>
      <x:c r="B20" s="26" t="str">
        <x:v>sk_ice_cream</x:v>
      </x:c>
      <x:c r="C20" s="26" t="str">
        <x:v>sk_ice_cream_1</x:v>
      </x:c>
      <x:c r="G20" s="26" t="str">
        <x:v>sk_osmanthus_cake_1</x:v>
      </x:c>
      <x:c r="J20" s="26" t="str">
        <x:v>osmanthus_cake</x:v>
      </x:c>
      <x:c r="K20" s="26" t="str">
        <x:v>桂花糕</x:v>
      </x:c>
    </x:row>
    <x:row r="21">
      <x:c r="A21"/>
      <x:c r="B21" s="26" t="str">
        <x:v>sk_eggroll</x:v>
      </x:c>
      <x:c r="C21" s="26" t="str">
        <x:v>sk_eggroll_1</x:v>
      </x:c>
      <x:c r="G21" s="26" t="str">
        <x:v>sk_tanghulu_1</x:v>
      </x:c>
      <x:c r="H21" s="26" t="str">
        <x:v>sk_tanghulu_2</x:v>
      </x:c>
      <x:c r="J21" s="26" t="str">
        <x:v>tanghulu</x:v>
      </x:c>
      <x:c r="K21" s="26" t="s">
        <x:v>69</x:v>
      </x:c>
    </x:row>
    <x:row r="22">
      <x:c r="A22"/>
      <x:c r="B22" s="26" t="str">
        <x:v>sk_osmanthus_cake</x:v>
      </x:c>
      <x:c r="C22" s="26" t="str">
        <x:v>sk_osmanthus_cake_1</x:v>
      </x:c>
      <x:c r="G22" s="26" t="str">
        <x:v>sk_napoleon_cake_1</x:v>
      </x:c>
      <x:c r="H22" s="26" t="str">
        <x:v>sk_napoleon_cake_2</x:v>
      </x:c>
      <x:c r="J22" s="26" t="str">
        <x:v>napoleon_cake</x:v>
      </x:c>
      <x:c r="K22" s="26" t="str">
        <x:v>拿破仑蛋糕</x:v>
      </x:c>
    </x:row>
    <x:row r="23">
      <x:c r="A23"/>
      <x:c r="B23" s="26" t="str">
        <x:v>sk_tanghulu</x:v>
      </x:c>
      <x:c r="C23" s="26" t="str">
        <x:v>sk_tanghulu_1|sk_tanghulu_2</x:v>
      </x:c>
      <x:c r="G23" s="26" t="str">
        <x:v>sk_honey_cake_1</x:v>
      </x:c>
      <x:c r="H23" s="26" t="str">
        <x:v>sk_honey_cake_2</x:v>
      </x:c>
      <x:c r="J23" s="26" t="str">
        <x:v>honey_cake</x:v>
      </x:c>
      <x:c r="K23" s="26" t="str">
        <x:v>蜂蜜蛋糕</x:v>
      </x:c>
    </x:row>
    <x:row r="24">
      <x:c r="A24"/>
      <x:c r="B24" s="26" t="str">
        <x:v>sk_napoleon_cake</x:v>
      </x:c>
      <x:c r="C24" s="26" t="str">
        <x:v>sk_napoleon_cake_1|sk_napoleon_cake_2</x:v>
      </x:c>
      <x:c r="G24" s="26" t="str">
        <x:v>sk_sachima_1</x:v>
      </x:c>
      <x:c r="J24" s="26" t="str">
        <x:v>sachima</x:v>
      </x:c>
      <x:c r="K24" s="26" t="str">
        <x:v>沙琪玛</x:v>
      </x:c>
    </x:row>
    <x:row r="25">
      <x:c r="A25"/>
      <x:c r="B25" s="26" t="str">
        <x:v>sk_honey_cake</x:v>
      </x:c>
      <x:c r="C25" s="26" t="str">
        <x:v>sk_honey_cake_1|sk_honey_cake_2</x:v>
      </x:c>
      <x:c r="G25" s="26" t="str">
        <x:v>sk_gummy_1</x:v>
      </x:c>
      <x:c r="J25" s="26" t="str">
        <x:v>gummy</x:v>
      </x:c>
      <x:c r="K25" s="26" t="s">
        <x:v>70</x:v>
      </x:c>
    </x:row>
    <x:row r="26">
      <x:c r="A26"/>
      <x:c r="B26" s="26" t="str">
        <x:v>sk_tree_ring_cake</x:v>
      </x:c>
      <x:c r="C26" s="26" t="str">
        <x:v>sk_tree_ring_cake_1</x:v>
      </x:c>
      <x:c r="G26" s="26" t="str">
        <x:v>sk_chocolate_wafer_1</x:v>
      </x:c>
      <x:c r="H26" s="26" t="str">
        <x:v>sk_chocolate_wafer_2</x:v>
      </x:c>
      <x:c r="J26" s="26" t="str">
        <x:v>chocolate_wafer</x:v>
      </x:c>
      <x:c r="K26" s="26" t="str">
        <x:v>巧克力威化</x:v>
      </x:c>
    </x:row>
    <x:row r="27">
      <x:c r="A27"/>
      <x:c r="B27" s="26" t="str">
        <x:v>sk_nougat</x:v>
      </x:c>
      <x:c r="C27" s="26" t="str">
        <x:v>sk_nougat_1|sk_nougat_2</x:v>
      </x:c>
      <x:c r="G27" s="26" t="str">
        <x:v>sk_cake_roll_1</x:v>
      </x:c>
      <x:c r="H27" s="26" t="str">
        <x:v>sk_cake_roll_2</x:v>
      </x:c>
      <x:c r="J27" s="26" t="str">
        <x:v>cake_roll</x:v>
      </x:c>
      <x:c r="K27" s="26" t="s">
        <x:v>71</x:v>
      </x:c>
    </x:row>
    <x:row r="28">
      <x:c r="A28"/>
      <x:c r="B28" s="26" t="str">
        <x:v>sk_hawthorn_cake</x:v>
      </x:c>
      <x:c r="C28" s="26" t="str">
        <x:v>sk_hawthorn_cake_1</x:v>
      </x:c>
      <x:c r="G28" s="26" t="str">
        <x:v>sk_palmier_1</x:v>
      </x:c>
      <x:c r="J28" s="26" t="str">
        <x:v>palmier</x:v>
      </x:c>
      <x:c r="K28" s="26" t="s">
        <x:v>72</x:v>
      </x:c>
    </x:row>
    <x:row r="29">
      <x:c r="A29"/>
      <x:c r="B29" s="26" t="str">
        <x:v>sk_souffle</x:v>
      </x:c>
      <x:c r="C29" s="26" t="str">
        <x:v>sk_souffle_1</x:v>
      </x:c>
      <x:c r="G29" s="26" t="str">
        <x:v>sk_chiffion_1</x:v>
      </x:c>
      <x:c r="J29" s="26" t="str">
        <x:v>chiffion</x:v>
      </x:c>
      <x:c r="K29" s="26" t="s">
        <x:v>73</x:v>
      </x:c>
    </x:row>
    <x:row r="30">
      <x:c r="A30"/>
      <x:c r="B30" s="26" t="str">
        <x:v>sk_fruit_tart</x:v>
      </x:c>
      <x:c r="C30" s="26" t="str">
        <x:v>sk_fruit_tart_1</x:v>
      </x:c>
      <x:c r="G30" s="26" t="str">
        <x:v>sk_toffee_candy_1</x:v>
      </x:c>
      <x:c r="J30" s="26" t="str">
        <x:v>toffee_candy</x:v>
      </x:c>
      <x:c r="K30" s="26" t="str">
        <x:v>太妃糖</x:v>
      </x:c>
    </x:row>
    <x:row r="31">
      <x:c r="A31"/>
      <x:c r="B31" s="26" t="str">
        <x:v>sk_strawberry_sundae</x:v>
      </x:c>
      <x:c r="C31" s="26" t="str">
        <x:v>sk_strawberry_sundae_1</x:v>
      </x:c>
      <x:c r="G31" s="26" t="str">
        <x:v>sk_taosu_1</x:v>
      </x:c>
      <x:c r="J31" s="26" t="str">
        <x:v>taosu</x:v>
      </x:c>
      <x:c r="K31" s="26" t="s">
        <x:v>74</x:v>
      </x:c>
    </x:row>
    <x:row r="32">
      <x:c r="A32"/>
      <x:c r="B32" s="26" t="str">
        <x:v>sk_rock_sugar_pear</x:v>
      </x:c>
      <x:c r="C32" s="26" t="str">
        <x:v>sk_rock_sugar_pear_1|sk_rock_sugar_pear_2</x:v>
      </x:c>
      <x:c r="G32" s="26" t="str">
        <x:v>sk_brown_sugar_steamed_cake_1</x:v>
      </x:c>
      <x:c r="J32" s="26" t="str">
        <x:v>brown_sugar_steamed_cake</x:v>
      </x:c>
      <x:c r="K32" s="26" t="str">
        <x:v>红糖发糕</x:v>
      </x:c>
    </x:row>
    <x:row r="33">
      <x:c r="A33"/>
      <x:c r="B33" s="26" t="str">
        <x:v>sk_popping_candy</x:v>
      </x:c>
      <x:c r="C33" s="26" t="str">
        <x:v>sk_popping_candy_1</x:v>
      </x:c>
      <x:c r="G33" s="26" t="str">
        <x:v>sk_cream_cake_1</x:v>
      </x:c>
      <x:c r="H33" s="26" t="str">
        <x:v>sk_cream_cake_2</x:v>
      </x:c>
      <x:c r="J33" s="26" t="str">
        <x:v>cream_cake</x:v>
      </x:c>
      <x:c r="K33" s="26" t="s">
        <x:v>75</x:v>
      </x:c>
    </x:row>
    <x:row r="34">
      <x:c r="A34"/>
      <x:c r="B34" s="26" t="str">
        <x:v>sk_mille_crepe_cake</x:v>
      </x:c>
      <x:c r="C34" s="26" t="str">
        <x:v>sk_mille_crepe_cake_1</x:v>
      </x:c>
      <x:c r="G34" s="26" t="str">
        <x:v>sk_candycane_1</x:v>
      </x:c>
      <x:c r="H34" s="26" t="str">
        <x:v>sk_candycane_2</x:v>
      </x:c>
      <x:c r="J34" s="26" t="str">
        <x:v>candycane</x:v>
      </x:c>
      <x:c r="K34" s="26" t="s">
        <x:v>76</x:v>
      </x:c>
    </x:row>
    <x:row r="35">
      <x:c r="A35"/>
      <x:c r="B35" s="26" t="str">
        <x:v>sk_soybean_glutinous_roll</x:v>
      </x:c>
      <x:c r="C35" s="26" t="str">
        <x:v>sk_soybean_glutinous_roll_1</x:v>
      </x:c>
      <x:c r="G35" s="26" t="str">
        <x:v>sk_black_forest_cake_1</x:v>
      </x:c>
      <x:c r="H35" s="26" t="str">
        <x:v>sk_black_forest_cake_2</x:v>
      </x:c>
      <x:c r="J35" s="26" t="str">
        <x:v>black_forest_cake</x:v>
      </x:c>
      <x:c r="K35" s="26" t="s">
        <x:v>77</x:v>
      </x:c>
    </x:row>
    <x:row r="36">
      <x:c r="A36"/>
      <x:c r="B36" s="26" t="str">
        <x:v>sk_sachima</x:v>
      </x:c>
      <x:c r="C36" s="26" t="str">
        <x:v>sk_sachima_1</x:v>
      </x:c>
      <x:c r="G36" s="26" t="str">
        <x:v>sk_nama_chocolate_1</x:v>
      </x:c>
      <x:c r="H36" s="26" t="str">
        <x:v>sk_nama_chocolate_2</x:v>
      </x:c>
      <x:c r="J36" s="26" t="str">
        <x:v>nama_chocolate</x:v>
      </x:c>
      <x:c r="K36" s="26" t="str">
        <x:v>生巧克力</x:v>
      </x:c>
    </x:row>
    <x:row r="37">
      <x:c r="A37"/>
      <x:c r="B37" s="26" t="str">
        <x:v>sk_gummy</x:v>
      </x:c>
      <x:c r="C37" s="26" t="str">
        <x:v>sk_gummy_1</x:v>
      </x:c>
      <x:c r="G37" s="26" t="str">
        <x:v>sk_mango_sago_1</x:v>
      </x:c>
      <x:c r="J37" s="26" t="str">
        <x:v>mango_sago</x:v>
      </x:c>
      <x:c r="K37" s="26" t="s">
        <x:v>78</x:v>
      </x:c>
    </x:row>
    <x:row r="38">
      <x:c r="A38"/>
      <x:c r="B38" s="26" t="str">
        <x:v>sk_chocolate_wafer</x:v>
      </x:c>
      <x:c r="C38" s="26" t="str">
        <x:v>sk_chocolate_wafer_1|sk_chocolate_wafer_2</x:v>
      </x:c>
      <x:c r="G38" s="26" t="str">
        <x:v>sk_fruit_cake_1</x:v>
      </x:c>
      <x:c r="H38" s="26" t="str">
        <x:v>sk_fruit_cake_2</x:v>
      </x:c>
      <x:c r="J38" s="26" t="str">
        <x:v>fruit_cake</x:v>
      </x:c>
      <x:c r="K38" s="26" t="s">
        <x:v>79</x:v>
      </x:c>
    </x:row>
    <x:row r="39">
      <x:c r="A39"/>
      <x:c r="B39" s="26" t="str">
        <x:v>sk_cake_roll</x:v>
      </x:c>
      <x:c r="C39" s="26" t="str">
        <x:v>sk_cake_roll_1|sk_cake_roll_2</x:v>
      </x:c>
      <x:c r="G39" s="26" t="str">
        <x:v>sk_fermented_rice_balls_1</x:v>
      </x:c>
      <x:c r="J39" s="26" t="str">
        <x:v>fermented_rice_balls</x:v>
      </x:c>
      <x:c r="K39" s="26" t="str">
        <x:v>酒酿圆子</x:v>
      </x:c>
    </x:row>
    <x:row r="40">
      <x:c r="A40"/>
      <x:c r="B40" s="26" t="str">
        <x:v>sk_fondant_cake</x:v>
      </x:c>
      <x:c r="C40" s="26" t="str">
        <x:v>sk_fondant_cake_1|sk_fondant_cake_2</x:v>
      </x:c>
      <x:c r="G40" s="26" t="str">
        <x:v>sk_marshmallow_1</x:v>
      </x:c>
      <x:c r="J40" s="26" t="str">
        <x:v>marshmallow</x:v>
      </x:c>
      <x:c r="K40" s="26" t="s">
        <x:v>80</x:v>
      </x:c>
    </x:row>
    <x:row r="41">
      <x:c r="A41"/>
      <x:c r="B41" s="26" t="str">
        <x:v>sk_matcha_cake</x:v>
      </x:c>
      <x:c r="C41" s="26" t="str">
        <x:v>sk_matcha_cake_1</x:v>
      </x:c>
      <x:c r="G41" s="26" t="str">
        <x:v>sk_big_lollipop_1</x:v>
      </x:c>
      <x:c r="H41" s="26" t="str">
        <x:v>sk_big_lollipop_2</x:v>
      </x:c>
      <x:c r="J41" s="26" t="str">
        <x:v>big_lollipop</x:v>
      </x:c>
      <x:c r="K41" s="26" t="s">
        <x:v>81</x:v>
      </x:c>
    </x:row>
    <x:row r="42">
      <x:c r="A42"/>
      <x:c r="B42" s="26" t="str">
        <x:v>sk_mung_bean_cake</x:v>
      </x:c>
      <x:c r="C42" s="26" t="str">
        <x:v>sk_mung_bean_cake_1</x:v>
      </x:c>
      <x:c r="G42" s="26" t="str">
        <x:v>sk_double_skin_milk_1</x:v>
      </x:c>
      <x:c r="J42" s="26" t="str">
        <x:v>double_skin_milk</x:v>
      </x:c>
      <x:c r="K42" s="26" t="str">
        <x:v>双皮奶</x:v>
      </x:c>
    </x:row>
    <x:row r="43">
      <x:c r="A43"/>
      <x:c r="B43" s="26" t="str">
        <x:v>sk_egg_yolk_pastry</x:v>
      </x:c>
      <x:c r="C43" s="26" t="str">
        <x:v>sk_egg_yolk_pastry_1</x:v>
      </x:c>
      <x:c r="G43" s="26" t="str">
        <x:v>sk_double_cake_1</x:v>
      </x:c>
      <x:c r="J43" s="26" t="str">
        <x:v>double_cake</x:v>
      </x:c>
      <x:c r="K43" s="26" t="s">
        <x:v>82</x:v>
      </x:c>
    </x:row>
    <x:row r="44">
      <x:c r="A44"/>
      <x:c r="B44" s="26" t="str">
        <x:v>sk_chocolate_truffle</x:v>
      </x:c>
      <x:c r="C44" s="26" t="str">
        <x:v>sk_chocolate_truffle_1</x:v>
      </x:c>
    </x:row>
    <x:row r="45">
      <x:c r="A45"/>
      <x:c r="B45" s="26" t="str">
        <x:v>sk_liquor_chocolate</x:v>
      </x:c>
      <x:c r="C45" s="26" t="str">
        <x:v>sk_liquor_chocolate_1|sk_liquor_chocolate_2</x:v>
      </x:c>
    </x:row>
    <x:row r="46">
      <x:c r="A46"/>
      <x:c r="B46" s="26" t="str">
        <x:v>sk_palmier</x:v>
      </x:c>
      <x:c r="C46" s="26" t="str">
        <x:v>sk_palmier_1</x:v>
      </x:c>
    </x:row>
    <x:row r="47">
      <x:c r="A47"/>
      <x:c r="B47" s="26" t="str">
        <x:v>sk_chiffion</x:v>
      </x:c>
      <x:c r="C47" s="26" t="str">
        <x:v>sk_chiffion_1</x:v>
      </x:c>
    </x:row>
    <x:row r="48">
      <x:c r="A48"/>
      <x:c r="B48" s="26" t="str">
        <x:v>sk_toffee_candy</x:v>
      </x:c>
      <x:c r="C48" s="26" t="str">
        <x:v>sk_toffee_candy_1</x:v>
      </x:c>
    </x:row>
    <x:row r="49">
      <x:c r="A49"/>
      <x:c r="B49" s="26" t="str">
        <x:v>sk_taosu</x:v>
      </x:c>
      <x:c r="C49" s="26" t="str">
        <x:v>sk_taosu_1</x:v>
      </x:c>
    </x:row>
    <x:row r="50">
      <x:c r="A50"/>
      <x:c r="B50" s="26" t="str">
        <x:v>sk_brown_sugar_steamed_cake</x:v>
      </x:c>
      <x:c r="C50" s="26" t="str">
        <x:v>sk_brown_sugar_steamed_cake_1</x:v>
      </x:c>
    </x:row>
    <x:row r="51">
      <x:c r="A51"/>
      <x:c r="B51" s="26" t="str">
        <x:v>sk_cream_cake</x:v>
      </x:c>
      <x:c r="C51" s="26" t="str">
        <x:v>sk_cream_cake_1|sk_cream_cake_2</x:v>
      </x:c>
    </x:row>
    <x:row r="52">
      <x:c r="A52"/>
      <x:c r="B52" s="26" t="str">
        <x:v>sk_candycane</x:v>
      </x:c>
      <x:c r="C52" s="26" t="str">
        <x:v>sk_candycane_1|sk_candycane_2</x:v>
      </x:c>
    </x:row>
    <x:row r="53">
      <x:c r="A53"/>
      <x:c r="B53" s="26" t="str">
        <x:v>sk_fruit_shaved_ice</x:v>
      </x:c>
      <x:c r="C53" s="26" t="str">
        <x:v>sk_fruit_shaved_ice_1</x:v>
      </x:c>
    </x:row>
    <x:row r="54">
      <x:c r="A54"/>
      <x:c r="B54" s="26" t="str">
        <x:v>sk_coconut_milk_jelly</x:v>
      </x:c>
      <x:c r="C54" s="26" t="str">
        <x:v>sk_coconut_milk_jelly_1</x:v>
      </x:c>
    </x:row>
    <x:row r="55">
      <x:c r="A55"/>
      <x:c r="B55" s="26" t="str">
        <x:v>sk_black_forest_cake</x:v>
      </x:c>
      <x:c r="C55" s="26" t="str">
        <x:v>sk_black_forest_cake_1|sk_black_forest_cake_2</x:v>
      </x:c>
    </x:row>
    <x:row r="56">
      <x:c r="A56"/>
      <x:c r="B56" s="26" t="str">
        <x:v>sk_nama_chocolate</x:v>
      </x:c>
      <x:c r="C56" s="26" t="str">
        <x:v>sk_nama_chocolate_1|sk_nama_chocolate_2</x:v>
      </x:c>
    </x:row>
    <x:row r="57">
      <x:c r="A57"/>
      <x:c r="B57" s="26" t="str">
        <x:v>sk_mango_sago</x:v>
      </x:c>
      <x:c r="C57" s="26" t="str">
        <x:v>sk_mango_sago_1</x:v>
      </x:c>
    </x:row>
    <x:row r="58">
      <x:c r="A58"/>
      <x:c r="B58" s="26" t="str">
        <x:v>sk_fruit_cake</x:v>
      </x:c>
      <x:c r="C58" s="26" t="str">
        <x:v>sk_fruit_cake_1|sk_fruit_cake_2</x:v>
      </x:c>
    </x:row>
    <x:row r="59">
      <x:c r="A59"/>
      <x:c r="B59" s="26" t="str">
        <x:v>sk_fermented_rice_balls</x:v>
      </x:c>
      <x:c r="C59" s="26" t="str">
        <x:v>sk_fermented_rice_balls_1</x:v>
      </x:c>
    </x:row>
    <x:row r="60">
      <x:c r="A60"/>
      <x:c r="B60" s="26" t="str">
        <x:v>sk_marshmallow</x:v>
      </x:c>
      <x:c r="C60" s="26" t="str">
        <x:v>sk_marshmallow_1</x:v>
      </x:c>
    </x:row>
    <x:row r="61">
      <x:c r="A61"/>
      <x:c r="B61" s="26" t="str">
        <x:v>sk_big_lollipop</x:v>
      </x:c>
      <x:c r="C61" s="26" t="str">
        <x:v>sk_big_lollipop_1|sk_big_lollipop_2</x:v>
      </x:c>
    </x:row>
    <x:row r="62">
      <x:c r="A62"/>
      <x:c r="B62" s="26" t="str">
        <x:v>sk_double_skin_milk</x:v>
      </x:c>
      <x:c r="C62" s="26" t="str">
        <x:v>sk_double_skin_milk_1</x:v>
      </x:c>
    </x:row>
    <x:row r="63">
      <x:c r="A63"/>
      <x:c r="B63" s="26" t="str">
        <x:v>sk_double_cake</x:v>
      </x:c>
      <x:c r="C63" s="26" t="str">
        <x:v>sk_double_cake_1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9" defaultRowHeight="16.799999237060547"/>
  <x:cols>
    <x:col min="1" max="1" width="13.076923370361328" style="1" customWidth="1"/>
    <x:col min="2" max="2" width="9.307692527770996" style="1" customWidth="1"/>
    <x:col min="3" max="3" width="10.307692527770996" style="1" customWidth="1"/>
    <x:col min="4" max="4" width="65.15384674072266" style="1" customWidth="1"/>
    <x:col min="5" max="5" width="17.846153259277344" style="1" customWidth="1"/>
    <x:col min="6" max="6" width="11.923076629638672" style="1" customWidth="1"/>
    <x:col min="7" max="7" width="12.615385055541992" style="1" customWidth="1"/>
    <x:col min="8" max="8" width="14.25" style="1" customWidth="1"/>
    <x:col min="9" max="9" width="24" style="1" customWidth="1"/>
    <x:col min="10" max="10" width="42" style="1" customWidth="1"/>
    <x:col min="11" max="16384" width="9" style="1" customWidth="0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83</x:v>
      </x:c>
      <x:c r="E1" s="1" t="s">
        <x:v>84</x:v>
      </x:c>
      <x:c r="F1" s="1" t="s">
        <x:v>85</x:v>
      </x:c>
      <x:c r="G1" s="1" t="s">
        <x:v>86</x:v>
      </x:c>
      <x:c r="H1" s="1" t="s">
        <x:v>87</x:v>
      </x:c>
      <x:c r="I1" t="s">
        <x:v>9</x:v>
      </x:c>
      <x:c r="J1"/>
    </x:row>
    <x:row r="2" ht="36" customHeight="1">
      <x:c r="A2" s="1" t="s">
        <x:v>11</x:v>
      </x:c>
      <x:c r="B2" s="1" t="s">
        <x:v>88</x:v>
      </x:c>
      <x:c r="C2" s="1" t="s">
        <x:v>89</x:v>
      </x:c>
      <x:c r="D2" s="1" t="s">
        <x:v>90</x:v>
      </x:c>
      <x:c r="E2" s="1" t="s">
        <x:v>91</x:v>
      </x:c>
      <x:c r="F2" s="1" t="s">
        <x:v>92</x:v>
      </x:c>
      <x:c r="G2" s="1" t="s">
        <x:v>93</x:v>
      </x:c>
      <x:c r="H2" s="1" t="s">
        <x:v>94</x:v>
      </x:c>
      <x:c r="I2" s="29" t="s">
        <x:v>95</x:v>
      </x:c>
      <x:c r="J2"/>
    </x:row>
    <x:row r="3">
      <x:c r="A3" s="1" t="s">
        <x:v>22</x:v>
      </x:c>
      <x:c r="B3" s="1" t="s">
        <x:v>23</x:v>
      </x:c>
      <x:c r="C3" s="1" t="s">
        <x:v>23</x:v>
      </x:c>
      <x:c r="D3" s="1" t="s">
        <x:v>23</x:v>
      </x:c>
      <x:c r="E3" s="1" t="s">
        <x:v>96</x:v>
      </x:c>
      <x:c r="F3" s="1" t="s">
        <x:v>26</x:v>
      </x:c>
      <x:c r="G3" s="1" t="s">
        <x:v>97</x:v>
      </x:c>
      <x:c r="H3" s="1" t="s">
        <x:v>23</x:v>
      </x:c>
      <x:c r="I3" t="s">
        <x:v>24</x:v>
      </x:c>
      <x:c r="J3"/>
    </x:row>
    <x:row r="4">
      <x:c r="B4" s="1" t="s">
        <x:v>98</x:v>
      </x:c>
      <x:c r="C4" s="1" t="s">
        <x:v>99</x:v>
      </x:c>
      <x:c r="D4" s="1" t="s">
        <x:v>100</x:v>
      </x:c>
      <x:c r="E4" s="1" t="s">
        <x:v>101</x:v>
      </x:c>
      <x:c r="G4" s="1" t="s">
        <x:v>102</x:v>
      </x:c>
      <x:c r="I4" s="1">
        <x:v>10</x:v>
      </x:c>
      <x:c r="J4" t="s">
        <x:v>103</x:v>
      </x:c>
    </x:row>
    <x:row r="5">
      <x:c r="B5" s="1" t="s">
        <x:v>104</x:v>
      </x:c>
      <x:c r="C5" s="1" t="s">
        <x:v>105</x:v>
      </x:c>
      <x:c r="D5" s="1" t="s">
        <x:v>106</x:v>
      </x:c>
      <x:c r="E5" s="1" t="s">
        <x:v>101</x:v>
      </x:c>
      <x:c r="G5" s="1" t="s">
        <x:v>107</x:v>
      </x:c>
      <x:c r="I5" s="1">
        <x:v>40</x:v>
      </x:c>
      <x:c r="J5" t="s">
        <x:v>108</x:v>
      </x:c>
    </x:row>
    <x:row r="6" ht="34">
      <x:c r="B6" s="1" t="s">
        <x:v>109</x:v>
      </x:c>
      <x:c r="C6" s="1" t="s">
        <x:v>110</x:v>
      </x:c>
      <x:c r="D6" s="18" t="s">
        <x:v>111</x:v>
      </x:c>
      <x:c r="E6" s="1" t="s">
        <x:v>112</x:v>
      </x:c>
      <x:c r="G6" s="1">
        <x:v>10</x:v>
      </x:c>
      <x:c r="I6" s="1">
        <x:v>60</x:v>
      </x:c>
      <x:c r="J6" t="s">
        <x:v>113</x:v>
      </x:c>
    </x:row>
    <x:row r="7">
      <x:c r="B7" s="1" t="s">
        <x:v>114</x:v>
      </x:c>
      <x:c r="C7" s="1" t="s">
        <x:v>115</x:v>
      </x:c>
      <x:c r="D7" s="1" t="s">
        <x:v>116</x:v>
      </x:c>
      <x:c r="E7" s="1" t="s">
        <x:v>117</x:v>
      </x:c>
      <x:c r="G7" s="1" t="s">
        <x:v>102</x:v>
      </x:c>
      <x:c r="I7" s="1">
        <x:v>50</x:v>
      </x:c>
      <x:c r="J7" t="s">
        <x:v>118</x:v>
      </x:c>
    </x:row>
    <x:row r="8" ht="34">
      <x:c r="B8" s="28" t="s">
        <x:v>119</x:v>
      </x:c>
      <x:c r="C8" s="28" t="s">
        <x:v>120</x:v>
      </x:c>
      <x:c r="D8" s="12" t="s">
        <x:v>121</x:v>
      </x:c>
      <x:c r="E8" s="28" t="s">
        <x:v>122</x:v>
      </x:c>
      <x:c r="F8" s="28"/>
      <x:c r="G8" s="28" t="s">
        <x:v>123</x:v>
      </x:c>
      <x:c r="H8" s="28"/>
      <x:c r="I8">
        <x:v>20</x:v>
      </x:c>
      <x:c r="J8"/>
    </x:row>
    <x:row r="9" ht="34">
      <x:c r="B9" s="28" t="s">
        <x:v>124</x:v>
      </x:c>
      <x:c r="C9" s="28" t="s">
        <x:v>125</x:v>
      </x:c>
      <x:c r="D9" s="12" t="s">
        <x:v>126</x:v>
      </x:c>
      <x:c r="E9" s="28" t="s">
        <x:v>127</x:v>
      </x:c>
      <x:c r="F9" s="28"/>
      <x:c r="G9" s="28">
        <x:v>20</x:v>
      </x:c>
      <x:c r="H9" s="28"/>
      <x:c r="I9">
        <x:v>30</x:v>
      </x:c>
      <x:c r="J9"/>
    </x:row>
    <x:row r="10">
      <x:c r="I10"/>
      <x:c r="J10"/>
    </x:row>
    <x:row r="11">
      <x:c r="I11"/>
      <x:c r="J11"/>
    </x:row>
    <x:row r="12">
      <x:c r="I12"/>
      <x:c r="J12"/>
    </x:row>
    <x:row r="13">
      <x:c r="I13"/>
      <x:c r="J13"/>
    </x:row>
    <x:row r="14">
      <x:c r="I14"/>
      <x:c r="J14"/>
    </x:row>
    <x:row r="15">
      <x:c r="I15"/>
      <x:c r="J15"/>
    </x:row>
    <x:row r="16">
      <x:c r="I16"/>
      <x:c r="J16"/>
    </x:row>
    <x:row r="17">
      <x:c r="I17"/>
      <x:c r="J17"/>
    </x:row>
    <x:row r="18">
      <x:c r="I18"/>
      <x:c r="J18"/>
    </x:row>
    <x:row r="19">
      <x:c r="I19"/>
      <x:c r="J19"/>
    </x:row>
    <x:row r="20">
      <x:c r="I20"/>
      <x:c r="J20"/>
    </x:row>
    <x:row r="21">
      <x:c r="I21"/>
      <x:c r="J21"/>
    </x:row>
    <x:row r="22">
      <x:c r="I22"/>
      <x:c r="J22"/>
    </x:row>
    <x:row r="23">
      <x:c r="I23"/>
      <x:c r="J23"/>
    </x:row>
    <x:row r="24">
      <x:c r="I24"/>
      <x:c r="J24"/>
    </x:row>
    <x:row r="25">
      <x:c r="I25"/>
      <x:c r="J25"/>
    </x:row>
    <x:row r="26">
      <x:c r="I26"/>
      <x:c r="J26"/>
    </x:row>
    <x:row r="27">
      <x:c r="I27"/>
      <x:c r="J27"/>
    </x:row>
    <x:row r="28">
      <x:c r="I28"/>
      <x:c r="J28"/>
    </x:row>
    <x:row r="29">
      <x:c r="I29"/>
      <x:c r="J29"/>
    </x:row>
    <x:row r="30">
      <x:c r="I30"/>
      <x:c r="J30"/>
    </x:row>
    <x:row r="31">
      <x:c r="I31"/>
      <x:c r="J31"/>
    </x:row>
    <x:row r="32">
      <x:c r="I32"/>
      <x:c r="J32"/>
    </x:row>
    <x:row r="33">
      <x:c r="I33"/>
      <x:c r="J33"/>
    </x:row>
    <x:row r="34">
      <x:c r="I34"/>
      <x:c r="J34"/>
    </x:row>
    <x:row r="35">
      <x:c r="I35"/>
      <x:c r="J35"/>
    </x:row>
    <x:row r="36">
      <x:c r="I36"/>
      <x:c r="J36"/>
    </x:row>
    <x:row r="37">
      <x:c r="I37"/>
      <x:c r="J37"/>
    </x:row>
    <x:row r="38">
      <x:c r="I38"/>
      <x:c r="J38"/>
    </x:row>
    <x:row r="39">
      <x:c r="I39"/>
      <x:c r="J39"/>
    </x:row>
    <x:row r="40">
      <x:c r="I40"/>
      <x:c r="J4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9" defaultRowHeight="16.799999237060547"/>
  <x:cols>
    <x:col min="1" max="1" width="13.076923370361328" customWidth="1"/>
    <x:col min="2" max="2" width="13" customWidth="1"/>
    <x:col min="3" max="3" width="10.307692527770996" customWidth="1"/>
    <x:col min="4" max="4" width="19.846153259277344" customWidth="1"/>
    <x:col min="5" max="5" width="10.307692527770996" customWidth="1"/>
    <x:col min="6" max="6" width="27.538461685180664" customWidth="1"/>
    <x:col min="7" max="7" width="14.84615421295166" customWidth="1"/>
    <x:col min="8" max="8" width="53.46154022216797" customWidth="1"/>
  </x:cols>
  <x:sheetData>
    <x:row r="1">
      <x:c r="A1" t="s">
        <x:v>0</x:v>
      </x:c>
      <x:c r="B1" t="s">
        <x:v>1</x:v>
      </x:c>
      <x:c r="C1" t="s">
        <x:v>128</x:v>
      </x:c>
      <x:c r="D1" t="s">
        <x:v>129</x:v>
      </x:c>
      <x:c r="E1" t="s">
        <x:v>6</x:v>
      </x:c>
      <x:c r="F1" t="s">
        <x:v>84</x:v>
      </x:c>
      <x:c r="G1" t="s">
        <x:v>130</x:v>
      </x:c>
      <x:c r="H1" t="s">
        <x:v>83</x:v>
      </x:c>
    </x:row>
    <x:row r="2">
      <x:c r="A2" t="s">
        <x:v>11</x:v>
      </x:c>
      <x:c r="B2" t="s">
        <x:v>131</x:v>
      </x:c>
      <x:c r="C2" t="s">
        <x:v>132</x:v>
      </x:c>
      <x:c r="D2" t="s">
        <x:v>133</x:v>
      </x:c>
      <x:c r="E2" t="s">
        <x:v>134</x:v>
      </x:c>
      <x:c r="F2" t="s">
        <x:v>135</x:v>
      </x:c>
      <x:c r="G2" t="s">
        <x:v>136</x:v>
      </x:c>
      <x:c r="H2" t="s">
        <x:v>137</x:v>
      </x:c>
    </x:row>
    <x:row r="3">
      <x:c r="A3" t="s">
        <x:v>22</x:v>
      </x:c>
      <x:c r="B3" t="s">
        <x:v>23</x:v>
      </x:c>
      <x:c r="C3" t="s">
        <x:v>24</x:v>
      </x:c>
      <x:c r="D3" t="s">
        <x:v>24</x:v>
      </x:c>
      <x:c r="E3" t="s">
        <x:v>23</x:v>
      </x:c>
      <x:c r="F3" t="s">
        <x:v>138</x:v>
      </x:c>
      <x:c r="G3" t="s">
        <x:v>48</x:v>
      </x:c>
      <x:c r="H3" t="s">
        <x:v>23</x:v>
      </x:c>
    </x:row>
    <x:row r="4">
      <x:c r="B4" t="s">
        <x:v>139</x:v>
      </x:c>
      <x:c r="C4">
        <x:v>0</x:v>
      </x:c>
      <x:c r="D4">
        <x:v>1</x:v>
      </x:c>
      <x:c r="E4" t="s">
        <x:v>140</x:v>
      </x:c>
      <x:c r="F4" t="s">
        <x:v>141</x:v>
      </x:c>
      <x:c r="G4">
        <x:v>3</x:v>
      </x:c>
      <x:c r="H4" t="s">
        <x:v>142</x:v>
      </x:c>
    </x:row>
    <x:row r="5">
      <x:c r="B5" t="s">
        <x:v>143</x:v>
      </x:c>
      <x:c r="C5">
        <x:v>1</x:v>
      </x:c>
      <x:c r="D5">
        <x:v>50</x:v>
      </x:c>
      <x:c r="E5" t="s">
        <x:v>140</x:v>
      </x:c>
      <x:c r="F5" t="s">
        <x:v>144</x:v>
      </x:c>
      <x:c r="G5">
        <x:v>0.05</x:v>
      </x:c>
      <x:c r="H5" t="s">
        <x:v>145</x:v>
      </x:c>
      <x:c r="L5">
        <x:v>8</x:v>
      </x:c>
      <x:c r="M5">
        <x:v>30</x:v>
      </x:c>
    </x:row>
    <x:row r="6">
      <x:c r="B6" t="s">
        <x:v>146</x:v>
      </x:c>
      <x:c r="C6">
        <x:v>2</x:v>
      </x:c>
      <x:c r="D6">
        <x:v>100</x:v>
      </x:c>
      <x:c r="E6" t="s">
        <x:v>140</x:v>
      </x:c>
      <x:c r="F6" t="s">
        <x:v>147</x:v>
      </x:c>
      <x:c r="G6">
        <x:v>0.02</x:v>
      </x:c>
      <x:c r="H6" t="s">
        <x:v>148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9" defaultRowHeight="16.799999237060547"/>
  <x:cols>
    <x:col min="1" max="1" width="13.076923370361328" style="1" customWidth="1"/>
    <x:col min="2" max="2" width="255" style="1" hidden="0" customWidth="1"/>
    <x:col min="3" max="3" width="12.15384578704834" style="1" customWidth="1"/>
    <x:col min="4" max="4" width="19.769229888916016" style="1" customWidth="1"/>
    <x:col min="5" max="5" width="16.384614944458008" style="1" customWidth="1"/>
    <x:col min="6" max="6" width="11.230769157409668" style="1" customWidth="1"/>
    <x:col min="7" max="7" width="12.307692527770996" style="1" customWidth="1"/>
    <x:col min="8" max="8" width="25.30769157409668" style="1" customWidth="1"/>
    <x:col min="9" max="9" width="21.846153259277344" style="1" customWidth="1"/>
    <x:col min="10" max="10" width="16.384614944458008" style="1" customWidth="1"/>
    <x:col min="11" max="11" width="21.769229888916016" style="1" customWidth="1"/>
    <x:col min="12" max="12" width="12.769230842590332" style="1" customWidth="1"/>
    <x:col min="13" max="13" width="40.30769348144531" style="1" customWidth="1"/>
    <x:col min="14" max="14" width="10.307692527770996" style="1" customWidth="1"/>
    <x:col min="15" max="15" width="61.230770111083984" style="1" customWidth="1"/>
    <x:col min="16" max="16" width="38.769229888916016" style="1" customWidth="1"/>
    <x:col min="17" max="17" width="20.69230842590332" style="1" customWidth="1"/>
    <x:col min="18" max="18" width="34.53845977783203" style="1" customWidth="1"/>
    <x:col min="19" max="16384" width="9" style="1" customWidth="0"/>
  </x:cols>
  <x:sheetData>
    <x:row r="1">
      <x:c r="A1" s="1" t="s">
        <x:v>0</x:v>
      </x:c>
      <x:c r="B1" s="1" t="s">
        <x:v>1</x:v>
      </x:c>
      <x:c r="C1" s="1" t="s">
        <x:v>149</x:v>
      </x:c>
      <x:c r="D1" s="1" t="s">
        <x:v>150</x:v>
      </x:c>
      <x:c r="E1" s="1" t="s">
        <x:v>151</x:v>
      </x:c>
      <x:c r="F1" s="1" t="s">
        <x:v>152</x:v>
      </x:c>
      <x:c r="G1" s="1" t="s">
        <x:v>153</x:v>
      </x:c>
      <x:c r="H1" s="1" t="s">
        <x:v>154</x:v>
      </x:c>
      <x:c r="I1" s="1" t="s">
        <x:v>155</x:v>
      </x:c>
      <x:c r="J1" s="1" t="s">
        <x:v>156</x:v>
      </x:c>
      <x:c r="K1" s="1" t="s">
        <x:v>157</x:v>
      </x:c>
      <x:c r="L1" s="1" t="s">
        <x:v>158</x:v>
      </x:c>
      <x:c r="M1" s="1" t="s">
        <x:v>159</x:v>
      </x:c>
      <x:c r="N1" s="1" t="s">
        <x:v>160</x:v>
      </x:c>
      <x:c r="O1" s="1" t="s">
        <x:v>161</x:v>
      </x:c>
      <x:c r="P1" s="1" t="s">
        <x:v>87</x:v>
      </x:c>
      <x:c r="R1" s="26"/>
      <x:c r="S1" s="26"/>
      <x:c r="T1" s="26"/>
    </x:row>
    <x:row r="2">
      <x:c r="A2" s="1" t="s">
        <x:v>11</x:v>
      </x:c>
      <x:c r="B2" s="1" t="s">
        <x:v>162</x:v>
      </x:c>
      <x:c r="C2" s="1" t="s">
        <x:v>163</x:v>
      </x:c>
      <x:c r="D2" s="1" t="s">
        <x:v>164</x:v>
      </x:c>
      <x:c r="E2" s="1" t="s">
        <x:v>165</x:v>
      </x:c>
      <x:c r="F2" s="1" t="s">
        <x:v>166</x:v>
      </x:c>
      <x:c r="G2" s="1" t="s">
        <x:v>167</x:v>
      </x:c>
      <x:c r="H2" s="1" t="s">
        <x:v>168</x:v>
      </x:c>
      <x:c r="I2" s="1" t="s">
        <x:v>169</x:v>
      </x:c>
      <x:c r="J2" s="1" t="s">
        <x:v>170</x:v>
      </x:c>
      <x:c r="K2" s="1" t="s">
        <x:v>171</x:v>
      </x:c>
      <x:c r="L2" s="1" t="s">
        <x:v>172</x:v>
      </x:c>
      <x:c r="M2" s="1" t="s">
        <x:v>173</x:v>
      </x:c>
      <x:c r="N2" s="1" t="s">
        <x:v>174</x:v>
      </x:c>
      <x:c r="O2" s="1" t="s">
        <x:v>175</x:v>
      </x:c>
      <x:c r="P2" s="1" t="s">
        <x:v>176</x:v>
      </x:c>
      <x:c r="R2" s="26"/>
      <x:c r="S2" s="26"/>
      <x:c r="T2" s="26"/>
    </x:row>
    <x:row r="3">
      <x:c r="A3" s="1" t="s">
        <x:v>22</x:v>
      </x:c>
      <x:c r="B3" s="1" t="s">
        <x:v>23</x:v>
      </x:c>
      <x:c r="C3" s="1" t="s">
        <x:v>177</x:v>
      </x:c>
      <x:c r="D3" s="1" t="s">
        <x:v>178</x:v>
      </x:c>
      <x:c r="E3" s="1" t="s">
        <x:v>179</x:v>
      </x:c>
      <x:c r="F3" s="1" t="s">
        <x:v>180</x:v>
      </x:c>
      <x:c r="G3" s="1" t="s">
        <x:v>181</x:v>
      </x:c>
      <x:c r="H3" s="1" t="s">
        <x:v>23</x:v>
      </x:c>
      <x:c r="I3" s="1" t="s">
        <x:v>138</x:v>
      </x:c>
      <x:c r="J3" s="1" t="s">
        <x:v>179</x:v>
      </x:c>
      <x:c r="K3" s="1" t="s">
        <x:v>24</x:v>
      </x:c>
      <x:c r="L3" s="1" t="s">
        <x:v>97</x:v>
      </x:c>
      <x:c r="M3" s="1" t="s">
        <x:v>26</x:v>
      </x:c>
      <x:c r="N3" s="1" t="s">
        <x:v>25</x:v>
      </x:c>
      <x:c r="O3" s="1" t="s">
        <x:v>23</x:v>
      </x:c>
      <x:c r="P3" s="1" t="s">
        <x:v>23</x:v>
      </x:c>
      <x:c r="R3" s="26" t="s">
        <x:v>182</x:v>
      </x:c>
      <x:c r="S3" s="1" t="s">
        <x:v>182</x:v>
      </x:c>
      <x:c r="T3" s="26"/>
    </x:row>
    <x:row r="4">
      <x:c r="A4" s="26"/>
      <x:c r="B4" s="1" t="str">
        <x:v>sk_arrow_cookie_1_1</x:v>
      </x:c>
      <x:c r="C4" s="1" t="str">
        <x:v>OnSettle</x:v>
      </x:c>
      <x:c r="D4" s="1" t="str">
        <x:v>None</x:v>
      </x:c>
      <x:c r="E4" s="1" t="str">
        <x:v>Self</x:v>
      </x:c>
      <x:c r="F4" s="1" t="str">
        <x:v>Instances</x:v>
      </x:c>
      <x:c r="G4" s="1" t="str">
        <x:v>Gate</x:v>
      </x:c>
      <x:c r="H4" s="26"/>
      <x:c r="I4" s="1" t="str">
        <x:v>AddFlat</x:v>
      </x:c>
      <x:c r="J4" s="1" t="str">
        <x:v>RightAndSelf</x:v>
      </x:c>
      <x:c r="K4" s="1" t="n">
        <x:v>0</x:v>
      </x:c>
      <x:c r="L4" s="1" t="n">
        <x:v>10</x:v>
      </x:c>
      <x:c r="M4" s="26"/>
      <x:c r="N4" s="1" t="str">
        <x:v>true</x:v>
      </x:c>
      <x:c r="O4" s="1" t="str">
        <x:v>{ascope}
分数 {0}</x:v>
      </x:c>
      <x:c r="P4" s="18"/>
      <x:c r="Q4" s="26"/>
      <x:c r="R4" s="26" t="s">
        <x:v>54</x:v>
      </x:c>
      <x:c r="S4" s="27" t="s">
        <x:v>183</x:v>
      </x:c>
      <x:c r="T4" s="26"/>
    </x:row>
    <x:row r="5">
      <x:c r="A5" s="26"/>
      <x:c r="B5" s="1" t="str">
        <x:v>sk_arrow_cookie_2_1</x:v>
      </x:c>
      <x:c r="C5" s="1" t="str">
        <x:v>OnSettle</x:v>
      </x:c>
      <x:c r="D5" s="1" t="str">
        <x:v>None</x:v>
      </x:c>
      <x:c r="E5" s="1" t="str">
        <x:v>Self</x:v>
      </x:c>
      <x:c r="F5" s="1" t="str">
        <x:v>Instances</x:v>
      </x:c>
      <x:c r="G5" s="1" t="str">
        <x:v>Gate</x:v>
      </x:c>
      <x:c r="H5" s="26"/>
      <x:c r="I5" s="1" t="str">
        <x:v>AddMultFlat</x:v>
      </x:c>
      <x:c r="J5" s="1" t="str">
        <x:v>LeftAndSelf</x:v>
      </x:c>
      <x:c r="K5" s="1" t="n">
        <x:v>0</x:v>
      </x:c>
      <x:c r="L5" s="1" t="n">
        <x:v>0.5</x:v>
      </x:c>
      <x:c r="M5" s="26"/>
      <x:c r="N5" s="1" t="str">
        <x:v>true</x:v>
      </x:c>
      <x:c r="O5" s="1" t="str">
        <x:v>{ascope}
倍率 {0}</x:v>
      </x:c>
      <x:c r="P5" s="18"/>
      <x:c r="Q5" s="26"/>
      <x:c r="R5" s="26" t="s">
        <x:v>55</x:v>
      </x:c>
      <x:c r="S5" s="27" t="s">
        <x:v>184</x:v>
      </x:c>
      <x:c r="T5" s="26"/>
    </x:row>
    <x:row r="6">
      <x:c r="A6" s="26"/>
      <x:c r="B6" s="1" t="str">
        <x:v>sk_arrow_cookie_3_1</x:v>
      </x:c>
      <x:c r="C6" s="1" t="str">
        <x:v>OnSettle</x:v>
      </x:c>
      <x:c r="D6" s="1" t="str">
        <x:v>None</x:v>
      </x:c>
      <x:c r="E6" s="1" t="str">
        <x:v>Self</x:v>
      </x:c>
      <x:c r="F6" s="1" t="str">
        <x:v>Instances</x:v>
      </x:c>
      <x:c r="G6" s="1" t="str">
        <x:v>Gate</x:v>
      </x:c>
      <x:c r="H6" s="26"/>
      <x:c r="I6" s="1" t="str">
        <x:v>AddFlat</x:v>
      </x:c>
      <x:c r="J6" s="1" t="str">
        <x:v>DownAndSelf</x:v>
      </x:c>
      <x:c r="K6" s="1" t="n">
        <x:v>0</x:v>
      </x:c>
      <x:c r="L6" s="1" t="n">
        <x:v>10</x:v>
      </x:c>
      <x:c r="M6" s="26"/>
      <x:c r="N6" s="1" t="str">
        <x:v>true</x:v>
      </x:c>
      <x:c r="O6" s="1" t="str">
        <x:v>{ascope}
分数 {0}</x:v>
      </x:c>
      <x:c r="P6" s="18"/>
      <x:c r="Q6" s="26"/>
      <x:c r="R6" s="26" t="s">
        <x:v>56</x:v>
      </x:c>
      <x:c r="S6" s="27" t="s">
        <x:v>185</x:v>
      </x:c>
      <x:c r="T6" s="26"/>
    </x:row>
    <x:row r="7">
      <x:c r="A7" s="26"/>
      <x:c r="B7" s="1" t="str">
        <x:v>sk_arrow_cookie_4_1</x:v>
      </x:c>
      <x:c r="C7" s="1" t="str">
        <x:v>OnSettle</x:v>
      </x:c>
      <x:c r="D7" s="1" t="str">
        <x:v>None</x:v>
      </x:c>
      <x:c r="E7" s="1" t="str">
        <x:v>Self</x:v>
      </x:c>
      <x:c r="F7" s="1" t="str">
        <x:v>Instances</x:v>
      </x:c>
      <x:c r="G7" s="1" t="str">
        <x:v>Gate</x:v>
      </x:c>
      <x:c r="H7" s="26"/>
      <x:c r="I7" s="1" t="str">
        <x:v>AddMultFlat</x:v>
      </x:c>
      <x:c r="J7" s="1" t="str">
        <x:v>UpAndSelf</x:v>
      </x:c>
      <x:c r="K7" s="1" t="n">
        <x:v>0</x:v>
      </x:c>
      <x:c r="L7" s="1" t="n">
        <x:v>0.5</x:v>
      </x:c>
      <x:c r="M7" s="26"/>
      <x:c r="N7" s="1" t="str">
        <x:v>true</x:v>
      </x:c>
      <x:c r="O7" s="1" t="str">
        <x:v>{ascope}
倍率 {0}</x:v>
      </x:c>
      <x:c r="P7" s="18"/>
      <x:c r="Q7" s="26"/>
      <x:c r="R7" s="26" t="s">
        <x:v>57</x:v>
      </x:c>
      <x:c r="S7" s="27" t="s">
        <x:v>186</x:v>
      </x:c>
      <x:c r="T7" s="26"/>
    </x:row>
    <x:row r="8">
      <x:c r="A8" s="26"/>
      <x:c r="B8" s="1" t="str">
        <x:v>sk_jelly_1</x:v>
      </x:c>
      <x:c r="C8" s="1" t="str">
        <x:v>OnSettle</x:v>
      </x:c>
      <x:c r="D8" s="1" t="str">
        <x:v>PositionFilled</x:v>
      </x:c>
      <x:c r="E8" s="1" t="str">
        <x:v>RoundAndSelf</x:v>
      </x:c>
      <x:c r="F8" s="1" t="str">
        <x:v>Instances</x:v>
      </x:c>
      <x:c r="G8" s="1" t="str">
        <x:v>Gate</x:v>
      </x:c>
      <x:c r="H8" s="26"/>
      <x:c r="I8" s="1" t="str">
        <x:v>AddMultFlat</x:v>
      </x:c>
      <x:c r="J8" s="1" t="str">
        <x:v>RoundAndSelf</x:v>
      </x:c>
      <x:c r="K8" s="1" t="n">
        <x:v>0</x:v>
      </x:c>
      <x:c r="L8" s="1" t="n">
        <x:v>1.5</x:v>
      </x:c>
      <x:c r="M8" s="26"/>
      <x:c r="N8" s="1" t="str">
        <x:v>true</x:v>
      </x:c>
      <x:c r="O8" s="1" t="str">
        <x:v>{cscope}
没有空格时，倍率 {0}</x:v>
      </x:c>
      <x:c r="P8" s="18"/>
      <x:c r="Q8" s="26"/>
      <x:c r="R8" s="26" t="s">
        <x:v>58</x:v>
      </x:c>
      <x:c r="S8" s="27" t="s">
        <x:v>187</x:v>
      </x:c>
      <x:c r="T8" s="26"/>
    </x:row>
    <x:row r="9" ht="17">
      <x:c r="A9" s="26"/>
      <x:c r="B9" s="1" t="str">
        <x:v>sk_cupcake_1</x:v>
      </x:c>
      <x:c r="C9" s="1" t="str">
        <x:v>OnSettle</x:v>
      </x:c>
      <x:c r="D9" s="1" t="str">
        <x:v>SkillCount</x:v>
      </x:c>
      <x:c r="E9" s="1" t="str">
        <x:v>RoundAndSelf</x:v>
      </x:c>
      <x:c r="F9" s="1" t="str">
        <x:v>Instances</x:v>
      </x:c>
      <x:c r="G9" s="1" t="str">
        <x:v>Per</x:v>
      </x:c>
      <x:c r="H9" s="26"/>
      <x:c r="I9" s="1" t="str">
        <x:v>AddLayer</x:v>
      </x:c>
      <x:c r="J9" s="1" t="str">
        <x:v>CakeBuff</x:v>
      </x:c>
      <x:c r="K9" s="1" t="n">
        <x:v>0</x:v>
      </x:c>
      <x:c r="L9" s="1" t="n">
        <x:v>2</x:v>
      </x:c>
      <x:c r="M9" s="26"/>
      <x:c r="N9" s="1" t="str">
        <x:v>true</x:v>
      </x:c>
      <x:c r="O9" s="1" t="str">
        <x:v>{cscope}每有 1 {unit}技能
欢乐蛋糕 {0} 层</x:v>
      </x:c>
      <x:c r="P9" s="18" t="str">
        <x:v>clb</x:v>
      </x:c>
      <x:c r="Q9" s="26"/>
      <x:c r="R9" s="26" t="s">
        <x:v>59</x:v>
      </x:c>
      <x:c r="S9" s="27" t="s">
        <x:v>188</x:v>
      </x:c>
      <x:c r="T9" s="26"/>
    </x:row>
    <x:row r="10">
      <x:c r="A10" s="26"/>
      <x:c r="B10" s="1" t="str">
        <x:v>sk_eggtart_1</x:v>
      </x:c>
      <x:c r="C10" s="1" t="str">
        <x:v>OnSettle</x:v>
      </x:c>
      <x:c r="D10" s="1" t="str">
        <x:v>DishCount</x:v>
      </x:c>
      <x:c r="E10" s="1" t="str">
        <x:v>LeftAndSelf</x:v>
      </x:c>
      <x:c r="F10" s="1" t="str">
        <x:v>Instances</x:v>
      </x:c>
      <x:c r="G10" s="1" t="str">
        <x:v>Per</x:v>
      </x:c>
      <x:c r="H10" s="26"/>
      <x:c r="I10" s="1" t="str">
        <x:v>AddMultFlat</x:v>
      </x:c>
      <x:c r="J10" s="1" t="str">
        <x:v>LeftAndSelf</x:v>
      </x:c>
      <x:c r="K10" s="1" t="n">
        <x:v>0</x:v>
      </x:c>
      <x:c r="L10" s="1" t="n">
        <x:v>0.5</x:v>
      </x:c>
      <x:c r="M10" s="26"/>
      <x:c r="N10" s="1" t="str">
        <x:v>true</x:v>
      </x:c>
      <x:c r="O10" s="1" t="str">
        <x:v>{cscope}
每有 1 {unit}食物，倍率 {0}</x:v>
      </x:c>
      <x:c r="P10" s="18"/>
      <x:c r="Q10" s="26"/>
      <x:c r="R10" s="26" t="s">
        <x:v>60</x:v>
      </x:c>
      <x:c r="S10" s="27" t="s">
        <x:v>184</x:v>
      </x:c>
      <x:c r="T10" s="26"/>
    </x:row>
    <x:row r="11">
      <x:c r="A11" s="26"/>
      <x:c r="B11" s="1" t="str">
        <x:v>sk_sugarbean_1</x:v>
      </x:c>
      <x:c r="C11" s="1" t="str">
        <x:v>OnSettle</x:v>
      </x:c>
      <x:c r="D11" s="1" t="str">
        <x:v>SkillCount</x:v>
      </x:c>
      <x:c r="E11" s="1" t="str">
        <x:v>RightAndSelf</x:v>
      </x:c>
      <x:c r="F11" s="1" t="str">
        <x:v>Instances</x:v>
      </x:c>
      <x:c r="G11" s="1" t="str">
        <x:v>Per</x:v>
      </x:c>
      <x:c r="H11" s="26"/>
      <x:c r="I11" s="1" t="str">
        <x:v>AddFlat</x:v>
      </x:c>
      <x:c r="J11" s="1" t="str">
        <x:v>RightAndSelf</x:v>
      </x:c>
      <x:c r="K11" s="1" t="n">
        <x:v>0</x:v>
      </x:c>
      <x:c r="L11" s="1" t="n">
        <x:v>10</x:v>
      </x:c>
      <x:c r="M11" s="26"/>
      <x:c r="N11" s="1" t="str">
        <x:v>true</x:v>
      </x:c>
      <x:c r="O11" s="1" t="str">
        <x:v>{cscope}
每有 1 {unit}技能，分数 {0}</x:v>
      </x:c>
      <x:c r="P11" s="18"/>
      <x:c r="Q11" s="26"/>
      <x:c r="R11" s="26" t="s">
        <x:v>61</x:v>
      </x:c>
      <x:c r="S11" s="27" t="s">
        <x:v>183</x:v>
      </x:c>
      <x:c r="T11" s="26"/>
    </x:row>
    <x:row r="12" ht="17">
      <x:c r="A12" s="26"/>
      <x:c r="B12" s="1" t="str">
        <x:v>sk_sugarbean_2</x:v>
      </x:c>
      <x:c r="C12" s="1" t="str">
        <x:v>OnSettle</x:v>
      </x:c>
      <x:c r="D12" s="1" t="str">
        <x:v>None</x:v>
      </x:c>
      <x:c r="E12" s="1" t="str">
        <x:v>Right</x:v>
      </x:c>
      <x:c r="F12" s="1" t="str">
        <x:v>Instances</x:v>
      </x:c>
      <x:c r="G12" s="1" t="str">
        <x:v>Gate</x:v>
      </x:c>
      <x:c r="H12" s="26"/>
      <x:c r="I12" s="1" t="str">
        <x:v>TransferSkills</x:v>
      </x:c>
      <x:c r="J12" s="1" t="str">
        <x:v>Other</x:v>
      </x:c>
      <x:c r="K12" s="1" t="n">
        <x:v>1</x:v>
      </x:c>
      <x:c r="L12" s="1" t="n">
        <x:v>0</x:v>
      </x:c>
      <x:c r="M12" s="26"/>
      <x:c r="N12" s="1" t="str">
        <x:v>false</x:v>
      </x:c>
      <x:c r="O12" s="1" t="str">
        <x:v>甜蜜传递 {count} 个食物</x:v>
      </x:c>
      <x:c r="P12" s="18" t="str">
        <x:v>term_sweet_transfer</x:v>
      </x:c>
      <x:c r="Q12" s="26"/>
      <x:c r="R12" s="26" t="s">
        <x:v>61</x:v>
      </x:c>
      <x:c r="S12" s="27" t="s">
        <x:v>189</x:v>
      </x:c>
      <x:c r="T12" s="26"/>
    </x:row>
    <x:row r="13">
      <x:c r="A13" s="26"/>
      <x:c r="B13" s="1" t="str">
        <x:v>sk_cheesecake_1</x:v>
      </x:c>
      <x:c r="C13" s="1" t="str">
        <x:v>OnSettle</x:v>
      </x:c>
      <x:c r="D13" s="1" t="str">
        <x:v>None</x:v>
      </x:c>
      <x:c r="E13" s="1" t="str">
        <x:v>RoundAndSelf</x:v>
      </x:c>
      <x:c r="F13" s="1" t="str">
        <x:v>Instances</x:v>
      </x:c>
      <x:c r="G13" s="1" t="str">
        <x:v>Gate</x:v>
      </x:c>
      <x:c r="H13" s="26"/>
      <x:c r="I13" s="1" t="str">
        <x:v>AddFlat</x:v>
      </x:c>
      <x:c r="J13" s="1" t="str">
        <x:v>RoundAndSelf</x:v>
      </x:c>
      <x:c r="K13" s="1" t="n">
        <x:v>0</x:v>
      </x:c>
      <x:c r="L13" s="1" t="n">
        <x:v>10</x:v>
      </x:c>
      <x:c r="M13" s="26"/>
      <x:c r="N13" s="1" t="str">
        <x:v>true</x:v>
      </x:c>
      <x:c r="O13" s="1" t="str">
        <x:v>{ascope}分数 {0}</x:v>
      </x:c>
      <x:c r="P13" s="18"/>
      <x:c r="Q13" s="26"/>
      <x:c r="R13" s="26" t="s">
        <x:v>62</x:v>
      </x:c>
      <x:c r="S13" s="27" t="s">
        <x:v>187</x:v>
      </x:c>
      <x:c r="T13" s="26"/>
    </x:row>
    <x:row r="14">
      <x:c r="A14" s="26"/>
      <x:c r="B14" s="1" t="str">
        <x:v>sk_cheesecake_2</x:v>
      </x:c>
      <x:c r="C14" s="1" t="str">
        <x:v>OnSettle</x:v>
      </x:c>
      <x:c r="D14" s="1" t="str">
        <x:v>None</x:v>
      </x:c>
      <x:c r="E14" s="1" t="str">
        <x:v>Self</x:v>
      </x:c>
      <x:c r="F14" s="1" t="str">
        <x:v>Instances</x:v>
      </x:c>
      <x:c r="G14" s="1" t="str">
        <x:v>Gate</x:v>
      </x:c>
      <x:c r="H14" s="26"/>
      <x:c r="I14" s="1" t="str">
        <x:v>AddLayer</x:v>
      </x:c>
      <x:c r="J14" s="1" t="str">
        <x:v>CakeBuff</x:v>
      </x:c>
      <x:c r="K14" s="1" t="n">
        <x:v>0</x:v>
      </x:c>
      <x:c r="L14" s="1" t="n">
        <x:v>6</x:v>
      </x:c>
      <x:c r="M14" s="26"/>
      <x:c r="N14" s="1" t="str">
        <x:v>true</x:v>
      </x:c>
      <x:c r="O14" s="1" t="str">
        <x:v>欢乐蛋糕 {0} 层</x:v>
      </x:c>
      <x:c r="P14" s="1" t="str">
        <x:v>clb</x:v>
      </x:c>
      <x:c r="Q14" s="26"/>
      <x:c r="R14" s="26" t="s">
        <x:v>62</x:v>
      </x:c>
      <x:c r="S14" s="27" t="s">
        <x:v>188</x:v>
      </x:c>
      <x:c r="T14" s="26"/>
    </x:row>
    <x:row r="15" ht="17">
      <x:c r="A15" s="26"/>
      <x:c r="B15" s="1" t="str">
        <x:v>sk_mousse_1</x:v>
      </x:c>
      <x:c r="C15" s="1" t="str">
        <x:v>OnSettle</x:v>
      </x:c>
      <x:c r="D15" s="1" t="str">
        <x:v>DishCount</x:v>
      </x:c>
      <x:c r="E15" s="1" t="str">
        <x:v>LeftAndSelf</x:v>
      </x:c>
      <x:c r="F15" s="1" t="str">
        <x:v>Instances</x:v>
      </x:c>
      <x:c r="G15" s="1" t="str">
        <x:v>Per</x:v>
      </x:c>
      <x:c r="H15" s="26"/>
      <x:c r="I15" s="1" t="str">
        <x:v>AddLayer</x:v>
      </x:c>
      <x:c r="J15" s="1" t="str">
        <x:v>CakeBuff</x:v>
      </x:c>
      <x:c r="K15" s="1" t="n">
        <x:v>0</x:v>
      </x:c>
      <x:c r="L15" s="1" t="n">
        <x:v>2</x:v>
      </x:c>
      <x:c r="M15" s="26"/>
      <x:c r="N15" s="1" t="str">
        <x:v>true</x:v>
      </x:c>
      <x:c r="O15" s="1" t="str">
        <x:v>{cscope}每有 1 {unit}食物
欢乐蛋糕 {0} 层</x:v>
      </x:c>
      <x:c r="P15" s="18" t="str">
        <x:v>clb</x:v>
      </x:c>
      <x:c r="Q15" s="26"/>
      <x:c r="R15" s="26" t="s">
        <x:v>63</x:v>
      </x:c>
      <x:c r="S15" s="27" t="s">
        <x:v>188</x:v>
      </x:c>
      <x:c r="T15" s="26"/>
    </x:row>
    <x:row r="16">
      <x:c r="A16" s="26"/>
      <x:c r="B16" s="1" t="str">
        <x:v>sk_caramel_pudding_1</x:v>
      </x:c>
      <x:c r="C16" s="1" t="str">
        <x:v>OnSettle</x:v>
      </x:c>
      <x:c r="D16" s="1" t="str">
        <x:v>ServeOrder</x:v>
      </x:c>
      <x:c r="E16" s="1" t="str">
        <x:v>Self</x:v>
      </x:c>
      <x:c r="F16" s="1" t="str">
        <x:v>Instances</x:v>
      </x:c>
      <x:c r="G16" s="1" t="str">
        <x:v>Gate</x:v>
      </x:c>
      <x:c r="H16" s="26" t="str">
        <x:v>first:settlement</x:v>
      </x:c>
      <x:c r="I16" s="1" t="str">
        <x:v>AddFlat</x:v>
      </x:c>
      <x:c r="J16" s="1" t="str">
        <x:v>All</x:v>
      </x:c>
      <x:c r="K16" s="1" t="n">
        <x:v>0</x:v>
      </x:c>
      <x:c r="L16" s="1" t="n">
        <x:v>20</x:v>
      </x:c>
      <x:c r="M16" s="26"/>
      <x:c r="N16" s="1" t="str">
        <x:v>true</x:v>
      </x:c>
      <x:c r="O16" s="1" t="str">
        <x:v>首个结算时
所有食物分数 {0}</x:v>
      </x:c>
      <x:c r="P16" s="26"/>
      <x:c r="Q16" s="26"/>
      <x:c r="R16" s="26" t="s">
        <x:v>64</x:v>
      </x:c>
      <x:c r="S16" s="27" t="s">
        <x:v>186</x:v>
      </x:c>
      <x:c r="T16" s="26"/>
    </x:row>
    <x:row r="17" ht="17">
      <x:c r="A17" s="26"/>
      <x:c r="B17" s="1" t="str">
        <x:v>sk_fruit_candy_1</x:v>
      </x:c>
      <x:c r="C17" s="1" t="str">
        <x:v>OnSettle</x:v>
      </x:c>
      <x:c r="D17" s="1" t="str">
        <x:v>None</x:v>
      </x:c>
      <x:c r="E17" s="1" t="str">
        <x:v>Self</x:v>
      </x:c>
      <x:c r="F17" s="1" t="str">
        <x:v>Instances</x:v>
      </x:c>
      <x:c r="G17" s="1" t="str">
        <x:v>Gate</x:v>
      </x:c>
      <x:c r="H17" s="26"/>
      <x:c r="I17" s="1" t="str">
        <x:v>AddMultFlat</x:v>
      </x:c>
      <x:c r="J17" s="1" t="str">
        <x:v>UpAndSelf</x:v>
      </x:c>
      <x:c r="K17" s="1" t="n">
        <x:v>0</x:v>
      </x:c>
      <x:c r="L17" s="1" t="n">
        <x:v>0.3</x:v>
      </x:c>
      <x:c r="M17" s="26"/>
      <x:c r="N17" s="1" t="str">
        <x:v>true</x:v>
      </x:c>
      <x:c r="O17" s="1" t="str">
        <x:v>{ascope}倍率 {0}</x:v>
      </x:c>
      <x:c r="P17" s="18"/>
      <x:c r="Q17" s="26"/>
      <x:c r="R17" s="26" t="s">
        <x:v>64</x:v>
      </x:c>
      <x:c r="S17" s="27" t="s">
        <x:v>189</x:v>
      </x:c>
      <x:c r="T17" s="26"/>
    </x:row>
    <x:row r="18">
      <x:c r="A18" s="26"/>
      <x:c r="B18" s="1" t="str">
        <x:v>sk_fruit_candy_2</x:v>
      </x:c>
      <x:c r="C18" s="1" t="str">
        <x:v>OnSettle</x:v>
      </x:c>
      <x:c r="D18" s="1" t="str">
        <x:v>None</x:v>
      </x:c>
      <x:c r="E18" s="1" t="str">
        <x:v>Up</x:v>
      </x:c>
      <x:c r="F18" s="1" t="str">
        <x:v>Instances</x:v>
      </x:c>
      <x:c r="G18" s="1" t="str">
        <x:v>Gate</x:v>
      </x:c>
      <x:c r="H18" s="26"/>
      <x:c r="I18" s="1" t="str">
        <x:v>TransferSkills</x:v>
      </x:c>
      <x:c r="J18" s="1" t="str">
        <x:v>Other</x:v>
      </x:c>
      <x:c r="K18" s="1" t="n">
        <x:v>2</x:v>
      </x:c>
      <x:c r="L18" s="1" t="n">
        <x:v>0</x:v>
      </x:c>
      <x:c r="M18" s="26"/>
      <x:c r="N18" s="1" t="str">
        <x:v>false</x:v>
      </x:c>
      <x:c r="O18" s="1" t="str">
        <x:v>甜蜜传递 {count} 个食物</x:v>
      </x:c>
      <x:c r="P18" s="18" t="str">
        <x:v>term_sweet_transfer</x:v>
      </x:c>
      <x:c r="Q18" s="26"/>
      <x:c r="R18" s="26" t="s">
        <x:v>65</x:v>
      </x:c>
      <x:c r="S18" s="27" t="s">
        <x:v>187</x:v>
      </x:c>
      <x:c r="T18" s="26"/>
    </x:row>
    <x:row r="19" ht="17">
      <x:c r="A19" s="26"/>
      <x:c r="B19" s="1" t="str">
        <x:v>sk_choco_bar_1</x:v>
      </x:c>
      <x:c r="C19" s="1" t="str">
        <x:v>OnSettle</x:v>
      </x:c>
      <x:c r="D19" s="1" t="str">
        <x:v>DishCount</x:v>
      </x:c>
      <x:c r="E19" s="1" t="str">
        <x:v>RoundAndSelf</x:v>
      </x:c>
      <x:c r="F19" s="1" t="str">
        <x:v>Instances</x:v>
      </x:c>
      <x:c r="G19" s="1" t="str">
        <x:v>Per</x:v>
      </x:c>
      <x:c r="H19" s="26"/>
      <x:c r="I19" s="1" t="str">
        <x:v>AddFlat</x:v>
      </x:c>
      <x:c r="J19" s="1" t="str">
        <x:v>RoundAndSelf</x:v>
      </x:c>
      <x:c r="K19" s="1" t="n">
        <x:v>0</x:v>
      </x:c>
      <x:c r="L19" s="1" t="n">
        <x:v>8</x:v>
      </x:c>
      <x:c r="M19" s="26"/>
      <x:c r="N19" s="1" t="str">
        <x:v>true</x:v>
      </x:c>
      <x:c r="O19" s="1" t="str">
        <x:v>{cscope}
每有 1 {unit}食物，分数 {0}</x:v>
      </x:c>
      <x:c r="P19" s="18"/>
      <x:c r="Q19" s="26"/>
      <x:c r="R19" s="26" t="s">
        <x:v>65</x:v>
      </x:c>
      <x:c r="S19" s="27" t="s">
        <x:v>189</x:v>
      </x:c>
      <x:c r="T19" s="26"/>
    </x:row>
    <x:row r="20">
      <x:c r="A20" s="26"/>
      <x:c r="B20" s="1" t="str">
        <x:v>sk_choco_bar_2</x:v>
      </x:c>
      <x:c r="C20" s="1" t="str">
        <x:v>OnSettle</x:v>
      </x:c>
      <x:c r="D20" s="1" t="str">
        <x:v>None</x:v>
      </x:c>
      <x:c r="E20" s="1" t="str">
        <x:v>RoundAndSelf</x:v>
      </x:c>
      <x:c r="F20" s="1" t="str">
        <x:v>Instances</x:v>
      </x:c>
      <x:c r="G20" s="1" t="str">
        <x:v>Gate</x:v>
      </x:c>
      <x:c r="H20" s="26"/>
      <x:c r="I20" s="1" t="str">
        <x:v>TransferSkills</x:v>
      </x:c>
      <x:c r="J20" s="1" t="str">
        <x:v>Other</x:v>
      </x:c>
      <x:c r="K20" s="1" t="n">
        <x:v>1</x:v>
      </x:c>
      <x:c r="L20" s="1" t="n">
        <x:v>0</x:v>
      </x:c>
      <x:c r="M20" s="26"/>
      <x:c r="N20" s="1" t="str">
        <x:v>false</x:v>
      </x:c>
      <x:c r="O20" s="1" t="str">
        <x:v>甜蜜传递 {count} 个食物</x:v>
      </x:c>
      <x:c r="P20" s="18" t="str">
        <x:v>term_sweet_transfer</x:v>
      </x:c>
      <x:c r="Q20" s="26"/>
      <x:c r="R20" s="26" t="s">
        <x:v>66</x:v>
      </x:c>
      <x:c r="S20" s="27" t="s">
        <x:v>185</x:v>
      </x:c>
      <x:c r="T20" s="26"/>
    </x:row>
    <x:row r="21">
      <x:c r="A21" s="26"/>
      <x:c r="B21" s="1" t="str">
        <x:v>sk_mochi_1</x:v>
      </x:c>
      <x:c r="C21" s="1" t="str">
        <x:v>OnSettle</x:v>
      </x:c>
      <x:c r="D21" s="1" t="str">
        <x:v>DishCount</x:v>
      </x:c>
      <x:c r="E21" s="1" t="str">
        <x:v>DownAndSelf</x:v>
      </x:c>
      <x:c r="F21" s="1" t="str">
        <x:v>Instances</x:v>
      </x:c>
      <x:c r="G21" s="1" t="str">
        <x:v>Per</x:v>
      </x:c>
      <x:c r="H21" s="26" t="str">
        <x:v>div:2</x:v>
      </x:c>
      <x:c r="I21" s="1" t="str">
        <x:v>AddMultFlat</x:v>
      </x:c>
      <x:c r="J21" s="1" t="str">
        <x:v>DownAndSelf</x:v>
      </x:c>
      <x:c r="K21" s="1" t="n">
        <x:v>0</x:v>
      </x:c>
      <x:c r="L21" s="1" t="n">
        <x:v>1.2</x:v>
      </x:c>
      <x:c r="M21" s="26"/>
      <x:c r="N21" s="1" t="str">
        <x:v>true</x:v>
      </x:c>
      <x:c r="O21" s="1" t="str">
        <x:v>{cscope}
每有 2 {unit}食物，倍率 {0}</x:v>
      </x:c>
      <x:c r="P21" s="26"/>
      <x:c r="Q21" s="26"/>
      <x:c r="R21" s="26" t="s">
        <x:v>67</x:v>
      </x:c>
      <x:c r="S21" s="27" t="s">
        <x:v>190</x:v>
      </x:c>
      <x:c r="T21" s="26"/>
    </x:row>
    <x:row r="22">
      <x:c r="A22" s="26"/>
      <x:c r="B22" s="1" t="str">
        <x:v>sk_cup_cake_1</x:v>
      </x:c>
      <x:c r="C22" s="1" t="str">
        <x:v>OnSettle</x:v>
      </x:c>
      <x:c r="D22" s="1" t="str">
        <x:v>None</x:v>
      </x:c>
      <x:c r="E22" s="1" t="str">
        <x:v>ColumnAndSelf</x:v>
      </x:c>
      <x:c r="F22" s="1" t="str">
        <x:v>Instances</x:v>
      </x:c>
      <x:c r="G22" s="1" t="str">
        <x:v>Gate</x:v>
      </x:c>
      <x:c r="H22" s="26"/>
      <x:c r="I22" s="1" t="str">
        <x:v>AddMultFlat</x:v>
      </x:c>
      <x:c r="J22" s="1" t="str">
        <x:v>ColumnAndSelf</x:v>
      </x:c>
      <x:c r="K22" s="1" t="n">
        <x:v>0</x:v>
      </x:c>
      <x:c r="L22" s="1" t="n">
        <x:v>0.5</x:v>
      </x:c>
      <x:c r="M22" s="26"/>
      <x:c r="N22" s="1" t="str">
        <x:v>true</x:v>
      </x:c>
      <x:c r="O22" s="1" t="str">
        <x:v>{ascope}倍率 {0}</x:v>
      </x:c>
      <x:c r="P22" s="1"/>
      <x:c r="Q22" s="26"/>
      <x:c r="R22" s="26" t="s">
        <x:v>67</x:v>
      </x:c>
      <x:c r="S22" s="27" t="s">
        <x:v>188</x:v>
      </x:c>
      <x:c r="T22" s="26"/>
    </x:row>
    <x:row r="23">
      <x:c r="A23" s="26"/>
      <x:c r="B23" s="1" t="str">
        <x:v>sk_cup_cake_2</x:v>
      </x:c>
      <x:c r="C23" s="1" t="str">
        <x:v>OnSettle</x:v>
      </x:c>
      <x:c r="D23" s="1" t="str">
        <x:v>None</x:v>
      </x:c>
      <x:c r="E23" s="1" t="str">
        <x:v>Self</x:v>
      </x:c>
      <x:c r="F23" s="1" t="str">
        <x:v>Instances</x:v>
      </x:c>
      <x:c r="G23" s="1" t="str">
        <x:v>Gate</x:v>
      </x:c>
      <x:c r="H23" s="26"/>
      <x:c r="I23" s="1" t="str">
        <x:v>AddLayer</x:v>
      </x:c>
      <x:c r="J23" s="1" t="str">
        <x:v>CakeBuff</x:v>
      </x:c>
      <x:c r="K23" s="1" t="n">
        <x:v>0</x:v>
      </x:c>
      <x:c r="L23" s="1" t="n">
        <x:v>5</x:v>
      </x:c>
      <x:c r="M23" s="26"/>
      <x:c r="N23" s="1" t="str">
        <x:v>true</x:v>
      </x:c>
      <x:c r="O23" s="1" t="str">
        <x:v>欢乐蛋糕 {0} 层</x:v>
      </x:c>
      <x:c r="P23" s="18" t="str">
        <x:v>clb</x:v>
      </x:c>
      <x:c r="Q23" s="26"/>
      <x:c r="R23" s="26" t="s">
        <x:v>191</x:v>
      </x:c>
      <x:c r="S23" s="27" t="s">
        <x:v>192</x:v>
      </x:c>
      <x:c r="T23" s="26"/>
    </x:row>
    <x:row r="24">
      <x:c r="A24" s="26"/>
      <x:c r="B24" s="1" t="str">
        <x:v>sk_cream_puff_1</x:v>
      </x:c>
      <x:c r="C24" s="1" t="str">
        <x:v>OnSettle</x:v>
      </x:c>
      <x:c r="D24" s="1" t="str">
        <x:v>PositionFilled</x:v>
      </x:c>
      <x:c r="E24" s="1" t="str">
        <x:v>All</x:v>
      </x:c>
      <x:c r="F24" s="1" t="str">
        <x:v>Instances</x:v>
      </x:c>
      <x:c r="G24" s="1" t="str">
        <x:v>Gate</x:v>
      </x:c>
      <x:c r="H24" s="26"/>
      <x:c r="I24" s="1" t="str">
        <x:v>AddFlat</x:v>
      </x:c>
      <x:c r="J24" s="1" t="str">
        <x:v>All</x:v>
      </x:c>
      <x:c r="K24" s="1" t="n">
        <x:v>0</x:v>
      </x:c>
      <x:c r="L24" s="1" t="n">
        <x:v>20</x:v>
      </x:c>
      <x:c r="M24" s="26"/>
      <x:c r="N24" s="1" t="str">
        <x:v>true</x:v>
      </x:c>
      <x:c r="O24" s="1" t="str">
        <x:v>{cscope}没有空格时
{ascope}食物分数 {0}</x:v>
      </x:c>
      <x:c r="P24" s="18"/>
      <x:c r="Q24" s="26"/>
      <x:c r="R24" s="26" t="s">
        <x:v>68</x:v>
      </x:c>
      <x:c r="S24" s="27" t="s">
        <x:v>193</x:v>
      </x:c>
      <x:c r="T24" s="26"/>
    </x:row>
    <x:row r="25">
      <x:c r="A25" s="26"/>
      <x:c r="B25" s="1" t="str">
        <x:v>sk_ice_cream_1</x:v>
      </x:c>
      <x:c r="C25" s="1" t="str">
        <x:v>OnSettle</x:v>
      </x:c>
      <x:c r="D25" s="1" t="str">
        <x:v>Edge</x:v>
      </x:c>
      <x:c r="E25" s="1" t="str">
        <x:v>Self</x:v>
      </x:c>
      <x:c r="F25" s="1" t="str">
        <x:v>Instances</x:v>
      </x:c>
      <x:c r="G25" s="1" t="str">
        <x:v>Gate</x:v>
      </x:c>
      <x:c r="H25" s="26"/>
      <x:c r="I25" s="1" t="str">
        <x:v>AddFlat</x:v>
      </x:c>
      <x:c r="J25" s="1" t="str">
        <x:v>Edge</x:v>
      </x:c>
      <x:c r="K25" s="1" t="n">
        <x:v>0</x:v>
      </x:c>
      <x:c r="L25" s="1" t="n">
        <x:v>30</x:v>
      </x:c>
      <x:c r="M25" s="26"/>
      <x:c r="N25" s="1" t="str">
        <x:v>true</x:v>
      </x:c>
      <x:c r="O25" s="1" t="str">
        <x:v>处于边缘时
边缘食物分数 {0}</x:v>
      </x:c>
      <x:c r="P25" s="18"/>
      <x:c r="Q25" s="26"/>
      <x:c r="R25" s="26" t="s">
        <x:v>194</x:v>
      </x:c>
      <x:c r="S25" s="27" t="s">
        <x:v>187</x:v>
      </x:c>
      <x:c r="T25" s="26"/>
    </x:row>
    <x:row r="26">
      <x:c r="A26" s="26"/>
      <x:c r="B26" s="1" t="str">
        <x:v>sk_eggroll_1</x:v>
      </x:c>
      <x:c r="C26" s="1" t="str">
        <x:v>OnSettle</x:v>
      </x:c>
      <x:c r="D26" s="1" t="str">
        <x:v>DishCount</x:v>
      </x:c>
      <x:c r="E26" s="1" t="str">
        <x:v>RowAndSelf</x:v>
      </x:c>
      <x:c r="F26" s="1" t="str">
        <x:v>Instances</x:v>
      </x:c>
      <x:c r="G26" s="1" t="str">
        <x:v>Per</x:v>
      </x:c>
      <x:c r="H26" s="26"/>
      <x:c r="I26" s="1" t="str">
        <x:v>AddFlat</x:v>
      </x:c>
      <x:c r="J26" s="1" t="str">
        <x:v>RowAndSelf</x:v>
      </x:c>
      <x:c r="K26" s="1" t="n">
        <x:v>0</x:v>
      </x:c>
      <x:c r="L26" s="1" t="n">
        <x:v>10</x:v>
      </x:c>
      <x:c r="M26" s="26"/>
      <x:c r="N26" s="1" t="str">
        <x:v>true</x:v>
      </x:c>
      <x:c r="O26" s="1" t="str">
        <x:v>{cscope}
每有 1 {unit}食物，分数 {0}</x:v>
      </x:c>
      <x:c r="P26" s="26"/>
      <x:c r="Q26" s="26"/>
      <x:c r="R26" s="26" t="s">
        <x:v>69</x:v>
      </x:c>
      <x:c r="S26" s="27" t="s">
        <x:v>183</x:v>
      </x:c>
      <x:c r="T26" s="26"/>
    </x:row>
    <x:row r="27" ht="17">
      <x:c r="A27" s="26"/>
      <x:c r="B27" s="1" t="str">
        <x:v>sk_osmanthus_cake_1</x:v>
      </x:c>
      <x:c r="C27" s="1" t="str">
        <x:v>OnSettle</x:v>
      </x:c>
      <x:c r="D27" s="1" t="str">
        <x:v>None</x:v>
      </x:c>
      <x:c r="E27" s="1" t="str">
        <x:v>RoundAndSelf</x:v>
      </x:c>
      <x:c r="F27" s="1" t="str">
        <x:v>Instances</x:v>
      </x:c>
      <x:c r="G27" s="1" t="str">
        <x:v>Gate</x:v>
      </x:c>
      <x:c r="H27" s="26"/>
      <x:c r="I27" s="1" t="str">
        <x:v>AddCountAs</x:v>
      </x:c>
      <x:c r="J27" s="1" t="str">
        <x:v>RoundAndSelf</x:v>
      </x:c>
      <x:c r="K27" s="1" t="n">
        <x:v>0</x:v>
      </x:c>
      <x:c r="L27" s="1" t="n">
        <x:v>3</x:v>
      </x:c>
      <x:c r="M27" s="26"/>
      <x:c r="N27" s="1" t="str">
        <x:v>true</x:v>
      </x:c>
      <x:c r="O27" s="1" t="str">
        <x:v>{ascope}额外视为 {value} 份食物</x:v>
      </x:c>
      <x:c r="P27" s="18"/>
      <x:c r="Q27" s="26"/>
      <x:c r="R27" s="26" t="s">
        <x:v>69</x:v>
      </x:c>
      <x:c r="S27" s="27" t="s">
        <x:v>189</x:v>
      </x:c>
      <x:c r="T27" s="26"/>
    </x:row>
    <x:row r="28">
      <x:c r="A28" s="26"/>
      <x:c r="B28" s="1" t="str">
        <x:v>sk_tanghulu_1</x:v>
      </x:c>
      <x:c r="C28" s="1" t="str">
        <x:v>OnSettle</x:v>
      </x:c>
      <x:c r="D28" s="1" t="str">
        <x:v>None</x:v>
      </x:c>
      <x:c r="E28" s="1" t="str">
        <x:v>Self</x:v>
      </x:c>
      <x:c r="F28" s="1" t="str">
        <x:v>Instances</x:v>
      </x:c>
      <x:c r="G28" s="1" t="str">
        <x:v>Gate</x:v>
      </x:c>
      <x:c r="H28" s="26"/>
      <x:c r="I28" s="1" t="str">
        <x:v>AddMultFlat</x:v>
      </x:c>
      <x:c r="J28" s="1" t="str">
        <x:v>RightAndSelf</x:v>
      </x:c>
      <x:c r="K28" s="1" t="n">
        <x:v>0</x:v>
      </x:c>
      <x:c r="L28" s="1" t="n">
        <x:v>1.5</x:v>
      </x:c>
      <x:c r="M28" s="26"/>
      <x:c r="N28" s="1" t="str">
        <x:v>true</x:v>
      </x:c>
      <x:c r="O28" s="1" t="str">
        <x:v>{ascope}倍率 {0}</x:v>
      </x:c>
      <x:c r="P28" s="26"/>
      <x:c r="Q28" s="26"/>
      <x:c r="R28" s="26" t="s">
        <x:v>195</x:v>
      </x:c>
      <x:c r="S28" s="27" t="s">
        <x:v>196</x:v>
      </x:c>
      <x:c r="T28" s="26"/>
    </x:row>
    <x:row r="29">
      <x:c r="A29" s="26"/>
      <x:c r="B29" s="1" t="str">
        <x:v>sk_tanghulu_2</x:v>
      </x:c>
      <x:c r="C29" s="1" t="str">
        <x:v>OnSettle</x:v>
      </x:c>
      <x:c r="D29" s="1" t="str">
        <x:v>None</x:v>
      </x:c>
      <x:c r="E29" s="1" t="str">
        <x:v>Right</x:v>
      </x:c>
      <x:c r="F29" s="1" t="str">
        <x:v>Instances</x:v>
      </x:c>
      <x:c r="G29" s="1" t="str">
        <x:v>Gate</x:v>
      </x:c>
      <x:c r="H29" s="26"/>
      <x:c r="I29" s="1" t="str">
        <x:v>TransferSkills</x:v>
      </x:c>
      <x:c r="J29" s="1" t="str">
        <x:v>Other</x:v>
      </x:c>
      <x:c r="K29" s="1" t="n">
        <x:v>1</x:v>
      </x:c>
      <x:c r="L29" s="1" t="n">
        <x:v>0</x:v>
      </x:c>
      <x:c r="M29" s="26"/>
      <x:c r="N29" s="1" t="str">
        <x:v>false</x:v>
      </x:c>
      <x:c r="O29" s="1" t="str">
        <x:v>甜蜜传递 {count} 个食物</x:v>
      </x:c>
      <x:c r="P29" s="26" t="str">
        <x:v>term_sweet_transfer</x:v>
      </x:c>
      <x:c r="Q29" s="26"/>
      <x:c r="R29" s="26" t="s">
        <x:v>195</x:v>
      </x:c>
      <x:c r="S29" s="27" t="s">
        <x:v>193</x:v>
      </x:c>
      <x:c r="T29" s="26"/>
    </x:row>
    <x:row r="30">
      <x:c r="A30" s="26"/>
      <x:c r="B30" s="1" t="str">
        <x:v>sk_napoleon_cake_1</x:v>
      </x:c>
      <x:c r="C30" s="1" t="str">
        <x:v>OnSettle</x:v>
      </x:c>
      <x:c r="D30" s="1" t="str">
        <x:v>None</x:v>
      </x:c>
      <x:c r="E30" s="1" t="str">
        <x:v>Category</x:v>
      </x:c>
      <x:c r="F30" s="1" t="str">
        <x:v>Instances</x:v>
      </x:c>
      <x:c r="G30" s="1" t="str">
        <x:v>Gate</x:v>
      </x:c>
      <x:c r="H30" s="26"/>
      <x:c r="I30" s="1" t="str">
        <x:v>AddMultFlat</x:v>
      </x:c>
      <x:c r="J30" s="1" t="str">
        <x:v>Category</x:v>
      </x:c>
      <x:c r="K30" s="1" t="n">
        <x:v>0</x:v>
      </x:c>
      <x:c r="L30" s="1" t="n">
        <x:v>1</x:v>
      </x:c>
      <x:c r="M30" s="26" t="str">
        <x:v>cat:cake</x:v>
      </x:c>
      <x:c r="N30" s="1" t="str">
        <x:v>true</x:v>
      </x:c>
      <x:c r="O30" s="1" t="str">
        <x:v>{cat}类食物倍率 {0}</x:v>
      </x:c>
      <x:c r="P30" s="26"/>
      <x:c r="Q30" s="26"/>
      <x:c r="R30" s="26" t="s">
        <x:v>197</x:v>
      </x:c>
      <x:c r="S30" s="27" t="s">
        <x:v>187</x:v>
      </x:c>
      <x:c r="T30" s="26"/>
    </x:row>
    <x:row r="31" ht="17">
      <x:c r="A31" s="26"/>
      <x:c r="B31" s="1" t="str">
        <x:v>sk_napoleon_cake_2</x:v>
      </x:c>
      <x:c r="C31" s="1" t="str">
        <x:v>OnSettle</x:v>
      </x:c>
      <x:c r="D31" s="1" t="str">
        <x:v>None</x:v>
      </x:c>
      <x:c r="E31" s="1" t="str">
        <x:v>RowAndSelf</x:v>
      </x:c>
      <x:c r="F31" s="1" t="str">
        <x:v>Instances</x:v>
      </x:c>
      <x:c r="G31" s="1" t="str">
        <x:v>Gate</x:v>
      </x:c>
      <x:c r="H31" s="26"/>
      <x:c r="I31" s="1" t="str">
        <x:v>AddFlat</x:v>
      </x:c>
      <x:c r="J31" s="1" t="str">
        <x:v>RowAndSelf</x:v>
      </x:c>
      <x:c r="K31" s="1" t="n">
        <x:v>0</x:v>
      </x:c>
      <x:c r="L31" s="1" t="n">
        <x:v>30</x:v>
      </x:c>
      <x:c r="M31" s="26"/>
      <x:c r="N31" s="1" t="str">
        <x:v>true</x:v>
      </x:c>
      <x:c r="O31" s="1" t="str">
        <x:v>{ascope}分数 {0}</x:v>
      </x:c>
      <x:c r="P31" s="18"/>
      <x:c r="Q31" s="26"/>
      <x:c r="R31" s="26" t="s">
        <x:v>197</x:v>
      </x:c>
      <x:c r="S31" s="27" t="s">
        <x:v>188</x:v>
      </x:c>
      <x:c r="T31" s="26"/>
    </x:row>
    <x:row r="32">
      <x:c r="A32" s="26"/>
      <x:c r="B32" s="1" t="str">
        <x:v>sk_honey_cake_1</x:v>
      </x:c>
      <x:c r="C32" s="1" t="str">
        <x:v>OnSettle</x:v>
      </x:c>
      <x:c r="D32" s="1" t="str">
        <x:v>None</x:v>
      </x:c>
      <x:c r="E32" s="1" t="str">
        <x:v>RoundAndSelf</x:v>
      </x:c>
      <x:c r="F32" s="1" t="str">
        <x:v>Instances</x:v>
      </x:c>
      <x:c r="G32" s="1" t="str">
        <x:v>Gate</x:v>
      </x:c>
      <x:c r="H32" s="26"/>
      <x:c r="I32" s="1" t="str">
        <x:v>AddMultFlat</x:v>
      </x:c>
      <x:c r="J32" s="1" t="str">
        <x:v>RoundAndSelf</x:v>
      </x:c>
      <x:c r="K32" s="1" t="n">
        <x:v>0</x:v>
      </x:c>
      <x:c r="L32" s="1" t="n">
        <x:v>1</x:v>
      </x:c>
      <x:c r="M32" s="26"/>
      <x:c r="N32" s="1" t="str">
        <x:v>true</x:v>
      </x:c>
      <x:c r="O32" s="1" t="str">
        <x:v>{ascope}倍率 {0}</x:v>
      </x:c>
      <x:c r="P32" s="18"/>
      <x:c r="Q32" s="26"/>
      <x:c r="R32" s="26" t="s">
        <x:v>198</x:v>
      </x:c>
      <x:c r="S32" s="27" t="s">
        <x:v>190</x:v>
      </x:c>
      <x:c r="T32" s="26"/>
    </x:row>
    <x:row r="33" s="25" customFormat="1">
      <x:c r="A33" s="8"/>
      <x:c r="B33" s="8" t="str">
        <x:v>sk_honey_cake_2</x:v>
      </x:c>
      <x:c r="C33" s="1" t="str">
        <x:v>OnSettle</x:v>
      </x:c>
      <x:c r="D33" s="1" t="str">
        <x:v>None</x:v>
      </x:c>
      <x:c r="E33" s="1" t="str">
        <x:v>Self</x:v>
      </x:c>
      <x:c r="F33" s="1" t="str">
        <x:v>Instances</x:v>
      </x:c>
      <x:c r="G33" s="1" t="str">
        <x:v>Gate</x:v>
      </x:c>
      <x:c r="H33" s="1"/>
      <x:c r="I33" s="1" t="str">
        <x:v>AddLayer</x:v>
      </x:c>
      <x:c r="J33" s="1" t="str">
        <x:v>CakeBuff</x:v>
      </x:c>
      <x:c r="K33" s="1" t="n">
        <x:v>0</x:v>
      </x:c>
      <x:c r="L33" s="1" t="n">
        <x:v>10</x:v>
      </x:c>
      <x:c r="M33" s="1"/>
      <x:c r="N33" s="1" t="str">
        <x:v>true</x:v>
      </x:c>
      <x:c r="O33" s="1" t="str">
        <x:v>欢乐蛋糕 {0} 层</x:v>
      </x:c>
      <x:c r="P33" s="18" t="str">
        <x:v>clb</x:v>
      </x:c>
      <x:c r="Q33" s="26"/>
      <x:c r="R33" s="26" t="s">
        <x:v>70</x:v>
      </x:c>
      <x:c r="S33" s="27" t="s">
        <x:v>190</x:v>
      </x:c>
      <x:c r="T33" s="26"/>
    </x:row>
    <x:row r="34">
      <x:c r="A34" s="26"/>
      <x:c r="B34" s="1" t="str">
        <x:v>sk_tree_ring_cake_1</x:v>
      </x:c>
      <x:c r="C34" s="1" t="str">
        <x:v>OnSettle</x:v>
      </x:c>
      <x:c r="D34" s="1" t="str">
        <x:v>EmptyCell</x:v>
      </x:c>
      <x:c r="E34" s="1" t="str">
        <x:v>All</x:v>
      </x:c>
      <x:c r="F34" s="1" t="str">
        <x:v>PhysicalInstances</x:v>
      </x:c>
      <x:c r="G34" s="1" t="str">
        <x:v>Per</x:v>
      </x:c>
      <x:c r="H34" s="26"/>
      <x:c r="I34" s="1" t="str">
        <x:v>AddLayer</x:v>
      </x:c>
      <x:c r="J34" s="1" t="str">
        <x:v>CakeBuff</x:v>
      </x:c>
      <x:c r="K34" s="1" t="n">
        <x:v>0</x:v>
      </x:c>
      <x:c r="L34" s="1" t="n">
        <x:v>5</x:v>
      </x:c>
      <x:c r="M34" s="26"/>
      <x:c r="N34" s="1" t="str">
        <x:v>true</x:v>
      </x:c>
      <x:c r="O34" s="1" t="str">
        <x:v>每有 1 个空格
欢乐蛋糕 {0} 层</x:v>
      </x:c>
      <x:c r="P34" s="26" t="str">
        <x:v>clb</x:v>
      </x:c>
      <x:c r="Q34" s="26"/>
      <x:c r="R34" s="26" t="s">
        <x:v>199</x:v>
      </x:c>
      <x:c r="S34" s="27" t="s">
        <x:v>187</x:v>
      </x:c>
      <x:c r="T34" s="26"/>
    </x:row>
    <x:row r="35" ht="17">
      <x:c r="A35" s="26"/>
      <x:c r="B35" s="1" t="str">
        <x:v>sk_nougat_1</x:v>
      </x:c>
      <x:c r="C35" s="1" t="str">
        <x:v>OnSettle</x:v>
      </x:c>
      <x:c r="D35" s="1" t="str">
        <x:v>None</x:v>
      </x:c>
      <x:c r="E35" s="1" t="str">
        <x:v>Self</x:v>
      </x:c>
      <x:c r="F35" s="1" t="str">
        <x:v>Instances</x:v>
      </x:c>
      <x:c r="G35" s="1" t="str">
        <x:v>Gate</x:v>
      </x:c>
      <x:c r="H35" s="26"/>
      <x:c r="I35" s="1" t="str">
        <x:v>AddMultFlat</x:v>
      </x:c>
      <x:c r="J35" s="1" t="str">
        <x:v>LeftAndSelf</x:v>
      </x:c>
      <x:c r="K35" s="1" t="n">
        <x:v>0</x:v>
      </x:c>
      <x:c r="L35" s="1" t="n">
        <x:v>1</x:v>
      </x:c>
      <x:c r="M35" s="26"/>
      <x:c r="N35" s="1" t="str">
        <x:v>true</x:v>
      </x:c>
      <x:c r="O35" s="1" t="str">
        <x:v>{ascope}倍率 {0}</x:v>
      </x:c>
      <x:c r="P35" s="18"/>
      <x:c r="Q35" s="26"/>
      <x:c r="R35" s="26" t="s">
        <x:v>199</x:v>
      </x:c>
      <x:c r="S35" s="27" t="s">
        <x:v>189</x:v>
      </x:c>
      <x:c r="T35" s="26"/>
    </x:row>
    <x:row r="36">
      <x:c r="A36" s="26"/>
      <x:c r="B36" s="1" t="str">
        <x:v>sk_nougat_2</x:v>
      </x:c>
      <x:c r="C36" s="1" t="str">
        <x:v>OnSettle</x:v>
      </x:c>
      <x:c r="D36" s="1" t="str">
        <x:v>None</x:v>
      </x:c>
      <x:c r="E36" s="1" t="str">
        <x:v>Self</x:v>
      </x:c>
      <x:c r="F36" s="1" t="str">
        <x:v>Instances</x:v>
      </x:c>
      <x:c r="G36" s="1" t="str">
        <x:v>Gate</x:v>
      </x:c>
      <x:c r="H36" s="26"/>
      <x:c r="I36" s="1" t="str">
        <x:v>TransferSkills</x:v>
      </x:c>
      <x:c r="J36" s="1" t="str">
        <x:v>Other</x:v>
      </x:c>
      <x:c r="K36" s="1" t="n">
        <x:v>1</x:v>
      </x:c>
      <x:c r="L36" s="1" t="n">
        <x:v>0</x:v>
      </x:c>
      <x:c r="M36" s="26"/>
      <x:c r="N36" s="1" t="str">
        <x:v>false</x:v>
      </x:c>
      <x:c r="O36" s="1" t="str">
        <x:v>甜蜜传递至 {count} 个食物</x:v>
      </x:c>
      <x:c r="P36" s="1" t="str">
        <x:v>term_sweet_transfer</x:v>
      </x:c>
      <x:c r="Q36" s="26"/>
      <x:c r="R36" s="26" t="s">
        <x:v>71</x:v>
      </x:c>
      <x:c r="S36" s="27" t="s">
        <x:v>188</x:v>
      </x:c>
      <x:c r="T36" s="26"/>
    </x:row>
    <x:row r="37">
      <x:c r="A37" s="26"/>
      <x:c r="B37" s="1" t="str">
        <x:v>sk_hawthorn_cake_1</x:v>
      </x:c>
      <x:c r="C37" s="1" t="str">
        <x:v>OnSettle</x:v>
      </x:c>
      <x:c r="D37" s="1" t="str">
        <x:v>DishSize</x:v>
      </x:c>
      <x:c r="E37" s="1" t="str">
        <x:v>All</x:v>
      </x:c>
      <x:c r="F37" s="1" t="str">
        <x:v>PhysicalInstances</x:v>
      </x:c>
      <x:c r="G37" s="1" t="str">
        <x:v>Per</x:v>
      </x:c>
      <x:c r="H37" s="26" t="str">
        <x:v>eq:2</x:v>
      </x:c>
      <x:c r="I37" s="1" t="str">
        <x:v>AddFlat</x:v>
      </x:c>
      <x:c r="J37" s="1" t="str">
        <x:v>All</x:v>
      </x:c>
      <x:c r="K37" s="1" t="n">
        <x:v>0</x:v>
      </x:c>
      <x:c r="L37" s="1" t="n">
        <x:v>8</x:v>
      </x:c>
      <x:c r="M37" s="26" t="str">
        <x:v>size:2</x:v>
      </x:c>
      <x:c r="N37" s="1" t="str">
        <x:v>true</x:v>
      </x:c>
      <x:c r="O37" s="1" t="str">
        <x:v>每有 1 个占 2 格的食物
此类食物分数 {0}</x:v>
      </x:c>
      <x:c r="P37" s="26"/>
      <x:c r="Q37" s="26"/>
      <x:c r="R37" s="26" t="s">
        <x:v>71</x:v>
      </x:c>
      <x:c r="S37" s="27" t="s">
        <x:v>196</x:v>
      </x:c>
      <x:c r="T37" s="26"/>
    </x:row>
    <x:row r="38">
      <x:c r="A38" s="26"/>
      <x:c r="B38" s="1" t="str">
        <x:v>sk_souffle_1</x:v>
      </x:c>
      <x:c r="C38" s="1" t="str">
        <x:v>OnSettle</x:v>
      </x:c>
      <x:c r="D38" s="1" t="str">
        <x:v>None</x:v>
      </x:c>
      <x:c r="E38" s="1" t="str">
        <x:v>Self</x:v>
      </x:c>
      <x:c r="F38" s="1" t="str">
        <x:v>Instances</x:v>
      </x:c>
      <x:c r="G38" s="1" t="str">
        <x:v>Gate</x:v>
      </x:c>
      <x:c r="H38" s="26"/>
      <x:c r="I38" s="1" t="str">
        <x:v>PermanentAddFlat</x:v>
      </x:c>
      <x:c r="J38" s="1" t="str">
        <x:v>Self</x:v>
      </x:c>
      <x:c r="K38" s="1" t="n">
        <x:v>0</x:v>
      </x:c>
      <x:c r="L38" s="1" t="n">
        <x:v>-20</x:v>
      </x:c>
      <x:c r="M38" s="26"/>
      <x:c r="N38" s="1" t="str">
        <x:v>true</x:v>
      </x:c>
      <x:c r="O38" s="1" t="str">
        <x:v>每次结算
分数永久 {0}</x:v>
      </x:c>
      <x:c r="P38" s="26"/>
      <x:c r="Q38" s="26"/>
      <x:c r="R38" s="26" t="s">
        <x:v>72</x:v>
      </x:c>
      <x:c r="S38" s="27" t="s">
        <x:v>184</x:v>
      </x:c>
      <x:c r="T38" s="26"/>
    </x:row>
    <x:row r="39">
      <x:c r="A39" s="26"/>
      <x:c r="B39" s="1" t="str">
        <x:v>sk_fruit_tart_1</x:v>
      </x:c>
      <x:c r="C39" s="1" t="str">
        <x:v>OnSettle</x:v>
      </x:c>
      <x:c r="D39" s="1" t="str">
        <x:v>None</x:v>
      </x:c>
      <x:c r="E39" s="1" t="str">
        <x:v>Self</x:v>
      </x:c>
      <x:c r="F39" s="1" t="str">
        <x:v>Instances</x:v>
      </x:c>
      <x:c r="G39" s="1" t="str">
        <x:v>Gate</x:v>
      </x:c>
      <x:c r="H39" s="26"/>
      <x:c r="I39" s="1" t="str">
        <x:v>AddCurrentScore</x:v>
      </x:c>
      <x:c r="J39" s="1" t="str">
        <x:v>RowAndSelf</x:v>
      </x:c>
      <x:c r="K39" s="1" t="n">
        <x:v>0</x:v>
      </x:c>
      <x:c r="L39" s="1" t="n">
        <x:v>0.25</x:v>
      </x:c>
      <x:c r="M39" s="26" t="str">
        <x:v>source:row-max;exclude:source</x:v>
      </x:c>
      <x:c r="N39" s="1" t="str">
        <x:v>false</x:v>
      </x:c>
      <x:c r="O39" s="1" t="str">
        <x:v>将本行最高当前分数的 1/4
加至本行其他食物上</x:v>
      </x:c>
      <x:c r="P39" s="1"/>
      <x:c r="Q39" s="26"/>
      <x:c r="R39" s="26" t="s">
        <x:v>73</x:v>
      </x:c>
      <x:c r="S39" s="27" t="s">
        <x:v>188</x:v>
      </x:c>
      <x:c r="T39" s="26"/>
    </x:row>
    <x:row r="40" ht="17">
      <x:c r="A40" s="26"/>
      <x:c r="B40" s="1" t="str">
        <x:v>sk_strawberry_sundae_1</x:v>
      </x:c>
      <x:c r="C40" s="1" t="str">
        <x:v>OnSettle</x:v>
      </x:c>
      <x:c r="D40" s="1" t="str">
        <x:v>TagCount</x:v>
      </x:c>
      <x:c r="E40" s="1" t="str">
        <x:v>Self</x:v>
      </x:c>
      <x:c r="F40" s="1" t="str">
        <x:v>PhysicalInstances</x:v>
      </x:c>
      <x:c r="G40" s="1" t="str">
        <x:v>Per</x:v>
      </x:c>
      <x:c r="H40" s="26" t="str">
        <x:v>source:passive-items</x:v>
      </x:c>
      <x:c r="I40" s="1" t="str">
        <x:v>AddFlat</x:v>
      </x:c>
      <x:c r="J40" s="1" t="str">
        <x:v>ColumnAndSelf</x:v>
      </x:c>
      <x:c r="K40" s="1" t="n">
        <x:v>0</x:v>
      </x:c>
      <x:c r="L40" s="1" t="n">
        <x:v>10</x:v>
      </x:c>
      <x:c r="M40" s="26"/>
      <x:c r="N40" s="1" t="str">
        <x:v>true</x:v>
      </x:c>
      <x:c r="O40" s="1" t="str">
        <x:v>每有 1 个装饰品
{ascope}分数 {0}</x:v>
      </x:c>
      <x:c r="P40" s="18"/>
      <x:c r="Q40" s="26"/>
      <x:c r="R40" s="26" t="s">
        <x:v>200</x:v>
      </x:c>
      <x:c r="S40" s="27" t="s">
        <x:v>192</x:v>
      </x:c>
      <x:c r="T40" s="26"/>
    </x:row>
    <x:row r="41">
      <x:c r="A41" s="26"/>
      <x:c r="B41" s="1" t="str">
        <x:v>sk_rock_sugar_pear_1</x:v>
      </x:c>
      <x:c r="C41" s="1" t="str">
        <x:v>OnSettle</x:v>
      </x:c>
      <x:c r="D41" s="1" t="str">
        <x:v>None</x:v>
      </x:c>
      <x:c r="E41" s="1" t="str">
        <x:v>Self</x:v>
      </x:c>
      <x:c r="F41" s="1" t="str">
        <x:v>Instances</x:v>
      </x:c>
      <x:c r="G41" s="1" t="str">
        <x:v>Gate</x:v>
      </x:c>
      <x:c r="H41" s="26"/>
      <x:c r="I41" s="1" t="str">
        <x:v>AddMultFlat</x:v>
      </x:c>
      <x:c r="J41" s="1" t="str">
        <x:v>ColumnAndSelf</x:v>
      </x:c>
      <x:c r="K41" s="1" t="n">
        <x:v>0</x:v>
      </x:c>
      <x:c r="L41" s="1" t="n">
        <x:v>2</x:v>
      </x:c>
      <x:c r="M41" s="26"/>
      <x:c r="N41" s="1" t="str">
        <x:v>true</x:v>
      </x:c>
      <x:c r="O41" s="1" t="str">
        <x:v>{ascope}倍率 {0}</x:v>
      </x:c>
      <x:c r="P41" s="18"/>
      <x:c r="Q41" s="26"/>
      <x:c r="R41" s="26" t="s">
        <x:v>74</x:v>
      </x:c>
      <x:c r="S41" s="27" t="s">
        <x:v>193</x:v>
      </x:c>
      <x:c r="T41" s="26"/>
    </x:row>
    <x:row r="42">
      <x:c r="A42" s="26"/>
      <x:c r="B42" s="1" t="str">
        <x:v>sk_rock_sugar_pear_2</x:v>
      </x:c>
      <x:c r="C42" s="1" t="str">
        <x:v>OnSettle</x:v>
      </x:c>
      <x:c r="D42" s="1" t="str">
        <x:v>None</x:v>
      </x:c>
      <x:c r="E42" s="1" t="str">
        <x:v>Self</x:v>
      </x:c>
      <x:c r="F42" s="1" t="str">
        <x:v>Instances</x:v>
      </x:c>
      <x:c r="G42" s="1" t="str">
        <x:v>Gate</x:v>
      </x:c>
      <x:c r="H42" s="26"/>
      <x:c r="I42" s="1" t="str">
        <x:v>RequestRecipeRemoval</x:v>
      </x:c>
      <x:c r="J42" s="1" t="str">
        <x:v>Self</x:v>
      </x:c>
      <x:c r="K42" s="1" t="n">
        <x:v>0</x:v>
      </x:c>
      <x:c r="L42" s="1" t="n">
        <x:v>0.1</x:v>
      </x:c>
      <x:c r="M42" s="26"/>
      <x:c r="N42" s="1" t="str">
        <x:v>false</x:v>
      </x:c>
      <x:c r="O42" s="1" t="str">
        <x:v>营业结束后，1/10 概率移除食物</x:v>
      </x:c>
      <x:c r="P42" s="26"/>
      <x:c r="Q42" s="26"/>
      <x:c r="R42" s="26" t="s">
        <x:v>201</x:v>
      </x:c>
      <x:c r="S42" s="27" t="s">
        <x:v>190</x:v>
      </x:c>
      <x:c r="T42" s="26"/>
    </x:row>
    <x:row r="43" ht="17">
      <x:c r="A43" s="26"/>
      <x:c r="B43" s="1" t="str">
        <x:v>sk_popping_candy_1</x:v>
      </x:c>
      <x:c r="C43" s="1" t="str">
        <x:v>OnSettle</x:v>
      </x:c>
      <x:c r="D43" s="1" t="str">
        <x:v>None</x:v>
      </x:c>
      <x:c r="E43" s="1" t="str">
        <x:v>Self</x:v>
      </x:c>
      <x:c r="F43" s="1" t="str">
        <x:v>Instances</x:v>
      </x:c>
      <x:c r="G43" s="1" t="str">
        <x:v>Gate</x:v>
      </x:c>
      <x:c r="H43" s="26"/>
      <x:c r="I43" s="1" t="str">
        <x:v>AddFlat</x:v>
      </x:c>
      <x:c r="J43" s="1" t="str">
        <x:v>ColumnAndSelf</x:v>
      </x:c>
      <x:c r="K43" s="1" t="n">
        <x:v>0</x:v>
      </x:c>
      <x:c r="L43" s="1" t="n">
        <x:v>60</x:v>
      </x:c>
      <x:c r="M43" s="26" t="str">
        <x:v>when:receive-transfer</x:v>
      </x:c>
      <x:c r="N43" s="1" t="str">
        <x:v>true</x:v>
      </x:c>
      <x:c r="O43" s="1" t="str">
        <x:v>结算后，{ascope}获得甜蜜传递的食物
分数 {0}</x:v>
      </x:c>
      <x:c r="P43" s="18"/>
      <x:c r="Q43" s="26"/>
      <x:c r="R43" s="26" t="s">
        <x:v>75</x:v>
      </x:c>
      <x:c r="S43" s="27" t="s">
        <x:v>188</x:v>
      </x:c>
      <x:c r="T43" s="26"/>
    </x:row>
    <x:row r="44">
      <x:c r="A44" s="26"/>
      <x:c r="B44" s="1" t="str">
        <x:v>sk_mille_crepe_cake_1</x:v>
      </x:c>
      <x:c r="C44" s="1" t="str">
        <x:v>OnSettle</x:v>
      </x:c>
      <x:c r="D44" s="1" t="str">
        <x:v>CategoryCount</x:v>
      </x:c>
      <x:c r="E44" s="1" t="str">
        <x:v>ColumnAndSelf</x:v>
      </x:c>
      <x:c r="F44" s="1" t="str">
        <x:v>PhysicalInstances</x:v>
      </x:c>
      <x:c r="G44" s="1" t="str">
        <x:v>Per</x:v>
      </x:c>
      <x:c r="H44" s="26" t="str">
        <x:v>cake</x:v>
      </x:c>
      <x:c r="I44" s="1" t="str">
        <x:v>AddLayer</x:v>
      </x:c>
      <x:c r="J44" s="1" t="str">
        <x:v>CakeBuff</x:v>
      </x:c>
      <x:c r="K44" s="1" t="n">
        <x:v>0</x:v>
      </x:c>
      <x:c r="L44" s="1" t="n">
        <x:v>10</x:v>
      </x:c>
      <x:c r="M44" s="26"/>
      <x:c r="N44" s="1" t="str">
        <x:v>true</x:v>
      </x:c>
      <x:c r="O44" s="1" t="str">
        <x:v>{cscope}每有 1 个蛋糕
欢乐蛋糕 {0} 层</x:v>
      </x:c>
      <x:c r="P44" s="26" t="str">
        <x:v>clb</x:v>
      </x:c>
      <x:c r="Q44" s="26"/>
      <x:c r="R44" s="26" t="s">
        <x:v>75</x:v>
      </x:c>
      <x:c r="S44" s="27" t="s">
        <x:v>190</x:v>
      </x:c>
      <x:c r="T44" s="26"/>
    </x:row>
    <x:row r="45">
      <x:c r="A45" s="26"/>
      <x:c r="B45" s="1" t="str">
        <x:v>sk_soybean_glutinous_roll_1</x:v>
      </x:c>
      <x:c r="C45" s="1" t="str">
        <x:v>OnSettle</x:v>
      </x:c>
      <x:c r="D45" s="1" t="str">
        <x:v>DishCount</x:v>
      </x:c>
      <x:c r="E45" s="1" t="str">
        <x:v>RoundAndSelf</x:v>
      </x:c>
      <x:c r="F45" s="1" t="str">
        <x:v>Instances</x:v>
      </x:c>
      <x:c r="G45" s="1" t="str">
        <x:v>Per</x:v>
      </x:c>
      <x:c r="H45" s="26"/>
      <x:c r="I45" s="1" t="str">
        <x:v>AddMult</x:v>
      </x:c>
      <x:c r="J45" s="1" t="str">
        <x:v>RoundAndSelf</x:v>
      </x:c>
      <x:c r="K45" s="1" t="n">
        <x:v>0</x:v>
      </x:c>
      <x:c r="L45" s="1" t="n">
        <x:v>0.2</x:v>
      </x:c>
      <x:c r="M45" s="26" t="str">
        <x:v>linear</x:v>
      </x:c>
      <x:c r="N45" s="1" t="str">
        <x:v>false</x:v>
      </x:c>
      <x:c r="O45" s="1" t="str">
        <x:v>{cscope}每有 1 份食物
倍率 +0.2</x:v>
      </x:c>
      <x:c r="P45" s="18"/>
      <x:c r="Q45" s="26"/>
      <x:c r="R45" s="26" t="s">
        <x:v>76</x:v>
      </x:c>
      <x:c r="S45" s="27" t="s">
        <x:v>76</x:v>
      </x:c>
      <x:c r="T45" s="26"/>
    </x:row>
    <x:row r="46">
      <x:c r="A46" s="26"/>
      <x:c r="B46" s="1" t="str">
        <x:v>sk_sachima_1</x:v>
      </x:c>
      <x:c r="C46" s="1" t="str">
        <x:v>OnSettle</x:v>
      </x:c>
      <x:c r="D46" s="1" t="str">
        <x:v>DishCount</x:v>
      </x:c>
      <x:c r="E46" s="1" t="str">
        <x:v>ColumnAndSelf</x:v>
      </x:c>
      <x:c r="F46" s="1" t="str">
        <x:v>Instances</x:v>
      </x:c>
      <x:c r="G46" s="1" t="str">
        <x:v>Reach</x:v>
      </x:c>
      <x:c r="H46" s="26" t="str">
        <x:v>tiers:6|15|30</x:v>
      </x:c>
      <x:c r="I46" s="1" t="str">
        <x:v>AddMultFlat</x:v>
      </x:c>
      <x:c r="J46" s="1" t="str">
        <x:v>ColumnAndSelf</x:v>
      </x:c>
      <x:c r="K46" s="1" t="n">
        <x:v>0</x:v>
      </x:c>
      <x:c r="L46" s="1" t="n">
        <x:v>0</x:v>
      </x:c>
      <x:c r="M46" s="26" t="str">
        <x:v>tiervals:1.2|2.5|4</x:v>
      </x:c>
      <x:c r="N46" s="1" t="str">
        <x:v>true</x:v>
      </x:c>
      <x:c r="O46" s="1" t="str">
        <x:v>{cscope}食物份数达 {tiers} 时
倍率 {tiervals}</x:v>
      </x:c>
      <x:c r="P46" s="1"/>
      <x:c r="Q46" s="26"/>
      <x:c r="R46" s="26" t="s">
        <x:v>76</x:v>
      </x:c>
      <x:c r="S46" s="27" t="s">
        <x:v>189</x:v>
      </x:c>
      <x:c r="T46" s="26"/>
    </x:row>
    <x:row r="47">
      <x:c r="A47" s="26"/>
      <x:c r="B47" s="1" t="str">
        <x:v>sk_gummy_1</x:v>
      </x:c>
      <x:c r="C47" s="1" t="str">
        <x:v>OnSettle</x:v>
      </x:c>
      <x:c r="D47" s="1" t="str">
        <x:v>None</x:v>
      </x:c>
      <x:c r="E47" s="1" t="str">
        <x:v>ColumnAndSelf</x:v>
      </x:c>
      <x:c r="F47" s="1" t="str">
        <x:v>Instances</x:v>
      </x:c>
      <x:c r="G47" s="1" t="str">
        <x:v>Gate</x:v>
      </x:c>
      <x:c r="H47" s="26"/>
      <x:c r="I47" s="1" t="str">
        <x:v>AddMult</x:v>
      </x:c>
      <x:c r="J47" s="1" t="str">
        <x:v>ColumnAndSelf</x:v>
      </x:c>
      <x:c r="K47" s="1" t="n">
        <x:v>0</x:v>
      </x:c>
      <x:c r="L47" s="1" t="n">
        <x:v>1.5</x:v>
      </x:c>
      <x:c r="M47" s="26" t="str">
        <x:v>when:transfer;resultscope:TransferSource</x:v>
      </x:c>
      <x:c r="N47" s="1" t="str">
        <x:v>false</x:v>
      </x:c>
      <x:c r="O47" s="1" t="str">
        <x:v>结算后，{cscope}发动甜蜜传递的食物
自身倍率 ×{0}</x:v>
      </x:c>
      <x:c r="P47" s="26"/>
      <x:c r="Q47" s="26"/>
      <x:c r="R47" s="26" t="s">
        <x:v>77</x:v>
      </x:c>
      <x:c r="S47" s="27" t="s">
        <x:v>193</x:v>
      </x:c>
      <x:c r="T47" s="26"/>
    </x:row>
    <x:row r="48" ht="17">
      <x:c r="A48" s="26"/>
      <x:c r="B48" s="1" t="str">
        <x:v>sk_chocolate_wafer_1</x:v>
      </x:c>
      <x:c r="C48" s="1" t="str">
        <x:v>OnSettle</x:v>
      </x:c>
      <x:c r="D48" s="1" t="str">
        <x:v>None</x:v>
      </x:c>
      <x:c r="E48" s="1" t="str">
        <x:v>RoundAndSelf</x:v>
      </x:c>
      <x:c r="F48" s="1" t="str">
        <x:v>Instances</x:v>
      </x:c>
      <x:c r="G48" s="1" t="str">
        <x:v>Gate</x:v>
      </x:c>
      <x:c r="H48" s="26"/>
      <x:c r="I48" s="1" t="str">
        <x:v>PermanentAddFlat</x:v>
      </x:c>
      <x:c r="J48" s="1" t="str">
        <x:v>RoundAndSelf</x:v>
      </x:c>
      <x:c r="K48" s="1" t="n">
        <x:v>0</x:v>
      </x:c>
      <x:c r="L48" s="1" t="n">
        <x:v>10</x:v>
      </x:c>
      <x:c r="M48" s="26"/>
      <x:c r="N48" s="1" t="str">
        <x:v>true</x:v>
      </x:c>
      <x:c r="O48" s="1" t="str">
        <x:v>{ascope}分数永久 {0}</x:v>
      </x:c>
      <x:c r="P48" s="18"/>
      <x:c r="Q48" s="26"/>
      <x:c r="R48" s="26" t="s">
        <x:v>77</x:v>
      </x:c>
      <x:c r="S48" s="27" t="s">
        <x:v>188</x:v>
      </x:c>
      <x:c r="T48" s="26"/>
    </x:row>
    <x:row r="49">
      <x:c r="A49" s="26"/>
      <x:c r="B49" s="1" t="str">
        <x:v>sk_chocolate_wafer_2</x:v>
      </x:c>
      <x:c r="C49" s="1" t="str">
        <x:v>OnSettle</x:v>
      </x:c>
      <x:c r="D49" s="1" t="str">
        <x:v>None</x:v>
      </x:c>
      <x:c r="E49" s="1" t="str">
        <x:v>RoundAndSelf</x:v>
      </x:c>
      <x:c r="F49" s="1" t="str">
        <x:v>Instances</x:v>
      </x:c>
      <x:c r="G49" s="1" t="str">
        <x:v>Gate</x:v>
      </x:c>
      <x:c r="H49" s="26"/>
      <x:c r="I49" s="1" t="str">
        <x:v>TransferSkills</x:v>
      </x:c>
      <x:c r="J49" s="1" t="str">
        <x:v>Other</x:v>
      </x:c>
      <x:c r="K49" s="1" t="n">
        <x:v>1</x:v>
      </x:c>
      <x:c r="L49" s="1" t="n">
        <x:v>0</x:v>
      </x:c>
      <x:c r="M49" s="26"/>
      <x:c r="N49" s="1" t="str">
        <x:v>false</x:v>
      </x:c>
      <x:c r="O49" s="1" t="str">
        <x:v>甜蜜传递 {count} 个食物</x:v>
      </x:c>
      <x:c r="P49" s="18" t="str">
        <x:v>term_sweet_transfer</x:v>
      </x:c>
      <x:c r="Q49" s="26"/>
      <x:c r="R49" s="26" t="s">
        <x:v>202</x:v>
      </x:c>
      <x:c r="S49" s="27" t="s">
        <x:v>183</x:v>
      </x:c>
      <x:c r="T49" s="26"/>
    </x:row>
    <x:row r="50" ht="17">
      <x:c r="A50" s="26"/>
      <x:c r="B50" s="1" t="str">
        <x:v>sk_cake_roll_1</x:v>
      </x:c>
      <x:c r="C50" s="1" t="str">
        <x:v>OnSettle</x:v>
      </x:c>
      <x:c r="D50" s="1" t="str">
        <x:v>None</x:v>
      </x:c>
      <x:c r="E50" s="1" t="str">
        <x:v>Self</x:v>
      </x:c>
      <x:c r="F50" s="1" t="str">
        <x:v>Instances</x:v>
      </x:c>
      <x:c r="G50" s="1" t="str">
        <x:v>Gate</x:v>
      </x:c>
      <x:c r="H50" s="26"/>
      <x:c r="I50" s="1" t="str">
        <x:v>AddLayer</x:v>
      </x:c>
      <x:c r="J50" s="1" t="str">
        <x:v>CakeBuff</x:v>
      </x:c>
      <x:c r="K50" s="1" t="n">
        <x:v>0</x:v>
      </x:c>
      <x:c r="L50" s="1" t="n">
        <x:v>10</x:v>
      </x:c>
      <x:c r="M50" s="26"/>
      <x:c r="N50" s="1" t="str">
        <x:v>true</x:v>
      </x:c>
      <x:c r="O50" s="1" t="str">
        <x:v>欢乐蛋糕 {0} 层</x:v>
      </x:c>
      <x:c r="P50" s="18" t="str">
        <x:v>clb</x:v>
      </x:c>
      <x:c r="Q50" s="26"/>
      <x:c r="R50" s="26" t="s">
        <x:v>202</x:v>
      </x:c>
      <x:c r="S50" s="27" t="s">
        <x:v>189</x:v>
      </x:c>
      <x:c r="T50" s="26"/>
    </x:row>
    <x:row r="51">
      <x:c r="A51" s="26"/>
      <x:c r="B51" s="1" t="str">
        <x:v>sk_cake_roll_2</x:v>
      </x:c>
      <x:c r="C51" s="1" t="str">
        <x:v>OnSettle</x:v>
      </x:c>
      <x:c r="D51" s="1" t="str">
        <x:v>None</x:v>
      </x:c>
      <x:c r="E51" s="1" t="str">
        <x:v>Category</x:v>
      </x:c>
      <x:c r="F51" s="1" t="str">
        <x:v>Instances</x:v>
      </x:c>
      <x:c r="G51" s="1" t="str">
        <x:v>Gate</x:v>
      </x:c>
      <x:c r="H51" s="26"/>
      <x:c r="I51" s="1" t="str">
        <x:v>AddCurrentScore</x:v>
      </x:c>
      <x:c r="J51" s="1" t="str">
        <x:v>Category</x:v>
      </x:c>
      <x:c r="K51" s="1" t="n">
        <x:v>0</x:v>
      </x:c>
      <x:c r="L51" s="1" t="n">
        <x:v>1</x:v>
      </x:c>
      <x:c r="M51" s="26" t="str">
        <x:v>cat:cake</x:v>
      </x:c>
      <x:c r="N51" s="1" t="str">
        <x:v>false</x:v>
      </x:c>
      <x:c r="O51" s="1" t="str">
        <x:v>将自身分数加至{cat}类食物上</x:v>
      </x:c>
      <x:c r="P51" s="18"/>
      <x:c r="Q51" s="26"/>
      <x:c r="R51" s="26" t="s">
        <x:v>78</x:v>
      </x:c>
      <x:c r="S51" s="27" t="s">
        <x:v>187</x:v>
      </x:c>
      <x:c r="T51" s="26"/>
    </x:row>
    <x:row r="52">
      <x:c r="A52" s="26"/>
      <x:c r="B52" s="1" t="str">
        <x:v>sk_fondant_cake_1</x:v>
      </x:c>
      <x:c r="C52" s="1" t="str">
        <x:v>OnSettle</x:v>
      </x:c>
      <x:c r="D52" s="1" t="str">
        <x:v>None</x:v>
      </x:c>
      <x:c r="E52" s="1" t="str">
        <x:v>Self</x:v>
      </x:c>
      <x:c r="F52" s="1" t="str">
        <x:v>Instances</x:v>
      </x:c>
      <x:c r="G52" s="1" t="str">
        <x:v>Gate</x:v>
      </x:c>
      <x:c r="H52" s="26"/>
      <x:c r="I52" s="1" t="str">
        <x:v>AddTemporaryCategory</x:v>
      </x:c>
      <x:c r="J52" s="1" t="str">
        <x:v>Left</x:v>
      </x:c>
      <x:c r="K52" s="1" t="n">
        <x:v>1</x:v>
      </x:c>
      <x:c r="L52" s="1" t="n">
        <x:v>0</x:v>
      </x:c>
      <x:c r="M52" s="26" t="str">
        <x:v>cat:cake;target:random</x:v>
      </x:c>
      <x:c r="N52" s="1" t="str">
        <x:v>false</x:v>
      </x:c>
      <x:c r="O52" s="1" t="str">
        <x:v>左侧随机1个食物视为蛋糕</x:v>
      </x:c>
      <x:c r="P52" s="18"/>
      <x:c r="Q52" s="26"/>
      <x:c r="R52" s="26" t="s">
        <x:v>79</x:v>
      </x:c>
      <x:c r="S52" s="27" t="s">
        <x:v>193</x:v>
      </x:c>
      <x:c r="T52" s="26"/>
    </x:row>
    <x:row r="53" ht="17">
      <x:c r="A53" s="26"/>
      <x:c r="B53" s="1" t="str">
        <x:v>sk_fondant_cake_2</x:v>
      </x:c>
      <x:c r="C53" s="1" t="str">
        <x:v>OnSettle</x:v>
      </x:c>
      <x:c r="D53" s="1" t="str">
        <x:v>None</x:v>
      </x:c>
      <x:c r="E53" s="1" t="str">
        <x:v>Self</x:v>
      </x:c>
      <x:c r="F53" s="1" t="str">
        <x:v>Instances</x:v>
      </x:c>
      <x:c r="G53" s="1" t="str">
        <x:v>Gate</x:v>
      </x:c>
      <x:c r="H53" s="26"/>
      <x:c r="I53" s="1" t="str">
        <x:v>ConsumeLayer</x:v>
      </x:c>
      <x:c r="J53" s="1" t="str">
        <x:v>CakeBuff</x:v>
      </x:c>
      <x:c r="K53" s="1" t="n">
        <x:v>0</x:v>
      </x:c>
      <x:c r="L53" s="1" t="n">
        <x:v>10</x:v>
      </x:c>
      <x:c r="M53" s="26"/>
      <x:c r="N53" s="1" t="str">
        <x:v>true</x:v>
      </x:c>
      <x:c r="O53" s="1" t="str">
        <x:v>欢乐蛋糕−10层</x:v>
      </x:c>
      <x:c r="P53" s="18" t="str">
        <x:v>clb</x:v>
      </x:c>
      <x:c r="Q53" s="26"/>
      <x:c r="R53" s="26" t="s">
        <x:v>79</x:v>
      </x:c>
      <x:c r="S53" s="27" t="s">
        <x:v>188</x:v>
      </x:c>
      <x:c r="T53" s="26"/>
    </x:row>
    <x:row r="54">
      <x:c r="A54" s="26"/>
      <x:c r="B54" s="1" t="str">
        <x:v>sk_matcha_cake_1</x:v>
      </x:c>
      <x:c r="C54" s="1" t="str">
        <x:v>OnSettle</x:v>
      </x:c>
      <x:c r="D54" s="1" t="str">
        <x:v>None</x:v>
      </x:c>
      <x:c r="E54" s="1" t="str">
        <x:v>Self</x:v>
      </x:c>
      <x:c r="F54" s="1" t="str">
        <x:v>Instances</x:v>
      </x:c>
      <x:c r="G54" s="1" t="str">
        <x:v>Gate</x:v>
      </x:c>
      <x:c r="H54" s="26"/>
      <x:c r="I54" s="1" t="str">
        <x:v>AddLayer</x:v>
      </x:c>
      <x:c r="J54" s="1" t="str">
        <x:v>CakeBuff</x:v>
      </x:c>
      <x:c r="K54" s="1" t="n">
        <x:v>0</x:v>
      </x:c>
      <x:c r="L54" s="1" t="n">
        <x:v>0</x:v>
      </x:c>
      <x:c r="M54" s="26" t="str">
        <x:v>random:int:20|80</x:v>
      </x:c>
      <x:c r="N54" s="1" t="str">
        <x:v>true</x:v>
      </x:c>
      <x:c r="O54" s="1" t="str">
        <x:v>欢乐蛋糕 +20～80 层</x:v>
      </x:c>
      <x:c r="P54" s="18" t="str">
        <x:v>clb</x:v>
      </x:c>
      <x:c r="Q54" s="26"/>
      <x:c r="R54" s="26" t="s">
        <x:v>203</x:v>
      </x:c>
      <x:c r="S54" s="27" t="s">
        <x:v>192</x:v>
      </x:c>
      <x:c r="T54" s="26"/>
    </x:row>
    <x:row r="55" ht="17">
      <x:c r="A55" s="26"/>
      <x:c r="B55" s="1" t="str">
        <x:v>sk_mung_bean_cake_1</x:v>
      </x:c>
      <x:c r="C55" s="1" t="str">
        <x:v>OnSettle</x:v>
      </x:c>
      <x:c r="D55" s="1" t="str">
        <x:v>None</x:v>
      </x:c>
      <x:c r="E55" s="1" t="str">
        <x:v>Self</x:v>
      </x:c>
      <x:c r="F55" s="1" t="str">
        <x:v>Instances</x:v>
      </x:c>
      <x:c r="G55" s="1" t="str">
        <x:v>Gate</x:v>
      </x:c>
      <x:c r="H55" s="26"/>
      <x:c r="I55" s="1" t="str">
        <x:v>AddEmptyCountAs</x:v>
      </x:c>
      <x:c r="J55" s="1" t="str">
        <x:v>All</x:v>
      </x:c>
      <x:c r="K55" s="1" t="n">
        <x:v>0</x:v>
      </x:c>
      <x:c r="L55" s="1" t="n">
        <x:v>2</x:v>
      </x:c>
      <x:c r="M55" s="26"/>
      <x:c r="N55" s="1" t="str">
        <x:v>true</x:v>
      </x:c>
      <x:c r="O55" s="1" t="str">
        <x:v>每个空格视为 2 份食物</x:v>
      </x:c>
      <x:c r="P55" s="18"/>
      <x:c r="Q55" s="26"/>
      <x:c r="R55" s="26" t="s">
        <x:v>80</x:v>
      </x:c>
      <x:c r="S55" s="27" t="s">
        <x:v>204</x:v>
      </x:c>
      <x:c r="T55" s="26"/>
    </x:row>
    <x:row r="56">
      <x:c r="A56" s="26"/>
      <x:c r="B56" s="1" t="str">
        <x:v>sk_egg_yolk_pastry_1</x:v>
      </x:c>
      <x:c r="C56" s="1" t="str">
        <x:v>OnSettle</x:v>
      </x:c>
      <x:c r="D56" s="1" t="str">
        <x:v>None</x:v>
      </x:c>
      <x:c r="E56" s="1" t="str">
        <x:v>Self</x:v>
      </x:c>
      <x:c r="F56" s="1" t="str">
        <x:v>Instances</x:v>
      </x:c>
      <x:c r="G56" s="1" t="str">
        <x:v>Gate</x:v>
      </x:c>
      <x:c r="H56" s="26"/>
      <x:c r="I56" s="1" t="str">
        <x:v>AddCountAs</x:v>
      </x:c>
      <x:c r="J56" s="1" t="str">
        <x:v>ColumnAndSelf</x:v>
      </x:c>
      <x:c r="K56" s="1" t="n">
        <x:v>0</x:v>
      </x:c>
      <x:c r="L56" s="1" t="n">
        <x:v>1</x:v>
      </x:c>
      <x:c r="M56" s="26" t="str">
        <x:v>source:target-skill-count</x:v>
      </x:c>
      <x:c r="N56" s="1" t="str">
        <x:v>true</x:v>
      </x:c>
      <x:c r="O56" s="1" t="str">
        <x:v>{ascope}每个食物
将技能数计入份数</x:v>
      </x:c>
      <x:c r="P56" s="18"/>
      <x:c r="Q56" s="26"/>
      <x:c r="R56" s="26" t="s">
        <x:v>81</x:v>
      </x:c>
      <x:c r="S56" s="27" t="s">
        <x:v>81</x:v>
      </x:c>
      <x:c r="T56" s="26"/>
    </x:row>
    <x:row r="57" ht="17">
      <x:c r="A57" s="26"/>
      <x:c r="B57" s="1" t="str">
        <x:v>sk_chocolate_truffle_1</x:v>
      </x:c>
      <x:c r="C57" s="1" t="str">
        <x:v>OnSettle</x:v>
      </x:c>
      <x:c r="D57" s="1" t="str">
        <x:v>None</x:v>
      </x:c>
      <x:c r="E57" s="1" t="str">
        <x:v>Self</x:v>
      </x:c>
      <x:c r="F57" s="1" t="str">
        <x:v>Instances</x:v>
      </x:c>
      <x:c r="G57" s="1" t="str">
        <x:v>Gate</x:v>
      </x:c>
      <x:c r="H57" s="26"/>
      <x:c r="I57" s="1" t="str">
        <x:v>TriggerSweetTransfer</x:v>
      </x:c>
      <x:c r="J57" s="1" t="str">
        <x:v>RowAndSelf</x:v>
      </x:c>
      <x:c r="K57" s="1" t="n">
        <x:v>0</x:v>
      </x:c>
      <x:c r="L57" s="1" t="n">
        <x:v>1</x:v>
      </x:c>
      <x:c r="M57" s="26" t="str">
        <x:v>modifier:add-targets</x:v>
      </x:c>
      <x:c r="N57" s="1" t="str">
        <x:v>false</x:v>
      </x:c>
      <x:c r="O57" s="1" t="str">
        <x:v>结算后，{ascope}食物发动甜蜜传递时
额外选择 1 个目标</x:v>
      </x:c>
      <x:c r="P57" s="18" t="str">
        <x:v>term_sweet_transfer</x:v>
      </x:c>
      <x:c r="Q57" s="26"/>
      <x:c r="R57" s="26" t="s">
        <x:v>81</x:v>
      </x:c>
      <x:c r="S57" s="27" t="s">
        <x:v>192</x:v>
      </x:c>
      <x:c r="T57" s="26"/>
    </x:row>
    <x:row r="58">
      <x:c r="A58" s="26"/>
      <x:c r="B58" s="1" t="str">
        <x:v>sk_liquor_chocolate_1</x:v>
      </x:c>
      <x:c r="C58" s="1" t="str">
        <x:v>OnSettle</x:v>
      </x:c>
      <x:c r="D58" s="1" t="str">
        <x:v>DishCount</x:v>
      </x:c>
      <x:c r="E58" s="1" t="str">
        <x:v>RowAndSelf</x:v>
      </x:c>
      <x:c r="F58" s="1" t="str">
        <x:v>Instances</x:v>
      </x:c>
      <x:c r="G58" s="1" t="str">
        <x:v>Per</x:v>
      </x:c>
      <x:c r="H58" s="26"/>
      <x:c r="I58" s="1" t="str">
        <x:v>AddMultFlat</x:v>
      </x:c>
      <x:c r="J58" s="1" t="str">
        <x:v>RowAndSelf</x:v>
      </x:c>
      <x:c r="K58" s="1" t="n">
        <x:v>0</x:v>
      </x:c>
      <x:c r="L58" s="1" t="n">
        <x:v>0.1</x:v>
      </x:c>
      <x:c r="M58" s="26"/>
      <x:c r="N58" s="1" t="str">
        <x:v>true</x:v>
      </x:c>
      <x:c r="O58" s="1" t="str">
        <x:v>{cscope}每有 1 份食物
倍率 {0}</x:v>
      </x:c>
      <x:c r="P58" s="26"/>
      <x:c r="Q58" s="26"/>
      <x:c r="R58" s="26" t="s">
        <x:v>205</x:v>
      </x:c>
      <x:c r="S58" s="27" t="s">
        <x:v>192</x:v>
      </x:c>
      <x:c r="T58" s="26"/>
    </x:row>
    <x:row r="59">
      <x:c r="A59" s="26"/>
      <x:c r="B59" s="1" t="str">
        <x:v>sk_liquor_chocolate_2</x:v>
      </x:c>
      <x:c r="C59" s="1" t="str">
        <x:v>OnSettle</x:v>
      </x:c>
      <x:c r="D59" s="1" t="str">
        <x:v>None</x:v>
      </x:c>
      <x:c r="E59" s="1" t="str">
        <x:v>Self</x:v>
      </x:c>
      <x:c r="F59" s="1" t="str">
        <x:v>Instances</x:v>
      </x:c>
      <x:c r="G59" s="1" t="str">
        <x:v>Gate</x:v>
      </x:c>
      <x:c r="H59" s="26"/>
      <x:c r="I59" s="1" t="str">
        <x:v>TransferSkills</x:v>
      </x:c>
      <x:c r="J59" s="1" t="str">
        <x:v>Other</x:v>
      </x:c>
      <x:c r="K59" s="1" t="n">
        <x:v>5</x:v>
      </x:c>
      <x:c r="L59" s="1" t="n">
        <x:v>0</x:v>
      </x:c>
      <x:c r="M59" s="26"/>
      <x:c r="N59" s="1" t="str">
        <x:v>false</x:v>
      </x:c>
      <x:c r="O59" s="1" t="str">
        <x:v>甜蜜传递至 {count} 个食物</x:v>
      </x:c>
      <x:c r="P59" s="26" t="str">
        <x:v>term_sweet_transfer</x:v>
      </x:c>
      <x:c r="Q59" s="26"/>
      <x:c r="R59" s="26" t="s">
        <x:v>82</x:v>
      </x:c>
      <x:c r="S59" s="27" t="s">
        <x:v>82</x:v>
      </x:c>
      <x:c r="T59" s="26"/>
    </x:row>
    <x:row r="60">
      <x:c r="A60" s="26"/>
      <x:c r="B60" s="26" t="str">
        <x:v>sk_palmier_1</x:v>
      </x:c>
      <x:c r="C60" s="26" t="str">
        <x:v>OnSettle</x:v>
      </x:c>
      <x:c r="D60" s="26" t="str">
        <x:v>None</x:v>
      </x:c>
      <x:c r="E60" s="26" t="str">
        <x:v>Self</x:v>
      </x:c>
      <x:c r="F60" s="26" t="str">
        <x:v>Instances</x:v>
      </x:c>
      <x:c r="G60" s="26" t="str">
        <x:v>Gate</x:v>
      </x:c>
      <x:c r="H60" s="26"/>
      <x:c r="I60" s="26" t="str">
        <x:v>AddMult</x:v>
      </x:c>
      <x:c r="J60" s="26" t="str">
        <x:v>LeftAndSelf</x:v>
      </x:c>
      <x:c r="K60" s="26" t="n">
        <x:v>0</x:v>
      </x:c>
      <x:c r="L60" s="26" t="n">
        <x:v>1.8</x:v>
      </x:c>
      <x:c r="M60" s="26"/>
      <x:c r="N60" s="26" t="str">
        <x:v>false</x:v>
      </x:c>
      <x:c r="O60" s="26" t="str">
        <x:v>{ascope}倍率 ×{0}</x:v>
      </x:c>
      <x:c r="P60" s="26"/>
      <x:c r="Q60" s="26"/>
      <x:c r="R60" s="26"/>
      <x:c r="S60" s="26"/>
      <x:c r="T60" s="26"/>
    </x:row>
    <x:row r="61">
      <x:c r="A61" s="26"/>
      <x:c r="B61" s="26" t="str">
        <x:v>sk_chiffion_1</x:v>
      </x:c>
      <x:c r="C61" s="26" t="str">
        <x:v>OnSettle</x:v>
      </x:c>
      <x:c r="D61" s="26" t="str">
        <x:v>None</x:v>
      </x:c>
      <x:c r="E61" s="26" t="str">
        <x:v>Self</x:v>
      </x:c>
      <x:c r="F61" s="26" t="str">
        <x:v>Instances</x:v>
      </x:c>
      <x:c r="G61" s="26" t="str">
        <x:v>Gate</x:v>
      </x:c>
      <x:c r="H61" s="26"/>
      <x:c r="I61" s="26" t="str">
        <x:v>AddLayer</x:v>
      </x:c>
      <x:c r="J61" s="26" t="str">
        <x:v>CakeBuff</x:v>
      </x:c>
      <x:c r="K61" s="26" t="n">
        <x:v>0</x:v>
      </x:c>
      <x:c r="L61" s="26" t="n">
        <x:v>1.5</x:v>
      </x:c>
      <x:c r="M61" s="26" t="str">
        <x:v>multfloor:20</x:v>
      </x:c>
      <x:c r="N61" s="26" t="str">
        <x:v>false</x:v>
      </x:c>
      <x:c r="O61" s="26" t="str">
        <x:v>欢乐蛋糕层数 ×{0}
至少 +{floor} 层</x:v>
      </x:c>
      <x:c r="P61" s="26" t="str">
        <x:v>clb</x:v>
      </x:c>
      <x:c r="R61" s="26"/>
      <x:c r="S61" s="26"/>
      <x:c r="T61" s="26"/>
    </x:row>
    <x:row r="62">
      <x:c r="A62" s="26"/>
      <x:c r="B62" s="26" t="str">
        <x:v>sk_toffee_candy_1</x:v>
      </x:c>
      <x:c r="C62" s="26" t="str">
        <x:v>OnSettle</x:v>
      </x:c>
      <x:c r="D62" s="26" t="str">
        <x:v>None</x:v>
      </x:c>
      <x:c r="E62" s="26" t="str">
        <x:v>All</x:v>
      </x:c>
      <x:c r="F62" s="26" t="str">
        <x:v>Instances</x:v>
      </x:c>
      <x:c r="G62" s="26" t="str">
        <x:v>Gate</x:v>
      </x:c>
      <x:c r="H62" s="26"/>
      <x:c r="I62" s="26" t="str">
        <x:v>TriggerSweetTransfer</x:v>
      </x:c>
      <x:c r="J62" s="26" t="str">
        <x:v>All</x:v>
      </x:c>
      <x:c r="K62" s="26" t="n">
        <x:v>3</x:v>
      </x:c>
      <x:c r="L62" s="26" t="n">
        <x:v>0</x:v>
      </x:c>
      <x:c r="M62" s="26" t="str">
        <x:v>skilltype:TransferSkills</x:v>
      </x:c>
      <x:c r="N62" s="26" t="str">
        <x:v>false</x:v>
      </x:c>
      <x:c r="O62" s="26" t="str">
        <x:v>使{ascope}带甜蜜传递的食物
额外结算 1 次甜蜜传递</x:v>
      </x:c>
      <x:c r="P62" s="26" t="str">
        <x:v>term_sweet_transfer</x:v>
      </x:c>
      <x:c r="Q62" s="26"/>
      <x:c r="R62" s="26"/>
      <x:c r="S62" s="26"/>
      <x:c r="T62" s="26"/>
    </x:row>
    <x:row r="63">
      <x:c r="A63" s="26"/>
      <x:c r="B63" s="26" t="str">
        <x:v>sk_taosu_1</x:v>
      </x:c>
      <x:c r="C63" s="26" t="str">
        <x:v>OnSettle</x:v>
      </x:c>
      <x:c r="D63" s="26" t="str">
        <x:v>DishCount</x:v>
      </x:c>
      <x:c r="E63" s="26" t="str">
        <x:v>RowAndSelf</x:v>
      </x:c>
      <x:c r="F63" s="26" t="str">
        <x:v>Instances</x:v>
      </x:c>
      <x:c r="G63" s="26" t="str">
        <x:v>Reach</x:v>
      </x:c>
      <x:c r="H63" s="26" t="str">
        <x:v>tiers:8|16|30</x:v>
      </x:c>
      <x:c r="I63" s="26" t="str">
        <x:v>AddMult</x:v>
      </x:c>
      <x:c r="J63" s="26" t="str">
        <x:v>RowAndSelf</x:v>
      </x:c>
      <x:c r="K63" s="26" t="n">
        <x:v>0</x:v>
      </x:c>
      <x:c r="L63" s="26" t="n">
        <x:v>0</x:v>
      </x:c>
      <x:c r="M63" s="26" t="str">
        <x:v>tiervals:1.3|1.8|2.4</x:v>
      </x:c>
      <x:c r="N63" s="26" t="str">
        <x:v>false</x:v>
      </x:c>
      <x:c r="O63" s="26" t="str">
        <x:v>{cscope}食物达 {tiers} 份时
倍率 ×{tiervals}</x:v>
      </x:c>
      <x:c r="P63" s="26"/>
      <x:c r="Q63" s="26"/>
      <x:c r="R63" s="26"/>
      <x:c r="S63" s="26"/>
      <x:c r="T63" s="26"/>
    </x:row>
    <x:row r="64">
      <x:c r="A64" s="26"/>
      <x:c r="B64" s="26" t="str">
        <x:v>sk_brown_sugar_steamed_cake_1</x:v>
      </x:c>
      <x:c r="C64" s="26" t="str">
        <x:v>OnSettle</x:v>
      </x:c>
      <x:c r="D64" s="26" t="str">
        <x:v>DishCount</x:v>
      </x:c>
      <x:c r="E64" s="26" t="str">
        <x:v>ColumnAndSelf</x:v>
      </x:c>
      <x:c r="F64" s="26" t="str">
        <x:v>Instances</x:v>
      </x:c>
      <x:c r="G64" s="26" t="str">
        <x:v>Per</x:v>
      </x:c>
      <x:c r="H64" s="26"/>
      <x:c r="I64" s="26" t="str">
        <x:v>AddMultFlat</x:v>
      </x:c>
      <x:c r="J64" s="26" t="str">
        <x:v>ColumnAndSelf</x:v>
      </x:c>
      <x:c r="K64" s="26" t="n">
        <x:v>0</x:v>
      </x:c>
      <x:c r="L64" s="26" t="n">
        <x:v>0.3</x:v>
      </x:c>
      <x:c r="M64" s="26"/>
      <x:c r="N64" s="26" t="str">
        <x:v>true</x:v>
      </x:c>
      <x:c r="O64" s="26" t="str">
        <x:v>{cscope}每有 1 {unit}食物
倍率 {0}</x:v>
      </x:c>
      <x:c r="P64" s="26"/>
      <x:c r="Q64" s="26"/>
      <x:c r="R64" s="26"/>
      <x:c r="S64" s="26"/>
      <x:c r="T64" s="26"/>
    </x:row>
    <x:row r="65">
      <x:c r="A65" s="26"/>
      <x:c r="B65" s="26" t="str">
        <x:v>sk_cream_cake_1</x:v>
      </x:c>
      <x:c r="C65" s="26" t="str">
        <x:v>OnSettle</x:v>
      </x:c>
      <x:c r="D65" s="26" t="str">
        <x:v>None</x:v>
      </x:c>
      <x:c r="E65" s="26" t="str">
        <x:v>Self</x:v>
      </x:c>
      <x:c r="F65" s="26" t="str">
        <x:v>Instances</x:v>
      </x:c>
      <x:c r="G65" s="26" t="str">
        <x:v>Gate</x:v>
      </x:c>
      <x:c r="H65" s="26"/>
      <x:c r="I65" s="26" t="str">
        <x:v>AddLayer</x:v>
      </x:c>
      <x:c r="J65" s="26" t="str">
        <x:v>CakeBuff</x:v>
      </x:c>
      <x:c r="K65" s="26" t="n">
        <x:v>0</x:v>
      </x:c>
      <x:c r="L65" s="26" t="n">
        <x:v>20</x:v>
      </x:c>
      <x:c r="M65" s="26"/>
      <x:c r="N65" s="26" t="str">
        <x:v>true</x:v>
      </x:c>
      <x:c r="O65" s="26" t="str">
        <x:v>欢乐蛋糕 {0} 层</x:v>
      </x:c>
      <x:c r="P65" s="26" t="str">
        <x:v>clb</x:v>
      </x:c>
      <x:c r="Q65" s="26"/>
      <x:c r="R65" s="26"/>
      <x:c r="S65" s="26"/>
      <x:c r="T65" s="26"/>
    </x:row>
    <x:row r="66">
      <x:c r="A66" s="26"/>
      <x:c r="B66" s="26" t="str">
        <x:v>sk_cream_cake_2</x:v>
      </x:c>
      <x:c r="C66" s="26" t="str">
        <x:v>OnSettle</x:v>
      </x:c>
      <x:c r="D66" s="26" t="str">
        <x:v>None</x:v>
      </x:c>
      <x:c r="E66" s="26" t="str">
        <x:v>ColumnAndSelf</x:v>
      </x:c>
      <x:c r="F66" s="26" t="str">
        <x:v>Instances</x:v>
      </x:c>
      <x:c r="G66" s="26" t="str">
        <x:v>Gate</x:v>
      </x:c>
      <x:c r="H66" s="26"/>
      <x:c r="I66" s="26" t="str">
        <x:v>AddFlat</x:v>
      </x:c>
      <x:c r="J66" s="26" t="str">
        <x:v>ColumnAndSelf</x:v>
      </x:c>
      <x:c r="K66" s="26" t="n">
        <x:v>0</x:v>
      </x:c>
      <x:c r="L66" s="26" t="n">
        <x:v>30</x:v>
      </x:c>
      <x:c r="M66" s="26" t="str">
        <x:v>cat:cake</x:v>
      </x:c>
      <x:c r="N66" s="26" t="str">
        <x:v>true</x:v>
      </x:c>
      <x:c r="O66" s="26" t="str">
        <x:v>{ascope}{cat}类食物分数 {0}</x:v>
      </x:c>
      <x:c r="P66" s="26"/>
      <x:c r="Q66" s="26"/>
      <x:c r="R66" s="26"/>
      <x:c r="S66" s="26"/>
      <x:c r="T66" s="26"/>
    </x:row>
    <x:row r="67">
      <x:c r="A67" s="26"/>
      <x:c r="B67" s="26" t="str">
        <x:v>sk_candycane_1</x:v>
      </x:c>
      <x:c r="C67" s="26" t="str">
        <x:v>OnSettle</x:v>
      </x:c>
      <x:c r="D67" s="26" t="str">
        <x:v>SkillCount</x:v>
      </x:c>
      <x:c r="E67" s="26" t="str">
        <x:v>Self</x:v>
      </x:c>
      <x:c r="F67" s="26" t="str">
        <x:v>Instances</x:v>
      </x:c>
      <x:c r="G67" s="26" t="str">
        <x:v>Per</x:v>
      </x:c>
      <x:c r="H67" s="26"/>
      <x:c r="I67" s="26" t="str">
        <x:v>AddMultFlat</x:v>
      </x:c>
      <x:c r="J67" s="26" t="str">
        <x:v>Self</x:v>
      </x:c>
      <x:c r="K67" s="26" t="n">
        <x:v>0</x:v>
      </x:c>
      <x:c r="L67" s="26" t="n">
        <x:v>2</x:v>
      </x:c>
      <x:c r="M67" s="26"/>
      <x:c r="N67" s="26" t="str">
        <x:v>true</x:v>
      </x:c>
      <x:c r="O67" s="26" t="str">
        <x:v>{cscope}每有 1 {unit}技能
倍率 {0}</x:v>
      </x:c>
      <x:c r="P67" s="26"/>
      <x:c r="Q67" s="26"/>
      <x:c r="R67" s="26"/>
      <x:c r="S67" s="26"/>
      <x:c r="T67" s="26"/>
    </x:row>
    <x:row r="68">
      <x:c r="A68" s="26"/>
      <x:c r="B68" s="26" t="str">
        <x:v>sk_candycane_2</x:v>
      </x:c>
      <x:c r="C68" s="26" t="str">
        <x:v>OnSettle</x:v>
      </x:c>
      <x:c r="D68" s="26" t="str">
        <x:v>None</x:v>
      </x:c>
      <x:c r="E68" s="26" t="str">
        <x:v>Round</x:v>
      </x:c>
      <x:c r="F68" s="26" t="str">
        <x:v>Instances</x:v>
      </x:c>
      <x:c r="G68" s="26" t="str">
        <x:v>Gate</x:v>
      </x:c>
      <x:c r="H68" s="26"/>
      <x:c r="I68" s="26" t="str">
        <x:v>TransferSkills</x:v>
      </x:c>
      <x:c r="J68" s="26" t="str">
        <x:v>Other</x:v>
      </x:c>
      <x:c r="K68" s="26" t="n">
        <x:v>3</x:v>
      </x:c>
      <x:c r="L68" s="26" t="n">
        <x:v>0</x:v>
      </x:c>
      <x:c r="M68" s="26"/>
      <x:c r="N68" s="26" t="str">
        <x:v>false</x:v>
      </x:c>
      <x:c r="O68" s="26" t="str">
        <x:v>甜蜜传递 {count} 个食物</x:v>
      </x:c>
      <x:c r="P68" s="26" t="str">
        <x:v>term_sweet_transfer</x:v>
      </x:c>
      <x:c r="Q68" s="26"/>
      <x:c r="R68" s="26"/>
      <x:c r="S68" s="26"/>
      <x:c r="T68" s="26"/>
    </x:row>
    <x:row r="69">
      <x:c r="A69" s="26"/>
      <x:c r="B69" s="26" t="str">
        <x:v>sk_fruit_shaved_ice_1</x:v>
      </x:c>
      <x:c r="C69" s="26" t="str">
        <x:v>OnSettle</x:v>
      </x:c>
      <x:c r="D69" s="26" t="str">
        <x:v>TagCount</x:v>
      </x:c>
      <x:c r="E69" s="26" t="str">
        <x:v>RowAndSelf</x:v>
      </x:c>
      <x:c r="F69" s="26" t="str">
        <x:v>PhysicalInstances</x:v>
      </x:c>
      <x:c r="G69" s="26" t="str">
        <x:v>Per</x:v>
      </x:c>
      <x:c r="H69" s="26" t="str">
        <x:v>source:flavors</x:v>
      </x:c>
      <x:c r="I69" s="26" t="str">
        <x:v>AddMultFlat</x:v>
      </x:c>
      <x:c r="J69" s="26" t="str">
        <x:v>RowAndSelf</x:v>
      </x:c>
      <x:c r="K69" s="26" t="n">
        <x:v>0</x:v>
      </x:c>
      <x:c r="L69" s="26" t="n">
        <x:v>0.5</x:v>
      </x:c>
      <x:c r="M69" s="26"/>
      <x:c r="N69" s="26" t="str">
        <x:v>true</x:v>
      </x:c>
      <x:c r="O69" s="26" t="str">
        <x:v>{cscope}每有 1 个风味
倍率 {0}</x:v>
      </x:c>
      <x:c r="P69" s="26"/>
      <x:c r="R69" s="26"/>
      <x:c r="S69" s="26"/>
      <x:c r="T69" s="26"/>
    </x:row>
    <x:row r="70">
      <x:c r="A70" s="26"/>
      <x:c r="B70" s="26" t="str">
        <x:v>sk_coconut_milk_jelly_1</x:v>
      </x:c>
      <x:c r="C70" s="26" t="str">
        <x:v>OnSettle</x:v>
      </x:c>
      <x:c r="D70" s="26" t="str">
        <x:v>Edge</x:v>
      </x:c>
      <x:c r="E70" s="26" t="str">
        <x:v>Self</x:v>
      </x:c>
      <x:c r="F70" s="26" t="str">
        <x:v>Instances</x:v>
      </x:c>
      <x:c r="G70" s="26" t="str">
        <x:v>Gate</x:v>
      </x:c>
      <x:c r="H70" s="26" t="str">
        <x:v>not</x:v>
      </x:c>
      <x:c r="I70" s="26" t="str">
        <x:v>AddMultFlat</x:v>
      </x:c>
      <x:c r="J70" s="26" t="str">
        <x:v>All</x:v>
      </x:c>
      <x:c r="K70" s="26" t="n">
        <x:v>0</x:v>
      </x:c>
      <x:c r="L70" s="26" t="n">
        <x:v>2.5</x:v>
      </x:c>
      <x:c r="M70" s="26" t="str">
        <x:v>position:non-edge</x:v>
      </x:c>
      <x:c r="N70" s="26" t="str">
        <x:v>true</x:v>
      </x:c>
      <x:c r="O70" s="26" t="str">
        <x:v>处于非边缘时
非边缘食物倍率 {0}</x:v>
      </x:c>
      <x:c r="P70" s="26"/>
      <x:c r="Q70" s="26"/>
      <x:c r="R70" s="26"/>
      <x:c r="S70" s="26"/>
      <x:c r="T70" s="26"/>
    </x:row>
    <x:row r="71">
      <x:c r="A71" s="26"/>
      <x:c r="B71" s="26" t="str">
        <x:v>sk_black_forest_cake_1</x:v>
      </x:c>
      <x:c r="C71" s="26" t="str">
        <x:v>OnSettle</x:v>
      </x:c>
      <x:c r="D71" s="26" t="str">
        <x:v>None</x:v>
      </x:c>
      <x:c r="E71" s="26" t="str">
        <x:v>RowAndSelf</x:v>
      </x:c>
      <x:c r="F71" s="26" t="str">
        <x:v>Instances</x:v>
      </x:c>
      <x:c r="G71" s="26" t="str">
        <x:v>Gate</x:v>
      </x:c>
      <x:c r="H71" s="26"/>
      <x:c r="I71" s="26" t="str">
        <x:v>AddMult</x:v>
      </x:c>
      <x:c r="J71" s="26" t="str">
        <x:v>RowAndSelf</x:v>
      </x:c>
      <x:c r="K71" s="26" t="n">
        <x:v>0</x:v>
      </x:c>
      <x:c r="L71" s="26" t="n">
        <x:v>1.5</x:v>
      </x:c>
      <x:c r="M71" s="26" t="str">
        <x:v>cat:cake</x:v>
      </x:c>
      <x:c r="N71" s="26" t="str">
        <x:v>false</x:v>
      </x:c>
      <x:c r="O71" s="26" t="str">
        <x:v>{ascope}{cat}类食物倍率 ×{0}</x:v>
      </x:c>
      <x:c r="P71" s="26"/>
      <x:c r="R71" s="26"/>
      <x:c r="S71" s="26"/>
      <x:c r="T71" s="26"/>
    </x:row>
    <x:row r="72">
      <x:c r="A72" s="26"/>
      <x:c r="B72" s="26" t="str">
        <x:v>sk_black_forest_cake_2</x:v>
      </x:c>
      <x:c r="C72" s="26" t="str">
        <x:v>OnSettle</x:v>
      </x:c>
      <x:c r="D72" s="26" t="str">
        <x:v>CategoryCount</x:v>
      </x:c>
      <x:c r="E72" s="26" t="str">
        <x:v>All</x:v>
      </x:c>
      <x:c r="F72" s="26" t="str">
        <x:v>PhysicalInstances</x:v>
      </x:c>
      <x:c r="G72" s="26" t="str">
        <x:v>Reach</x:v>
      </x:c>
      <x:c r="H72" s="26" t="str">
        <x:v>cake;tiers:3|5|8</x:v>
      </x:c>
      <x:c r="I72" s="26" t="str">
        <x:v>AddLayer</x:v>
      </x:c>
      <x:c r="J72" s="26" t="str">
        <x:v>CakeBuff</x:v>
      </x:c>
      <x:c r="K72" s="26" t="n">
        <x:v>0</x:v>
      </x:c>
      <x:c r="L72" s="26" t="n">
        <x:v>0</x:v>
      </x:c>
      <x:c r="M72" s="26" t="str">
        <x:v>tiervals:15|30|50</x:v>
      </x:c>
      <x:c r="N72" s="26" t="str">
        <x:v>true</x:v>
      </x:c>
      <x:c r="O72" s="26" t="str">
        <x:v>{cat}数量达 {tiers} 时
欢乐蛋糕 {tiervals} 层</x:v>
      </x:c>
      <x:c r="P72" s="26" t="str">
        <x:v>clb</x:v>
      </x:c>
      <x:c r="Q72" s="26"/>
      <x:c r="R72" s="26"/>
      <x:c r="S72" s="26"/>
      <x:c r="T72" s="26"/>
    </x:row>
    <x:row r="73" ht="34" customHeight="1">
      <x:c r="A73" s="26"/>
      <x:c r="B73" s="26" t="str">
        <x:v>sk_nama_chocolate_1</x:v>
      </x:c>
      <x:c r="C73" s="26" t="str">
        <x:v>OnSettle</x:v>
      </x:c>
      <x:c r="D73" s="26" t="str">
        <x:v>None</x:v>
      </x:c>
      <x:c r="E73" s="26" t="str">
        <x:v>Self</x:v>
      </x:c>
      <x:c r="F73" s="26" t="str">
        <x:v>Instances</x:v>
      </x:c>
      <x:c r="G73" s="26" t="str">
        <x:v>Gate</x:v>
      </x:c>
      <x:c r="H73" s="26"/>
      <x:c r="I73" s="26" t="str">
        <x:v>AddMult</x:v>
      </x:c>
      <x:c r="J73" s="26" t="str">
        <x:v>RightAndSelf</x:v>
      </x:c>
      <x:c r="K73" s="26" t="n">
        <x:v>0</x:v>
      </x:c>
      <x:c r="L73" s="26" t="n">
        <x:v>2</x:v>
      </x:c>
      <x:c r="M73" s="26"/>
      <x:c r="N73" s="26" t="str">
        <x:v>false</x:v>
      </x:c>
      <x:c r="O73" s="26" t="str">
        <x:v>{ascope}倍率 ×{0}</x:v>
      </x:c>
      <x:c r="P73" s="26"/>
      <x:c r="Q73" s="26"/>
      <x:c r="R73" s="26"/>
      <x:c r="S73" s="26"/>
      <x:c r="T73" s="26"/>
    </x:row>
    <x:row r="74">
      <x:c r="A74" s="26"/>
      <x:c r="B74" s="26" t="str">
        <x:v>sk_nama_chocolate_2</x:v>
      </x:c>
      <x:c r="C74" s="26" t="str">
        <x:v>OnSettle</x:v>
      </x:c>
      <x:c r="D74" s="26" t="str">
        <x:v>None</x:v>
      </x:c>
      <x:c r="E74" s="26" t="str">
        <x:v>Right</x:v>
      </x:c>
      <x:c r="F74" s="26" t="str">
        <x:v>Instances</x:v>
      </x:c>
      <x:c r="G74" s="26" t="str">
        <x:v>Gate</x:v>
      </x:c>
      <x:c r="H74" s="26"/>
      <x:c r="I74" s="26" t="str">
        <x:v>TransferSkills</x:v>
      </x:c>
      <x:c r="J74" s="26" t="str">
        <x:v>Other</x:v>
      </x:c>
      <x:c r="K74" s="26" t="n">
        <x:v>1</x:v>
      </x:c>
      <x:c r="L74" s="26" t="n">
        <x:v>0</x:v>
      </x:c>
      <x:c r="M74" s="26"/>
      <x:c r="N74" s="26" t="str">
        <x:v>false</x:v>
      </x:c>
      <x:c r="O74" s="26" t="str">
        <x:v>甜蜜传递 {count} 个食物</x:v>
      </x:c>
      <x:c r="P74" s="26" t="str">
        <x:v>term_sweet_transfer</x:v>
      </x:c>
      <x:c r="Q74" s="26"/>
      <x:c r="R74" s="26"/>
      <x:c r="S74" s="26"/>
      <x:c r="T74" s="26"/>
    </x:row>
    <x:row r="75">
      <x:c r="A75" s="26"/>
      <x:c r="B75" s="26" t="str">
        <x:v>sk_mango_sago_1</x:v>
      </x:c>
      <x:c r="C75" s="26" t="str">
        <x:v>OnSettle</x:v>
      </x:c>
      <x:c r="D75" s="26" t="str">
        <x:v>DishCount</x:v>
      </x:c>
      <x:c r="E75" s="26" t="str">
        <x:v>RoundAndSelf</x:v>
      </x:c>
      <x:c r="F75" s="26" t="str">
        <x:v>Instances</x:v>
      </x:c>
      <x:c r="G75" s="26" t="str">
        <x:v>Per</x:v>
      </x:c>
      <x:c r="H75" s="26"/>
      <x:c r="I75" s="26" t="str">
        <x:v>AddMult</x:v>
      </x:c>
      <x:c r="J75" s="26" t="str">
        <x:v>RoundAndSelf</x:v>
      </x:c>
      <x:c r="K75" s="26" t="n">
        <x:v>0</x:v>
      </x:c>
      <x:c r="L75" s="26" t="n">
        <x:v>1.1</x:v>
      </x:c>
      <x:c r="M75" s="26"/>
      <x:c r="N75" s="26" t="str">
        <x:v>false</x:v>
      </x:c>
      <x:c r="O75" s="26" t="str">
        <x:v>{cscope}每有 1 {unit}食物
倍率 ×{0}</x:v>
      </x:c>
      <x:c r="P75" s="26"/>
      <x:c r="S75" s="26"/>
      <x:c r="T75" s="26"/>
    </x:row>
    <x:row r="76">
      <x:c r="A76" s="26"/>
      <x:c r="B76" s="26" t="str">
        <x:v>sk_fruit_cake_1</x:v>
      </x:c>
      <x:c r="C76" s="26" t="str">
        <x:v>OnSettle</x:v>
      </x:c>
      <x:c r="D76" s="26" t="str">
        <x:v>None</x:v>
      </x:c>
      <x:c r="E76" s="26" t="str">
        <x:v>ColumnAndSelf</x:v>
      </x:c>
      <x:c r="F76" s="26" t="str">
        <x:v>Instances</x:v>
      </x:c>
      <x:c r="G76" s="26" t="str">
        <x:v>Gate</x:v>
      </x:c>
      <x:c r="H76" s="26"/>
      <x:c r="I76" s="26" t="str">
        <x:v>AddMult</x:v>
      </x:c>
      <x:c r="J76" s="26" t="str">
        <x:v>ColumnAndSelf</x:v>
      </x:c>
      <x:c r="K76" s="26" t="n">
        <x:v>0</x:v>
      </x:c>
      <x:c r="L76" s="26" t="n">
        <x:v>1.5</x:v>
      </x:c>
      <x:c r="M76" s="26" t="str">
        <x:v>cat:cake</x:v>
      </x:c>
      <x:c r="N76" s="26" t="str">
        <x:v>false</x:v>
      </x:c>
      <x:c r="O76" s="26" t="str">
        <x:v>{ascope}{cat}类食物倍率 ×{0}</x:v>
      </x:c>
      <x:c r="P76" s="26"/>
      <x:c r="S76" s="26"/>
      <x:c r="T76" s="26"/>
    </x:row>
    <x:row r="77">
      <x:c r="A77" s="26"/>
      <x:c r="B77" s="26" t="str">
        <x:v>sk_fruit_cake_2</x:v>
      </x:c>
      <x:c r="C77" s="26" t="str">
        <x:v>OnSettle</x:v>
      </x:c>
      <x:c r="D77" s="26" t="str">
        <x:v>OccupiedCell</x:v>
      </x:c>
      <x:c r="E77" s="26" t="str">
        <x:v>All</x:v>
      </x:c>
      <x:c r="F77" s="26" t="str">
        <x:v>Instances</x:v>
      </x:c>
      <x:c r="G77" s="26" t="str">
        <x:v>Per</x:v>
      </x:c>
      <x:c r="H77" s="26" t="str">
        <x:v>source:board</x:v>
      </x:c>
      <x:c r="I77" s="26" t="str">
        <x:v>AddLayer</x:v>
      </x:c>
      <x:c r="J77" s="26" t="str">
        <x:v>CakeBuff</x:v>
      </x:c>
      <x:c r="K77" s="26" t="n">
        <x:v>0</x:v>
      </x:c>
      <x:c r="L77" s="26" t="n">
        <x:v>0.5</x:v>
      </x:c>
      <x:c r="M77" s="26" t="str">
        <x:v>round:ceil</x:v>
      </x:c>
      <x:c r="N77" s="26" t="str">
        <x:v>true</x:v>
      </x:c>
      <x:c r="O77" s="26" t="str">
        <x:v>将餐桌格总数的 1/2
加至欢乐蛋糕层数</x:v>
      </x:c>
      <x:c r="P77" s="26" t="str">
        <x:v>clb</x:v>
      </x:c>
      <x:c r="S77" s="26"/>
      <x:c r="T77" s="26"/>
    </x:row>
    <x:row r="78">
      <x:c r="A78" s="26"/>
      <x:c r="B78" s="26" t="str">
        <x:v>sk_fermented_rice_balls_1</x:v>
      </x:c>
      <x:c r="C78" s="26" t="str">
        <x:v>OnSettle</x:v>
      </x:c>
      <x:c r="D78" s="26" t="str">
        <x:v>None</x:v>
      </x:c>
      <x:c r="E78" s="26" t="str">
        <x:v>Self</x:v>
      </x:c>
      <x:c r="F78" s="26" t="str">
        <x:v>Instances</x:v>
      </x:c>
      <x:c r="G78" s="26" t="str">
        <x:v>Gate</x:v>
      </x:c>
      <x:c r="H78" s="26"/>
      <x:c r="I78" s="26" t="str">
        <x:v>AddCountAs</x:v>
      </x:c>
      <x:c r="J78" s="26" t="str">
        <x:v>All</x:v>
      </x:c>
      <x:c r="K78" s="26" t="n">
        <x:v>0</x:v>
      </x:c>
      <x:c r="L78" s="26" t="n">
        <x:v>1</x:v>
      </x:c>
      <x:c r="M78" s="26" t="str">
        <x:v>target:occupiedcells;offset:-1</x:v>
      </x:c>
      <x:c r="N78" s="26" t="str">
        <x:v>true</x:v>
      </x:c>
      <x:c r="O78" s="26" t="str">
        <x:v>{ascope}食物额外视为 N 份食物
（N 为各自所占格子数-1）</x:v>
      </x:c>
      <x:c r="P78" s="26"/>
      <x:c r="S78" s="26"/>
      <x:c r="T78" s="26"/>
    </x:row>
    <x:row r="79">
      <x:c r="A79" s="26"/>
      <x:c r="B79" s="26" t="str">
        <x:v>sk_marshmallow_1</x:v>
      </x:c>
      <x:c r="C79" s="26" t="str">
        <x:v>OnSettle</x:v>
      </x:c>
      <x:c r="D79" s="26" t="str">
        <x:v>None</x:v>
      </x:c>
      <x:c r="E79" s="26" t="str">
        <x:v>ColumnAndSelf</x:v>
      </x:c>
      <x:c r="F79" s="26" t="str">
        <x:v>Instances</x:v>
      </x:c>
      <x:c r="G79" s="26" t="str">
        <x:v>Gate</x:v>
      </x:c>
      <x:c r="H79" s="26"/>
      <x:c r="I79" s="26" t="str">
        <x:v>TriggerSweetTransfer</x:v>
      </x:c>
      <x:c r="J79" s="26" t="str">
        <x:v>ColumnAndSelf</x:v>
      </x:c>
      <x:c r="K79" s="26" t="n">
        <x:v>0</x:v>
      </x:c>
      <x:c r="L79" s="26" t="n">
        <x:v>2</x:v>
      </x:c>
      <x:c r="M79" s="26" t="str">
        <x:v>modifier:add-targets</x:v>
      </x:c>
      <x:c r="N79" s="26" t="str">
        <x:v>false</x:v>
      </x:c>
      <x:c r="O79" s="26" t="str">
        <x:v>{ascope}食物发动甜蜜传递时
额外选择 {0} 个目标</x:v>
      </x:c>
      <x:c r="P79" s="26" t="str">
        <x:v>term_sweet_transfer</x:v>
      </x:c>
      <x:c r="S79" s="26"/>
      <x:c r="T79" s="26"/>
    </x:row>
    <x:row r="80">
      <x:c r="A80" s="26"/>
      <x:c r="B80" s="26" t="str">
        <x:v>sk_big_lollipop_1</x:v>
      </x:c>
      <x:c r="C80" s="26" t="str">
        <x:v>OnSettle</x:v>
      </x:c>
      <x:c r="D80" s="26" t="str">
        <x:v>SkillCount</x:v>
      </x:c>
      <x:c r="E80" s="26" t="str">
        <x:v>Self</x:v>
      </x:c>
      <x:c r="F80" s="26" t="str">
        <x:v>Instances</x:v>
      </x:c>
      <x:c r="G80" s="26" t="str">
        <x:v>Per</x:v>
      </x:c>
      <x:c r="H80" s="26"/>
      <x:c r="I80" s="26" t="str">
        <x:v>AddMult</x:v>
      </x:c>
      <x:c r="J80" s="26" t="str">
        <x:v>Self</x:v>
      </x:c>
      <x:c r="K80" s="26" t="n">
        <x:v>0</x:v>
      </x:c>
      <x:c r="L80" s="26" t="n">
        <x:v>2</x:v>
      </x:c>
      <x:c r="M80" s="26"/>
      <x:c r="N80" s="26" t="str">
        <x:v>false</x:v>
      </x:c>
      <x:c r="O80" s="26" t="str">
        <x:v>{cscope}
每有 1 {unit}技能，倍率 ×{0}</x:v>
      </x:c>
      <x:c r="P80" s="26"/>
      <x:c r="S80" s="26"/>
      <x:c r="T80" s="26"/>
    </x:row>
    <x:row r="81">
      <x:c r="A81" s="26"/>
      <x:c r="B81" s="26" t="str">
        <x:v>sk_big_lollipop_2</x:v>
      </x:c>
      <x:c r="C81" s="26" t="str">
        <x:v>OnSettle</x:v>
      </x:c>
      <x:c r="D81" s="26" t="str">
        <x:v>None</x:v>
      </x:c>
      <x:c r="E81" s="26" t="str">
        <x:v>All</x:v>
      </x:c>
      <x:c r="F81" s="26" t="str">
        <x:v>Instances</x:v>
      </x:c>
      <x:c r="G81" s="26" t="str">
        <x:v>Gate</x:v>
      </x:c>
      <x:c r="H81" s="26"/>
      <x:c r="I81" s="26" t="str">
        <x:v>TriggerSweetTransfer</x:v>
      </x:c>
      <x:c r="J81" s="26" t="str">
        <x:v>All</x:v>
      </x:c>
      <x:c r="K81" s="26" t="n">
        <x:v>0</x:v>
      </x:c>
      <x:c r="L81" s="26" t="n">
        <x:v>0</x:v>
      </x:c>
      <x:c r="M81" s="26" t="str">
        <x:v>axis:rowcol;skilltype:TransferSkills</x:v>
      </x:c>
      <x:c r="N81" s="26" t="str">
        <x:v>false</x:v>
      </x:c>
      <x:c r="O81" s="26" t="str">
        <x:v>甜蜜传递至同行列食物</x:v>
      </x:c>
      <x:c r="P81" s="26" t="str">
        <x:v>term_sweet_transfer</x:v>
      </x:c>
    </x:row>
    <x:row r="82">
      <x:c r="A82" s="26"/>
      <x:c r="B82" s="26" t="str">
        <x:v>sk_double_skin_milk_1</x:v>
      </x:c>
      <x:c r="C82" s="26" t="str">
        <x:v>OnSettle</x:v>
      </x:c>
      <x:c r="D82" s="26" t="str">
        <x:v>None</x:v>
      </x:c>
      <x:c r="E82" s="26" t="str">
        <x:v>Self</x:v>
      </x:c>
      <x:c r="F82" s="26" t="str">
        <x:v>Instances</x:v>
      </x:c>
      <x:c r="G82" s="26" t="str">
        <x:v>Gate</x:v>
      </x:c>
      <x:c r="H82" s="26"/>
      <x:c r="I82" s="26" t="str">
        <x:v>AddMultFlat</x:v>
      </x:c>
      <x:c r="J82" s="26" t="str">
        <x:v>All</x:v>
      </x:c>
      <x:c r="K82" s="26" t="n">
        <x:v>0</x:v>
      </x:c>
      <x:c r="L82" s="26" t="n">
        <x:v>0.5</x:v>
      </x:c>
      <x:c r="M82" s="26" t="str">
        <x:v>source:target-countas</x:v>
      </x:c>
      <x:c r="N82" s="26" t="str">
        <x:v>true</x:v>
      </x:c>
      <x:c r="O82" s="26" t="str">
        <x:v>{ascope}食物把自身份数的 1/2 加入倍率</x:v>
      </x:c>
      <x:c r="P82" s="26"/>
    </x:row>
    <x:row r="83">
      <x:c r="A83" s="26"/>
      <x:c r="B83" s="26" t="str">
        <x:v>sk_double_cake_1</x:v>
      </x:c>
      <x:c r="C83" s="26" t="str">
        <x:v>OnSettle</x:v>
      </x:c>
      <x:c r="D83" s="26" t="str">
        <x:v>None</x:v>
      </x:c>
      <x:c r="E83" s="26" t="str">
        <x:v>Self</x:v>
      </x:c>
      <x:c r="F83" s="26" t="str">
        <x:v>Instances</x:v>
      </x:c>
      <x:c r="G83" s="26" t="str">
        <x:v>Gate</x:v>
      </x:c>
      <x:c r="H83" s="26"/>
      <x:c r="I83" s="26" t="str">
        <x:v>CopySkill</x:v>
      </x:c>
      <x:c r="J83" s="26" t="str">
        <x:v>Self</x:v>
      </x:c>
      <x:c r="K83" s="26" t="n">
        <x:v>0</x:v>
      </x:c>
      <x:c r="L83" s="26" t="n">
        <x:v>3</x:v>
      </x:c>
      <x:c r="M83" s="26" t="str">
        <x:v>cat:cake</x:v>
      </x:c>
      <x:c r="N83" s="26" t="str">
        <x:v>false</x:v>
      </x:c>
      <x:c r="O83" s="26" t="str">
        <x:v>{ascope}获得 {0} 种不同的{cat}技能</x:v>
      </x:c>
      <x:c r="P83" s="26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9.230769157409668" defaultRowHeight="16.799999237060547"/>
  <x:cols>
    <x:col min="1" max="2" width="9.230769157409668" style="1" customWidth="0"/>
    <x:col min="3" max="3" width="21.30769157409668" style="8" customWidth="1"/>
    <x:col min="4" max="4" width="14.09615421295166" style="8" customWidth="1"/>
    <x:col min="5" max="5" width="28.846153259277344" style="8" customWidth="1"/>
    <x:col min="6" max="6" width="16.028846740722656" style="8" customWidth="1"/>
    <x:col min="7" max="7" width="28.846153259277344" style="8" customWidth="1"/>
    <x:col min="8" max="8" width="9.230769157409668" style="1" customWidth="0"/>
    <x:col min="9" max="9" width="11.923076629638672" style="1" customWidth="1"/>
    <x:col min="10" max="10" width="11.230769157409668" style="1" customWidth="1"/>
    <x:col min="11" max="11" width="12.769230842590332" style="1" customWidth="1"/>
    <x:col min="12" max="12" width="9.230769157409668" style="1" customWidth="0"/>
    <x:col min="13" max="13" width="29.163461685180664" style="1" customWidth="1"/>
    <x:col min="14" max="15" width="12.923076629638672" style="1" customWidth="0"/>
    <x:col min="16" max="16" width="13.923076629638672" style="1" customWidth="1"/>
    <x:col min="17" max="16384" width="9.230769157409668" style="1" customWidth="0"/>
    <x:col min="22" max="22" width="11.670000076293945" hidden="0" customWidth="1"/>
    <x:col min="23" max="23" width="11.670000076293945" hidden="0" customWidth="1"/>
    <x:col min="24" max="24" width="13.329999923706055" hidden="0" customWidth="1"/>
    <x:col min="25" max="25" width="27.780000686645508" hidden="0" customWidth="1"/>
    <x:col min="26" max="26" width="33.33000183105469" hidden="0" customWidth="1"/>
    <x:col min="27" max="27" width="36.66999816894531" hidden="0" customWidth="1"/>
    <x:col min="28" max="28" width="15" hidden="0" customWidth="1"/>
  </x:cols>
  <x:sheetData>
    <x:row r="1" s="1" customFormat="1">
      <x:c r="C1" s="8"/>
      <x:c r="D1" s="8"/>
      <x:c r="E1" s="8"/>
      <x:c r="F1" s="8"/>
      <x:c r="G1" s="8"/>
    </x:row>
    <x:row r="2" s="1" customFormat="1">
      <x:c r="C2" s="8"/>
      <x:c r="D2" s="8"/>
      <x:c r="E2" s="8"/>
      <x:c r="F2" s="8"/>
      <x:c r="G2" s="8"/>
    </x:row>
    <x:row r="3" s="1" customFormat="1">
      <x:c r="C3" s="8"/>
      <x:c r="D3" s="8"/>
      <x:c r="E3" s="8"/>
      <x:c r="F3" s="8"/>
      <x:c r="G3" s="8"/>
    </x:row>
    <x:row r="4" s="1" customFormat="1" ht="17.600000381469727">
      <x:c r="D4" s="9" t="s">
        <x:v>206</x:v>
      </x:c>
      <x:c r="E4" s="9" t="s">
        <x:v>207</x:v>
      </x:c>
      <x:c r="F4" s="9" t="s">
        <x:v>208</x:v>
      </x:c>
      <x:c r="G4" s="9" t="s">
        <x:v>209</x:v>
      </x:c>
      <x:c r="Q4" s="1" t="s">
        <x:v>210</x:v>
      </x:c>
      <x:c r="R4" s="1" t="s">
        <x:v>211</x:v>
      </x:c>
      <x:c r="S4" s="1" t="s">
        <x:v>212</x:v>
      </x:c>
      <x:c r="T4" s="1" t="s">
        <x:v>213</x:v>
      </x:c>
      <x:c r="U4" s="1" t="s">
        <x:v>214</x:v>
      </x:c>
      <x:c r="V4" s="39" t="str">
        <x:v>视觉主流派</x:v>
      </x:c>
      <x:c r="W4" s="39" t="str">
        <x:v>视觉次流派</x:v>
      </x:c>
      <x:c r="X4" s="39" t="str">
        <x:v>现实甜品原型</x:v>
      </x:c>
      <x:c r="Y4" s="39" t="str">
        <x:v>参考链接</x:v>
      </x:c>
      <x:c r="Z4" s="39" t="str">
        <x:v>轮廓/构图</x:v>
      </x:c>
      <x:c r="AA4" s="39" t="str">
        <x:v>器皿/包装与材质</x:v>
      </x:c>
      <x:c r="AB4" s="39" t="str">
        <x:v>美术状态</x:v>
      </x:c>
    </x:row>
    <x:row r="5" s="1" customFormat="1" ht="34">
      <x:c r="C5" s="10" t="s">
        <x:v>215</x:v>
      </x:c>
      <x:c r="D5" s="11" t="s">
        <x:v>54</x:v>
      </x:c>
      <x:c r="E5" s="11" t="s">
        <x:v>216</x:v>
      </x:c>
      <x:c r="F5" s="11">
        <x:v>10</x:v>
      </x:c>
      <x:c r="G5" s="11" t="s">
        <x:v>217</x:v>
      </x:c>
      <x:c r="Q5" s="1">
        <x:v>2</x:v>
      </x:c>
      <x:c r="R5" s="1">
        <x:v>2.25</x:v>
      </x:c>
      <x:c r="V5" s="45"/>
      <x:c r="W5" s="45"/>
      <x:c r="X5" s="44"/>
      <x:c r="Y5" s="44"/>
      <x:c r="Z5" s="44"/>
      <x:c r="AA5" s="44"/>
      <x:c r="AB5" s="45"/>
    </x:row>
    <x:row r="6" s="1" customFormat="1" ht="34">
      <x:c r="C6" s="10"/>
      <x:c r="D6" s="11" t="s">
        <x:v>55</x:v>
      </x:c>
      <x:c r="E6" s="8" t="s">
        <x:v>216</x:v>
      </x:c>
      <x:c r="F6" s="8">
        <x:v>10</x:v>
      </x:c>
      <x:c r="G6" s="15" t="s">
        <x:v>218</x:v>
      </x:c>
      <x:c r="Q6" s="1">
        <x:v>2</x:v>
      </x:c>
      <x:c r="R6" s="1">
        <x:v>2.25</x:v>
      </x:c>
      <x:c r="S6" s="1">
        <x:v>2</x:v>
      </x:c>
      <x:c r="V6" s="45"/>
      <x:c r="W6" s="45"/>
      <x:c r="X6" s="44"/>
      <x:c r="Y6" s="44"/>
      <x:c r="Z6" s="44"/>
      <x:c r="AA6" s="44"/>
      <x:c r="AB6" s="45"/>
    </x:row>
    <x:row r="7" s="1" customFormat="1" ht="34">
      <x:c r="C7" s="10"/>
      <x:c r="D7" s="11" t="s">
        <x:v>56</x:v>
      </x:c>
      <x:c r="E7" s="15" t="s">
        <x:v>219</x:v>
      </x:c>
      <x:c r="F7" s="15">
        <x:v>10</x:v>
      </x:c>
      <x:c r="G7" s="15" t="s">
        <x:v>220</x:v>
      </x:c>
      <x:c r="Q7" s="1">
        <x:v>2</x:v>
      </x:c>
      <x:c r="R7" s="1">
        <x:v>2.25</x:v>
      </x:c>
      <x:c r="S7" s="1">
        <x:v>2</x:v>
      </x:c>
      <x:c r="V7" s="45"/>
      <x:c r="W7" s="45"/>
      <x:c r="X7" s="44"/>
      <x:c r="Y7" s="44"/>
      <x:c r="Z7" s="44"/>
      <x:c r="AA7" s="44"/>
      <x:c r="AB7" s="45"/>
    </x:row>
    <x:row r="8" s="1" customFormat="1" ht="17">
      <x:c r="C8" s="10"/>
      <x:c r="D8" s="8"/>
      <x:c r="E8" s="15" t="s">
        <x:v>219</x:v>
      </x:c>
      <x:c r="F8" s="15"/>
      <x:c r="G8" s="15"/>
      <x:c r="V8" s="45"/>
      <x:c r="W8" s="45"/>
      <x:c r="X8" s="44"/>
      <x:c r="Y8" s="44"/>
      <x:c r="Z8" s="44"/>
      <x:c r="AA8" s="44"/>
      <x:c r="AB8" s="45"/>
    </x:row>
    <x:row r="9" s="1" customFormat="1" ht="34">
      <x:c r="C9" s="10"/>
      <x:c r="D9" s="11" t="s">
        <x:v>57</x:v>
      </x:c>
      <x:c r="E9" s="15" t="s">
        <x:v>219</x:v>
      </x:c>
      <x:c r="F9" s="15">
        <x:v>10</x:v>
      </x:c>
      <x:c r="G9" s="15" t="s">
        <x:v>221</x:v>
      </x:c>
      <x:c r="Q9" s="1">
        <x:v>2</x:v>
      </x:c>
      <x:c r="R9" s="1">
        <x:v>2.25</x:v>
      </x:c>
      <x:c r="S9" s="1">
        <x:v>2</x:v>
      </x:c>
      <x:c r="V9" s="45"/>
      <x:c r="W9" s="45"/>
      <x:c r="X9" s="44"/>
      <x:c r="Y9" s="44"/>
      <x:c r="Z9" s="44"/>
      <x:c r="AA9" s="44"/>
      <x:c r="AB9" s="45"/>
    </x:row>
    <x:row r="10" s="1" customFormat="1">
      <x:c r="C10" s="10"/>
      <x:c r="D10" s="8"/>
      <x:c r="E10" s="8" t="s">
        <x:v>219</x:v>
      </x:c>
      <x:c r="F10" s="8"/>
      <x:c r="G10" s="15"/>
      <x:c r="I10" s="1" t="s">
        <x:v>222</x:v>
      </x:c>
      <x:c r="J10" s="1" t="s">
        <x:v>223</x:v>
      </x:c>
      <x:c r="K10" s="1" t="s">
        <x:v>224</x:v>
      </x:c>
      <x:c r="V10" s="45"/>
      <x:c r="W10" s="45"/>
      <x:c r="X10" s="44"/>
      <x:c r="Y10" s="44"/>
      <x:c r="Z10" s="44"/>
      <x:c r="AA10" s="44"/>
      <x:c r="AB10" s="45"/>
    </x:row>
    <x:row r="11" s="1" customFormat="1" ht="34">
      <x:c r="C11" s="12" t="s">
        <x:v>225</x:v>
      </x:c>
      <x:c r="D11" s="9" t="str">
        <x:v>果冻</x:v>
      </x:c>
      <x:c r="E11" s="8" t="s">
        <x:v>216</x:v>
      </x:c>
      <x:c r="F11" s="8">
        <x:v>20</x:v>
      </x:c>
      <x:c r="G11" s="16" t="s">
        <x:v>226</x:v>
      </x:c>
      <x:c r="I11" s="1" t="s">
        <x:v>227</x:v>
      </x:c>
      <x:c r="J11" s="1" t="s">
        <x:v>212</x:v>
      </x:c>
      <x:c r="K11" s="1" t="s">
        <x:v>228</x:v>
      </x:c>
      <x:c r="M11" s="1" t="s">
        <x:v>229</x:v>
      </x:c>
      <x:c r="Q11" s="1">
        <x:v>2</x:v>
      </x:c>
      <x:c r="R11" s="1">
        <x:v>8</x:v>
      </x:c>
      <x:c r="S11" s="1">
        <x:v>5</x:v>
      </x:c>
      <x:c r="V11" s="45" t="str">
        <x:v>通用</x:v>
      </x:c>
      <x:c r="W11" s="45" t="str"/>
      <x:c r="X11" s="44" t="str">
        <x:v>果冻</x:v>
      </x:c>
      <x:c r="Y11" s="44" t="str">
        <x:v>https://www.bing.com/search?q=%E6%9E%9C%E5%86%BB%20%E7%94%9C%E5%93%81</x:v>
      </x:c>
      <x:c r="Z11" s="44" t="str">
        <x:v>2×1单份果冻；保持现实比例，用器皿或自然长形适配格子</x:v>
      </x:c>
      <x:c r="AA11" s="44" t="str">
        <x:v>白瓷、透明但不半透明的风格化杯碗或烘焙纸托；不使用流派专属纹样</x:v>
      </x:c>
      <x:c r="AB11" s="45" t="str">
        <x:v>待选风格后重绘</x:v>
      </x:c>
    </x:row>
    <x:row r="12" s="1" customFormat="1" ht="34">
      <x:c r="C12" s="12"/>
      <x:c r="D12" s="8" t="str">
        <x:v>糖霜蛋糕</x:v>
      </x:c>
      <x:c r="E12" s="8" t="s">
        <x:v>216</x:v>
      </x:c>
      <x:c r="F12" s="15">
        <x:v>20</x:v>
      </x:c>
      <x:c r="G12" s="15" t="s">
        <x:v>230</x:v>
      </x:c>
      <x:c r="I12" s="1" t="s">
        <x:v>231</x:v>
      </x:c>
      <x:c r="J12" s="1" t="s">
        <x:v>232</x:v>
      </x:c>
      <x:c r="M12" s="1" t="s">
        <x:v>233</x:v>
      </x:c>
      <x:c r="Q12" s="1">
        <x:v>2</x:v>
      </x:c>
      <x:c r="U12" s="1">
        <x:v>5</x:v>
      </x:c>
      <x:c r="V12" s="45" t="str">
        <x:v>蛋糕流</x:v>
      </x:c>
      <x:c r="W12" s="45" t="str">
        <x:v>甜蜜传递流</x:v>
      </x:c>
      <x:c r="X12" s="44" t="str">
        <x:v>糖霜蛋糕</x:v>
      </x:c>
      <x:c r="Y12" s="44" t="str">
        <x:v>https://www.bing.com/search?q=%E7%B3%96%E9%9C%9C%E8%9B%8B%E7%B3%95%20%E7%94%9C%E5%93%81</x:v>
      </x:c>
      <x:c r="Z12" s="44" t="str">
        <x:v>2×1蛋糕主体；以真实切面、层次或烘焙轮廓区分，不堆叠复制</x:v>
      </x:c>
      <x:c r="AA12" s="44" t="str">
        <x:v>象牙色或金色蛋糕托；奶油、蛋糕胚与少量真实装饰；柔和奶油色系</x:v>
      </x:c>
      <x:c r="AB12" s="45" t="str">
        <x:v>待选风格后重绘</x:v>
      </x:c>
    </x:row>
    <x:row r="13" s="1" customFormat="1" ht="34">
      <x:c r="C13" s="12"/>
      <x:c r="D13" s="8" t="str">
        <x:v>蛋挞</x:v>
      </x:c>
      <x:c r="E13" s="8" t="s">
        <x:v>216</x:v>
      </x:c>
      <x:c r="F13" s="8">
        <x:v>20</x:v>
      </x:c>
      <x:c r="G13" s="15" t="s">
        <x:v>234</x:v>
      </x:c>
      <x:c r="I13" s="1" t="s">
        <x:v>235</x:v>
      </x:c>
      <x:c r="J13" s="1" t="s">
        <x:v>212</x:v>
      </x:c>
      <x:c r="K13" s="1" t="s">
        <x:v>236</x:v>
      </x:c>
      <x:c r="Q13" s="1">
        <x:v>2</x:v>
      </x:c>
      <x:c r="S13" s="1">
        <x:v>5</x:v>
      </x:c>
      <x:c r="V13" s="45" t="str">
        <x:v>东方点心流</x:v>
      </x:c>
      <x:c r="W13" s="45" t="str"/>
      <x:c r="X13" s="44" t="str">
        <x:v>蛋挞</x:v>
      </x:c>
      <x:c r="Y13" s="44" t="str">
        <x:v>https://www.bing.com/search?q=%E8%9B%8B%E6%8C%9E%20%E7%94%9C%E5%93%81</x:v>
      </x:c>
      <x:c r="Z13" s="44" t="str">
        <x:v>2×1单份东方甜点；用糕、酥、糯米或甜品碗形成完整单体</x:v>
      </x:c>
      <x:c r="AA13" s="44" t="str">
        <x:v>青瓷、竹托或中式纸托三选一；暖金、豆沙红、芝麻黑与米白为主</x:v>
      </x:c>
      <x:c r="AB13" s="45" t="str">
        <x:v>待选风格后重绘</x:v>
      </x:c>
    </x:row>
    <x:row r="14" s="1" customFormat="1" ht="51">
      <x:c r="C14" s="12"/>
      <x:c r="D14" s="8" t="str">
        <x:v>糖豆</x:v>
      </x:c>
      <x:c r="E14" s="8" t="s">
        <x:v>216</x:v>
      </x:c>
      <x:c r="F14" s="15">
        <x:v>20</x:v>
      </x:c>
      <x:c r="G14" s="15" t="s">
        <x:v>237</x:v>
      </x:c>
      <x:c r="I14" s="1" t="s">
        <x:v>238</x:v>
      </x:c>
      <x:c r="J14" s="1" t="s">
        <x:v>239</x:v>
      </x:c>
      <x:c r="K14" s="1" t="s">
        <x:v>240</x:v>
      </x:c>
      <x:c r="Q14" s="1">
        <x:v>2</x:v>
      </x:c>
      <x:c r="V14" s="45" t="str">
        <x:v>甜蜜传递流</x:v>
      </x:c>
      <x:c r="W14" s="45" t="str"/>
      <x:c r="X14" s="44" t="str">
        <x:v>糖豆</x:v>
      </x:c>
      <x:c r="Y14" s="44" t="str">
        <x:v>https://www.bing.com/search?q=%E7%B3%96%E8%B1%86%20%E7%94%9C%E5%93%81</x:v>
      </x:c>
      <x:c r="Z14" s="44" t="str">
        <x:v>2×1单体糖果或巧克力；包装走势服从格子比例，保持强轮廓</x:v>
      </x:c>
      <x:c r="AA14" s="44" t="str">
        <x:v>无餐盘；使用糖纸、锡纸或纸托；糖晶高光与巧克力哑光形成材质差</x:v>
      </x:c>
      <x:c r="AB14" s="45" t="str">
        <x:v>待选风格后重绘</x:v>
      </x:c>
    </x:row>
    <x:row r="15" s="1" customFormat="1" ht="34">
      <x:c r="C15" s="12"/>
      <x:c r="D15" s="8" t="str">
        <x:v>芝士蛋糕</x:v>
      </x:c>
      <x:c r="E15" s="8" t="s">
        <x:v>216</x:v>
      </x:c>
      <x:c r="F15" s="8">
        <x:v>20</x:v>
      </x:c>
      <x:c r="G15" s="15" t="s">
        <x:v>241</x:v>
      </x:c>
      <x:c r="I15" s="1" t="s">
        <x:v>242</x:v>
      </x:c>
      <x:c r="J15" s="1" t="s">
        <x:v>243</x:v>
      </x:c>
      <x:c r="K15" s="1" t="s">
        <x:v>228</x:v>
      </x:c>
      <x:c r="Q15" s="1">
        <x:v>2</x:v>
      </x:c>
      <x:c r="R15" s="1">
        <x:v>3</x:v>
      </x:c>
      <x:c r="U15" s="1">
        <x:v>3</x:v>
      </x:c>
      <x:c r="V15" s="45" t="str">
        <x:v>蛋糕流</x:v>
      </x:c>
      <x:c r="W15" s="45" t="str"/>
      <x:c r="X15" s="44" t="str">
        <x:v>芝士蛋糕</x:v>
      </x:c>
      <x:c r="Y15" s="44" t="str">
        <x:v>https://www.bing.com/search?q=%E8%8A%9D%E5%A3%AB%E8%9B%8B%E7%B3%95%20%E7%94%9C%E5%93%81</x:v>
      </x:c>
      <x:c r="Z15" s="44" t="str">
        <x:v>2×1蛋糕主体；以真实切面、层次或烘焙轮廓区分，不堆叠复制</x:v>
      </x:c>
      <x:c r="AA15" s="44" t="str">
        <x:v>象牙色或金色蛋糕托；奶油、蛋糕胚与少量真实装饰；柔和奶油色系</x:v>
      </x:c>
      <x:c r="AB15" s="45" t="str">
        <x:v>待选风格后重绘</x:v>
      </x:c>
    </x:row>
    <x:row r="16" s="1" customFormat="1" ht="34">
      <x:c r="C16" s="12"/>
      <x:c r="D16" s="8" t="str">
        <x:v>慕斯蛋糕</x:v>
      </x:c>
      <x:c r="E16" s="8" t="s">
        <x:v>216</x:v>
      </x:c>
      <x:c r="F16" s="15">
        <x:v>20</x:v>
      </x:c>
      <x:c r="G16" s="15" t="s">
        <x:v>244</x:v>
      </x:c>
      <x:c r="I16" s="1" t="s">
        <x:v>245</x:v>
      </x:c>
      <x:c r="J16" s="1" t="s">
        <x:v>232</x:v>
      </x:c>
      <x:c r="K16" s="1" t="s">
        <x:v>236</x:v>
      </x:c>
      <x:c r="Q16" s="1">
        <x:v>2</x:v>
      </x:c>
      <x:c r="V16" s="45" t="str">
        <x:v>蛋糕流</x:v>
      </x:c>
      <x:c r="W16" s="45" t="str">
        <x:v>东方点心流</x:v>
      </x:c>
      <x:c r="X16" s="44" t="str">
        <x:v>慕斯蛋糕</x:v>
      </x:c>
      <x:c r="Y16" s="44" t="str">
        <x:v>https://www.bing.com/search?q=%E6%85%95%E6%96%AF%E8%9B%8B%E7%B3%95%20%E7%94%9C%E5%93%81</x:v>
      </x:c>
      <x:c r="Z16" s="44" t="str">
        <x:v>2×1蛋糕主体；以真实切面、层次或烘焙轮廓区分，不堆叠复制</x:v>
      </x:c>
      <x:c r="AA16" s="44" t="str">
        <x:v>象牙色或金色蛋糕托；奶油、蛋糕胚与少量真实装饰；柔和奶油色系</x:v>
      </x:c>
      <x:c r="AB16" s="45" t="str">
        <x:v>待选风格后重绘</x:v>
      </x:c>
    </x:row>
    <x:row r="17" s="1" customFormat="1" ht="34">
      <x:c r="C17" s="12"/>
      <x:c r="D17" s="8" t="str">
        <x:v>焦糖布丁</x:v>
      </x:c>
      <x:c r="E17" s="8" t="s">
        <x:v>216</x:v>
      </x:c>
      <x:c r="F17" s="15">
        <x:v>20</x:v>
      </x:c>
      <x:c r="G17" s="15" t="s">
        <x:v>246</x:v>
      </x:c>
      <x:c r="I17" s="1" t="s">
        <x:v>227</x:v>
      </x:c>
      <x:c r="V17" s="45" t="str">
        <x:v>通用</x:v>
      </x:c>
      <x:c r="W17" s="45" t="str"/>
      <x:c r="X17" s="44" t="str">
        <x:v>焦糖布丁</x:v>
      </x:c>
      <x:c r="Y17" s="44" t="str">
        <x:v>https://www.bing.com/search?q=%E7%84%A6%E7%B3%96%E5%B8%83%E4%B8%81+%E7%94%9C%E5%93%81</x:v>
      </x:c>
      <x:c r="Z17" s="44" t="str">
        <x:v>2×1单份焦糖布丁；保持现实比例，用器皿或自然长形适配格子</x:v>
      </x:c>
      <x:c r="AA17" s="44" t="str">
        <x:v>白瓷、透明但不半透明的风格化杯碗或烘焙纸托；不使用流派专属纹样</x:v>
      </x:c>
      <x:c r="AB17" s="45" t="str">
        <x:v>待选风格后制作</x:v>
      </x:c>
    </x:row>
    <x:row r="18" s="1" customFormat="1" ht="34">
      <x:c r="C18" s="12"/>
      <x:c r="D18" s="8" t="str">
        <x:v>水果糖</x:v>
      </x:c>
      <x:c r="E18" s="15" t="s">
        <x:v>219</x:v>
      </x:c>
      <x:c r="F18" s="8">
        <x:v>20</x:v>
      </x:c>
      <x:c r="G18" s="15" t="s">
        <x:v>247</x:v>
      </x:c>
      <x:c r="I18" s="1" t="s">
        <x:v>238</x:v>
      </x:c>
      <x:c r="J18" s="1" t="s">
        <x:v>212</x:v>
      </x:c>
      <x:c r="K18" s="1" t="s">
        <x:v>248</x:v>
      </x:c>
      <x:c r="Q18" s="1">
        <x:v>2</x:v>
      </x:c>
      <x:c r="S18" s="1">
        <x:v>5</x:v>
      </x:c>
      <x:c r="V18" s="45" t="str">
        <x:v>甜蜜传递流</x:v>
      </x:c>
      <x:c r="W18" s="45" t="str"/>
      <x:c r="X18" s="44" t="str">
        <x:v>水果糖</x:v>
      </x:c>
      <x:c r="Y18" s="44" t="str">
        <x:v>https://www.bing.com/search?q=%E6%B0%B4%E6%9E%9C%E7%B3%96%20%E7%94%9C%E5%93%81</x:v>
      </x:c>
      <x:c r="Z18" s="44" t="str">
        <x:v>1×2单体糖果或巧克力；包装走势服从格子比例，保持强轮廓</x:v>
      </x:c>
      <x:c r="AA18" s="44" t="str">
        <x:v>无餐盘；使用糖纸、锡纸或纸托；糖晶高光与巧克力哑光形成材质差</x:v>
      </x:c>
      <x:c r="AB18" s="45" t="str">
        <x:v>待选风格后重绘</x:v>
      </x:c>
    </x:row>
    <x:row r="19" s="1" customFormat="1" ht="17">
      <x:c r="C19" s="12"/>
      <x:c r="D19" s="8"/>
      <x:c r="E19" s="15" t="s">
        <x:v>219</x:v>
      </x:c>
      <x:c r="F19" s="15"/>
      <x:c r="G19" s="15"/>
      <x:c r="V19" s="45"/>
      <x:c r="W19" s="45"/>
      <x:c r="X19" s="44"/>
      <x:c r="Y19" s="44"/>
      <x:c r="Z19" s="44"/>
      <x:c r="AA19" s="44"/>
      <x:c r="AB19" s="45"/>
    </x:row>
    <x:row r="20" s="1" customFormat="1" ht="51">
      <x:c r="C20" s="12"/>
      <x:c r="D20" s="8" t="str">
        <x:v>巧克力棒</x:v>
      </x:c>
      <x:c r="E20" s="15" t="s">
        <x:v>219</x:v>
      </x:c>
      <x:c r="F20" s="8">
        <x:v>20</x:v>
      </x:c>
      <x:c r="G20" s="15" t="s">
        <x:v>249</x:v>
      </x:c>
      <x:c r="I20" s="1" t="s">
        <x:v>250</x:v>
      </x:c>
      <x:c r="J20" s="1" t="s">
        <x:v>239</x:v>
      </x:c>
      <x:c r="K20" s="1" t="s">
        <x:v>228</x:v>
      </x:c>
      <x:c r="Q20" s="1">
        <x:v>2</x:v>
      </x:c>
      <x:c r="V20" s="45" t="str">
        <x:v>甜蜜传递流</x:v>
      </x:c>
      <x:c r="W20" s="45" t="str">
        <x:v>东方点心流</x:v>
      </x:c>
      <x:c r="X20" s="44" t="str">
        <x:v>巧克力棒</x:v>
      </x:c>
      <x:c r="Y20" s="44" t="str">
        <x:v>https://www.bing.com/search?q=%E5%B7%A7%E5%85%8B%E5%8A%9B%E6%A3%92%20%E7%94%9C%E5%93%81</x:v>
      </x:c>
      <x:c r="Z20" s="44" t="str">
        <x:v>1×2单体糖果或巧克力；包装走势服从格子比例，保持强轮廓</x:v>
      </x:c>
      <x:c r="AA20" s="44" t="str">
        <x:v>无餐盘；使用糖纸、锡纸或纸托；糖晶高光与巧克力哑光形成材质差</x:v>
      </x:c>
      <x:c r="AB20" s="45" t="str">
        <x:v>待选风格后重绘</x:v>
      </x:c>
    </x:row>
    <x:row r="21" s="1" customFormat="1" ht="17">
      <x:c r="C21" s="12"/>
      <x:c r="D21" s="8"/>
      <x:c r="E21" s="15" t="s">
        <x:v>219</x:v>
      </x:c>
      <x:c r="F21" s="15"/>
      <x:c r="G21" s="15"/>
      <x:c r="V21" s="45"/>
      <x:c r="W21" s="45"/>
      <x:c r="X21" s="44"/>
      <x:c r="Y21" s="44"/>
      <x:c r="Z21" s="44"/>
      <x:c r="AA21" s="44"/>
      <x:c r="AB21" s="45"/>
    </x:row>
    <x:row r="22" s="1" customFormat="1" ht="34">
      <x:c r="C22" s="12"/>
      <x:c r="D22" s="8" t="str">
        <x:v>麻薯</x:v>
      </x:c>
      <x:c r="E22" s="15" t="s">
        <x:v>219</x:v>
      </x:c>
      <x:c r="F22" s="8">
        <x:v>20</x:v>
      </x:c>
      <x:c r="G22" s="15" t="s">
        <x:v>251</x:v>
      </x:c>
      <x:c r="I22" s="1" t="s">
        <x:v>235</x:v>
      </x:c>
      <x:c r="J22" s="1" t="s">
        <x:v>212</x:v>
      </x:c>
      <x:c r="K22" s="1" t="s">
        <x:v>252</x:v>
      </x:c>
      <x:c r="Q22" s="1">
        <x:v>2</x:v>
      </x:c>
      <x:c r="V22" s="45" t="str">
        <x:v>东方点心流</x:v>
      </x:c>
      <x:c r="W22" s="45" t="str"/>
      <x:c r="X22" s="44" t="str">
        <x:v>麻薯</x:v>
      </x:c>
      <x:c r="Y22" s="44" t="str">
        <x:v>https://www.bing.com/search?q=%E9%BA%BB%E8%96%AF%20%E7%94%9C%E5%93%81</x:v>
      </x:c>
      <x:c r="Z22" s="44" t="str">
        <x:v>1×2单份东方甜点；用糕、酥、糯米或甜品碗形成完整单体</x:v>
      </x:c>
      <x:c r="AA22" s="44" t="str">
        <x:v>青瓷、竹托或中式纸托三选一；暖金、豆沙红、芝麻黑与米白为主</x:v>
      </x:c>
      <x:c r="AB22" s="45" t="str">
        <x:v>待选风格后重绘</x:v>
      </x:c>
    </x:row>
    <x:row r="23" s="1" customFormat="1" ht="17">
      <x:c r="C23" s="12"/>
      <x:c r="D23" s="8"/>
      <x:c r="E23" s="15" t="s">
        <x:v>219</x:v>
      </x:c>
      <x:c r="F23" s="15"/>
      <x:c r="G23" s="8"/>
      <x:c r="V23" s="45"/>
      <x:c r="W23" s="45"/>
      <x:c r="X23" s="44"/>
      <x:c r="Y23" s="44"/>
      <x:c r="Z23" s="44"/>
      <x:c r="AA23" s="44"/>
      <x:c r="AB23" s="45"/>
    </x:row>
    <x:row r="24" s="1" customFormat="1" ht="34">
      <x:c r="C24" s="12"/>
      <x:c r="D24" s="8" t="str">
        <x:v>杯子蛋糕</x:v>
      </x:c>
      <x:c r="E24" s="15" t="s">
        <x:v>219</x:v>
      </x:c>
      <x:c r="F24" s="8">
        <x:v>20</x:v>
      </x:c>
      <x:c r="G24" s="15" t="s">
        <x:v>253</x:v>
      </x:c>
      <x:c r="I24" s="1" t="s">
        <x:v>242</x:v>
      </x:c>
      <x:c r="J24" s="1" t="s">
        <x:v>212</x:v>
      </x:c>
      <x:c r="K24" s="1" t="s">
        <x:v>254</x:v>
      </x:c>
      <x:c r="Q24" s="1">
        <x:v>2</x:v>
      </x:c>
      <x:c r="S24" s="1">
        <x:v>2.5</x:v>
      </x:c>
      <x:c r="U24" s="1">
        <x:v>2.5</x:v>
      </x:c>
      <x:c r="V24" s="45" t="str">
        <x:v>蛋糕流</x:v>
      </x:c>
      <x:c r="W24" s="45" t="str"/>
      <x:c r="X24" s="44" t="str">
        <x:v>杯子蛋糕</x:v>
      </x:c>
      <x:c r="Y24" s="44" t="str">
        <x:v>https://www.bing.com/search?q=%E6%9D%AF%E5%AD%90%E8%9B%8B%E7%B3%95%20%E7%94%9C%E5%93%81</x:v>
      </x:c>
      <x:c r="Z24" s="44" t="str">
        <x:v>1×2蛋糕主体；以真实切面、层次或烘焙轮廓区分，不堆叠复制</x:v>
      </x:c>
      <x:c r="AA24" s="44" t="str">
        <x:v>象牙色或金色蛋糕托；奶油、蛋糕胚与少量真实装饰；柔和奶油色系</x:v>
      </x:c>
      <x:c r="AB24" s="45" t="str">
        <x:v>待选风格后重绘</x:v>
      </x:c>
    </x:row>
    <x:row r="25" s="1" customFormat="1" ht="17">
      <x:c r="C25" s="12"/>
      <x:c r="D25" s="8"/>
      <x:c r="E25" s="15" t="s">
        <x:v>219</x:v>
      </x:c>
      <x:c r="F25" s="15"/>
      <x:c r="G25" s="15"/>
      <x:c r="V25" s="45"/>
      <x:c r="W25" s="45"/>
      <x:c r="X25" s="44"/>
      <x:c r="Y25" s="44"/>
      <x:c r="Z25" s="44"/>
      <x:c r="AA25" s="44"/>
      <x:c r="AB25" s="45"/>
    </x:row>
    <x:row r="26" s="1" customFormat="1" ht="34">
      <x:c r="C26" s="12"/>
      <x:c r="D26" s="8" t="str">
        <x:v>奶油泡芙</x:v>
      </x:c>
      <x:c r="E26" s="15" t="s">
        <x:v>219</x:v>
      </x:c>
      <x:c r="F26" s="8">
        <x:v>20</x:v>
      </x:c>
      <x:c r="G26" s="17" t="s">
        <x:v>255</x:v>
      </x:c>
      <x:c r="I26" s="1" t="s">
        <x:v>227</x:v>
      </x:c>
      <x:c r="J26" s="1" t="s">
        <x:v>239</x:v>
      </x:c>
      <x:c r="K26" s="1" t="s">
        <x:v>256</x:v>
      </x:c>
      <x:c r="Q26" s="1">
        <x:v>2</x:v>
      </x:c>
      <x:c r="V26" s="45" t="str">
        <x:v>通用</x:v>
      </x:c>
      <x:c r="W26" s="45" t="str"/>
      <x:c r="X26" s="44" t="str">
        <x:v>奶油泡芙</x:v>
      </x:c>
      <x:c r="Y26" s="44" t="str">
        <x:v>https://www.bing.com/search?q=%E5%A5%B6%E6%B2%B9%E6%B3%A1%E8%8A%99+%E7%94%9C%E5%93%81</x:v>
      </x:c>
      <x:c r="Z26" s="44" t="str">
        <x:v>1×2单份奶油泡芙；保持现实比例，用器皿或自然长形适配格子</x:v>
      </x:c>
      <x:c r="AA26" s="44" t="str">
        <x:v>白瓷、透明但不半透明的风格化杯碗或烘焙纸托；不使用流派专属纹样</x:v>
      </x:c>
      <x:c r="AB26" s="45" t="str">
        <x:v>待选风格后重绘</x:v>
      </x:c>
    </x:row>
    <x:row r="27" s="1" customFormat="1" ht="17">
      <x:c r="C27" s="12"/>
      <x:c r="D27" s="8"/>
      <x:c r="E27" s="15" t="s">
        <x:v>219</x:v>
      </x:c>
      <x:c r="F27" s="15"/>
      <x:c r="G27" s="15"/>
      <x:c r="V27" s="45"/>
      <x:c r="W27" s="45"/>
      <x:c r="X27" s="44"/>
      <x:c r="Y27" s="44"/>
      <x:c r="Z27" s="44"/>
      <x:c r="AA27" s="44"/>
      <x:c r="AB27" s="45"/>
    </x:row>
    <x:row r="28" s="1" customFormat="1" ht="34">
      <x:c r="C28" s="12"/>
      <x:c r="D28" s="8" t="str">
        <x:v>冰淇淋</x:v>
      </x:c>
      <x:c r="E28" s="15" t="s">
        <x:v>219</x:v>
      </x:c>
      <x:c r="F28" s="15">
        <x:v>100</x:v>
      </x:c>
      <x:c r="G28" s="15" t="s">
        <x:v>257</x:v>
      </x:c>
      <x:c r="I28" s="1" t="s">
        <x:v>227</x:v>
      </x:c>
      <x:c r="V28" s="45" t="str">
        <x:v>通用</x:v>
      </x:c>
      <x:c r="W28" s="45" t="str"/>
      <x:c r="X28" s="44" t="str">
        <x:v>冰淇淋</x:v>
      </x:c>
      <x:c r="Y28" s="44" t="str">
        <x:v>https://zh.wikipedia.org/wiki/%E5%86%B0%E6%B7%87%E6%B7%8B</x:v>
      </x:c>
      <x:c r="Z28" s="44" t="str">
        <x:v>1×2单份冰淇淋；保持现实比例，用器皿或自然长形适配格子</x:v>
      </x:c>
      <x:c r="AA28" s="44" t="str">
        <x:v>白瓷、透明但不半透明的风格化杯碗或烘焙纸托；不使用流派专属纹样</x:v>
      </x:c>
      <x:c r="AB28" s="45" t="str">
        <x:v>待选风格后制作</x:v>
      </x:c>
    </x:row>
    <x:row r="29" s="1" customFormat="1" ht="17">
      <x:c r="C29" s="12"/>
      <x:c r="D29" s="8"/>
      <x:c r="E29" s="15" t="s">
        <x:v>219</x:v>
      </x:c>
      <x:c r="F29" s="15"/>
      <x:c r="G29" s="15"/>
      <x:c r="V29" s="45"/>
      <x:c r="W29" s="45"/>
      <x:c r="X29" s="44"/>
      <x:c r="Y29" s="44"/>
      <x:c r="Z29" s="44"/>
      <x:c r="AA29" s="44"/>
      <x:c r="AB29" s="45"/>
    </x:row>
    <x:row r="30" s="1" customFormat="1" ht="34">
      <x:c r="C30" s="13" t="s">
        <x:v>258</x:v>
      </x:c>
      <x:c r="D30" s="8" t="str">
        <x:v>蛋卷</x:v>
      </x:c>
      <x:c r="E30" s="15" t="s">
        <x:v>259</x:v>
      </x:c>
      <x:c r="F30" s="8"/>
      <x:c r="G30" s="15" t="s">
        <x:v>260</x:v>
      </x:c>
      <x:c r="I30" s="1" t="s">
        <x:v>235</x:v>
      </x:c>
      <x:c r="J30" s="1" t="s">
        <x:v>239</x:v>
      </x:c>
      <x:c r="K30" s="1" t="s">
        <x:v>261</x:v>
      </x:c>
      <x:c r="Q30" s="1">
        <x:v>3</x:v>
      </x:c>
      <x:c r="R30" s="1">
        <x:v>16</x:v>
      </x:c>
      <x:c r="S30" s="1">
        <x:v>10</x:v>
      </x:c>
      <x:c r="T30" s="1">
        <x:v>6</x:v>
      </x:c>
      <x:c r="U30" s="1">
        <x:v>8</x:v>
      </x:c>
      <x:c r="V30" s="45" t="str">
        <x:v>东方点心流</x:v>
      </x:c>
      <x:c r="W30" s="45" t="str"/>
      <x:c r="X30" s="44" t="str">
        <x:v>蛋卷</x:v>
      </x:c>
      <x:c r="Y30" s="44" t="str">
        <x:v>https://www.bing.com/search?q=%E8%9B%8B%E5%8D%B7%20%E7%94%9C%E5%93%81</x:v>
      </x:c>
      <x:c r="Z30" s="44" t="str">
        <x:v>3×1单份东方甜点；用糕、酥、糯米或甜品碗形成完整单体</x:v>
      </x:c>
      <x:c r="AA30" s="44" t="str">
        <x:v>青瓷、竹托或中式纸托三选一；暖金、豆沙红、芝麻黑与米白为主</x:v>
      </x:c>
      <x:c r="AB30" s="45" t="str">
        <x:v>待选风格后重绘</x:v>
      </x:c>
    </x:row>
    <x:row r="31" s="1" customFormat="1" ht="34">
      <x:c r="C31" s="13"/>
      <x:c r="D31" s="8" t="str">
        <x:v>桂花糕</x:v>
      </x:c>
      <x:c r="E31" s="15" t="s">
        <x:v>259</x:v>
      </x:c>
      <x:c r="F31" s="15"/>
      <x:c r="G31" s="15" t="s">
        <x:v>262</x:v>
      </x:c>
      <x:c r="I31" s="1" t="s">
        <x:v>235</x:v>
      </x:c>
      <x:c r="K31" s="1" t="s">
        <x:v>228</x:v>
      </x:c>
      <x:c r="U31" s="8"/>
      <x:c r="V31" s="45" t="str">
        <x:v>东方点心流</x:v>
      </x:c>
      <x:c r="W31" s="45" t="str"/>
      <x:c r="X31" s="44" t="str">
        <x:v>桂花糕</x:v>
      </x:c>
      <x:c r="Y31" s="44" t="str">
        <x:v>https://zh.wikipedia.org/wiki/%E6%A1%82%E8%8A%B1%E7%B3%95</x:v>
      </x:c>
      <x:c r="Z31" s="44" t="str">
        <x:v>3×1单份东方甜点；用糕、酥、糯米或甜品碗形成完整单体</x:v>
      </x:c>
      <x:c r="AA31" s="44" t="str">
        <x:v>青瓷、竹托或中式纸托三选一；暖金、豆沙红、芝麻黑与米白为主</x:v>
      </x:c>
      <x:c r="AB31" s="45" t="str">
        <x:v>待选风格后重绘</x:v>
      </x:c>
    </x:row>
    <x:row r="32" s="1" customFormat="1" ht="34">
      <x:c r="C32" s="13"/>
      <x:c r="D32" s="8" t="str">
        <x:v>糖葫芦</x:v>
      </x:c>
      <x:c r="E32" s="8" t="s">
        <x:v>259</x:v>
      </x:c>
      <x:c r="F32" s="8"/>
      <x:c r="G32" s="15" t="s">
        <x:v>263</x:v>
      </x:c>
      <x:c r="I32" s="1" t="s">
        <x:v>238</x:v>
      </x:c>
      <x:c r="J32" s="1" t="s">
        <x:v>212</x:v>
      </x:c>
      <x:c r="K32" s="1" t="s">
        <x:v>240</x:v>
      </x:c>
      <x:c r="U32" s="8"/>
      <x:c r="V32" s="45" t="str">
        <x:v>甜蜜传递流</x:v>
      </x:c>
      <x:c r="W32" s="45" t="str"/>
      <x:c r="X32" s="44" t="str">
        <x:v>糖葫芦</x:v>
      </x:c>
      <x:c r="Y32" s="44" t="str">
        <x:v>https://www.bing.com/search?q=%E7%B3%96%E8%91%AB%E8%8A%A6%20%E7%94%9C%E5%93%81</x:v>
      </x:c>
      <x:c r="Z32" s="44" t="str">
        <x:v>3×1单体糖果或巧克力；包装走势服从格子比例，保持强轮廓</x:v>
      </x:c>
      <x:c r="AA32" s="44" t="str">
        <x:v>无餐盘；使用糖纸、锡纸或纸托；糖晶高光与巧克力哑光形成材质差</x:v>
      </x:c>
      <x:c r="AB32" s="45" t="str">
        <x:v>待选风格后重绘</x:v>
      </x:c>
    </x:row>
    <x:row r="33" s="1" customFormat="1" ht="34">
      <x:c r="C33" s="13"/>
      <x:c r="D33" s="8" t="str">
        <x:v>拿破仑蛋糕</x:v>
      </x:c>
      <x:c r="E33" s="8" t="s">
        <x:v>259</x:v>
      </x:c>
      <x:c r="F33" s="15"/>
      <x:c r="G33" s="15" t="s">
        <x:v>264</x:v>
      </x:c>
      <x:c r="I33" s="1" t="s">
        <x:v>242</x:v>
      </x:c>
      <x:c r="J33" s="1" t="s">
        <x:v>239</x:v>
      </x:c>
      <x:c r="K33" s="1" t="s">
        <x:v>261</x:v>
      </x:c>
      <x:c r="U33" s="15"/>
      <x:c r="V33" s="45" t="str">
        <x:v>蛋糕流</x:v>
      </x:c>
      <x:c r="W33" s="45" t="str"/>
      <x:c r="X33" s="44" t="str">
        <x:v>拿破仑蛋糕</x:v>
      </x:c>
      <x:c r="Y33" s="44" t="str">
        <x:v>https://www.bing.com/search?q=%E6%8B%BF%E7%A0%B4%E4%BB%91%E8%9B%8B%E7%B3%95+%E7%94%9C%E5%93%81</x:v>
      </x:c>
      <x:c r="Z33" s="44" t="str">
        <x:v>3×1蛋糕主体；以真实切面、层次或烘焙轮廓区分，不堆叠复制</x:v>
      </x:c>
      <x:c r="AA33" s="44" t="str">
        <x:v>象牙色或金色蛋糕托；奶油、蛋糕胚与少量真实装饰；柔和奶油色系</x:v>
      </x:c>
      <x:c r="AB33" s="45" t="str">
        <x:v>待选风格后重绘</x:v>
      </x:c>
    </x:row>
    <x:row r="34" s="1" customFormat="1" ht="34">
      <x:c r="C34" s="13"/>
      <x:c r="D34" s="8" t="str">
        <x:v>蜂蜜蛋糕</x:v>
      </x:c>
      <x:c r="E34" s="8" t="s">
        <x:v>259</x:v>
      </x:c>
      <x:c r="F34" s="15"/>
      <x:c r="G34" s="15" t="s">
        <x:v>265</x:v>
      </x:c>
      <x:c r="I34" s="1" t="s">
        <x:v>242</x:v>
      </x:c>
      <x:c r="J34" s="1" t="s">
        <x:v>212</x:v>
      </x:c>
      <x:c r="K34" s="1" t="s">
        <x:v>228</x:v>
      </x:c>
      <x:c r="U34" s="15"/>
      <x:c r="V34" s="45" t="str">
        <x:v>蛋糕流</x:v>
      </x:c>
      <x:c r="W34" s="45" t="str"/>
      <x:c r="X34" s="44" t="str">
        <x:v>蜂蜜蛋糕</x:v>
      </x:c>
      <x:c r="Y34" s="44" t="str">
        <x:v>https://www.bing.com/search?q=%E8%9C%82%E8%9C%9C%E8%9B%8B%E7%B3%95+%E7%94%9C%E5%93%81</x:v>
      </x:c>
      <x:c r="Z34" s="44" t="str">
        <x:v>3×1蛋糕主体；以真实切面、层次或烘焙轮廓区分，不堆叠复制</x:v>
      </x:c>
      <x:c r="AA34" s="44" t="str">
        <x:v>象牙色或金色蛋糕托；奶油、蛋糕胚与少量真实装饰；柔和奶油色系</x:v>
      </x:c>
      <x:c r="AB34" s="45" t="str">
        <x:v>待选风格后重绘</x:v>
      </x:c>
    </x:row>
    <x:row r="35" s="1" customFormat="1" ht="34">
      <x:c r="C35" s="13"/>
      <x:c r="D35" s="8" t="str">
        <x:v>年轮蛋糕</x:v>
      </x:c>
      <x:c r="E35" s="8" t="s">
        <x:v>259</x:v>
      </x:c>
      <x:c r="F35" s="15"/>
      <x:c r="G35" s="15" t="s">
        <x:v>266</x:v>
      </x:c>
      <x:c r="I35" s="1" t="s">
        <x:v>242</x:v>
      </x:c>
      <x:c r="U35" s="15"/>
      <x:c r="V35" s="45" t="str">
        <x:v>蛋糕流</x:v>
      </x:c>
      <x:c r="W35" s="45" t="str"/>
      <x:c r="X35" s="44" t="str">
        <x:v>年轮蛋糕</x:v>
      </x:c>
      <x:c r="Y35" s="44" t="str">
        <x:v>https://zh.wikipedia.org/wiki/%E5%B9%B4%E8%BC%AA%E8%9B%8B%E7%B3%95</x:v>
      </x:c>
      <x:c r="Z35" s="44" t="str">
        <x:v>3×1蛋糕主体；以真实切面、层次或烘焙轮廓区分，不堆叠复制</x:v>
      </x:c>
      <x:c r="AA35" s="44" t="str">
        <x:v>象牙色或金色蛋糕托；奶油、蛋糕胚与少量真实装饰；柔和奶油色系</x:v>
      </x:c>
      <x:c r="AB35" s="45" t="str">
        <x:v>待选风格后制作</x:v>
      </x:c>
    </x:row>
    <x:row r="36" s="1" customFormat="1" ht="34">
      <x:c r="C36" s="13"/>
      <x:c r="D36" s="8" t="str">
        <x:v>牛轧糖</x:v>
      </x:c>
      <x:c r="E36" s="8" t="s">
        <x:v>259</x:v>
      </x:c>
      <x:c r="F36" s="15"/>
      <x:c r="G36" s="15" t="s">
        <x:v>267</x:v>
      </x:c>
      <x:c r="I36" s="1" t="s">
        <x:v>238</x:v>
      </x:c>
      <x:c r="U36" s="15"/>
      <x:c r="V36" s="45" t="str">
        <x:v>甜蜜传递流</x:v>
      </x:c>
      <x:c r="W36" s="45" t="str"/>
      <x:c r="X36" s="44" t="str">
        <x:v>牛轧糖</x:v>
      </x:c>
      <x:c r="Y36" s="44" t="str">
        <x:v>https://www.bing.com/search?q=%E7%89%9B%E8%BD%A7%E7%B3%96+%E7%94%9C%E5%93%81</x:v>
      </x:c>
      <x:c r="Z36" s="44" t="str">
        <x:v>3×1单体糖果或巧克力；包装走势服从格子比例，保持强轮廓</x:v>
      </x:c>
      <x:c r="AA36" s="44" t="str">
        <x:v>无餐盘；使用糖纸、锡纸或纸托；糖晶高光与巧克力哑光形成材质差</x:v>
      </x:c>
      <x:c r="AB36" s="45" t="str">
        <x:v>待选风格后制作</x:v>
      </x:c>
    </x:row>
    <x:row r="37" s="1" customFormat="1" ht="34">
      <x:c r="C37" s="13"/>
      <x:c r="D37" s="8" t="str">
        <x:v>山楂糕</x:v>
      </x:c>
      <x:c r="E37" s="8" t="s">
        <x:v>259</x:v>
      </x:c>
      <x:c r="F37" s="15"/>
      <x:c r="G37" s="18" t="s">
        <x:v>268</x:v>
      </x:c>
      <x:c r="I37" s="1" t="s">
        <x:v>235</x:v>
      </x:c>
      <x:c r="U37" s="15"/>
      <x:c r="V37" s="45" t="str">
        <x:v>东方点心流</x:v>
      </x:c>
      <x:c r="W37" s="45" t="str"/>
      <x:c r="X37" s="44" t="str">
        <x:v>山楂糕</x:v>
      </x:c>
      <x:c r="Y37" s="44" t="str">
        <x:v>https://www.bing.com/search?q=%E5%B1%B1%E6%A5%82%E7%B3%95+%E4%B8%AD%E5%BC%8F%E7%94%9C%E7%82%B9</x:v>
      </x:c>
      <x:c r="Z37" s="44" t="str">
        <x:v>3×1单份东方甜点；用糕、酥、糯米或甜品碗形成完整单体</x:v>
      </x:c>
      <x:c r="AA37" s="44" t="str">
        <x:v>青瓷、竹托或中式纸托三选一；暖金、豆沙红、芝麻黑与米白为主</x:v>
      </x:c>
      <x:c r="AB37" s="45" t="str">
        <x:v>待选风格后制作</x:v>
      </x:c>
    </x:row>
    <x:row r="38" s="1" customFormat="1" ht="34">
      <x:c r="C38" s="13"/>
      <x:c r="D38" s="8" t="str">
        <x:v>舒芙蕾</x:v>
      </x:c>
      <x:c r="E38" s="8" t="s">
        <x:v>259</x:v>
      </x:c>
      <x:c r="F38" s="15">
        <x:v>300</x:v>
      </x:c>
      <x:c r="G38" s="18" t="s">
        <x:v>269</x:v>
      </x:c>
      <x:c r="I38" s="1" t="s">
        <x:v>227</x:v>
      </x:c>
      <x:c r="U38" s="15"/>
      <x:c r="V38" s="45" t="str">
        <x:v>通用</x:v>
      </x:c>
      <x:c r="W38" s="45" t="str"/>
      <x:c r="X38" s="44" t="str">
        <x:v>舒芙蕾</x:v>
      </x:c>
      <x:c r="Y38" s="44" t="str">
        <x:v>https://zh.wikipedia.org/wiki/%E8%88%92%E8%8A%99%E8%95%BE</x:v>
      </x:c>
      <x:c r="Z38" s="44" t="str">
        <x:v>3×1单份舒芙蕾；保持现实比例，用器皿或自然长形适配格子</x:v>
      </x:c>
      <x:c r="AA38" s="44" t="str">
        <x:v>白瓷、透明但不半透明的风格化杯碗或烘焙纸托；不使用流派专属纹样</x:v>
      </x:c>
      <x:c r="AB38" s="45" t="str">
        <x:v>待选风格后制作</x:v>
      </x:c>
    </x:row>
    <x:row r="39" s="1" customFormat="1" ht="34">
      <x:c r="C39" s="13"/>
      <x:c r="D39" s="8" t="str">
        <x:v>水果挞</x:v>
      </x:c>
      <x:c r="E39" s="8" t="s">
        <x:v>259</x:v>
      </x:c>
      <x:c r="F39" s="15"/>
      <x:c r="G39" s="18" t="s">
        <x:v>270</x:v>
      </x:c>
      <x:c r="I39" s="1" t="s">
        <x:v>227</x:v>
      </x:c>
      <x:c r="U39" s="15"/>
      <x:c r="V39" s="45" t="str">
        <x:v>通用</x:v>
      </x:c>
      <x:c r="W39" s="45" t="str"/>
      <x:c r="X39" s="44" t="str">
        <x:v>水果挞</x:v>
      </x:c>
      <x:c r="Y39" s="44" t="str">
        <x:v>https://www.bing.com/search?q=%E6%B0%B4%E6%9E%9C%E6%8C%9E+%E7%94%9C%E5%93%81</x:v>
      </x:c>
      <x:c r="Z39" s="44" t="str">
        <x:v>3×1单份水果挞；保持现实比例，用器皿或自然长形适配格子</x:v>
      </x:c>
      <x:c r="AA39" s="44" t="str">
        <x:v>白瓷、透明但不半透明的风格化杯碗或烘焙纸托；不使用流派专属纹样</x:v>
      </x:c>
      <x:c r="AB39" s="45" t="str">
        <x:v>待选风格后制作</x:v>
      </x:c>
    </x:row>
    <x:row r="40" s="1" customFormat="1" ht="34">
      <x:c r="C40" s="13"/>
      <x:c r="D40" s="8" t="str">
        <x:v>草莓圣代</x:v>
      </x:c>
      <x:c r="E40" s="8" t="s">
        <x:v>219</x:v>
      </x:c>
      <x:c r="F40" s="15"/>
      <x:c r="G40" s="18" t="s">
        <x:v>271</x:v>
      </x:c>
      <x:c r="I40" s="1" t="s">
        <x:v>227</x:v>
      </x:c>
      <x:c r="U40" s="15"/>
      <x:c r="V40" s="45" t="str">
        <x:v>通用</x:v>
      </x:c>
      <x:c r="W40" s="45" t="str"/>
      <x:c r="X40" s="44" t="str">
        <x:v>草莓圣代</x:v>
      </x:c>
      <x:c r="Y40" s="44" t="str">
        <x:v>https://www.bing.com/search?q=%E8%8D%89%E8%8E%93%E5%9C%A3%E4%BB%A3+%E7%94%9C%E5%93%81</x:v>
      </x:c>
      <x:c r="Z40" s="44" t="str">
        <x:v>1×3单份草莓圣代；保持现实比例，用器皿或自然长形适配格子</x:v>
      </x:c>
      <x:c r="AA40" s="44" t="str">
        <x:v>白瓷、透明但不半透明的风格化杯碗或烘焙纸托；不使用流派专属纹样</x:v>
      </x:c>
      <x:c r="AB40" s="45" t="str">
        <x:v>待选风格后制作</x:v>
      </x:c>
    </x:row>
    <x:row r="41" s="1" customFormat="1">
      <x:c r="C41" s="13"/>
      <x:c r="D41" s="8"/>
      <x:c r="E41" s="8" t="s">
        <x:v>219</x:v>
      </x:c>
      <x:c r="F41" s="15"/>
      <x:c r="G41" s="18"/>
      <x:c r="U41" s="15"/>
      <x:c r="V41" s="45"/>
      <x:c r="W41" s="45"/>
      <x:c r="X41" s="44"/>
      <x:c r="Y41" s="44"/>
      <x:c r="Z41" s="44"/>
      <x:c r="AA41" s="44"/>
      <x:c r="AB41" s="45"/>
    </x:row>
    <x:row r="42" s="1" customFormat="1">
      <x:c r="C42" s="13"/>
      <x:c r="D42" s="8"/>
      <x:c r="E42" s="8" t="s">
        <x:v>219</x:v>
      </x:c>
      <x:c r="F42" s="15"/>
      <x:c r="G42" s="18"/>
      <x:c r="U42" s="15"/>
      <x:c r="V42" s="45"/>
      <x:c r="W42" s="45"/>
      <x:c r="X42" s="44"/>
      <x:c r="Y42" s="44"/>
      <x:c r="Z42" s="44"/>
      <x:c r="AA42" s="44"/>
      <x:c r="AB42" s="45"/>
    </x:row>
    <x:row r="43" s="1" customFormat="1" ht="34">
      <x:c r="C43" s="13"/>
      <x:c r="D43" s="8" t="str">
        <x:v>冰糖雪梨</x:v>
      </x:c>
      <x:c r="E43" s="8" t="s">
        <x:v>219</x:v>
      </x:c>
      <x:c r="F43" s="15"/>
      <x:c r="G43" s="18" t="s">
        <x:v>272</x:v>
      </x:c>
      <x:c r="I43" s="1" t="s">
        <x:v>227</x:v>
      </x:c>
      <x:c r="U43" s="15"/>
      <x:c r="V43" s="45" t="str">
        <x:v>通用</x:v>
      </x:c>
      <x:c r="W43" s="45" t="str"/>
      <x:c r="X43" s="44" t="str">
        <x:v>冰糖雪梨</x:v>
      </x:c>
      <x:c r="Y43" s="44" t="str">
        <x:v>https://www.bing.com/search?q=%E5%86%B0%E7%B3%96%E9%9B%AA%E6%A2%A8+%E7%94%9C%E5%93%81</x:v>
      </x:c>
      <x:c r="Z43" s="44" t="str">
        <x:v>1×3单份冰糖雪梨；保持现实比例，用器皿或自然长形适配格子</x:v>
      </x:c>
      <x:c r="AA43" s="44" t="str">
        <x:v>白瓷、透明但不半透明的风格化杯碗或烘焙纸托；不使用流派专属纹样</x:v>
      </x:c>
      <x:c r="AB43" s="45" t="str">
        <x:v>待选风格后制作</x:v>
      </x:c>
    </x:row>
    <x:row r="44" s="1" customFormat="1">
      <x:c r="C44" s="13"/>
      <x:c r="D44" s="8"/>
      <x:c r="E44" s="8" t="s">
        <x:v>219</x:v>
      </x:c>
      <x:c r="F44" s="15"/>
      <x:c r="G44" s="18"/>
      <x:c r="U44" s="15"/>
      <x:c r="V44" s="45"/>
      <x:c r="W44" s="45"/>
      <x:c r="X44" s="44"/>
      <x:c r="Y44" s="44"/>
      <x:c r="Z44" s="44"/>
      <x:c r="AA44" s="44"/>
      <x:c r="AB44" s="45"/>
    </x:row>
    <x:row r="45" s="1" customFormat="1">
      <x:c r="C45" s="13"/>
      <x:c r="D45" s="8"/>
      <x:c r="E45" s="8" t="s">
        <x:v>219</x:v>
      </x:c>
      <x:c r="F45" s="15"/>
      <x:c r="G45" s="18"/>
      <x:c r="U45" s="15"/>
      <x:c r="V45" s="45"/>
      <x:c r="W45" s="45"/>
      <x:c r="X45" s="44"/>
      <x:c r="Y45" s="44"/>
      <x:c r="Z45" s="44"/>
      <x:c r="AA45" s="44"/>
      <x:c r="AB45" s="45"/>
    </x:row>
    <x:row r="46" s="1" customFormat="1" ht="51">
      <x:c r="C46" s="13"/>
      <x:c r="D46" s="8" t="str">
        <x:v>跳跳糖</x:v>
      </x:c>
      <x:c r="E46" s="8" t="s">
        <x:v>219</x:v>
      </x:c>
      <x:c r="F46" s="15"/>
      <x:c r="G46" s="18" t="s">
        <x:v>273</x:v>
      </x:c>
      <x:c r="I46" s="1" t="s">
        <x:v>238</x:v>
      </x:c>
      <x:c r="U46" s="15"/>
      <x:c r="V46" s="45" t="str">
        <x:v>甜蜜传递流</x:v>
      </x:c>
      <x:c r="W46" s="45" t="str"/>
      <x:c r="X46" s="44" t="str">
        <x:v>跳跳糖</x:v>
      </x:c>
      <x:c r="Y46" s="44" t="str">
        <x:v>https://www.bing.com/search?q=%E8%B7%B3%E8%B7%B3%E7%B3%96+%E7%B3%96%E6%9E%9C</x:v>
      </x:c>
      <x:c r="Z46" s="44" t="str">
        <x:v>1×3单体糖果或巧克力；包装走势服从格子比例，保持强轮廓</x:v>
      </x:c>
      <x:c r="AA46" s="44" t="str">
        <x:v>无餐盘；使用糖纸、锡纸或纸托；糖晶高光与巧克力哑光形成材质差</x:v>
      </x:c>
      <x:c r="AB46" s="45" t="str">
        <x:v>待选风格后制作</x:v>
      </x:c>
    </x:row>
    <x:row r="47" s="1" customFormat="1">
      <x:c r="C47" s="13"/>
      <x:c r="D47" s="8"/>
      <x:c r="E47" s="8" t="s">
        <x:v>219</x:v>
      </x:c>
      <x:c r="F47" s="15"/>
      <x:c r="G47" s="15"/>
      <x:c r="U47" s="15"/>
      <x:c r="V47" s="45"/>
      <x:c r="W47" s="45"/>
      <x:c r="X47" s="44"/>
      <x:c r="Y47" s="44"/>
      <x:c r="Z47" s="44"/>
      <x:c r="AA47" s="44"/>
      <x:c r="AB47" s="45"/>
    </x:row>
    <x:row r="48" s="1" customFormat="1">
      <x:c r="C48" s="13"/>
      <x:c r="D48" s="8"/>
      <x:c r="E48" s="8" t="s">
        <x:v>219</x:v>
      </x:c>
      <x:c r="F48" s="15"/>
      <x:c r="G48" s="15"/>
      <x:c r="O48" s="1" t="s">
        <x:v>274</x:v>
      </x:c>
      <x:c r="U48" s="15"/>
      <x:c r="V48" s="45"/>
      <x:c r="W48" s="45"/>
      <x:c r="X48" s="44"/>
      <x:c r="Y48" s="44"/>
      <x:c r="Z48" s="44"/>
      <x:c r="AA48" s="44"/>
      <x:c r="AB48" s="45"/>
    </x:row>
    <x:row r="49" s="1" customFormat="1" ht="34">
      <x:c r="C49" s="13"/>
      <x:c r="D49" s="8" t="str">
        <x:v>千层蛋糕</x:v>
      </x:c>
      <x:c r="E49" s="8" t="s">
        <x:v>219</x:v>
      </x:c>
      <x:c r="F49" s="15"/>
      <x:c r="G49" s="15" t="s">
        <x:v>275</x:v>
      </x:c>
      <x:c r="I49" s="1" t="s">
        <x:v>242</x:v>
      </x:c>
      <x:c r="O49" s="1" t="s">
        <x:v>276</x:v>
      </x:c>
      <x:c r="U49" s="15"/>
      <x:c r="V49" s="45" t="str">
        <x:v>蛋糕流</x:v>
      </x:c>
      <x:c r="W49" s="45" t="str"/>
      <x:c r="X49" s="44" t="str">
        <x:v>千层蛋糕</x:v>
      </x:c>
      <x:c r="Y49" s="44" t="str">
        <x:v>https://zh.wikipedia.org/wiki/%E5%8D%83%E5%B1%A4%E8%9B%8B%E7%B3%95</x:v>
      </x:c>
      <x:c r="Z49" s="44" t="str">
        <x:v>1×3蛋糕主体；以真实切面、层次或烘焙轮廓区分，不堆叠复制</x:v>
      </x:c>
      <x:c r="AA49" s="44" t="str">
        <x:v>象牙色或金色蛋糕托；奶油、蛋糕胚与少量真实装饰；柔和奶油色系</x:v>
      </x:c>
      <x:c r="AB49" s="45" t="str">
        <x:v>待选风格后制作</x:v>
      </x:c>
    </x:row>
    <x:row r="50" s="1" customFormat="1">
      <x:c r="C50" s="13"/>
      <x:c r="D50" s="8"/>
      <x:c r="E50" s="8" t="s">
        <x:v>219</x:v>
      </x:c>
      <x:c r="F50" s="15"/>
      <x:c r="G50" s="15"/>
      <x:c r="O50" s="1" t="s">
        <x:v>277</x:v>
      </x:c>
      <x:c r="U50" s="15"/>
      <x:c r="V50" s="45"/>
      <x:c r="W50" s="45"/>
      <x:c r="X50" s="44"/>
      <x:c r="Y50" s="44"/>
      <x:c r="Z50" s="44"/>
      <x:c r="AA50" s="44"/>
      <x:c r="AB50" s="45"/>
    </x:row>
    <x:row r="51" s="1" customFormat="1">
      <x:c r="C51" s="13"/>
      <x:c r="D51" s="8"/>
      <x:c r="E51" s="8" t="s">
        <x:v>219</x:v>
      </x:c>
      <x:c r="F51" s="15"/>
      <x:c r="G51" s="15"/>
      <x:c r="O51" s="1" t="s">
        <x:v>278</x:v>
      </x:c>
      <x:c r="U51" s="15"/>
      <x:c r="V51" s="45"/>
      <x:c r="W51" s="45"/>
      <x:c r="X51" s="44"/>
      <x:c r="Y51" s="44"/>
      <x:c r="Z51" s="44"/>
      <x:c r="AA51" s="44"/>
      <x:c r="AB51" s="45"/>
    </x:row>
    <x:row r="52" s="1" customFormat="1" ht="34">
      <x:c r="C52" s="13"/>
      <x:c r="D52" s="8" t="str">
        <x:v>驴打滚</x:v>
      </x:c>
      <x:c r="E52" s="8" t="s">
        <x:v>219</x:v>
      </x:c>
      <x:c r="F52" s="15"/>
      <x:c r="G52" s="15" t="s">
        <x:v>279</x:v>
      </x:c>
      <x:c r="I52" s="1" t="s">
        <x:v>235</x:v>
      </x:c>
      <x:c r="O52" s="1" t="s">
        <x:v>280</x:v>
      </x:c>
      <x:c r="U52" s="15"/>
      <x:c r="V52" s="45" t="str">
        <x:v>东方点心流</x:v>
      </x:c>
      <x:c r="W52" s="45" t="str"/>
      <x:c r="X52" s="44" t="str">
        <x:v>驴打滚</x:v>
      </x:c>
      <x:c r="Y52" s="44" t="str">
        <x:v>https://en.wikipedia.org/wiki/List_of_Chinese_desserts</x:v>
      </x:c>
      <x:c r="Z52" s="44" t="str">
        <x:v>1×3单份东方甜点；用糕、酥、糯米或甜品碗形成完整单体</x:v>
      </x:c>
      <x:c r="AA52" s="44" t="str">
        <x:v>青瓷、竹托或中式纸托三选一；暖金、豆沙红、芝麻黑与米白为主</x:v>
      </x:c>
      <x:c r="AB52" s="45" t="str">
        <x:v>待选风格后制作</x:v>
      </x:c>
    </x:row>
    <x:row r="53" s="1" customFormat="1">
      <x:c r="C53" s="13"/>
      <x:c r="D53" s="8"/>
      <x:c r="E53" s="8" t="s">
        <x:v>219</x:v>
      </x:c>
      <x:c r="F53" s="15"/>
      <x:c r="G53" s="15"/>
      <x:c r="U53" s="15"/>
      <x:c r="V53" s="45"/>
      <x:c r="W53" s="45"/>
      <x:c r="X53" s="44"/>
      <x:c r="Y53" s="44"/>
      <x:c r="Z53" s="44"/>
      <x:c r="AA53" s="44"/>
      <x:c r="AB53" s="45"/>
    </x:row>
    <x:row r="54" s="1" customFormat="1">
      <x:c r="C54" s="13"/>
      <x:c r="D54" s="8"/>
      <x:c r="E54" s="8" t="s">
        <x:v>219</x:v>
      </x:c>
      <x:c r="F54" s="15"/>
      <x:c r="G54" s="15"/>
      <x:c r="M54" s="18"/>
      <x:c r="U54" s="15"/>
      <x:c r="V54" s="45"/>
      <x:c r="W54" s="45"/>
      <x:c r="X54" s="44"/>
      <x:c r="Y54" s="44"/>
      <x:c r="Z54" s="44"/>
      <x:c r="AA54" s="44"/>
      <x:c r="AB54" s="45"/>
    </x:row>
    <x:row r="55" s="1" customFormat="1" ht="34">
      <x:c r="C55" s="13"/>
      <x:c r="D55" s="8" t="str">
        <x:v>沙琪玛</x:v>
      </x:c>
      <x:c r="E55" s="8" t="s">
        <x:v>219</x:v>
      </x:c>
      <x:c r="F55" s="8"/>
      <x:c r="G55" s="15" t="s">
        <x:v>281</x:v>
      </x:c>
      <x:c r="I55" s="1" t="s">
        <x:v>235</x:v>
      </x:c>
      <x:c r="J55" s="1" t="s">
        <x:v>212</x:v>
      </x:c>
      <x:c r="K55" s="1" t="s">
        <x:v>254</x:v>
      </x:c>
      <x:c r="O55" s="1" t="s">
        <x:v>282</x:v>
      </x:c>
      <x:c r="Q55" s="1" t="s">
        <x:v>283</x:v>
      </x:c>
      <x:c r="V55" s="45" t="str">
        <x:v>东方点心流</x:v>
      </x:c>
      <x:c r="W55" s="45" t="str"/>
      <x:c r="X55" s="44" t="str">
        <x:v>沙琪玛</x:v>
      </x:c>
      <x:c r="Y55" s="44" t="str">
        <x:v>https://zh.wikipedia.org/wiki/%E6%B2%99%E7%90%AA%E7%91%AA</x:v>
      </x:c>
      <x:c r="Z55" s="44" t="str">
        <x:v>1×3单份东方甜点；用糕、酥、糯米或甜品碗形成完整单体</x:v>
      </x:c>
      <x:c r="AA55" s="44" t="str">
        <x:v>青瓷、竹托或中式纸托三选一；暖金、豆沙红、芝麻黑与米白为主</x:v>
      </x:c>
      <x:c r="AB55" s="45" t="str">
        <x:v>待选风格后重绘</x:v>
      </x:c>
    </x:row>
    <x:row r="56" s="1" customFormat="1">
      <x:c r="C56" s="13"/>
      <x:c r="D56" s="8"/>
      <x:c r="E56" s="8" t="s">
        <x:v>219</x:v>
      </x:c>
      <x:c r="F56" s="8"/>
      <x:c r="G56" s="8"/>
      <x:c r="O56" s="1" t="s">
        <x:v>284</x:v>
      </x:c>
      <x:c r="V56" s="45"/>
      <x:c r="W56" s="45"/>
      <x:c r="X56" s="44"/>
      <x:c r="Y56" s="44"/>
      <x:c r="Z56" s="44"/>
      <x:c r="AA56" s="44"/>
      <x:c r="AB56" s="45"/>
    </x:row>
    <x:row r="57" s="1" customFormat="1">
      <x:c r="C57" s="13"/>
      <x:c r="D57" s="8"/>
      <x:c r="E57" s="8" t="s">
        <x:v>219</x:v>
      </x:c>
      <x:c r="F57" s="15"/>
      <x:c r="G57" s="15"/>
      <x:c r="V57" s="45"/>
      <x:c r="W57" s="45"/>
      <x:c r="X57" s="44"/>
      <x:c r="Y57" s="44"/>
      <x:c r="Z57" s="44"/>
      <x:c r="AA57" s="44"/>
      <x:c r="AB57" s="45"/>
    </x:row>
    <x:row r="58" s="1" customFormat="1" ht="51">
      <x:c r="C58" s="13"/>
      <x:c r="D58" s="14" t="str">
        <x:v>软糖</x:v>
      </x:c>
      <x:c r="E58" s="14" t="s">
        <x:v>219</x:v>
      </x:c>
      <x:c r="F58" s="14"/>
      <x:c r="G58" s="19" t="s">
        <x:v>285</x:v>
      </x:c>
      <x:c r="I58" s="1" t="s">
        <x:v>238</x:v>
      </x:c>
      <x:c r="J58" s="1" t="s">
        <x:v>213</x:v>
      </x:c>
      <x:c r="K58" s="1" t="s">
        <x:v>254</x:v>
      </x:c>
      <x:c r="O58" s="1" t="s">
        <x:v>286</x:v>
      </x:c>
      <x:c r="V58" s="45" t="str">
        <x:v>甜蜜传递流</x:v>
      </x:c>
      <x:c r="W58" s="45" t="str"/>
      <x:c r="X58" s="44" t="str">
        <x:v>软糖</x:v>
      </x:c>
      <x:c r="Y58" s="44" t="str">
        <x:v>https://www.bing.com/search?q=%E8%BD%AF%E7%B3%96%20%E7%94%9C%E5%93%81</x:v>
      </x:c>
      <x:c r="Z58" s="44" t="str">
        <x:v>1×3单体糖果或巧克力；包装走势服从格子比例，保持强轮廓</x:v>
      </x:c>
      <x:c r="AA58" s="44" t="str">
        <x:v>无餐盘；使用糖纸、锡纸或纸托；糖晶高光与巧克力哑光形成材质差</x:v>
      </x:c>
      <x:c r="AB58" s="45" t="str">
        <x:v>待选风格后重绘</x:v>
      </x:c>
    </x:row>
    <x:row r="59" s="1" customFormat="1">
      <x:c r="C59" s="13"/>
      <x:c r="D59" s="8"/>
      <x:c r="E59" s="8" t="s">
        <x:v>219</x:v>
      </x:c>
      <x:c r="F59" s="8"/>
      <x:c r="G59" s="8"/>
      <x:c r="O59" s="1" t="s">
        <x:v>287</x:v>
      </x:c>
      <x:c r="V59" s="45"/>
      <x:c r="W59" s="45"/>
      <x:c r="X59" s="44"/>
      <x:c r="Y59" s="44"/>
      <x:c r="Z59" s="44"/>
      <x:c r="AA59" s="44"/>
      <x:c r="AB59" s="45"/>
    </x:row>
    <x:row r="60" s="1" customFormat="1">
      <x:c r="C60" s="13"/>
      <x:c r="D60" s="8"/>
      <x:c r="E60" s="8" t="s">
        <x:v>219</x:v>
      </x:c>
      <x:c r="F60" s="15"/>
      <x:c r="G60" s="15"/>
      <x:c r="O60" s="1" t="s">
        <x:v>288</x:v>
      </x:c>
      <x:c r="V60" s="45"/>
      <x:c r="W60" s="45"/>
      <x:c r="X60" s="44"/>
      <x:c r="Y60" s="44"/>
      <x:c r="Z60" s="44"/>
      <x:c r="AA60" s="44"/>
      <x:c r="AB60" s="45"/>
    </x:row>
    <x:row r="61" s="1" customFormat="1" ht="51">
      <x:c r="C61" s="13"/>
      <x:c r="D61" s="8" t="str">
        <x:v>巧克力威化</x:v>
      </x:c>
      <x:c r="E61" s="8" t="s">
        <x:v>219</x:v>
      </x:c>
      <x:c r="F61" s="8"/>
      <x:c r="G61" s="15" t="s">
        <x:v>289</x:v>
      </x:c>
      <x:c r="I61" s="1" t="s">
        <x:v>238</x:v>
      </x:c>
      <x:c r="J61" s="1" t="s">
        <x:v>239</x:v>
      </x:c>
      <x:c r="K61" s="1" t="s">
        <x:v>228</x:v>
      </x:c>
      <x:c r="O61" s="1" t="s">
        <x:v>290</x:v>
      </x:c>
      <x:c r="V61" s="45" t="str">
        <x:v>甜蜜传递流</x:v>
      </x:c>
      <x:c r="W61" s="45" t="str"/>
      <x:c r="X61" s="44" t="str">
        <x:v>巧克力威化</x:v>
      </x:c>
      <x:c r="Y61" s="44" t="str">
        <x:v>https://www.bing.com/search?q=%E5%B7%A7%E5%85%8B%E5%8A%9B%E5%A8%81%E5%8C%96+%E7%94%9C%E5%93%81</x:v>
      </x:c>
      <x:c r="Z61" s="44" t="str">
        <x:v>单根纵向巧克力威化；层状断面与独立糖纸形成长轮廓</x:v>
      </x:c>
      <x:c r="AA61" s="44" t="str">
        <x:v>彩色独立糖纸只包住下端；巧克力光泽与威化哑光分层</x:v>
      </x:c>
      <x:c r="AB61" s="45" t="str">
        <x:v>四套画风打样</x:v>
      </x:c>
    </x:row>
    <x:row r="62" s="1" customFormat="1">
      <x:c r="C62" s="13"/>
      <x:c r="D62" s="8"/>
      <x:c r="E62" s="8" t="s">
        <x:v>219</x:v>
      </x:c>
      <x:c r="F62" s="15"/>
      <x:c r="G62" s="15"/>
      <x:c r="O62" s="1" t="s">
        <x:v>291</x:v>
      </x:c>
      <x:c r="V62" s="45"/>
      <x:c r="W62" s="45"/>
      <x:c r="X62" s="44"/>
      <x:c r="Y62" s="44"/>
      <x:c r="Z62" s="44"/>
      <x:c r="AA62" s="44"/>
      <x:c r="AB62" s="45"/>
    </x:row>
    <x:row r="63" s="1" customFormat="1" ht="17">
      <x:c r="C63" s="13"/>
      <x:c r="D63" s="15"/>
      <x:c r="E63" s="15" t="s">
        <x:v>219</x:v>
      </x:c>
      <x:c r="F63" s="8"/>
      <x:c r="G63" s="8"/>
      <x:c r="O63" s="1" t="s">
        <x:v>292</x:v>
      </x:c>
      <x:c r="V63" s="45"/>
      <x:c r="W63" s="45"/>
      <x:c r="X63" s="44"/>
      <x:c r="Y63" s="44"/>
      <x:c r="Z63" s="44"/>
      <x:c r="AA63" s="44"/>
      <x:c r="AB63" s="45"/>
    </x:row>
    <x:row r="64" s="1" customFormat="1" ht="34">
      <x:c r="C64" s="13"/>
      <x:c r="D64" s="15" t="str">
        <x:v>蛋糕卷</x:v>
      </x:c>
      <x:c r="E64" s="15" t="s">
        <x:v>219</x:v>
      </x:c>
      <x:c r="F64" s="15"/>
      <x:c r="G64" s="15" t="s">
        <x:v>293</x:v>
      </x:c>
      <x:c r="I64" s="1" t="s">
        <x:v>242</x:v>
      </x:c>
      <x:c r="J64" s="1" t="s">
        <x:v>232</x:v>
      </x:c>
      <x:c r="O64" s="1" t="s">
        <x:v>294</x:v>
      </x:c>
      <x:c r="V64" s="45" t="str">
        <x:v>蛋糕流</x:v>
      </x:c>
      <x:c r="W64" s="45" t="str"/>
      <x:c r="X64" s="44" t="str">
        <x:v>蛋糕卷</x:v>
      </x:c>
      <x:c r="Y64" s="44" t="str">
        <x:v>https://www.bing.com/search?q=%E8%9B%8B%E7%B3%95%E5%8D%B7%20%E7%94%9C%E5%93%81</x:v>
      </x:c>
      <x:c r="Z64" s="44" t="str">
        <x:v>1×3蛋糕主体；以真实切面、层次或烘焙轮廓区分，不堆叠复制</x:v>
      </x:c>
      <x:c r="AA64" s="44" t="str">
        <x:v>象牙色或金色蛋糕托；奶油、蛋糕胚与少量真实装饰；柔和奶油色系</x:v>
      </x:c>
      <x:c r="AB64" s="45" t="str">
        <x:v>待选风格后重绘</x:v>
      </x:c>
    </x:row>
    <x:row r="65" s="1" customFormat="1">
      <x:c r="C65" s="13"/>
      <x:c r="D65" s="8"/>
      <x:c r="E65" s="8" t="s">
        <x:v>219</x:v>
      </x:c>
      <x:c r="F65" s="8"/>
      <x:c r="G65" s="8"/>
      <x:c r="O65" s="1" t="s">
        <x:v>295</x:v>
      </x:c>
      <x:c r="V65" s="45"/>
      <x:c r="W65" s="45"/>
      <x:c r="X65" s="44"/>
      <x:c r="Y65" s="44"/>
      <x:c r="Z65" s="44"/>
      <x:c r="AA65" s="44"/>
      <x:c r="AB65" s="45"/>
    </x:row>
    <x:row r="66" s="1" customFormat="1" ht="17">
      <x:c r="C66" s="13"/>
      <x:c r="D66" s="15"/>
      <x:c r="E66" s="15" t="s">
        <x:v>219</x:v>
      </x:c>
      <x:c r="F66" s="15"/>
      <x:c r="G66" s="15"/>
      <x:c r="O66" s="1" t="s">
        <x:v>296</x:v>
      </x:c>
      <x:c r="V66" s="45"/>
      <x:c r="W66" s="45"/>
      <x:c r="X66" s="44"/>
      <x:c r="Y66" s="44"/>
      <x:c r="Z66" s="44"/>
      <x:c r="AA66" s="44"/>
      <x:c r="AB66" s="45"/>
    </x:row>
    <x:row r="67" s="1" customFormat="1" ht="34">
      <x:c r="C67" s="20"/>
      <x:c r="D67" s="8" t="str">
        <x:v>翻糖蛋糕</x:v>
      </x:c>
      <x:c r="E67" s="1" t="s">
        <x:v>216</x:v>
      </x:c>
      <x:c r="F67" s="8"/>
      <x:c r="G67" s="15" t="str">
        <x:v>左侧随机1个食物视为蛋糕；欢乐蛋糕−10层</x:v>
      </x:c>
      <x:c r="I67" t="s">
        <x:v>242</x:v>
      </x:c>
      <x:c r="V67" s="45" t="str">
        <x:v>蛋糕流</x:v>
      </x:c>
      <x:c r="W67" s="45" t="str"/>
      <x:c r="X67" s="44" t="str">
        <x:v>翻糖蛋糕</x:v>
      </x:c>
      <x:c r="Y67" s="44" t="str">
        <x:v>https://www.cosmopolitan.com.hk/lifestyle/cake-types-introductions</x:v>
      </x:c>
      <x:c r="Z67" s="44" t="str">
        <x:v>2×2蛋糕主体；以真实切面、层次或烘焙轮廓区分，不堆叠复制</x:v>
      </x:c>
      <x:c r="AA67" s="44" t="str">
        <x:v>象牙色或金色蛋糕托；奶油、蛋糕胚与少量真实装饰；柔和奶油色系</x:v>
      </x:c>
      <x:c r="AB67" s="45" t="str">
        <x:v>待选风格后制作</x:v>
      </x:c>
    </x:row>
    <x:row r="68" s="1" customFormat="1">
      <x:c r="C68" s="20"/>
      <x:c r="D68" s="8"/>
      <x:c r="E68" s="1" t="s">
        <x:v>216</x:v>
      </x:c>
      <x:c r="F68" s="8"/>
      <x:c r="G68" s="15"/>
      <x:c r="V68" s="45"/>
      <x:c r="W68" s="45"/>
      <x:c r="X68" s="44"/>
      <x:c r="Y68" s="44"/>
      <x:c r="Z68" s="44"/>
      <x:c r="AA68" s="44"/>
      <x:c r="AB68" s="45"/>
    </x:row>
    <x:row r="69" s="1" customFormat="1" ht="17">
      <x:c r="C69" s="20"/>
      <x:c r="D69" s="8" t="str">
        <x:v>抹茶蛋糕</x:v>
      </x:c>
      <x:c r="E69" s="1" t="s">
        <x:v>216</x:v>
      </x:c>
      <x:c r="F69" s="8"/>
      <x:c r="G69" s="15" t="s">
        <x:v>297</x:v>
      </x:c>
      <x:c r="I69" t="s">
        <x:v>242</x:v>
      </x:c>
      <x:c r="V69" s="45" t="str">
        <x:v>蛋糕流</x:v>
      </x:c>
      <x:c r="W69" s="45" t="str"/>
      <x:c r="X69" s="44" t="str">
        <x:v>抹茶蛋糕</x:v>
      </x:c>
      <x:c r="Y69" s="44" t="str">
        <x:v>https://www.bing.com/search?q=%E6%8A%B9%E8%8C%B6%E8%9B%8B%E7%B3%95+%E7%94%9C%E5%93%81</x:v>
      </x:c>
      <x:c r="Z69" s="44" t="str">
        <x:v>低矮圆形抹茶蛋糕；切面清楚，顶部只保留一簇红豆与奶油</x:v>
      </x:c>
      <x:c r="AA69" s="44" t="str">
        <x:v>象牙色扇贝边蛋糕托；抹茶绿、奶油白、少量红豆红</x:v>
      </x:c>
      <x:c r="AB69" s="45" t="str">
        <x:v>四套画风打样</x:v>
      </x:c>
    </x:row>
    <x:row r="70" s="1" customFormat="1">
      <x:c r="C70" s="20"/>
      <x:c r="D70" s="8"/>
      <x:c r="E70" s="1" t="s">
        <x:v>216</x:v>
      </x:c>
      <x:c r="F70" s="8"/>
      <x:c r="G70" s="15"/>
      <x:c r="V70" s="45"/>
      <x:c r="W70" s="45"/>
      <x:c r="X70" s="44"/>
      <x:c r="Y70" s="44"/>
      <x:c r="Z70" s="44"/>
      <x:c r="AA70" s="44"/>
      <x:c r="AB70" s="45"/>
    </x:row>
    <x:row r="71" s="1" customFormat="1" ht="17">
      <x:c r="C71" s="20"/>
      <x:c r="D71" s="8" t="str">
        <x:v>绿豆糕</x:v>
      </x:c>
      <x:c r="E71" s="1" t="s">
        <x:v>216</x:v>
      </x:c>
      <x:c r="F71" s="8"/>
      <x:c r="G71" s="15" t="s">
        <x:v>298</x:v>
      </x:c>
      <x:c r="I71" t="s">
        <x:v>235</x:v>
      </x:c>
      <x:c r="V71" s="45" t="str">
        <x:v>东方点心流</x:v>
      </x:c>
      <x:c r="W71" s="45" t="str"/>
      <x:c r="X71" s="44" t="str">
        <x:v>绿豆糕</x:v>
      </x:c>
      <x:c r="Y71" s="44" t="str">
        <x:v>https://en.wikipedia.org/wiki/List_of_Chinese_desserts</x:v>
      </x:c>
      <x:c r="Z71" s="44" t="str">
        <x:v>2×2单份东方甜点；用糕、酥、糯米或甜品碗形成完整单体</x:v>
      </x:c>
      <x:c r="AA71" s="44" t="str">
        <x:v>青瓷、竹托或中式纸托三选一；暖金、豆沙红、芝麻黑与米白为主</x:v>
      </x:c>
      <x:c r="AB71" s="45" t="str">
        <x:v>待选风格后制作</x:v>
      </x:c>
    </x:row>
    <x:row r="72" s="1" customFormat="1">
      <x:c r="C72" s="20"/>
      <x:c r="D72" s="8"/>
      <x:c r="E72" s="1" t="s">
        <x:v>216</x:v>
      </x:c>
      <x:c r="F72" s="8"/>
      <x:c r="G72" s="15"/>
      <x:c r="V72" s="45"/>
      <x:c r="W72" s="45"/>
      <x:c r="X72" s="44"/>
      <x:c r="Y72" s="44"/>
      <x:c r="Z72" s="44"/>
      <x:c r="AA72" s="44"/>
      <x:c r="AB72" s="45"/>
    </x:row>
    <x:row r="73" s="1" customFormat="1" ht="34">
      <x:c r="C73" s="20"/>
      <x:c r="D73" s="8" t="str">
        <x:v>蛋黄酥</x:v>
      </x:c>
      <x:c r="E73" s="1" t="s">
        <x:v>216</x:v>
      </x:c>
      <x:c r="F73" s="8"/>
      <x:c r="G73" s="15" t="s">
        <x:v>299</x:v>
      </x:c>
      <x:c r="I73" t="s">
        <x:v>235</x:v>
      </x:c>
      <x:c r="V73" s="45" t="str">
        <x:v>东方点心流</x:v>
      </x:c>
      <x:c r="W73" s="45" t="str"/>
      <x:c r="X73" s="44" t="str">
        <x:v>蛋黄酥</x:v>
      </x:c>
      <x:c r="Y73" s="44" t="str">
        <x:v>https://www.bing.com/search?q=%E8%9B%8B%E9%BB%84%E9%85%A5+%E4%B8%AD%E5%BC%8F%E7%94%9C%E7%82%B9</x:v>
      </x:c>
      <x:c r="Z73" s="44" t="str">
        <x:v>单颗圆形蛋黄酥；酥皮开口露出蛋黄夹心</x:v>
      </x:c>
      <x:c r="AA73" s="44" t="str">
        <x:v>青瓷小托；金黄酥皮、橙黄蛋心、少量黑芝麻</x:v>
      </x:c>
      <x:c r="AB73" s="45" t="str">
        <x:v>四套画风打样</x:v>
      </x:c>
    </x:row>
    <x:row r="74" s="1" customFormat="1">
      <x:c r="C74" s="20"/>
      <x:c r="D74" s="8"/>
      <x:c r="E74" s="1" t="s">
        <x:v>216</x:v>
      </x:c>
      <x:c r="F74" s="8"/>
      <x:c r="G74" s="15"/>
      <x:c r="V74" s="45"/>
      <x:c r="W74" s="45"/>
      <x:c r="X74" s="44"/>
      <x:c r="Y74" s="44"/>
      <x:c r="Z74" s="44"/>
      <x:c r="AA74" s="44"/>
      <x:c r="AB74" s="45"/>
    </x:row>
    <x:row r="75" s="1" customFormat="1" ht="51">
      <x:c r="C75" s="20"/>
      <x:c r="D75" s="8" t="str">
        <x:v>松露巧克力</x:v>
      </x:c>
      <x:c r="E75" s="1" t="s">
        <x:v>216</x:v>
      </x:c>
      <x:c r="F75" s="8"/>
      <x:c r="G75" s="19" t="s">
        <x:v>300</x:v>
      </x:c>
      <x:c r="I75" t="s">
        <x:v>238</x:v>
      </x:c>
      <x:c r="V75" s="45" t="str">
        <x:v>甜蜜传递流</x:v>
      </x:c>
      <x:c r="W75" s="45" t="str"/>
      <x:c r="X75" s="44" t="str">
        <x:v>松露巧克力</x:v>
      </x:c>
      <x:c r="Y75" s="44" t="str">
        <x:v>https://www.bing.com/search?q=%E6%9D%BE%E9%9C%B2%E5%B7%A7%E5%85%8B%E5%8A%9B+%E7%94%9C%E5%93%81</x:v>
      </x:c>
      <x:c r="Z75" s="44" t="str">
        <x:v>单颗放大的圆形松露巧克力；可展示一处切面夹心</x:v>
      </x:c>
      <x:c r="AA75" s="44" t="str">
        <x:v>无盘；短幅金色糖纸或可可纸托；可可粉哑光与夹心高光</x:v>
      </x:c>
      <x:c r="AB75" s="45" t="str">
        <x:v>四套画风打样</x:v>
      </x:c>
    </x:row>
    <x:row r="76" s="1" customFormat="1">
      <x:c r="C76" s="20"/>
      <x:c r="D76" s="8"/>
      <x:c r="E76" s="1" t="s">
        <x:v>216</x:v>
      </x:c>
      <x:c r="F76" s="8"/>
      <x:c r="V76" s="45"/>
      <x:c r="W76" s="45"/>
      <x:c r="X76" s="44"/>
      <x:c r="Y76" s="44"/>
      <x:c r="Z76" s="44"/>
      <x:c r="AA76" s="44"/>
      <x:c r="AB76" s="45"/>
    </x:row>
    <x:row r="77" s="1" customFormat="1" ht="51">
      <x:c r="C77" s="20"/>
      <x:c r="D77" s="8" t="str">
        <x:v>酒心巧克力</x:v>
      </x:c>
      <x:c r="E77" s="1" t="s">
        <x:v>216</x:v>
      </x:c>
      <x:c r="F77" s="8"/>
      <x:c r="G77" s="15" t="s">
        <x:v>301</x:v>
      </x:c>
      <x:c r="I77" t="s">
        <x:v>238</x:v>
      </x:c>
      <x:c r="V77" s="45" t="str">
        <x:v>甜蜜传递流</x:v>
      </x:c>
      <x:c r="W77" s="45" t="str"/>
      <x:c r="X77" s="44" t="str">
        <x:v>酒心巧克力</x:v>
      </x:c>
      <x:c r="Y77" s="44" t="str">
        <x:v>https://www.bing.com/search?q=%E9%85%92%E5%BF%83%E5%B7%A7%E5%85%8B%E5%8A%9B+%E7%B3%96%E6%9E%9C</x:v>
      </x:c>
      <x:c r="Z77" s="44" t="str">
        <x:v>2×2单体糖果或巧克力；包装走势服从格子比例，保持强轮廓</x:v>
      </x:c>
      <x:c r="AA77" s="44" t="str">
        <x:v>无餐盘；使用糖纸、锡纸或纸托；糖晶高光与巧克力哑光形成材质差</x:v>
      </x:c>
      <x:c r="AB77" s="45" t="str">
        <x:v>待选风格后制作</x:v>
      </x:c>
    </x:row>
    <x:row r="78" s="1" customFormat="1">
      <x:c r="C78" s="20"/>
      <x:c r="D78" s="8"/>
      <x:c r="E78" s="1" t="s">
        <x:v>216</x:v>
      </x:c>
      <x:c r="F78" s="8"/>
      <x:c r="G78" s="15"/>
      <x:c r="V78" s="45"/>
      <x:c r="W78" s="45"/>
      <x:c r="X78" s="44"/>
      <x:c r="Y78" s="44"/>
      <x:c r="Z78" s="44"/>
      <x:c r="AA78" s="44"/>
      <x:c r="AB78" s="45"/>
    </x:row>
    <x:row r="79" s="1" customFormat="1" ht="34">
      <x:c r="C79" s="20" t="s">
        <x:v>302</x:v>
      </x:c>
      <x:c r="D79" s="8" t="str">
        <x:v>蝴蝶酥</x:v>
      </x:c>
      <x:c r="E79" s="1" t="s">
        <x:v>216</x:v>
      </x:c>
      <x:c r="F79" s="8"/>
      <x:c r="G79" s="15" t="s">
        <x:v>303</x:v>
      </x:c>
      <x:c r="I79" s="1" t="s">
        <x:v>227</x:v>
      </x:c>
      <x:c r="J79" s="1" t="s">
        <x:v>213</x:v>
      </x:c>
      <x:c r="K79" s="1" t="s">
        <x:v>236</x:v>
      </x:c>
      <x:c r="O79" s="1" t="s">
        <x:v>304</x:v>
      </x:c>
      <x:c r="V79" s="45" t="str">
        <x:v>通用</x:v>
      </x:c>
      <x:c r="W79" s="45" t="str"/>
      <x:c r="X79" s="44" t="str">
        <x:v>蝴蝶酥</x:v>
      </x:c>
      <x:c r="Y79" s="44" t="str">
        <x:v>https://www.bing.com/search?q=%E8%9D%B4%E8%9D%B6%E9%85%A5%20%E7%94%9C%E5%93%81</x:v>
      </x:c>
      <x:c r="Z79" s="44" t="str">
        <x:v>2×2单份蝴蝶酥；保持现实比例，用器皿或自然长形适配格子</x:v>
      </x:c>
      <x:c r="AA79" s="44" t="str">
        <x:v>白瓷、透明但不半透明的风格化杯碗或烘焙纸托；不使用流派专属纹样</x:v>
      </x:c>
      <x:c r="AB79" s="45" t="str">
        <x:v>待选风格后重绘</x:v>
      </x:c>
    </x:row>
    <x:row r="80" s="1" customFormat="1">
      <x:c r="C80" s="20"/>
      <x:c r="D80" s="15"/>
      <x:c r="E80" s="1" t="s">
        <x:v>216</x:v>
      </x:c>
      <x:c r="F80" s="15"/>
      <x:c r="G80" s="15"/>
      <x:c r="M80" s="15"/>
      <x:c r="O80" s="1" t="s">
        <x:v>305</x:v>
      </x:c>
      <x:c r="V80" s="45"/>
      <x:c r="W80" s="45"/>
      <x:c r="X80" s="44"/>
      <x:c r="Y80" s="44"/>
      <x:c r="Z80" s="44"/>
      <x:c r="AA80" s="44"/>
      <x:c r="AB80" s="45"/>
    </x:row>
    <x:row r="81" s="1" customFormat="1" ht="34">
      <x:c r="C81" s="20"/>
      <x:c r="D81" s="21" t="str">
        <x:v>戚风蛋糕</x:v>
      </x:c>
      <x:c r="E81" s="8" t="s">
        <x:v>216</x:v>
      </x:c>
      <x:c r="F81" s="8">
        <x:v>40</x:v>
      </x:c>
      <x:c r="G81" s="15" t="s">
        <x:v>306</x:v>
      </x:c>
      <x:c r="I81" s="1" t="s">
        <x:v>242</x:v>
      </x:c>
      <x:c r="M81" s="18"/>
      <x:c r="O81" s="1" t="s">
        <x:v>307</x:v>
      </x:c>
      <x:c r="V81" s="45" t="str">
        <x:v>蛋糕流</x:v>
      </x:c>
      <x:c r="W81" s="45" t="str"/>
      <x:c r="X81" s="44" t="str">
        <x:v>戚风蛋糕</x:v>
      </x:c>
      <x:c r="Y81" s="44" t="str">
        <x:v>https://www.bing.com/search?q=%E6%88%9A%E9%A3%8E%E8%9B%8B%E7%B3%95%20%E7%94%9C%E5%93%81</x:v>
      </x:c>
      <x:c r="Z81" s="44" t="str">
        <x:v>2×2蛋糕主体；以真实切面、层次或烘焙轮廓区分，不堆叠复制</x:v>
      </x:c>
      <x:c r="AA81" s="44" t="str">
        <x:v>象牙色或金色蛋糕托；奶油、蛋糕胚与少量真实装饰；柔和奶油色系</x:v>
      </x:c>
      <x:c r="AB81" s="45" t="str">
        <x:v>待选风格后重绘</x:v>
      </x:c>
    </x:row>
    <x:row r="82" s="1" customFormat="1" ht="34">
      <x:c r="C82" s="20"/>
      <x:c r="D82" s="8"/>
      <x:c r="E82" s="8" t="s">
        <x:v>216</x:v>
      </x:c>
      <x:c r="F82" s="8"/>
      <x:c r="G82" s="8"/>
      <x:c r="M82" s="18" t="s">
        <x:v>308</x:v>
      </x:c>
      <x:c r="O82" s="1" t="s">
        <x:v>309</x:v>
      </x:c>
      <x:c r="V82" s="45"/>
      <x:c r="W82" s="45"/>
      <x:c r="X82" s="44"/>
      <x:c r="Y82" s="44"/>
      <x:c r="Z82" s="44"/>
      <x:c r="AA82" s="44"/>
      <x:c r="AB82" s="45"/>
    </x:row>
    <x:row r="83" s="1" customFormat="1" ht="34">
      <x:c r="C83" s="20"/>
      <x:c r="D83" s="21" t="str">
        <x:v>太妃糖</x:v>
      </x:c>
      <x:c r="E83" s="8" t="s">
        <x:v>216</x:v>
      </x:c>
      <x:c r="F83" s="8">
        <x:v>40</x:v>
      </x:c>
      <x:c r="G83" s="15" t="s">
        <x:v>310</x:v>
      </x:c>
      <x:c r="I83" s="1" t="s">
        <x:v>238</x:v>
      </x:c>
      <x:c r="M83" s="18" t="s">
        <x:v>311</x:v>
      </x:c>
      <x:c r="O83" s="1" t="s">
        <x:v>312</x:v>
      </x:c>
      <x:c r="V83" s="45" t="str">
        <x:v>甜蜜传递流</x:v>
      </x:c>
      <x:c r="W83" s="45" t="str"/>
      <x:c r="X83" s="44" t="str">
        <x:v>太妃糖</x:v>
      </x:c>
      <x:c r="Y83" s="44" t="str">
        <x:v>https://zh.wikipedia.org/wiki/%E5%A4%AA%E5%A6%83%E7%B3%96</x:v>
      </x:c>
      <x:c r="Z83" s="44" t="str">
        <x:v>2×2单体糖果或巧克力；包装走势服从格子比例，保持强轮廓</x:v>
      </x:c>
      <x:c r="AA83" s="44" t="str">
        <x:v>无餐盘；使用糖纸、锡纸或纸托；糖晶高光与巧克力哑光形成材质差</x:v>
      </x:c>
      <x:c r="AB83" s="45" t="str">
        <x:v>待选风格后重绘</x:v>
      </x:c>
    </x:row>
    <x:row r="84" s="1" customFormat="1">
      <x:c r="C84" s="20"/>
      <x:c r="D84" s="8"/>
      <x:c r="E84" s="8" t="s">
        <x:v>216</x:v>
      </x:c>
      <x:c r="F84" s="8"/>
      <x:c r="G84" s="8"/>
      <x:c r="M84" s="1" t="s">
        <x:v>313</x:v>
      </x:c>
      <x:c r="O84" s="1" t="s">
        <x:v>314</x:v>
      </x:c>
      <x:c r="V84" s="45"/>
      <x:c r="W84" s="45"/>
      <x:c r="X84" s="44"/>
      <x:c r="Y84" s="44"/>
      <x:c r="Z84" s="44"/>
      <x:c r="AA84" s="44"/>
      <x:c r="AB84" s="45"/>
    </x:row>
    <x:row r="85" s="1" customFormat="1" ht="51">
      <x:c r="C85" s="20"/>
      <x:c r="D85" s="22" t="str">
        <x:v>桃酥</x:v>
      </x:c>
      <x:c r="E85" s="14" t="s">
        <x:v>216</x:v>
      </x:c>
      <x:c r="F85" s="14">
        <x:v>40</x:v>
      </x:c>
      <x:c r="G85" s="19" t="s">
        <x:v>315</x:v>
      </x:c>
      <x:c r="I85" s="1" t="s">
        <x:v>235</x:v>
      </x:c>
      <x:c r="J85" s="1" t="s">
        <x:v>213</x:v>
      </x:c>
      <x:c r="K85" s="1" t="s">
        <x:v>261</x:v>
      </x:c>
      <x:c r="O85" s="1" t="s">
        <x:v>316</x:v>
      </x:c>
      <x:c r="V85" s="45" t="str">
        <x:v>东方点心流</x:v>
      </x:c>
      <x:c r="W85" s="45" t="str"/>
      <x:c r="X85" s="44" t="str">
        <x:v>桃酥</x:v>
      </x:c>
      <x:c r="Y85" s="44" t="str">
        <x:v>https://www.bing.com/search?q=%E6%A1%83%E9%85%A5%20%E7%94%9C%E5%93%81</x:v>
      </x:c>
      <x:c r="Z85" s="44" t="str">
        <x:v>2×2单份东方甜点；用糕、酥、糯米或甜品碗形成完整单体</x:v>
      </x:c>
      <x:c r="AA85" s="44" t="str">
        <x:v>青瓷、竹托或中式纸托三选一；暖金、豆沙红、芝麻黑与米白为主</x:v>
      </x:c>
      <x:c r="AB85" s="45" t="str">
        <x:v>待选风格后重绘</x:v>
      </x:c>
    </x:row>
    <x:row r="86" s="1" customFormat="1">
      <x:c r="C86" s="20"/>
      <x:c r="D86" s="8"/>
      <x:c r="E86" s="8" t="s">
        <x:v>216</x:v>
      </x:c>
      <x:c r="F86" s="8"/>
      <x:c r="G86" s="8"/>
      <x:c r="V86" s="45"/>
      <x:c r="W86" s="45"/>
      <x:c r="X86" s="44"/>
      <x:c r="Y86" s="44"/>
      <x:c r="Z86" s="44"/>
      <x:c r="AA86" s="44"/>
      <x:c r="AB86" s="45"/>
    </x:row>
    <x:row r="87" s="1" customFormat="1" ht="34">
      <x:c r="C87" s="20"/>
      <x:c r="D87" s="21" t="str">
        <x:v>红糖发糕</x:v>
      </x:c>
      <x:c r="E87" s="8" t="s">
        <x:v>216</x:v>
      </x:c>
      <x:c r="F87" s="8">
        <x:v>40</x:v>
      </x:c>
      <x:c r="G87" s="15" t="s">
        <x:v>317</x:v>
      </x:c>
      <x:c r="I87" s="1" t="s">
        <x:v>235</x:v>
      </x:c>
      <x:c r="J87" s="1" t="s">
        <x:v>212</x:v>
      </x:c>
      <x:c r="K87" s="1" t="s">
        <x:v>254</x:v>
      </x:c>
      <x:c r="V87" s="45" t="str">
        <x:v>东方点心流</x:v>
      </x:c>
      <x:c r="W87" s="45" t="str"/>
      <x:c r="X87" s="44" t="str">
        <x:v>红糖发糕</x:v>
      </x:c>
      <x:c r="Y87" s="44" t="str">
        <x:v>https://www.bing.com/search?q=%E7%BA%A2%E7%B3%96%E5%8F%91%E7%B3%95+%E7%94%9C%E5%93%81</x:v>
      </x:c>
      <x:c r="Z87" s="44" t="str">
        <x:v>2×2单份东方甜点；用糕、酥、糯米或甜品碗形成完整单体</x:v>
      </x:c>
      <x:c r="AA87" s="44" t="str">
        <x:v>青瓷、竹托或中式纸托三选一；暖金、豆沙红、芝麻黑与米白为主</x:v>
      </x:c>
      <x:c r="AB87" s="45" t="str">
        <x:v>待选风格后重绘</x:v>
      </x:c>
    </x:row>
    <x:row r="88" s="1" customFormat="1" ht="17.600000381469727">
      <x:c r="C88" s="20"/>
      <x:c r="D88" s="21"/>
      <x:c r="E88" s="8" t="s">
        <x:v>216</x:v>
      </x:c>
      <x:c r="F88" s="8"/>
      <x:c r="G88" s="15"/>
      <x:c r="V88" s="45"/>
      <x:c r="W88" s="45"/>
      <x:c r="X88" s="44"/>
      <x:c r="Y88" s="44"/>
      <x:c r="Z88" s="44"/>
      <x:c r="AA88" s="44"/>
      <x:c r="AB88" s="45"/>
    </x:row>
    <x:row r="89" s="1" customFormat="1" ht="51">
      <x:c r="C89" s="20"/>
      <x:c r="D89" s="21" t="str">
        <x:v>奶油蛋糕</x:v>
      </x:c>
      <x:c r="E89" s="8" t="s">
        <x:v>216</x:v>
      </x:c>
      <x:c r="F89" s="8">
        <x:v>40</x:v>
      </x:c>
      <x:c r="G89" s="15" t="s">
        <x:v>318</x:v>
      </x:c>
      <x:c r="I89" s="1" t="s">
        <x:v>242</x:v>
      </x:c>
      <x:c r="J89" s="1" t="s">
        <x:v>239</x:v>
      </x:c>
      <x:c r="K89" s="1" t="s">
        <x:v>248</x:v>
      </x:c>
      <x:c r="V89" s="45" t="str">
        <x:v>蛋糕流</x:v>
      </x:c>
      <x:c r="W89" s="45" t="str"/>
      <x:c r="X89" s="44" t="str">
        <x:v>奶油蛋糕</x:v>
      </x:c>
      <x:c r="Y89" s="44" t="str">
        <x:v>https://www.bing.com/search?q=%E5%A5%B6%E6%B2%B9%E8%9B%8B%E7%B3%95%20%E7%94%9C%E5%93%81</x:v>
      </x:c>
      <x:c r="Z89" s="44" t="str">
        <x:v>2×2蛋糕主体；以真实切面、层次或烘焙轮廓区分，不堆叠复制</x:v>
      </x:c>
      <x:c r="AA89" s="44" t="str">
        <x:v>象牙色或金色蛋糕托；奶油、蛋糕胚与少量真实装饰；柔和奶油色系</x:v>
      </x:c>
      <x:c r="AB89" s="45" t="str">
        <x:v>待选风格后重绘</x:v>
      </x:c>
    </x:row>
    <x:row r="90" s="1" customFormat="1">
      <x:c r="C90" s="20"/>
      <x:c r="D90" s="8"/>
      <x:c r="E90" s="8" t="s">
        <x:v>216</x:v>
      </x:c>
      <x:c r="F90" s="8"/>
      <x:c r="G90" s="8"/>
      <x:c r="V90" s="45"/>
      <x:c r="W90" s="45"/>
      <x:c r="X90" s="44"/>
      <x:c r="Y90" s="44"/>
      <x:c r="Z90" s="44"/>
      <x:c r="AA90" s="44"/>
      <x:c r="AB90" s="45"/>
    </x:row>
    <x:row r="91" s="1" customFormat="1" ht="51">
      <x:c r="C91" s="20"/>
      <x:c r="D91" s="23" t="str">
        <x:v>拐杖糖</x:v>
      </x:c>
      <x:c r="E91" s="8" t="s">
        <x:v>216</x:v>
      </x:c>
      <x:c r="F91" s="8">
        <x:v>40</x:v>
      </x:c>
      <x:c r="G91" s="15" t="s">
        <x:v>319</x:v>
      </x:c>
      <x:c r="I91" s="1" t="s">
        <x:v>238</x:v>
      </x:c>
      <x:c r="V91" s="45" t="str">
        <x:v>甜蜜传递流</x:v>
      </x:c>
      <x:c r="W91" s="45" t="str"/>
      <x:c r="X91" s="44" t="str">
        <x:v>拐杖糖</x:v>
      </x:c>
      <x:c r="Y91" s="44" t="str">
        <x:v>https://www.bing.com/search?q=%E6%8B%90%E6%9D%96%E7%B3%96%20%E7%94%9C%E5%93%81</x:v>
      </x:c>
      <x:c r="Z91" s="44" t="str">
        <x:v>2×3单体糖果或巧克力；包装走势服从格子比例，保持强轮廓</x:v>
      </x:c>
      <x:c r="AA91" s="44" t="str">
        <x:v>无餐盘；使用糖纸、锡纸或纸托；糖晶高光与巧克力哑光形成材质差</x:v>
      </x:c>
      <x:c r="AB91" s="45" t="str">
        <x:v>待选风格后重绘</x:v>
      </x:c>
    </x:row>
    <x:row r="92" s="1" customFormat="1">
      <x:c r="C92" s="20"/>
      <x:c r="D92" s="8"/>
      <x:c r="E92" s="8" t="s">
        <x:v>320</x:v>
      </x:c>
      <x:c r="F92" s="8"/>
      <x:c r="G92" s="8"/>
      <x:c r="V92" s="45"/>
      <x:c r="W92" s="45"/>
      <x:c r="X92" s="44"/>
      <x:c r="Y92" s="44"/>
      <x:c r="Z92" s="44"/>
      <x:c r="AA92" s="44"/>
      <x:c r="AB92" s="45"/>
    </x:row>
    <x:row r="93" s="1" customFormat="1">
      <x:c r="C93" s="20"/>
      <x:c r="D93" s="8"/>
      <x:c r="E93" s="8" t="s">
        <x:v>320</x:v>
      </x:c>
      <x:c r="F93" s="8"/>
      <x:c r="G93" s="8"/>
      <x:c r="V93" s="45"/>
      <x:c r="W93" s="45"/>
      <x:c r="X93" s="44"/>
      <x:c r="Y93" s="44"/>
      <x:c r="Z93" s="44"/>
      <x:c r="AA93" s="44"/>
      <x:c r="AB93" s="45"/>
    </x:row>
    <x:row r="94" s="1" customFormat="1" ht="34">
      <x:c r="C94" s="20"/>
      <x:c r="D94" s="8" t="str">
        <x:v>水果刨冰</x:v>
      </x:c>
      <x:c r="E94" s="8" t="s">
        <x:v>216</x:v>
      </x:c>
      <x:c r="F94" s="8">
        <x:v>40</x:v>
      </x:c>
      <x:c r="G94" s="15" t="s">
        <x:v>321</x:v>
      </x:c>
      <x:c r="I94" s="1" t="s">
        <x:v>227</x:v>
      </x:c>
      <x:c r="V94" s="45" t="str">
        <x:v>通用</x:v>
      </x:c>
      <x:c r="W94" s="45" t="str"/>
      <x:c r="X94" s="44" t="str">
        <x:v>水果刨冰</x:v>
      </x:c>
      <x:c r="Y94" s="44" t="str">
        <x:v>https://www.bing.com/search?q=%E6%B0%B4%E6%9E%9C%E5%88%A8%E5%86%B0+%E7%94%9C%E5%93%81</x:v>
      </x:c>
      <x:c r="Z94" s="44" t="str">
        <x:v>2×2单份水果刨冰；保持现实比例，用器皿或自然长形适配格子</x:v>
      </x:c>
      <x:c r="AA94" s="44" t="str">
        <x:v>白瓷、透明但不半透明的风格化杯碗或烘焙纸托；不使用流派专属纹样</x:v>
      </x:c>
      <x:c r="AB94" s="45" t="str">
        <x:v>待选风格后制作</x:v>
      </x:c>
    </x:row>
    <x:row r="95" s="1" customFormat="1">
      <x:c r="C95" s="20"/>
      <x:c r="D95" s="8"/>
      <x:c r="E95" s="8" t="s">
        <x:v>216</x:v>
      </x:c>
      <x:c r="F95" s="8"/>
      <x:c r="G95" s="8"/>
      <x:c r="V95" s="45"/>
      <x:c r="W95" s="45"/>
      <x:c r="X95" s="44"/>
      <x:c r="Y95" s="44"/>
      <x:c r="Z95" s="44"/>
      <x:c r="AA95" s="44"/>
      <x:c r="AB95" s="45"/>
    </x:row>
    <x:row r="96" s="1" customFormat="1" ht="34">
      <x:c r="C96" s="20"/>
      <x:c r="D96" s="8" t="str">
        <x:v>椰奶冻</x:v>
      </x:c>
      <x:c r="E96" s="8" t="s">
        <x:v>216</x:v>
      </x:c>
      <x:c r="F96" s="8">
        <x:v>40</x:v>
      </x:c>
      <x:c r="G96" s="15" t="s">
        <x:v>322</x:v>
      </x:c>
      <x:c r="I96" s="1" t="s">
        <x:v>227</x:v>
      </x:c>
      <x:c r="V96" s="45" t="str">
        <x:v>通用</x:v>
      </x:c>
      <x:c r="W96" s="45" t="str"/>
      <x:c r="X96" s="44" t="str">
        <x:v>椰奶冻</x:v>
      </x:c>
      <x:c r="Y96" s="44" t="str">
        <x:v>https://www.bing.com/search?q=%E6%A4%B0%E5%A5%B6%E5%86%BB+%E7%94%9C%E5%93%81</x:v>
      </x:c>
      <x:c r="Z96" s="44" t="str">
        <x:v>2×2单份椰奶冻；保持现实比例，用器皿或自然长形适配格子</x:v>
      </x:c>
      <x:c r="AA96" s="44" t="str">
        <x:v>白瓷、透明但不半透明的风格化杯碗或烘焙纸托；不使用流派专属纹样</x:v>
      </x:c>
      <x:c r="AB96" s="45" t="str">
        <x:v>待选风格后制作</x:v>
      </x:c>
    </x:row>
    <x:row r="97" s="1" customFormat="1">
      <x:c r="C97" s="20"/>
      <x:c r="D97" s="8"/>
      <x:c r="E97" s="8" t="s">
        <x:v>216</x:v>
      </x:c>
      <x:c r="F97" s="8"/>
      <x:c r="G97" s="8"/>
      <x:c r="V97" s="45"/>
      <x:c r="W97" s="45"/>
      <x:c r="X97" s="44"/>
      <x:c r="Y97" s="44"/>
      <x:c r="Z97" s="44"/>
      <x:c r="AA97" s="44"/>
      <x:c r="AB97" s="45"/>
    </x:row>
    <x:row r="98" s="1" customFormat="1" ht="51">
      <x:c r="C98" s="24" t="s">
        <x:v>323</x:v>
      </x:c>
      <x:c r="D98" s="9" t="str">
        <x:v>黑森林蛋糕</x:v>
      </x:c>
      <x:c r="E98" s="1" t="s">
        <x:v>259</x:v>
      </x:c>
      <x:c r="F98" s="8">
        <x:v>60</x:v>
      </x:c>
      <x:c r="G98" s="18" t="s">
        <x:v>324</x:v>
      </x:c>
      <x:c r="I98" s="1" t="s">
        <x:v>242</x:v>
      </x:c>
      <x:c r="J98" s="1" t="s">
        <x:v>213</x:v>
      </x:c>
      <x:c r="K98" s="1" t="s">
        <x:v>261</x:v>
      </x:c>
      <x:c r="O98" s="1">
        <x:v>4</x:v>
      </x:c>
      <x:c r="P98" s="1">
        <x:v>50</x:v>
      </x:c>
      <x:c r="Q98" s="1">
        <x:v>30</x:v>
      </x:c>
      <x:c r="R98" s="1">
        <x:v>15</x:v>
      </x:c>
      <x:c r="V98" s="45" t="str">
        <x:v>蛋糕流</x:v>
      </x:c>
      <x:c r="W98" s="45" t="str"/>
      <x:c r="X98" s="44" t="str">
        <x:v>黑森林蛋糕</x:v>
      </x:c>
      <x:c r="Y98" s="44" t="str">
        <x:v>https://www.bing.com/search?q=%E9%BB%91%E6%A3%AE%E6%9E%97%E8%9B%8B%E7%B3%95%20%E7%94%9C%E5%93%81</x:v>
      </x:c>
      <x:c r="Z98" s="44" t="str">
        <x:v>横向双层黑森林蛋糕；樱桃错落，避免整齐重复</x:v>
      </x:c>
      <x:c r="AA98" s="44" t="str">
        <x:v>深色蛋糕底托；可可棕、奶油白、樱桃红</x:v>
      </x:c>
      <x:c r="AB98" s="45" t="str">
        <x:v>四套画风打样</x:v>
      </x:c>
    </x:row>
    <x:row r="99" s="1" customFormat="1">
      <x:c r="C99" s="24"/>
      <x:c r="D99" s="8"/>
      <x:c r="E99" s="1" t="s">
        <x:v>259</x:v>
      </x:c>
      <x:c r="F99" s="8"/>
      <x:c r="G99" s="8"/>
      <x:c r="V99" s="45"/>
      <x:c r="W99" s="45"/>
      <x:c r="X99" s="44"/>
      <x:c r="Y99" s="44"/>
      <x:c r="Z99" s="44"/>
      <x:c r="AA99" s="44"/>
      <x:c r="AB99" s="45"/>
    </x:row>
    <x:row r="100" s="1" customFormat="1" ht="51">
      <x:c r="C100" s="24"/>
      <x:c r="D100" s="23" t="str">
        <x:v>生巧克力</x:v>
      </x:c>
      <x:c r="E100" s="1" t="s">
        <x:v>259</x:v>
      </x:c>
      <x:c r="F100" s="8">
        <x:v>60</x:v>
      </x:c>
      <x:c r="G100" s="15" t="s">
        <x:v>325</x:v>
      </x:c>
      <x:c r="I100" s="1" t="s">
        <x:v>238</x:v>
      </x:c>
      <x:c r="J100" s="1" t="s">
        <x:v>213</x:v>
      </x:c>
      <x:c r="K100" s="1" t="s">
        <x:v>254</x:v>
      </x:c>
      <x:c r="V100" s="45" t="str">
        <x:v>甜蜜传递流</x:v>
      </x:c>
      <x:c r="W100" s="45" t="str"/>
      <x:c r="X100" s="44" t="str">
        <x:v>生巧克力</x:v>
      </x:c>
      <x:c r="Y100" s="44" t="str">
        <x:v>https://www.bing.com/search?q=%E7%94%9F%E5%B7%A7%E5%85%8B%E5%8A%9B+%E7%94%9C%E5%93%81</x:v>
      </x:c>
      <x:c r="Z100" s="44" t="str">
        <x:v>3×2单体糖果或巧克力；包装走势服从格子比例，保持强轮廓</x:v>
      </x:c>
      <x:c r="AA100" s="44" t="str">
        <x:v>无餐盘；使用糖纸、锡纸或纸托；糖晶高光与巧克力哑光形成材质差</x:v>
      </x:c>
      <x:c r="AB100" s="45" t="str">
        <x:v>待选风格后重绘</x:v>
      </x:c>
    </x:row>
    <x:row r="101" s="1" customFormat="1">
      <x:c r="C101" s="24"/>
      <x:c r="D101" s="8"/>
      <x:c r="E101" s="1" t="s">
        <x:v>259</x:v>
      </x:c>
      <x:c r="F101" s="8"/>
      <x:c r="G101" s="8"/>
      <x:c r="V101" s="45"/>
      <x:c r="W101" s="45"/>
      <x:c r="X101" s="44"/>
      <x:c r="Y101" s="44"/>
      <x:c r="Z101" s="44"/>
      <x:c r="AA101" s="44"/>
      <x:c r="AB101" s="45"/>
    </x:row>
    <x:row r="102" s="1" customFormat="1" ht="34">
      <x:c r="C102" s="24"/>
      <x:c r="D102" s="21" t="str">
        <x:v>杨枝甘露</x:v>
      </x:c>
      <x:c r="E102" s="1" t="s">
        <x:v>259</x:v>
      </x:c>
      <x:c r="F102" s="8"/>
      <x:c r="G102" s="19" t="s">
        <x:v>326</x:v>
      </x:c>
      <x:c r="I102" s="1" t="s">
        <x:v>235</x:v>
      </x:c>
      <x:c r="J102" s="1" t="s">
        <x:v>213</x:v>
      </x:c>
      <x:c r="K102" s="1" t="s">
        <x:v>228</x:v>
      </x:c>
      <x:c r="V102" s="45" t="str">
        <x:v>东方点心流</x:v>
      </x:c>
      <x:c r="W102" s="45" t="str"/>
      <x:c r="X102" s="44" t="str">
        <x:v>杨枝甘露</x:v>
      </x:c>
      <x:c r="Y102" s="44" t="str">
        <x:v>https://www.bing.com/search?q=%E6%9D%A8%E6%9E%9D%E7%94%98%E9%9C%B2%20%E7%94%9C%E5%93%81</x:v>
      </x:c>
      <x:c r="Z102" s="44" t="str">
        <x:v>3×2单份东方甜点；用糕、酥、糯米或甜品碗形成完整单体</x:v>
      </x:c>
      <x:c r="AA102" s="44" t="str">
        <x:v>青瓷、竹托或中式纸托三选一；暖金、豆沙红、芝麻黑与米白为主</x:v>
      </x:c>
      <x:c r="AB102" s="45" t="str">
        <x:v>待选风格后重绘</x:v>
      </x:c>
    </x:row>
    <x:row r="103" s="1" customFormat="1">
      <x:c r="C103" s="24"/>
      <x:c r="D103" s="8"/>
      <x:c r="E103" s="1" t="s">
        <x:v>259</x:v>
      </x:c>
      <x:c r="F103" s="15"/>
      <x:c r="M103" s="1" t="s">
        <x:v>327</x:v>
      </x:c>
      <x:c r="V103" s="45"/>
      <x:c r="W103" s="45"/>
      <x:c r="X103" s="44"/>
      <x:c r="Y103" s="44"/>
      <x:c r="Z103" s="44"/>
      <x:c r="AA103" s="44"/>
      <x:c r="AB103" s="45"/>
    </x:row>
    <x:row r="104" s="1" customFormat="1" ht="51">
      <x:c r="C104" s="24"/>
      <x:c r="D104" s="21" t="str">
        <x:v>水果蛋糕</x:v>
      </x:c>
      <x:c r="E104" s="1" t="s">
        <x:v>216</x:v>
      </x:c>
      <x:c r="F104" s="8"/>
      <x:c r="G104" s="18" t="s">
        <x:v>328</x:v>
      </x:c>
      <x:c r="I104" s="1" t="s">
        <x:v>242</x:v>
      </x:c>
      <x:c r="J104" s="1" t="s">
        <x:v>213</x:v>
      </x:c>
      <x:c r="K104" s="1" t="s">
        <x:v>228</x:v>
      </x:c>
      <x:c r="V104" s="45" t="str">
        <x:v>蛋糕流</x:v>
      </x:c>
      <x:c r="W104" s="45" t="str"/>
      <x:c r="X104" s="44" t="str">
        <x:v>水果蛋糕</x:v>
      </x:c>
      <x:c r="Y104" s="44" t="str">
        <x:v>https://www.bing.com/search?q=%E6%B0%B4%E6%9E%9C%E8%9B%8B%E7%B3%95%20%E7%94%9C%E5%93%81</x:v>
      </x:c>
      <x:c r="Z104" s="44" t="str">
        <x:v>2×3蛋糕主体；以真实切面、层次或烘焙轮廓区分，不堆叠复制</x:v>
      </x:c>
      <x:c r="AA104" s="44" t="str">
        <x:v>象牙色或金色蛋糕托；奶油、蛋糕胚与少量真实装饰；柔和奶油色系</x:v>
      </x:c>
      <x:c r="AB104" s="45" t="str">
        <x:v>待选风格后重绘</x:v>
      </x:c>
    </x:row>
    <x:row r="105" s="1" customFormat="1">
      <x:c r="C105" s="24"/>
      <x:c r="D105" s="8"/>
      <x:c r="E105" s="1" t="s">
        <x:v>216</x:v>
      </x:c>
      <x:c r="F105" s="8"/>
      <x:c r="K105" s="18"/>
      <x:c r="V105" s="45"/>
      <x:c r="W105" s="45"/>
      <x:c r="X105" s="44"/>
      <x:c r="Y105" s="44"/>
      <x:c r="Z105" s="44"/>
      <x:c r="AA105" s="44"/>
      <x:c r="AB105" s="45"/>
    </x:row>
    <x:row r="106" s="1" customFormat="1">
      <x:c r="C106" s="24"/>
      <x:c r="D106" s="8"/>
      <x:c r="E106" s="1" t="s">
        <x:v>216</x:v>
      </x:c>
      <x:c r="F106" s="15"/>
      <x:c r="V106" s="45"/>
      <x:c r="W106" s="45"/>
      <x:c r="X106" s="44"/>
      <x:c r="Y106" s="44"/>
      <x:c r="Z106" s="44"/>
      <x:c r="AA106" s="44"/>
      <x:c r="AB106" s="45"/>
    </x:row>
    <x:row r="107" s="1" customFormat="1" ht="34">
      <x:c r="C107" s="24"/>
      <x:c r="D107" s="21" t="str">
        <x:v>酒酿圆子</x:v>
      </x:c>
      <x:c r="E107" s="1" t="s">
        <x:v>216</x:v>
      </x:c>
      <x:c r="F107" s="8"/>
      <x:c r="G107" s="19" t="s">
        <x:v>329</x:v>
      </x:c>
      <x:c r="I107" s="1" t="s">
        <x:v>235</x:v>
      </x:c>
      <x:c r="K107" s="18"/>
      <x:c r="V107" s="45" t="str">
        <x:v>东方点心流</x:v>
      </x:c>
      <x:c r="W107" s="45" t="str"/>
      <x:c r="X107" s="44" t="str">
        <x:v>酒酿圆子</x:v>
      </x:c>
      <x:c r="Y107" s="44" t="str">
        <x:v>https://en.wikipedia.org/wiki/List_of_Chinese_desserts</x:v>
      </x:c>
      <x:c r="Z107" s="44" t="str">
        <x:v>2×3单份东方甜点；用糕、酥、糯米或甜品碗形成完整单体</x:v>
      </x:c>
      <x:c r="AA107" s="44" t="str">
        <x:v>青瓷、竹托或中式纸托三选一；暖金、豆沙红、芝麻黑与米白为主</x:v>
      </x:c>
      <x:c r="AB107" s="45" t="str">
        <x:v>待选风格后重绘</x:v>
      </x:c>
    </x:row>
    <x:row r="108" s="1" customFormat="1">
      <x:c r="C108" s="24"/>
      <x:c r="E108" s="1" t="s">
        <x:v>216</x:v>
      </x:c>
      <x:c r="F108" s="8"/>
      <x:c r="V108" s="45"/>
      <x:c r="W108" s="45"/>
      <x:c r="X108" s="44"/>
      <x:c r="Y108" s="44"/>
      <x:c r="Z108" s="44"/>
      <x:c r="AA108" s="44"/>
      <x:c r="AB108" s="45"/>
    </x:row>
    <x:row r="109" s="1" customFormat="1">
      <x:c r="C109" s="24"/>
      <x:c r="E109" s="1" t="s">
        <x:v>216</x:v>
      </x:c>
      <x:c r="F109" s="15"/>
      <x:c r="G109" s="18"/>
      <x:c r="V109" s="45"/>
      <x:c r="W109" s="45"/>
      <x:c r="X109" s="44"/>
      <x:c r="Y109" s="44"/>
      <x:c r="Z109" s="44"/>
      <x:c r="AA109" s="44"/>
      <x:c r="AB109" s="45"/>
    </x:row>
    <x:row r="110" s="1" customFormat="1" ht="51">
      <x:c r="C110" s="24"/>
      <x:c r="D110" s="8" t="str">
        <x:v>棉花糖</x:v>
      </x:c>
      <x:c r="E110" s="1" t="s">
        <x:v>216</x:v>
      </x:c>
      <x:c r="F110" s="8"/>
      <x:c r="G110" s="19" t="s">
        <x:v>330</x:v>
      </x:c>
      <x:c r="I110" s="1" t="s">
        <x:v>238</x:v>
      </x:c>
      <x:c r="V110" s="45" t="str">
        <x:v>甜蜜传递流</x:v>
      </x:c>
      <x:c r="W110" s="45" t="str"/>
      <x:c r="X110" s="44" t="str">
        <x:v>棉花糖</x:v>
      </x:c>
      <x:c r="Y110" s="44" t="str">
        <x:v>https://www.bing.com/search?q=%E6%A3%89%E8%8A%B1%E7%B3%96%20%E7%94%9C%E5%93%81</x:v>
      </x:c>
      <x:c r="Z110" s="44" t="str">
        <x:v>2×3单体糖果或巧克力；包装走势服从格子比例，保持强轮廓</x:v>
      </x:c>
      <x:c r="AA110" s="44" t="str">
        <x:v>无餐盘；使用糖纸、锡纸或纸托；糖晶高光与巧克力哑光形成材质差</x:v>
      </x:c>
      <x:c r="AB110" s="45" t="str">
        <x:v>待选风格后重绘</x:v>
      </x:c>
    </x:row>
    <x:row r="111" s="1" customFormat="1">
      <x:c r="C111" s="24"/>
      <x:c r="E111" s="1" t="s">
        <x:v>216</x:v>
      </x:c>
      <x:c r="F111" s="15"/>
      <x:c r="G111" s="18"/>
      <x:c r="V111" s="45"/>
      <x:c r="W111" s="45"/>
      <x:c r="X111" s="44"/>
      <x:c r="Y111" s="44"/>
      <x:c r="Z111" s="44"/>
      <x:c r="AA111" s="44"/>
      <x:c r="AB111" s="45"/>
    </x:row>
    <x:row r="112" s="1" customFormat="1">
      <x:c r="C112" s="24"/>
      <x:c r="D112" s="8"/>
      <x:c r="E112" s="1" t="s">
        <x:v>216</x:v>
      </x:c>
      <x:c r="F112" s="8"/>
      <x:c r="V112" s="45"/>
      <x:c r="W112" s="45"/>
      <x:c r="X112" s="44"/>
      <x:c r="Y112" s="44"/>
      <x:c r="Z112" s="44"/>
      <x:c r="AA112" s="44"/>
      <x:c r="AB112" s="45"/>
    </x:row>
    <x:row r="113" s="1" customFormat="1" ht="34">
      <x:c r="C113" s="15" t="s">
        <x:v>331</x:v>
      </x:c>
      <x:c r="D113" s="21" t="str">
        <x:v>大棒棒糖</x:v>
      </x:c>
      <x:c r="E113" s="1" t="s">
        <x:v>259</x:v>
      </x:c>
      <x:c r="F113" s="1">
        <x:v>100</x:v>
      </x:c>
      <x:c r="G113" s="18" t="s">
        <x:v>332</x:v>
      </x:c>
      <x:c r="K113" s="1" t="s">
        <x:v>333</x:v>
      </x:c>
      <x:c r="V113" s="45" t="str">
        <x:v>甜蜜传递流</x:v>
      </x:c>
      <x:c r="W113" s="45" t="str"/>
      <x:c r="X113" s="44" t="str">
        <x:v>大棒棒糖</x:v>
      </x:c>
      <x:c r="Y113" s="44" t="str">
        <x:v>https://www.bing.com/search?q=%E5%A4%A7%E6%A3%92%E6%A3%92%E7%B3%96%20%E7%94%9C%E5%93%81</x:v>
      </x:c>
      <x:c r="Z113" s="44" t="str">
        <x:v>3×3单体糖果或巧克力；包装走势服从格子比例，保持强轮廓</x:v>
      </x:c>
      <x:c r="AA113" s="44" t="str">
        <x:v>无餐盘；使用糖纸、锡纸或纸托；糖晶高光与巧克力哑光形成材质差</x:v>
      </x:c>
      <x:c r="AB113" s="45" t="str">
        <x:v>待选风格后重绘</x:v>
      </x:c>
    </x:row>
    <x:row r="114" s="1" customFormat="1">
      <x:c r="C114" s="15"/>
      <x:c r="D114" s="8"/>
      <x:c r="E114" s="1" t="s">
        <x:v>259</x:v>
      </x:c>
      <x:c r="G114" s="18"/>
      <x:c r="V114" s="45"/>
      <x:c r="W114" s="45"/>
      <x:c r="X114" s="44"/>
      <x:c r="Y114" s="44"/>
      <x:c r="Z114" s="44"/>
      <x:c r="AA114" s="44"/>
      <x:c r="AB114" s="45"/>
    </x:row>
    <x:row r="115" s="1" customFormat="1">
      <x:c r="C115" s="15"/>
      <x:c r="D115" s="8"/>
      <x:c r="E115" s="1" t="s">
        <x:v>259</x:v>
      </x:c>
      <x:c r="V115" s="45"/>
      <x:c r="W115" s="45"/>
      <x:c r="X115" s="44"/>
      <x:c r="Y115" s="44"/>
      <x:c r="Z115" s="44"/>
      <x:c r="AA115" s="44"/>
      <x:c r="AB115" s="45"/>
    </x:row>
    <x:row r="116" s="1" customFormat="1" ht="34">
      <x:c r="C116" s="15"/>
      <x:c r="D116" s="21" t="str">
        <x:v>双皮奶</x:v>
      </x:c>
      <x:c r="E116" s="1" t="s">
        <x:v>259</x:v>
      </x:c>
      <x:c r="F116" s="1">
        <x:v>100</x:v>
      </x:c>
      <x:c r="G116" s="15" t="s">
        <x:v>334</x:v>
      </x:c>
      <x:c r="V116" s="45" t="str">
        <x:v>东方点心流</x:v>
      </x:c>
      <x:c r="W116" s="45" t="str"/>
      <x:c r="X116" s="44" t="str">
        <x:v>双皮奶</x:v>
      </x:c>
      <x:c r="Y116" s="44" t="str">
        <x:v>https://zh.wikipedia.org/wiki/%E9%9B%99%E7%9A%AE%E5%A5%B6</x:v>
      </x:c>
      <x:c r="Z116" s="44" t="str">
        <x:v>宽口圆碗中的单份双皮奶；完整奶皮与少量红豆点缀</x:v>
      </x:c>
      <x:c r="AA116" s="44" t="str">
        <x:v>青瓷宽口碗；奶白主体、焦糖色奶皮、少量红豆色</x:v>
      </x:c>
      <x:c r="AB116" s="45" t="str">
        <x:v>四套画风打样</x:v>
      </x:c>
    </x:row>
    <x:row r="117" s="1" customFormat="1">
      <x:c r="C117" s="15"/>
      <x:c r="D117" s="8"/>
      <x:c r="E117" s="1" t="s">
        <x:v>259</x:v>
      </x:c>
      <x:c r="V117" s="45"/>
      <x:c r="W117" s="45"/>
      <x:c r="X117" s="44"/>
      <x:c r="Y117" s="44"/>
      <x:c r="Z117" s="44"/>
      <x:c r="AA117" s="44"/>
      <x:c r="AB117" s="45"/>
    </x:row>
    <x:row r="118" s="1" customFormat="1">
      <x:c r="C118" s="15"/>
      <x:c r="D118" s="8"/>
      <x:c r="E118" s="1" t="s">
        <x:v>259</x:v>
      </x:c>
      <x:c r="V118" s="45"/>
      <x:c r="W118" s="45"/>
      <x:c r="X118" s="44"/>
      <x:c r="Y118" s="44"/>
      <x:c r="Z118" s="44"/>
      <x:c r="AA118" s="44"/>
      <x:c r="AB118" s="45"/>
    </x:row>
    <x:row r="119" s="1" customFormat="1" ht="17.600000381469727">
      <x:c r="C119" s="15"/>
      <x:c r="D119" s="21" t="str">
        <x:v>双层蛋糕</x:v>
      </x:c>
      <x:c r="E119" s="1" t="s">
        <x:v>259</x:v>
      </x:c>
      <x:c r="F119" s="1">
        <x:v>100</x:v>
      </x:c>
      <x:c r="G119" s="1" t="s">
        <x:v>335</x:v>
      </x:c>
      <x:c r="V119" s="45" t="str">
        <x:v>蛋糕流</x:v>
      </x:c>
      <x:c r="W119" s="45" t="str"/>
      <x:c r="X119" s="44" t="str">
        <x:v>双层蛋糕</x:v>
      </x:c>
      <x:c r="Y119" s="44" t="str">
        <x:v>https://www.bing.com/search?q=%E5%8F%8C%E5%B1%82%E8%9B%8B%E7%B3%95%20%E7%94%9C%E5%93%81</x:v>
      </x:c>
      <x:c r="Z119" s="44" t="str">
        <x:v>3×4蛋糕主体；以真实切面、层次或烘焙轮廓区分，不堆叠复制</x:v>
      </x:c>
      <x:c r="AA119" s="44" t="str">
        <x:v>象牙色或金色蛋糕托；奶油、蛋糕胚与少量真实装饰；柔和奶油色系</x:v>
      </x:c>
      <x:c r="AB119" s="45" t="str">
        <x:v>待选风格后重绘</x:v>
      </x:c>
    </x:row>
    <x:row r="120" s="1" customFormat="1">
      <x:c r="C120" s="8"/>
      <x:c r="E120" s="1" t="s">
        <x:v>259</x:v>
      </x:c>
      <x:c r="V120" s="45"/>
      <x:c r="W120" s="45"/>
      <x:c r="X120" s="44"/>
      <x:c r="Y120" s="44"/>
      <x:c r="Z120" s="44"/>
      <x:c r="AA120" s="44"/>
      <x:c r="AB120" s="45"/>
    </x:row>
    <x:row r="121" s="1" customFormat="1">
      <x:c r="C121" s="15"/>
      <x:c r="E121" s="1" t="s">
        <x:v>259</x:v>
      </x:c>
      <x:c r="V121" s="45"/>
      <x:c r="W121" s="45"/>
      <x:c r="X121" s="44"/>
      <x:c r="Y121" s="44"/>
      <x:c r="Z121" s="44"/>
      <x:c r="AA121" s="44"/>
      <x:c r="AB121" s="45"/>
    </x:row>
    <x:row r="122" s="1" customFormat="1">
      <x:c r="C122" s="8"/>
      <x:c r="E122" s="1" t="s">
        <x:v>259</x:v>
      </x:c>
      <x:c r="V122" s="45"/>
      <x:c r="W122" s="45"/>
      <x:c r="X122" s="44"/>
      <x:c r="Y122" s="44"/>
      <x:c r="Z122" s="44"/>
      <x:c r="AA122" s="44"/>
      <x:c r="AB122" s="45"/>
    </x:row>
    <x:row r="123" s="1" customFormat="1">
      <x:c r="C123" s="8"/>
      <x:c r="D123" s="8"/>
      <x:c r="E123" s="8"/>
      <x:c r="F123" s="8"/>
      <x:c r="G123" s="8"/>
      <x:c r="V123" s="45"/>
      <x:c r="W123" s="45"/>
      <x:c r="X123" s="44"/>
      <x:c r="Y123" s="44"/>
      <x:c r="Z123" s="44"/>
      <x:c r="AA123" s="44"/>
      <x:c r="AB123" s="45"/>
    </x:row>
    <x:row r="124" s="1" customFormat="1">
      <x:c r="C124" s="8"/>
      <x:c r="D124" s="8"/>
      <x:c r="E124" s="8"/>
      <x:c r="F124" s="8"/>
      <x:c r="G124" s="8"/>
      <x:c r="V124" s="45"/>
      <x:c r="W124" s="45"/>
      <x:c r="X124" s="44"/>
      <x:c r="Y124" s="44"/>
      <x:c r="Z124" s="44"/>
      <x:c r="AA124" s="44"/>
      <x:c r="AB124" s="45"/>
    </x:row>
    <x:row r="125" s="1" customFormat="1">
      <x:c r="C125" s="8"/>
      <x:c r="D125" s="8"/>
      <x:c r="E125" s="8"/>
      <x:c r="F125" s="8"/>
      <x:c r="G125" s="8"/>
      <x:c r="V125" s="45"/>
      <x:c r="W125" s="45"/>
      <x:c r="X125" s="44"/>
      <x:c r="Y125" s="44"/>
      <x:c r="Z125" s="44"/>
      <x:c r="AA125" s="44"/>
      <x:c r="AB125" s="45"/>
    </x:row>
    <x:row r="126" s="1" customFormat="1">
      <x:c r="C126" s="8"/>
      <x:c r="D126" s="8"/>
      <x:c r="E126" s="8"/>
      <x:c r="F126" s="8"/>
      <x:c r="G126" s="8"/>
      <x:c r="V126" s="45"/>
      <x:c r="W126" s="45"/>
      <x:c r="X126" s="44"/>
      <x:c r="Y126" s="44"/>
      <x:c r="Z126" s="44"/>
      <x:c r="AA126" s="44"/>
      <x:c r="AB126" s="45"/>
    </x:row>
    <x:row r="127" s="1" customFormat="1" ht="51">
      <x:c r="C127" s="8"/>
      <x:c r="D127" s="8"/>
      <x:c r="E127" s="8"/>
      <x:c r="F127" s="8"/>
      <x:c r="G127" s="18" t="s">
        <x:v>336</x:v>
      </x:c>
      <x:c r="V127" s="45"/>
      <x:c r="W127" s="45"/>
      <x:c r="X127" s="44"/>
      <x:c r="Y127" s="44"/>
      <x:c r="Z127" s="44"/>
      <x:c r="AA127" s="44"/>
      <x:c r="AB127" s="45"/>
    </x:row>
  </x:sheetData>
  <x:mergeCells>
    <x:mergeCell ref="C5:C10"/>
    <x:mergeCell ref="C11:C27"/>
    <x:mergeCell ref="C30:C66"/>
    <x:mergeCell ref="C79:C93"/>
    <x:mergeCell ref="C98:C112"/>
    <x:mergeCell ref="C113:C119"/>
  </x:mergeCells>
  <x:dataValidations count="1">
    <x:dataValidation type="list" sqref="AB5:AB127">
      <x:formula1>"四套画风打样,待选风格后制作,待选风格后重绘,已完成"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9.230769157409668" defaultRowHeight="16.799999237060547"/>
  <x:cols>
    <x:col min="1" max="16384" width="9.230769157409668" style="1" customWidth="1"/>
  </x:cols>
  <x:sheetData>
    <x:row r="4" ht="45" customHeight="1">
      <x:c r="H4" s="2"/>
      <x:c r="I4" s="2"/>
      <x:c r="J4" s="3"/>
      <x:c r="K4" s="3"/>
      <x:c r="L4" s="3"/>
      <x:c r="M4" s="3" t="s">
        <x:v>337</x:v>
      </x:c>
      <x:c r="N4" s="3" t="s">
        <x:v>337</x:v>
      </x:c>
      <x:c r="O4" s="3" t="s">
        <x:v>337</x:v>
      </x:c>
      <x:c r="P4" s="3" t="s">
        <x:v>337</x:v>
      </x:c>
      <x:c r="Q4" s="3"/>
      <x:c r="R4" s="3"/>
      <x:c r="V4" s="2"/>
      <x:c r="W4" s="2"/>
      <x:c r="X4" s="3"/>
      <x:c r="Y4" s="3"/>
      <x:c r="Z4" s="3"/>
      <x:c r="AA4" s="3" t="s">
        <x:v>338</x:v>
      </x:c>
      <x:c r="AB4" s="3" t="s">
        <x:v>338</x:v>
      </x:c>
      <x:c r="AC4" s="3" t="s">
        <x:v>338</x:v>
      </x:c>
      <x:c r="AD4" s="3" t="s">
        <x:v>338</x:v>
      </x:c>
      <x:c r="AE4" s="3"/>
      <x:c r="AF4" s="3"/>
      <x:c r="AG4" s="6"/>
      <x:c r="AH4" s="6"/>
      <x:c r="AI4" s="6"/>
      <x:c r="AJ4" s="6"/>
      <x:c r="AK4" s="6"/>
      <x:c r="AL4" s="6"/>
      <x:c r="AM4" s="6"/>
      <x:c r="AN4" s="6"/>
      <x:c r="AO4" s="6"/>
    </x:row>
    <x:row r="5" ht="45" customHeight="1">
      <x:c r="H5" s="2"/>
      <x:c r="I5" s="2"/>
      <x:c r="J5" s="3"/>
      <x:c r="K5" s="3"/>
      <x:c r="L5" s="3"/>
      <x:c r="M5" s="3" t="s">
        <x:v>337</x:v>
      </x:c>
      <x:c r="N5" s="3" t="s">
        <x:v>337</x:v>
      </x:c>
      <x:c r="O5" s="3" t="s">
        <x:v>337</x:v>
      </x:c>
      <x:c r="P5" s="3" t="s">
        <x:v>339</x:v>
      </x:c>
      <x:c r="Q5" s="3"/>
      <x:c r="R5" s="3"/>
      <x:c r="V5" s="2"/>
      <x:c r="W5" s="2"/>
      <x:c r="X5" s="3"/>
      <x:c r="Y5" s="3"/>
      <x:c r="Z5" s="3"/>
      <x:c r="AA5" s="3" t="s">
        <x:v>338</x:v>
      </x:c>
      <x:c r="AB5" s="3" t="s">
        <x:v>338</x:v>
      </x:c>
      <x:c r="AC5" s="3" t="s">
        <x:v>338</x:v>
      </x:c>
      <x:c r="AD5" s="3" t="s">
        <x:v>338</x:v>
      </x:c>
      <x:c r="AE5" s="3"/>
      <x:c r="AF5" s="3"/>
      <x:c r="AG5" s="6"/>
      <x:c r="AH5" s="6"/>
      <x:c r="AI5" s="6"/>
      <x:c r="AJ5" s="6"/>
      <x:c r="AK5" s="6"/>
      <x:c r="AL5" s="6"/>
      <x:c r="AM5" s="6"/>
      <x:c r="AN5" s="6"/>
      <x:c r="AO5" s="6"/>
    </x:row>
    <x:row r="6" ht="45" customHeight="1">
      <x:c r="H6" s="2"/>
      <x:c r="I6" s="2"/>
      <x:c r="J6" s="3" t="s">
        <x:v>340</x:v>
      </x:c>
      <x:c r="K6" s="3" t="s">
        <x:v>340</x:v>
      </x:c>
      <x:c r="L6" s="3" t="s">
        <x:v>340</x:v>
      </x:c>
      <x:c r="M6" s="4" t="s">
        <x:v>341</x:v>
      </x:c>
      <x:c r="N6" s="5"/>
      <x:c r="O6" s="5"/>
      <x:c r="P6" s="5"/>
      <x:c r="Q6" s="3" t="s">
        <x:v>342</x:v>
      </x:c>
      <x:c r="R6" s="3" t="s">
        <x:v>340</x:v>
      </x:c>
      <x:c r="V6" s="2"/>
      <x:c r="W6" s="2"/>
      <x:c r="X6" s="3" t="s">
        <x:v>343</x:v>
      </x:c>
      <x:c r="Y6" s="3" t="s">
        <x:v>343</x:v>
      </x:c>
      <x:c r="Z6" s="3" t="s">
        <x:v>343</x:v>
      </x:c>
      <x:c r="AA6" s="3" t="s">
        <x:v>344</x:v>
      </x:c>
      <x:c r="AB6" s="3" t="s">
        <x:v>344</x:v>
      </x:c>
      <x:c r="AC6" s="3" t="s">
        <x:v>344</x:v>
      </x:c>
      <x:c r="AD6" s="5"/>
      <x:c r="AE6" s="3" t="s">
        <x:v>345</x:v>
      </x:c>
      <x:c r="AF6" s="3" t="s">
        <x:v>345</x:v>
      </x:c>
      <x:c r="AG6" s="6"/>
      <x:c r="AH6" s="6"/>
      <x:c r="AI6" s="6"/>
      <x:c r="AJ6" s="7"/>
      <x:c r="AK6" s="7"/>
      <x:c r="AL6" s="7"/>
      <x:c r="AM6" s="6"/>
      <x:c r="AN6" s="6"/>
      <x:c r="AO6" s="6"/>
    </x:row>
    <x:row r="7" ht="45" customHeight="1">
      <x:c r="H7" s="2"/>
      <x:c r="I7" s="2"/>
      <x:c r="J7" s="3" t="s">
        <x:v>340</x:v>
      </x:c>
      <x:c r="K7" s="3" t="s">
        <x:v>340</x:v>
      </x:c>
      <x:c r="L7" s="3" t="s">
        <x:v>340</x:v>
      </x:c>
      <x:c r="M7" s="4" t="s">
        <x:v>346</x:v>
      </x:c>
      <x:c r="N7" s="5"/>
      <x:c r="O7" s="4" t="s">
        <x:v>346</x:v>
      </x:c>
      <x:c r="P7" s="5"/>
      <x:c r="Q7" s="3" t="s">
        <x:v>342</x:v>
      </x:c>
      <x:c r="R7" s="3" t="s">
        <x:v>340</x:v>
      </x:c>
      <x:c r="V7" s="2"/>
      <x:c r="W7" s="2"/>
      <x:c r="X7" s="3" t="s">
        <x:v>343</x:v>
      </x:c>
      <x:c r="Y7" s="3" t="s">
        <x:v>343</x:v>
      </x:c>
      <x:c r="Z7" s="3" t="s">
        <x:v>343</x:v>
      </x:c>
      <x:c r="AA7" s="3" t="s">
        <x:v>344</x:v>
      </x:c>
      <x:c r="AB7" s="5"/>
      <x:c r="AC7" s="3" t="s">
        <x:v>338</x:v>
      </x:c>
      <x:c r="AD7" s="5"/>
      <x:c r="AE7" s="3" t="s">
        <x:v>345</x:v>
      </x:c>
      <x:c r="AF7" s="3" t="s">
        <x:v>345</x:v>
      </x:c>
      <x:c r="AG7" s="6"/>
      <x:c r="AH7" s="6"/>
      <x:c r="AI7" s="6"/>
      <x:c r="AJ7" s="7"/>
      <x:c r="AK7" s="6"/>
      <x:c r="AL7" s="7"/>
      <x:c r="AM7" s="6"/>
      <x:c r="AN7" s="6"/>
      <x:c r="AO7" s="6"/>
    </x:row>
    <x:row r="8" ht="45" customHeight="1">
      <x:c r="H8" s="3" t="s">
        <x:v>340</x:v>
      </x:c>
      <x:c r="I8" s="3" t="s">
        <x:v>340</x:v>
      </x:c>
      <x:c r="J8" s="3" t="s">
        <x:v>340</x:v>
      </x:c>
      <x:c r="K8" s="3" t="s">
        <x:v>340</x:v>
      </x:c>
      <x:c r="L8" s="3" t="s">
        <x:v>342</x:v>
      </x:c>
      <x:c r="M8" s="5"/>
      <x:c r="N8" s="5"/>
      <x:c r="O8" s="5"/>
      <x:c r="P8" s="5"/>
      <x:c r="Q8" s="3" t="s">
        <x:v>342</x:v>
      </x:c>
      <x:c r="R8" s="3" t="s">
        <x:v>340</x:v>
      </x:c>
      <x:c r="V8" s="3" t="s">
        <x:v>343</x:v>
      </x:c>
      <x:c r="W8" s="3" t="s">
        <x:v>343</x:v>
      </x:c>
      <x:c r="X8" s="3" t="s">
        <x:v>343</x:v>
      </x:c>
      <x:c r="Y8" s="3" t="s">
        <x:v>343</x:v>
      </x:c>
      <x:c r="Z8" s="3" t="s">
        <x:v>343</x:v>
      </x:c>
      <x:c r="AA8" s="5"/>
      <x:c r="AB8" s="5"/>
      <x:c r="AC8" s="5"/>
      <x:c r="AD8" s="5"/>
      <x:c r="AE8" s="3" t="s">
        <x:v>345</x:v>
      </x:c>
      <x:c r="AF8" s="3" t="s">
        <x:v>345</x:v>
      </x:c>
      <x:c r="AG8" s="6"/>
      <x:c r="AH8" s="6"/>
      <x:c r="AI8" s="6"/>
      <x:c r="AJ8" s="7"/>
      <x:c r="AK8" s="7"/>
      <x:c r="AL8" s="7"/>
      <x:c r="AM8" s="6"/>
      <x:c r="AN8" s="6"/>
      <x:c r="AO8" s="6"/>
    </x:row>
    <x:row r="9" ht="45" customHeight="1">
      <x:c r="H9" s="3"/>
      <x:c r="I9" s="3"/>
      <x:c r="J9" s="3"/>
      <x:c r="K9" s="3"/>
      <x:c r="L9" s="3"/>
      <x:c r="M9" s="3" t="s">
        <x:v>339</x:v>
      </x:c>
      <x:c r="N9" s="3" t="s">
        <x:v>339</x:v>
      </x:c>
      <x:c r="O9" s="3" t="s">
        <x:v>339</x:v>
      </x:c>
      <x:c r="P9" s="3" t="s">
        <x:v>339</x:v>
      </x:c>
      <x:c r="Q9" s="3"/>
      <x:c r="R9" s="3"/>
      <x:c r="V9" s="3"/>
      <x:c r="W9" s="3"/>
      <x:c r="X9" s="3"/>
      <x:c r="Y9" s="3"/>
      <x:c r="Z9" s="3"/>
      <x:c r="AA9" s="3" t="s">
        <x:v>347</x:v>
      </x:c>
      <x:c r="AB9" s="3" t="s">
        <x:v>347</x:v>
      </x:c>
      <x:c r="AC9" s="3" t="s">
        <x:v>347</x:v>
      </x:c>
      <x:c r="AD9" s="3" t="s">
        <x:v>347</x:v>
      </x:c>
      <x:c r="AE9" s="3"/>
      <x:c r="AF9" s="3"/>
      <x:c r="AG9" s="6"/>
      <x:c r="AH9" s="6"/>
      <x:c r="AI9" s="6"/>
      <x:c r="AJ9" s="2" t="s">
        <x:v>348</x:v>
      </x:c>
      <x:c r="AK9" s="2" t="s">
        <x:v>348</x:v>
      </x:c>
      <x:c r="AL9" s="2" t="s">
        <x:v>348</x:v>
      </x:c>
      <x:c r="AM9" s="6"/>
      <x:c r="AN9" s="6"/>
      <x:c r="AO9" s="6"/>
    </x:row>
    <x:row r="10" ht="45" customHeight="1">
      <x:c r="H10" s="3"/>
      <x:c r="I10" s="3"/>
      <x:c r="J10" s="3"/>
      <x:c r="K10" s="3"/>
      <x:c r="L10" s="3"/>
      <x:c r="M10" s="3" t="s">
        <x:v>337</x:v>
      </x:c>
      <x:c r="N10" s="3" t="s">
        <x:v>337</x:v>
      </x:c>
      <x:c r="O10" s="3" t="s">
        <x:v>337</x:v>
      </x:c>
      <x:c r="P10" s="3" t="s">
        <x:v>337</x:v>
      </x:c>
      <x:c r="Q10" s="3"/>
      <x:c r="R10" s="3"/>
      <x:c r="V10" s="3"/>
      <x:c r="W10" s="3"/>
      <x:c r="X10" s="3"/>
      <x:c r="Y10" s="3"/>
      <x:c r="Z10" s="3"/>
      <x:c r="AA10" s="3" t="s">
        <x:v>347</x:v>
      </x:c>
      <x:c r="AB10" s="3" t="s">
        <x:v>347</x:v>
      </x:c>
      <x:c r="AC10" s="3" t="s">
        <x:v>347</x:v>
      </x:c>
      <x:c r="AD10" s="3" t="s">
        <x:v>347</x:v>
      </x:c>
      <x:c r="AE10" s="3"/>
      <x:c r="AF10" s="3"/>
      <x:c r="AG10" s="6"/>
      <x:c r="AH10" s="6"/>
      <x:c r="AI10" s="6"/>
      <x:c r="AJ10" s="2" t="s">
        <x:v>349</x:v>
      </x:c>
      <x:c r="AK10" s="2" t="s">
        <x:v>349</x:v>
      </x:c>
      <x:c r="AL10" s="2" t="s">
        <x:v>349</x:v>
      </x:c>
      <x:c r="AM10" s="6"/>
      <x:c r="AN10" s="6"/>
      <x:c r="AO10" s="6"/>
    </x:row>
    <x:row r="11" ht="45" customHeight="1">
      <x:c r="H11" s="2"/>
      <x:c r="I11" s="2"/>
      <x:c r="J11" s="2"/>
      <x:c r="K11" s="2"/>
      <x:c r="L11" s="2"/>
      <x:c r="M11" s="3" t="s">
        <x:v>337</x:v>
      </x:c>
      <x:c r="N11" s="3" t="s">
        <x:v>337</x:v>
      </x:c>
      <x:c r="O11" s="2"/>
      <x:c r="P11" s="2"/>
      <x:c r="Q11" s="2"/>
      <x:c r="R11" s="2"/>
      <x:c r="V11" s="2"/>
      <x:c r="W11" s="2"/>
      <x:c r="X11" s="2"/>
      <x:c r="Y11" s="2"/>
      <x:c r="Z11" s="2"/>
      <x:c r="AA11" s="3" t="s">
        <x:v>347</x:v>
      </x:c>
      <x:c r="AB11" s="3" t="s">
        <x:v>347</x:v>
      </x:c>
      <x:c r="AC11" s="2"/>
      <x:c r="AD11" s="2"/>
      <x:c r="AE11" s="2"/>
      <x:c r="AF11" s="2"/>
      <x:c r="AG11" s="6"/>
      <x:c r="AH11" s="6"/>
      <x:c r="AI11" s="6"/>
      <x:c r="AJ11" s="2" t="s">
        <x:v>349</x:v>
      </x:c>
      <x:c r="AK11" s="2" t="s">
        <x:v>349</x:v>
      </x:c>
      <x:c r="AL11" s="2" t="s">
        <x:v>349</x:v>
      </x:c>
      <x:c r="AM11" s="6"/>
      <x:c r="AN11" s="6"/>
      <x:c r="AO11" s="6"/>
    </x:row>
    <x:row r="12" ht="45" customHeight="1">
      <x:c r="H12" s="2"/>
      <x:c r="I12" s="2"/>
      <x:c r="J12" s="2"/>
      <x:c r="K12" s="2"/>
      <x:c r="L12" s="2"/>
      <x:c r="M12" s="3" t="s">
        <x:v>337</x:v>
      </x:c>
      <x:c r="N12" s="3" t="s">
        <x:v>337</x:v>
      </x:c>
      <x:c r="O12" s="2"/>
      <x:c r="P12" s="2"/>
      <x:c r="Q12" s="2"/>
      <x:c r="R12" s="2"/>
      <x:c r="V12" s="2"/>
      <x:c r="W12" s="2"/>
      <x:c r="X12" s="2"/>
      <x:c r="Y12" s="2"/>
      <x:c r="Z12" s="2"/>
      <x:c r="AA12" s="3" t="s">
        <x:v>347</x:v>
      </x:c>
      <x:c r="AB12" s="3" t="s">
        <x:v>347</x:v>
      </x:c>
      <x:c r="AC12" s="2"/>
      <x:c r="AD12" s="2"/>
      <x:c r="AE12" s="2"/>
      <x:c r="AF12" s="2"/>
    </x:row>
    <x:row r="14">
      <x:c r="M14" s="1" t="s">
        <x:v>350</x:v>
      </x:c>
    </x:row>
  </x:sheetData>
  <x:pageMargins left="0.7" right="0.7" top="0.75" bottom="0.75" header="0.3" footer="0.3"/>
</x:worksheet>
</file>