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40"/>
  </bookViews>
  <sheets>
    <sheet name="装饰品" sheetId="1" r:id="rId1"/>
    <sheet name="消耗品" sheetId="2" r:id="rId2"/>
    <sheet name="装饰品与消耗品设计" sheetId="3" r:id="rId3"/>
  </sheets>
  <calcPr calcId="144525"/>
</workbook>
</file>

<file path=xl/sharedStrings.xml><?xml version="1.0" encoding="utf-8"?>
<sst xmlns="http://schemas.openxmlformats.org/spreadsheetml/2006/main" count="1133" uniqueCount="714">
  <si>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</si>
  <si>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</si>
  <si>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</si>
  <si>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</si>
  <si>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</si>
  <si>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</si>
  <si>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</si>
  <si>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</si>
  <si>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</si>
  <si>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</si>
  <si>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</si>
  <si>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</si>
  <si>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</si>
  <si>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fragmentHiddenOffset</t>
  </si>
  <si>
    <t>termId</t>
  </si>
  <si>
    <t>price</t>
  </si>
  <si>
    <t>##comment</t>
  </si>
  <si>
    <t>装饰品ID</t>
  </si>
  <si>
    <t>装饰品名称</t>
  </si>
  <si>
    <t>装饰品描述</t>
  </si>
  <si>
    <t>装饰品品质</t>
  </si>
  <si>
    <t>特殊标签标记</t>
  </si>
  <si>
    <t>效果数值</t>
  </si>
  <si>
    <t>效果参数</t>
  </si>
  <si>
    <t>随机基础权重</t>
  </si>
  <si>
    <t>出现隐藏分区间(单元格:min,max)</t>
  </si>
  <si>
    <t>目标美味值隐藏分修正</t>
  </si>
  <si>
    <t>食物隐藏分修正</t>
  </si>
  <si>
    <t>装饰品隐藏分修正</t>
  </si>
  <si>
    <t>餐桌格隐藏分修正</t>
  </si>
  <si>
    <t>关联术语ID(,|分隔)</t>
  </si>
  <si>
    <t>商店基础价格</t>
  </si>
  <si>
    <t>##type</t>
  </si>
  <si>
    <t>string</t>
  </si>
  <si>
    <t>ItemQuality</t>
  </si>
  <si>
    <t>ItemSpecialTag</t>
  </si>
  <si>
    <t>float</t>
  </si>
  <si>
    <t>HiddenRange</t>
  </si>
  <si>
    <t>int</t>
  </si>
  <si>
    <t>item_randomize_items</t>
  </si>
  <si>
    <t>洗好的扑克</t>
  </si>
  <si>
    <t>所有装饰品
替换为随机的装饰品</t>
  </si>
  <si>
    <t>Rare</t>
  </si>
  <si>
    <t>None</t>
  </si>
  <si>
    <t>30,80</t>
  </si>
  <si>
    <t>item_gold_random</t>
  </si>
  <si>
    <t>陶瓷招财猫</t>
  </si>
  <si>
    <t>获得30～200金币</t>
  </si>
  <si>
    <t>Common</t>
  </si>
  <si>
    <t>range:30,200</t>
  </si>
  <si>
    <t>10,80</t>
  </si>
  <si>
    <t>item_gold_meal_bonus</t>
  </si>
  <si>
    <t>柜台小费罐</t>
  </si>
  <si>
    <t>接下来10次日常营业
额外获得15金币</t>
  </si>
  <si>
    <t>meals:10</t>
  </si>
  <si>
    <t>item_gold_boss</t>
  </si>
  <si>
    <t>金边奖杯</t>
  </si>
  <si>
    <t>完成下次星级评鉴
额外+120金币</t>
  </si>
  <si>
    <t>item_gold_percent</t>
  </si>
  <si>
    <t>黄铜算盘</t>
  </si>
  <si>
    <t>营业获得的金币
额外+20%</t>
  </si>
  <si>
    <t>20,80</t>
  </si>
  <si>
    <t>item_trash_upgrade</t>
  </si>
  <si>
    <t>藤编纸篓</t>
  </si>
  <si>
    <t>丢弃次数+1</t>
  </si>
  <si>
    <t>item_trash_expand</t>
  </si>
  <si>
    <t>壁挂废物桶</t>
  </si>
  <si>
    <t>Uncommon</t>
  </si>
  <si>
    <t>item_trash_evolve</t>
  </si>
  <si>
    <t>脚踏垃圾桶</t>
  </si>
  <si>
    <t>丢弃次数+2</t>
  </si>
  <si>
    <t>item_trash_mutate</t>
  </si>
  <si>
    <t>推盖垃圾桶</t>
  </si>
  <si>
    <t>item_discount_food</t>
  </si>
  <si>
    <t>香草盆栽</t>
  </si>
  <si>
    <t>食物价格-15%</t>
  </si>
  <si>
    <t>item_discount_fragment</t>
  </si>
  <si>
    <t>餐桌模型</t>
  </si>
  <si>
    <t>餐桌格价格-15%</t>
  </si>
  <si>
    <t>item_discount_active</t>
  </si>
  <si>
    <t>强化券匣</t>
  </si>
  <si>
    <t>强化箱价格-15%</t>
  </si>
  <si>
    <t>item_discount_adjust</t>
  </si>
  <si>
    <t>调整单夹</t>
  </si>
  <si>
    <t>调整单价格-15%</t>
  </si>
  <si>
    <t>item_discount_passive</t>
  </si>
  <si>
    <t>装饰样板墙</t>
  </si>
  <si>
    <t>装饰品价格-15%</t>
  </si>
  <si>
    <t>item_discount_remove</t>
  </si>
  <si>
    <t>抽页食谱夹</t>
  </si>
  <si>
    <t>移除食物价格-15%</t>
  </si>
  <si>
    <t>item_discount_food_festival</t>
  </si>
  <si>
    <t>丰收菜篮</t>
  </si>
  <si>
    <t>食物价格-25%</t>
  </si>
  <si>
    <t>item_discount_fragment_festival</t>
  </si>
  <si>
    <t>宴会桌模型</t>
  </si>
  <si>
    <t>餐桌格价格-30%</t>
  </si>
  <si>
    <t>item_discount_active_festival</t>
  </si>
  <si>
    <t>金边强化券</t>
  </si>
  <si>
    <t>强化箱价格-30%</t>
  </si>
  <si>
    <t>item_discount_adjust_festival</t>
  </si>
  <si>
    <t>烫金调整单</t>
  </si>
  <si>
    <t>调整单价格-30%</t>
  </si>
  <si>
    <t>item_discount_passive_festival</t>
  </si>
  <si>
    <t>多层展柜</t>
  </si>
  <si>
    <t>装饰品价格-30%</t>
  </si>
  <si>
    <t>item_discount_remove_festival</t>
  </si>
  <si>
    <t>可擦食谱板</t>
  </si>
  <si>
    <t>移除食物价格-30%</t>
  </si>
  <si>
    <t>item_famous_knife</t>
  </si>
  <si>
    <t>名刀展示架</t>
  </si>
  <si>
    <t>即将失败时
恢复至1颗红心
生效1次后失效</t>
  </si>
  <si>
    <t>item_heart_flat_all</t>
  </si>
  <si>
    <t>暖心壁灯</t>
  </si>
  <si>
    <t>结算开始
每拥有1颗红心
所有食物分数+10</t>
  </si>
  <si>
    <t>item_empty_heart_mult_all</t>
  </si>
  <si>
    <t>裂纹心形镜</t>
  </si>
  <si>
    <t>结算开始
每拥有1个空红心
所有食物倍率+0.3</t>
  </si>
  <si>
    <t>item_score_to_one</t>
  </si>
  <si>
    <t>开业纪念照</t>
  </si>
  <si>
    <t>接下来2次营业
目标美味值为1</t>
  </si>
  <si>
    <t>meals:2</t>
  </si>
  <si>
    <t>item_req_normal_down</t>
  </si>
  <si>
    <t>家常菜挂画</t>
  </si>
  <si>
    <t>日常营业
目标美味值-25%</t>
  </si>
  <si>
    <t>item_req_super_down</t>
  </si>
  <si>
    <t>红格桌布</t>
  </si>
  <si>
    <t>火热营业
目标美味值-25%</t>
  </si>
  <si>
    <t>item_req_feast_down</t>
  </si>
  <si>
    <t>金边证书框</t>
  </si>
  <si>
    <t>星级评鉴
目标美味值-20%</t>
  </si>
  <si>
    <t>item_count_le_mult</t>
  </si>
  <si>
    <t>素色桌旗</t>
  </si>
  <si>
    <t>结算开始
若食物份数≤15
所有食物倍率+0.5</t>
  </si>
  <si>
    <t>lte:15</t>
  </si>
  <si>
    <t>item_count_ge_mult</t>
  </si>
  <si>
    <t>多层餐盘架</t>
  </si>
  <si>
    <t>结算开始
若食物份数≥25
所有食物倍率+0.5</t>
  </si>
  <si>
    <t>gte:25</t>
  </si>
  <si>
    <t>item_perma_flat_all</t>
  </si>
  <si>
    <t>青花调味罐</t>
  </si>
  <si>
    <t>获得时
所有食物分数永久+20</t>
  </si>
  <si>
    <t>item_perma_flat_all_plus</t>
  </si>
  <si>
    <t>成套调味罐</t>
  </si>
  <si>
    <t>获得时
所有食物分数永久+40</t>
  </si>
  <si>
    <t>item_gold_on_shop</t>
  </si>
  <si>
    <t>供货商合影</t>
  </si>
  <si>
    <t>进入商店采购时
获得15金币</t>
  </si>
  <si>
    <t>item_extra_interest</t>
  </si>
  <si>
    <t>挂墙周历</t>
  </si>
  <si>
    <t>添加节点收取利息
至每周末尾</t>
  </si>
  <si>
    <t>item_interest_cap</t>
  </si>
  <si>
    <t>聚宝盆摆件</t>
  </si>
  <si>
    <t>利息上限扩展到100金币</t>
  </si>
  <si>
    <t>item_loan</t>
  </si>
  <si>
    <t>挂账记录板</t>
  </si>
  <si>
    <t>金币+150
添加节点"金币-300"
至本周末尾</t>
  </si>
  <si>
    <t>act_loan_repay</t>
  </si>
  <si>
    <t>item_timeline_random</t>
  </si>
  <si>
    <t>命运骰子</t>
  </si>
  <si>
    <t>获得时
打乱未来的节点行动</t>
  </si>
  <si>
    <t>item_extra_day</t>
  </si>
  <si>
    <t>第八日启程</t>
  </si>
  <si>
    <t>每周长度变为8天</t>
  </si>
  <si>
    <t>item_every3_next_mult</t>
  </si>
  <si>
    <t>木制节拍器</t>
  </si>
  <si>
    <t>每上菜3个食物后
下个食物倍率+1</t>
  </si>
  <si>
    <t>every:3</t>
  </si>
  <si>
    <t>item_first_+2</t>
  </si>
  <si>
    <t>迎客灯笼</t>
  </si>
  <si>
    <t>结算开始
首个上菜的食物
倍率+3</t>
  </si>
  <si>
    <t>index:1</t>
  </si>
  <si>
    <t>item_last_+2</t>
  </si>
  <si>
    <t>餐后茶具</t>
  </si>
  <si>
    <t>结算开始
最后上菜的食物
倍率+3</t>
  </si>
  <si>
    <t>index:-1</t>
  </si>
  <si>
    <t>item_extra_active_slots</t>
  </si>
  <si>
    <t>墙面置物架</t>
  </si>
  <si>
    <t>增加2个消耗品栏</t>
  </si>
  <si>
    <t>item_extra_active_slots_max</t>
  </si>
  <si>
    <t>整墙储物架</t>
  </si>
  <si>
    <t>增加3个消耗品栏</t>
  </si>
  <si>
    <t>item_gold_on_active</t>
  </si>
  <si>
    <t>皮面账单夹</t>
  </si>
  <si>
    <t>使用消耗品时
获得10金币</t>
  </si>
  <si>
    <t>item_block_active</t>
  </si>
  <si>
    <t>封条备品柜</t>
  </si>
  <si>
    <t>无法再使用消耗品
立即获得400金币</t>
  </si>
  <si>
    <t>item_flavor_enhance</t>
  </si>
  <si>
    <t>彩釉调料瓶组</t>
  </si>
  <si>
    <t>为2个食物
添加随机风味</t>
  </si>
  <si>
    <t>item_flavor_remove_gold</t>
  </si>
  <si>
    <t>复古台秤</t>
  </si>
  <si>
    <t>移除1个食物的风味
获得100金币</t>
  </si>
  <si>
    <t>item_flavor_remove_double</t>
  </si>
  <si>
    <t>小石磨</t>
  </si>
  <si>
    <t>移除1个食物的风味
其分数翻倍</t>
  </si>
  <si>
    <t>item_flavor_double_slot</t>
  </si>
  <si>
    <t>双格蘸料碟</t>
  </si>
  <si>
    <t>食物风味上限变为2</t>
  </si>
  <si>
    <t>Epic</t>
  </si>
  <si>
    <t>40,80</t>
  </si>
  <si>
    <t>item_celltag_enhance</t>
  </si>
  <si>
    <t>拼花砖壁饰</t>
  </si>
  <si>
    <t>为3个餐桌格
强化随机材质</t>
  </si>
  <si>
    <t>item_lucky_guarantee</t>
  </si>
  <si>
    <t>四叶草标本框</t>
  </si>
  <si>
    <t>经历3个随机事件后
下个一定为幸运事件</t>
  </si>
  <si>
    <t>item_lucky_chance</t>
  </si>
  <si>
    <t>四叶草福袋</t>
  </si>
  <si>
    <t>更容易遇见幸运事件</t>
  </si>
  <si>
    <t>item_more_events</t>
  </si>
  <si>
    <t>街角路牌</t>
  </si>
  <si>
    <t>更容易遇见随机事件</t>
  </si>
  <si>
    <t>item_more_super_actions</t>
  </si>
  <si>
    <t>霓虹招牌</t>
  </si>
  <si>
    <t>更容易遇见火热营业</t>
  </si>
  <si>
    <t>item_slot_win_chance</t>
  </si>
  <si>
    <t>彩球抽奖筒</t>
  </si>
  <si>
    <t>抽奖机更容易中奖</t>
  </si>
  <si>
    <t>item_dish_hidden_bonus</t>
  </si>
  <si>
    <t>主厨推荐板</t>
  </si>
  <si>
    <t>更容易获得更好的食物</t>
  </si>
  <si>
    <t>item_fragment_hidden_bonus</t>
  </si>
  <si>
    <t>拼接长桌</t>
  </si>
  <si>
    <t>更容易获得更大的餐桌格</t>
  </si>
  <si>
    <t>item_passive_hidden_bonus</t>
  </si>
  <si>
    <t>古董展示柜</t>
  </si>
  <si>
    <t>更容易获得更好的装饰品</t>
  </si>
  <si>
    <t>item_gold_on_event</t>
  </si>
  <si>
    <t>纪念币展示框</t>
  </si>
  <si>
    <t>进入事件时
获得15金币</t>
  </si>
  <si>
    <t>item_shop_restock</t>
  </si>
  <si>
    <t>食材保鲜架</t>
  </si>
  <si>
    <t>商店会自动补货食物</t>
  </si>
  <si>
    <t>item_shop_restock_active</t>
  </si>
  <si>
    <t>柜台备品篮</t>
  </si>
  <si>
    <t>商店会自动补货消耗品</t>
  </si>
  <si>
    <t>item_shop_restock_passive</t>
  </si>
  <si>
    <t>壁龛摆件墙</t>
  </si>
  <si>
    <t>商店会自动补货装饰品</t>
  </si>
  <si>
    <t>item_choice_count_plus1</t>
  </si>
  <si>
    <t>活页食谱册</t>
  </si>
  <si>
    <t>选择食物时
可选数量+1</t>
  </si>
  <si>
    <t>item_extra_food_choice</t>
  </si>
  <si>
    <t>点心展示架</t>
  </si>
  <si>
    <t>每4次日常营业
额外获得3选1食物</t>
  </si>
  <si>
    <t>every:4</t>
  </si>
  <si>
    <t>item_extra_item_choice</t>
  </si>
  <si>
    <t>杂货展示架</t>
  </si>
  <si>
    <t>每3次火热营业
额外获得3选1装饰品</t>
  </si>
  <si>
    <t>item_copy_food</t>
  </si>
  <si>
    <t>双盖餐盘</t>
  </si>
  <si>
    <t>获得时
随机复制3个已有食物</t>
  </si>
  <si>
    <t>item_discard_negative</t>
  </si>
  <si>
    <t>藤编收纳筐</t>
  </si>
  <si>
    <t>获得时
移除2个诅咒装饰品</t>
  </si>
  <si>
    <t>item_discard_negative_gold</t>
  </si>
  <si>
    <t>旧餐具寄卖架</t>
  </si>
  <si>
    <t>获得时
移除所有诅咒装饰品
每移除一个获得40金币</t>
  </si>
  <si>
    <t>item_gold_meal_penalty</t>
  </si>
  <si>
    <t>故障收银机</t>
  </si>
  <si>
    <t>营业获得的金币-20%</t>
  </si>
  <si>
    <t>Negative</t>
  </si>
  <si>
    <t>item_shop_price_up</t>
  </si>
  <si>
    <t>破损商品架</t>
  </si>
  <si>
    <t>移除食物价格+20%</t>
  </si>
  <si>
    <t>item_no_remove</t>
  </si>
  <si>
    <t>上锁食品柜</t>
  </si>
  <si>
    <t>无法在商店中移除食物</t>
  </si>
  <si>
    <t>item_skip_node</t>
  </si>
  <si>
    <t>落灰打卡钟</t>
  </si>
  <si>
    <t>跳过下一个收取利息节点</t>
  </si>
  <si>
    <t>item_skip_reward_node</t>
  </si>
  <si>
    <t>褪色招财猫</t>
  </si>
  <si>
    <t>跳过下一个幸运事件节点</t>
  </si>
  <si>
    <t>item_choice_minus1</t>
  </si>
  <si>
    <t>缺角食谱板</t>
  </si>
  <si>
    <t>多选一食物时
可选数量-1</t>
  </si>
  <si>
    <t>item_req_normal_up</t>
  </si>
  <si>
    <t>挑剔留言簿</t>
  </si>
  <si>
    <t>日常营业目标美味值+20%</t>
  </si>
  <si>
    <t>item_req_super_up</t>
  </si>
  <si>
    <t>爆单警示灯</t>
  </si>
  <si>
    <t>火热营业目标美味值+20%</t>
  </si>
  <si>
    <t>item_req_feast_up</t>
  </si>
  <si>
    <t>评鉴整改书</t>
  </si>
  <si>
    <t>星级评鉴目标美味值+20%</t>
  </si>
  <si>
    <t>item_gold_week_clear</t>
  </si>
  <si>
    <t>逾期账单夹</t>
  </si>
  <si>
    <t>将失去所有金币的节点行动
添加至本周末尾</t>
  </si>
  <si>
    <t>item_double_daily_cost_repeat_node</t>
  </si>
  <si>
    <t>双栏排班板</t>
  </si>
  <si>
    <t>普通行动消耗天数+0.5
商店与幸运事件节点
可以额外执行1次</t>
  </si>
  <si>
    <t>repeat:2</t>
  </si>
  <si>
    <t>item_timeline_stop_chance</t>
  </si>
  <si>
    <t>停摆挂钟</t>
  </si>
  <si>
    <t>遇到节点行动时
时间轴有30%概率会停止</t>
  </si>
  <si>
    <t>item_count_as_all</t>
  </si>
  <si>
    <t>九格拼盘</t>
  </si>
  <si>
    <t>结算开始
所有食物额外被视为2份食物</t>
  </si>
  <si>
    <t>term_food_count_as</t>
  </si>
  <si>
    <t>item_transfer_target_mult</t>
  </si>
  <si>
    <t>大号糖果盘</t>
  </si>
  <si>
    <t>甜蜜传递时
每个被传递方倍率+0.5</t>
  </si>
  <si>
    <t>term_sweet_transfer</t>
  </si>
  <si>
    <t>item_transfer_source_mult</t>
  </si>
  <si>
    <t>长嘴糖浆壶</t>
  </si>
  <si>
    <t>甜蜜传递时
传递方每成功传递1个目标
倍率+0.5</t>
  </si>
  <si>
    <t>item_skill_count_mult</t>
  </si>
  <si>
    <t>主厨刀架</t>
  </si>
  <si>
    <t>结算结束
每个食物每有1个技能
自身倍率+1</t>
  </si>
  <si>
    <t>item_gold_on_transfer</t>
  </si>
  <si>
    <t>黄铜传菜铃</t>
  </si>
  <si>
    <t>累计甜蜜传递10次后
获得15金币</t>
  </si>
  <si>
    <t>count:10</t>
  </si>
  <si>
    <t>item_cake_retain</t>
  </si>
  <si>
    <t>玻璃蛋糕罩</t>
  </si>
  <si>
    <t>保留10%的蛋糕层数
至下一场经营挑战</t>
  </si>
  <si>
    <t>clb</t>
  </si>
  <si>
    <t>item_cake_init_bonus</t>
  </si>
  <si>
    <t>厚底蛋糕托</t>
  </si>
  <si>
    <t>蛋糕层数
初始额外获得10层</t>
  </si>
  <si>
    <t>item_cake_accel</t>
  </si>
  <si>
    <t>可叠蛋糕托</t>
  </si>
  <si>
    <t>蛋糕层数增加时
额外加2层</t>
  </si>
  <si>
    <t>item_cake_to_gold</t>
  </si>
  <si>
    <t>蛋糕价签架</t>
  </si>
  <si>
    <t>蛋糕层数大于100层时
获得10金币</t>
  </si>
  <si>
    <t>threshold:100</t>
  </si>
  <si>
    <t>item_cake_req_minus</t>
  </si>
  <si>
    <t>迷你蛋糕模</t>
  </si>
  <si>
    <t>蛋糕效果需求的层数-20</t>
  </si>
  <si>
    <t>甜蜜传递时
额外选择2个目标</t>
  </si>
  <si>
    <t>结算开始
拥有风味的食物
分数+30</t>
  </si>
  <si>
    <t>结算开始
拥有风味的食物
额外视为1份食物</t>
  </si>
  <si>
    <t>结算开始
每拥有1个消耗品
所有食物分数+10</t>
  </si>
  <si>
    <t>结算开始
每拥有1个消耗品空槽
所有食物倍率+0.1</t>
  </si>
  <si>
    <t>结算开始
处于边缘的食物
分数+50</t>
  </si>
  <si>
    <t>结算开始
处于非边缘的食物
倍率+0.5</t>
  </si>
  <si>
    <t>结算开始
每有5金币
所有食物分数+1</t>
  </si>
  <si>
    <t>结算开始
每有1个空格
所有食物分数+10</t>
  </si>
  <si>
    <t>结算开始
每有1个未使用的丢弃次数
所有食物倍率+0.1</t>
  </si>
  <si>
    <t>结算开始
每有1个未使用的丢弃次数
所有食物分数+10</t>
  </si>
  <si>
    <t>放弃奖励领取时
获取食物的运气提升</t>
  </si>
  <si>
    <t>放弃奖励领取时
获取装饰品的运气提升</t>
  </si>
  <si>
    <t>火热营业结束
随机1个餐桌格
将材质复制到相邻1格</t>
  </si>
  <si>
    <t>结算开始
所有食物均视为蛋糕</t>
  </si>
  <si>
    <t>火热营业结束
获得1个餐桌格</t>
  </si>
  <si>
    <t>食物结算时
永久分数+3</t>
  </si>
  <si>
    <t>同种食物结算时
倍率+0.5</t>
  </si>
  <si>
    <t>删除食谱中最多2个箭头饼干</t>
  </si>
  <si>
    <t>删除食谱中所有箭头饼干</t>
  </si>
  <si>
    <t>将所有食物随机为新的食物</t>
  </si>
  <si>
    <t>丢弃的食物分数永久+15</t>
  </si>
  <si>
    <t>红心上限+1</t>
  </si>
  <si>
    <t>恢复1个红心</t>
  </si>
  <si>
    <t>恢复2个红心</t>
  </si>
  <si>
    <t>抽奖机抽奖所需金币-25%</t>
  </si>
  <si>
    <t>effectType</t>
  </si>
  <si>
    <t>targetKind</t>
  </si>
  <si>
    <t>targetCount</t>
  </si>
  <si>
    <t>category</t>
  </si>
  <si>
    <t>消耗品ID</t>
  </si>
  <si>
    <t>消耗品名称</t>
  </si>
  <si>
    <t>消耗品描述</t>
  </si>
  <si>
    <t>效果类型</t>
  </si>
  <si>
    <t>消耗品目标类型(作用对象;决定可用情境)</t>
  </si>
  <si>
    <t>选目标数量(1/N;0=无目标或全部)</t>
  </si>
  <si>
    <t>关联术语ID(可空,|分隔)</t>
  </si>
  <si>
    <t>消耗品分类</t>
  </si>
  <si>
    <t>ItemTargetKind</t>
  </si>
  <si>
    <t>ActiveItemCategory</t>
  </si>
  <si>
    <t>item_active_season_sweet</t>
  </si>
  <si>
    <t>甜味箱</t>
  </si>
  <si>
    <t>选择1个食物
添加「甜」风味</t>
  </si>
  <si>
    <t>AddFlavor</t>
  </si>
  <si>
    <t>t_sweet</t>
  </si>
  <si>
    <t>DiningTableDish</t>
  </si>
  <si>
    <t>Strengthen</t>
  </si>
  <si>
    <t>item_active_season_bitter</t>
  </si>
  <si>
    <t>苦味箱</t>
  </si>
  <si>
    <t>选择1个食物
添加「苦」风味</t>
  </si>
  <si>
    <t>t_bitter</t>
  </si>
  <si>
    <t>item_active_season_umami</t>
  </si>
  <si>
    <t>鲜味箱</t>
  </si>
  <si>
    <t>选择1个食物
添加「鲜」风味</t>
  </si>
  <si>
    <t>t_rust</t>
  </si>
  <si>
    <t>item_active_season_numb</t>
  </si>
  <si>
    <t>麻味箱</t>
  </si>
  <si>
    <t>选择1个食物
添加「麻」风味</t>
  </si>
  <si>
    <t>t_numb</t>
  </si>
  <si>
    <t>item_active_season_sour</t>
  </si>
  <si>
    <t>酸味箱</t>
  </si>
  <si>
    <t>选择1个食物
添加「酸」风味</t>
  </si>
  <si>
    <t>t_sour</t>
  </si>
  <si>
    <t>item_active_season_salty</t>
  </si>
  <si>
    <t>咸味箱</t>
  </si>
  <si>
    <t>选择1个食物
添加「咸」风味</t>
  </si>
  <si>
    <t>t_salty</t>
  </si>
  <si>
    <t>item_active_lay_cherry</t>
  </si>
  <si>
    <t>樱桃木箱</t>
  </si>
  <si>
    <t>选择1个餐桌格
将其铺装为「樱桃木」材质</t>
  </si>
  <si>
    <t>LayWood</t>
  </si>
  <si>
    <t>AddMaterial</t>
  </si>
  <si>
    <t>m_cherry</t>
  </si>
  <si>
    <t>DiningTableCell</t>
  </si>
  <si>
    <t>item_active_lay_walnut</t>
  </si>
  <si>
    <t>胡桃木箱</t>
  </si>
  <si>
    <t>选择1个餐桌格
将其铺装为「胡桃木」材质</t>
  </si>
  <si>
    <t>m_walnut</t>
  </si>
  <si>
    <t>item_active_lay_marble</t>
  </si>
  <si>
    <t>大理石箱</t>
  </si>
  <si>
    <t>选择1个餐桌格
将其铺装为「大理石」材质</t>
  </si>
  <si>
    <t>LayStone</t>
  </si>
  <si>
    <t>m_marble</t>
  </si>
  <si>
    <t>item_active_lay_obsidian</t>
  </si>
  <si>
    <t>黑曜石箱</t>
  </si>
  <si>
    <t>选择1个餐桌格
将其铺装为「黑曜石」材质</t>
  </si>
  <si>
    <t>m_obsidian</t>
  </si>
  <si>
    <t>item_active_lay_emerald</t>
  </si>
  <si>
    <t>翡翠箱</t>
  </si>
  <si>
    <t>选择1个餐桌格
将其铺装为「翡翠」材质</t>
  </si>
  <si>
    <t>m_emerald</t>
  </si>
  <si>
    <t>item_active_lay_gold</t>
  </si>
  <si>
    <t>金质箱</t>
  </si>
  <si>
    <t>选择1个餐桌格
将其铺装为「金」材质</t>
  </si>
  <si>
    <t>LayMetal</t>
  </si>
  <si>
    <t>m_gold</t>
  </si>
  <si>
    <t>item_active_lay_silver</t>
  </si>
  <si>
    <t>银质箱</t>
  </si>
  <si>
    <t>选择1个餐桌格
将其铺装为「银」材质</t>
  </si>
  <si>
    <t>m_silver</t>
  </si>
  <si>
    <t>item_active_reroll_action</t>
  </si>
  <si>
    <t>行动调整单</t>
  </si>
  <si>
    <t>重掷普通行动选项</t>
  </si>
  <si>
    <t>RerollAction</t>
  </si>
  <si>
    <t>Global</t>
  </si>
  <si>
    <t>Adjust</t>
  </si>
  <si>
    <t>item_active_half_next_action_cost</t>
  </si>
  <si>
    <t>加速行动单</t>
  </si>
  <si>
    <t>下个普通行动消耗天数减半</t>
  </si>
  <si>
    <t>HalfNextActionCost</t>
  </si>
  <si>
    <t>item_active_reroll_last_boss_debuff</t>
  </si>
  <si>
    <t>评鉴调整单</t>
  </si>
  <si>
    <t>重掷最近一个尚未触发的星级评鉴食物类别</t>
  </si>
  <si>
    <t>ResetBossDebuff</t>
  </si>
  <si>
    <t>item_active_add_reward_node</t>
  </si>
  <si>
    <t>幸运单</t>
  </si>
  <si>
    <t>添加幸运事件至指定节点上</t>
  </si>
  <si>
    <t>TimelineAddRewardNode</t>
  </si>
  <si>
    <t>act_reward</t>
  </si>
  <si>
    <t>item_active_add_interest_node</t>
  </si>
  <si>
    <t>利息单</t>
  </si>
  <si>
    <t>添加收取利息至指定节点上</t>
  </si>
  <si>
    <t>TimelineAddInterestNode</t>
  </si>
  <si>
    <t>act_interest</t>
  </si>
  <si>
    <t>item_active_add_shop_node</t>
  </si>
  <si>
    <t>商店单</t>
  </si>
  <si>
    <t>添加商店采购至指定节点上</t>
  </si>
  <si>
    <t>TimelineAddShopNode</t>
  </si>
  <si>
    <t>act_shop</t>
  </si>
  <si>
    <t>item_active_add_lottery_node</t>
  </si>
  <si>
    <t>抽奖单</t>
  </si>
  <si>
    <t>添加抽奖机至指定节点上</t>
  </si>
  <si>
    <t>TimelineAddLotteryNode</t>
  </si>
  <si>
    <t>act_slot</t>
  </si>
  <si>
    <t>item_active_delete_timeline_node</t>
  </si>
  <si>
    <t>移除单</t>
  </si>
  <si>
    <t>移除1个节点行动</t>
  </si>
  <si>
    <t>TimelineDeleteNode</t>
  </si>
  <si>
    <t>item_active_execute_future_node</t>
  </si>
  <si>
    <t>未来复制单</t>
  </si>
  <si>
    <t>指定1个未执行的节点行动
复制到最近的节点</t>
  </si>
  <si>
    <t>TimelineExecuteFuture</t>
  </si>
  <si>
    <t>item_active_execute_past_node</t>
  </si>
  <si>
    <t>过往复制单</t>
  </si>
  <si>
    <t>指定1个已执行的节点行动
复制到最近的节点</t>
  </si>
  <si>
    <t>TimelineExecutePast</t>
  </si>
  <si>
    <t>是否通用</t>
  </si>
  <si>
    <t>类型</t>
  </si>
  <si>
    <t>机制</t>
  </si>
  <si>
    <t>描述</t>
  </si>
  <si>
    <t>技能</t>
  </si>
  <si>
    <t>2周</t>
  </si>
  <si>
    <t>通用正面</t>
  </si>
  <si>
    <t>随机获得</t>
  </si>
  <si>
    <t>随机装饰品</t>
  </si>
  <si>
    <t>获得时，获得两个随机（xx品质）的装饰品</t>
  </si>
  <si>
    <t>3周</t>
  </si>
  <si>
    <t>装饰品和消耗品n选一</t>
  </si>
  <si>
    <t>获得时，从多个装饰品中选择一个获得</t>
  </si>
  <si>
    <t>4周</t>
  </si>
  <si>
    <t>随机消耗品</t>
  </si>
  <si>
    <t>获得时，获得两个随机（xx品质）的消耗品</t>
  </si>
  <si>
    <t>获得时，从多个消耗品中选择一个获得</t>
  </si>
  <si>
    <t>食物n选一</t>
  </si>
  <si>
    <t>获得时，从多个食物中选择一个获得</t>
  </si>
  <si>
    <t>统计</t>
  </si>
  <si>
    <t>三选一碎片</t>
  </si>
  <si>
    <t>获得时，从多个餐桌格中选择一个获得</t>
  </si>
  <si>
    <t>common</t>
  </si>
  <si>
    <t>全家福</t>
  </si>
  <si>
    <t>获得时，获得一个随机装饰品、随机食物、50金币</t>
  </si>
  <si>
    <t>uncommon</t>
  </si>
  <si>
    <t>随机</t>
  </si>
  <si>
    <t>所有装饰品和消耗品替换为随机装饰品和消耗品</t>
  </si>
  <si>
    <t>rare</t>
  </si>
  <si>
    <t>给钱</t>
  </si>
  <si>
    <t>随机金币</t>
  </si>
  <si>
    <t>获得1～100个金币</t>
  </si>
  <si>
    <t>epic</t>
  </si>
  <si>
    <t>食物给钱</t>
  </si>
  <si>
    <t>接下来10局食物，额外获得15金币</t>
  </si>
  <si>
    <t>星级评鉴给钱</t>
  </si>
  <si>
    <t>完成本次星级评鉴后，额外获得100金币</t>
  </si>
  <si>
    <t>金币收益</t>
  </si>
  <si>
    <t>分数收益</t>
  </si>
  <si>
    <t>倍数收益</t>
  </si>
  <si>
    <t>百分比给钱</t>
  </si>
  <si>
    <t>食物结束获得的金币，额外获得20%</t>
  </si>
  <si>
    <t>被动传说</t>
  </si>
  <si>
    <t>打折</t>
  </si>
  <si>
    <t>买食物</t>
  </si>
  <si>
    <t>购买食物打折20%</t>
  </si>
  <si>
    <t>被动顶级</t>
  </si>
  <si>
    <t>买碎片</t>
  </si>
  <si>
    <t>购买碎片打折20%</t>
  </si>
  <si>
    <t>被动高级</t>
  </si>
  <si>
    <t>买消耗品</t>
  </si>
  <si>
    <t>买消耗品打折20%</t>
  </si>
  <si>
    <t>被动普通</t>
  </si>
  <si>
    <t>买装饰品</t>
  </si>
  <si>
    <t>买装饰品打折20%</t>
  </si>
  <si>
    <t>移除食物</t>
  </si>
  <si>
    <t>移除食物价格打折20%</t>
  </si>
  <si>
    <t>延迟性</t>
  </si>
  <si>
    <t>移除食物价格固定为30金币</t>
  </si>
  <si>
    <t>不死</t>
  </si>
  <si>
    <t>名刀</t>
  </si>
  <si>
    <t>分数未达标时，不失败，失去此装饰品和消耗品</t>
  </si>
  <si>
    <t>分数降低</t>
  </si>
  <si>
    <t>分数变1</t>
  </si>
  <si>
    <t>接下来3局非星级评鉴（星级评鉴），分数要求为1</t>
  </si>
  <si>
    <t>日常营业分数减少</t>
  </si>
  <si>
    <t>日常营业目标美味值-10%</t>
  </si>
  <si>
    <t>火热营业分数减少</t>
  </si>
  <si>
    <t>火热营业目标美味值-10%</t>
  </si>
  <si>
    <t>星级评鉴食物分数减少</t>
  </si>
  <si>
    <t>星级评鉴食物目标美味值-10%</t>
  </si>
  <si>
    <t>数量检测</t>
  </si>
  <si>
    <t>胃部食物数量</t>
  </si>
  <si>
    <t>结算时，食物数量小于等于10，所有食物倍率×1.1</t>
  </si>
  <si>
    <t>结算时，食物数量大于等于10，所有食物倍率×1.1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</si>
  <si>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</si>
  <si>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</si>
  <si>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</si>
  <si>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</si>
  <si>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</si>
  <si>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</si>
  <si>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</si>
  <si>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</si>
  <si>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</si>
  <si>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</si>
  <si>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</si>
  <si>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</si>
  <si>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食物转换</t>
  </si>
  <si>
    <t>随机将5个食物，变为至少同品质的食物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</si>
  <si>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</si>
  <si>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</si>
  <si>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</si>
  <si>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</si>
  <si>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</si>
  <si>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</si>
  <si>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</si>
  <si>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</si>
  <si>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</si>
  <si>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</si>
  <si>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</si>
  <si>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随机化时间轴的节点行动。</t>
  </si>
  <si>
    <t>增加第八天</t>
  </si>
  <si>
    <t>延后所有星级评鉴一天</t>
  </si>
  <si>
    <t>周数-1</t>
  </si>
  <si>
    <t>星级评鉴不参与打乱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</si>
  <si>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</si>
  <si>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</si>
  <si>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</si>
  <si>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</si>
  <si>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</si>
  <si>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</si>
  <si>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每上3个食物后，下1个食物倍率+2</t>
  </si>
  <si>
    <t>第一个</t>
  </si>
  <si>
    <t>第一个上的食物，倍率×2</t>
  </si>
  <si>
    <t>最后一个</t>
  </si>
  <si>
    <t>最后一个上的食物，倍率×2</t>
  </si>
  <si>
    <t>消耗品</t>
  </si>
  <si>
    <t>额外装饰品和消耗品栏</t>
  </si>
  <si>
    <t>增加2个额外消耗品栏</t>
  </si>
  <si>
    <t>使用消耗品时，获得20金币</t>
  </si>
  <si>
    <t>屏蔽</t>
  </si>
  <si>
    <t>无法获得消耗品，获得1000金币</t>
  </si>
  <si>
    <t>风味</t>
  </si>
  <si>
    <t>强化风味</t>
  </si>
  <si>
    <t>强化两个随机风味到无风味食物上</t>
  </si>
  <si>
    <t>移除风味+获得钱</t>
  </si>
  <si>
    <t>移除1个食物的风味，获得200金币</t>
  </si>
  <si>
    <t>移除风味+技能x2</t>
  </si>
  <si>
    <t>移除1个食物的风味，其技能复制</t>
  </si>
  <si>
    <t>基础风味+分数x2</t>
  </si>
  <si>
    <t>移除1个食物的风味，其分数翻倍</t>
  </si>
  <si>
    <t>风味上限</t>
  </si>
  <si>
    <t>允许1个食物拥有两个风味</t>
  </si>
  <si>
    <t>风味传染</t>
  </si>
  <si>
    <t>将1个食物的风味强化到无风味食物上</t>
  </si>
  <si>
    <t>标签</t>
  </si>
  <si>
    <t>强化标签</t>
  </si>
  <si>
    <t>强化两个随机标签到胃部格子上</t>
  </si>
  <si>
    <t>标签传染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</si>
  <si>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</si>
  <si>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</si>
  <si>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</si>
  <si>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</si>
  <si>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</si>
  <si>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</si>
  <si>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</si>
  <si>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</si>
  <si>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</si>
  <si>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</si>
  <si>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获得2次重新普通行动的</t>
  </si>
  <si>
    <t>商店</t>
  </si>
  <si>
    <t>补货</t>
  </si>
  <si>
    <t>商店会自动补货</t>
  </si>
  <si>
    <t>食物</t>
  </si>
  <si>
    <t>选择变多</t>
  </si>
  <si>
    <t>多选一食物时，可选数量+1</t>
  </si>
  <si>
    <t>多选择</t>
  </si>
  <si>
    <t>多选一食物时，可选次数+1，可选数量-1</t>
  </si>
  <si>
    <t>额外食物</t>
  </si>
  <si>
    <t>每3次日常营业，额外获得一个多选一食物</t>
  </si>
  <si>
    <t>额外物品</t>
  </si>
  <si>
    <t>每3次火热营业，额外获得一个多选一物品</t>
  </si>
  <si>
    <t>复制食物</t>
  </si>
  <si>
    <t>随机复制1个食物</t>
  </si>
  <si>
    <t>负面</t>
  </si>
  <si>
    <t>移除</t>
  </si>
  <si>
    <t>移除两个诅咒装饰品</t>
  </si>
  <si>
    <t>转化</t>
  </si>
  <si>
    <t>移除所有诅咒装饰品，每移除一个获得100金币</t>
  </si>
  <si>
    <t>通用负面</t>
  </si>
  <si>
    <t>运营</t>
  </si>
  <si>
    <t>金币减少</t>
  </si>
  <si>
    <t>食物获得的金币减少25%</t>
  </si>
  <si>
    <t>价格变高</t>
  </si>
  <si>
    <t>商店的价格变高25%</t>
  </si>
  <si>
    <t>无法删菜</t>
  </si>
  <si>
    <t>无法再移除食物</t>
  </si>
  <si>
    <t>节点失效</t>
  </si>
  <si>
    <t>跳过下一个商店或利息节点</t>
  </si>
  <si>
    <t>少选择</t>
  </si>
  <si>
    <t>多选一食物时，可选数量-1</t>
  </si>
  <si>
    <t>日常营业分数增多</t>
  </si>
  <si>
    <t>日常营业目标美味值+10%</t>
  </si>
  <si>
    <t>火热营业分数增多</t>
  </si>
  <si>
    <t>火热营业目标美味值+10%</t>
  </si>
  <si>
    <t>星级评鉴食物分数增多</t>
  </si>
  <si>
    <t>星级评鉴食物目标美味值+10%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</si>
  <si>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</si>
  <si>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</si>
  <si>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</si>
  <si>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</si>
  <si>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</si>
  <si>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</si>
  <si>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</si>
  <si>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</si>
  <si>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传递时，被传递方倍率×1.1</t>
  </si>
  <si>
    <t>传递时，传递方倍率×1.1</t>
  </si>
  <si>
    <t>技能数加分</t>
  </si>
  <si>
    <t>结算时，倍率×1（每一个技能+0.1倍）</t>
  </si>
  <si>
    <t>传递加钱</t>
  </si>
  <si>
    <t>传递10次后，获得10金币</t>
  </si>
  <si>
    <t>蛋糕</t>
  </si>
  <si>
    <t>层数保留</t>
  </si>
  <si>
    <t>每次保留10%的蛋糕层数至下一场经营挑战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</si>
  <si>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</si>
  <si>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</si>
  <si>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</si>
  <si>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</si>
  <si>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</si>
  <si>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</si>
  <si>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</si>
  <si>
    <t>蛋糕效果需求的层数-10</t>
  </si>
  <si>
    <t>风味强化</t>
  </si>
  <si>
    <t>风味加分</t>
  </si>
  <si>
    <t>主动道具槽加分</t>
  </si>
  <si>
    <t>空主动道具槽加分</t>
  </si>
  <si>
    <t>范围判定</t>
  </si>
  <si>
    <t>丢弃次数转钱</t>
  </si>
  <si>
    <t>丢弃次数加分</t>
  </si>
  <si>
    <t>空格加分</t>
  </si>
  <si>
    <t>边缘/非边缘</t>
  </si>
  <si>
    <t>跳过奖励领取</t>
  </si>
  <si>
    <t>格子数加分</t>
  </si>
  <si>
    <t>金币加分</t>
  </si>
  <si>
    <t>第一个结算、最后一个结算</t>
  </si>
  <si>
    <t>营业结算概率材质复制</t>
  </si>
  <si>
    <t>所有食物被视为蛋糕</t>
  </si>
  <si>
    <t>营业结束概率获得格子</t>
  </si>
  <si>
    <t>结算永久加分</t>
  </si>
  <si>
    <t>同种加分</t>
  </si>
  <si>
    <t>连续结算不相同/相同</t>
  </si>
  <si>
    <t>传递额外选择目标</t>
  </si>
  <si>
    <t>移除牌</t>
  </si>
  <si>
    <t>丢弃的牌加分</t>
  </si>
  <si>
    <t>风味额外视为数量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</si>
</sst>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>
      <alignment vertical="center"/>
    </xf>
    <xf numFmtId="0" fontId="6" fillId="0" borderId="0">
      <alignment vertical="center"/>
    </xf>
    <xf numFmtId="0" fontId="7" fillId="3" borderId="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4">
      <alignment vertical="center"/>
    </xf>
    <xf numFmtId="0" fontId="12" fillId="0" borderId="4">
      <alignment vertical="center"/>
    </xf>
    <xf numFmtId="0" fontId="13" fillId="0" borderId="5">
      <alignment vertical="center"/>
    </xf>
    <xf numFmtId="0" fontId="13" fillId="0" borderId="0">
      <alignment vertical="center"/>
    </xf>
    <xf numFmtId="0" fontId="14" fillId="4" borderId="6">
      <alignment vertical="center"/>
    </xf>
    <xf numFmtId="0" fontId="15" fillId="5" borderId="7">
      <alignment vertical="center"/>
    </xf>
    <xf numFmtId="0" fontId="16" fillId="5" borderId="6">
      <alignment vertical="center"/>
    </xf>
    <xf numFmtId="0" fontId="17" fillId="6" borderId="8">
      <alignment vertical="center"/>
    </xf>
    <xf numFmtId="0" fontId="18" fillId="0" borderId="9">
      <alignment vertical="center"/>
    </xf>
    <xf numFmtId="0" fontId="19" fillId="0" borderId="1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7" fillId="11" borderId="0">
      <alignment vertical="center"/>
    </xf>
    <xf numFmtId="0" fontId="7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7" fillId="15" borderId="0">
      <alignment vertical="center"/>
    </xf>
    <xf numFmtId="0" fontId="7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7" fillId="19" borderId="0">
      <alignment vertical="center"/>
    </xf>
    <xf numFmtId="0" fontId="7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7" fillId="23" borderId="0">
      <alignment vertical="center"/>
    </xf>
    <xf numFmtId="0" fontId="7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7" fillId="27" borderId="0">
      <alignment vertical="center"/>
    </xf>
    <xf numFmtId="0" fontId="7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7" fillId="31" borderId="0">
      <alignment vertical="center"/>
    </xf>
    <xf numFmtId="0" fontId="7" fillId="32" borderId="0">
      <alignment vertical="center"/>
    </xf>
    <xf numFmtId="0" fontId="23" fillId="33" borderId="0">
      <alignment vertical="center"/>
    </xf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20"/>
  <sheetViews>
    <sheetView tabSelected="1" zoomScale="85" zoomScaleNormal="85" topLeftCell="A105" workbookViewId="0">
      <selection activeCell="F115" sqref="F115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27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19.3529411764706" style="1" customWidth="1"/>
    <col min="18" max="18" width="11.4705882352941" style="1" customWidth="1"/>
    <col min="19" max="19" width="9.00735294117647" style="1"/>
    <col min="20" max="20" width="11.7720588235294" style="1" customWidth="1"/>
    <col min="21" max="21" width="13.7058823529412" style="1"/>
    <col min="22" max="29" width="9.00735294117647" style="1"/>
    <col min="30" max="30" width="12.6470588235294" style="1"/>
    <col min="31" max="16384" width="9.00735294117647" style="1"/>
  </cols>
  <sheetData>
    <row r="1" s="1" customFormat="1" ht="16.5" customHeight="1" spans="1:2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/>
      <c r="R1"/>
      <c r="T1"/>
      <c r="U1"/>
      <c r="V1"/>
      <c r="W1"/>
      <c r="X1"/>
      <c r="Y1"/>
      <c r="Z1"/>
      <c r="AA1"/>
      <c r="AB1"/>
      <c r="AC1"/>
    </row>
    <row r="2" s="1" customFormat="1" ht="16.5" customHeight="1" spans="1:29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 t="s">
        <v>27</v>
      </c>
      <c r="M2" s="1" t="s">
        <v>28</v>
      </c>
      <c r="N2" s="1" t="s">
        <v>29</v>
      </c>
      <c r="O2" s="1" t="s">
        <v>30</v>
      </c>
      <c r="P2" s="1" t="s">
        <v>31</v>
      </c>
      <c r="Q2"/>
      <c r="R2"/>
      <c r="T2"/>
      <c r="U2"/>
      <c r="V2"/>
      <c r="W2"/>
      <c r="X2"/>
      <c r="Y2"/>
      <c r="Z2"/>
      <c r="AA2"/>
      <c r="AB2"/>
      <c r="AC2"/>
    </row>
    <row r="3" s="1" customFormat="1" ht="16.5" customHeight="1" spans="1:29">
      <c r="A3" s="1" t="s">
        <v>32</v>
      </c>
      <c r="B3" s="1" t="s">
        <v>33</v>
      </c>
      <c r="C3" s="1" t="s">
        <v>33</v>
      </c>
      <c r="D3" s="1" t="s">
        <v>33</v>
      </c>
      <c r="E3" s="1" t="s">
        <v>34</v>
      </c>
      <c r="F3" s="1" t="s">
        <v>35</v>
      </c>
      <c r="G3" s="1" t="s">
        <v>36</v>
      </c>
      <c r="H3" s="1" t="s">
        <v>33</v>
      </c>
      <c r="I3" s="1" t="s">
        <v>36</v>
      </c>
      <c r="J3" s="1" t="s">
        <v>37</v>
      </c>
      <c r="K3" s="1" t="s">
        <v>38</v>
      </c>
      <c r="L3" s="1" t="s">
        <v>38</v>
      </c>
      <c r="M3" s="1" t="s">
        <v>38</v>
      </c>
      <c r="N3" s="1" t="s">
        <v>38</v>
      </c>
      <c r="O3" s="1" t="s">
        <v>33</v>
      </c>
      <c r="P3" s="1" t="s">
        <v>38</v>
      </c>
      <c r="Q3"/>
      <c r="R3"/>
      <c r="T3"/>
      <c r="U3"/>
      <c r="V3"/>
      <c r="W3"/>
      <c r="X3"/>
      <c r="Y3"/>
      <c r="Z3"/>
      <c r="AA3"/>
      <c r="AB3"/>
      <c r="AC3"/>
    </row>
    <row r="4" s="1" customFormat="1" ht="34" spans="1:18">
      <c r="A4"/>
      <c r="B4" s="1" t="s">
        <v>39</v>
      </c>
      <c r="C4" s="1" t="s">
        <v>40</v>
      </c>
      <c r="D4" s="10" t="s">
        <v>41</v>
      </c>
      <c r="E4" s="1" t="s">
        <v>42</v>
      </c>
      <c r="F4" s="1" t="s">
        <v>43</v>
      </c>
      <c r="G4" s="1">
        <v>0</v>
      </c>
      <c r="I4" s="1">
        <v>30</v>
      </c>
      <c r="J4" s="1" t="s">
        <v>44</v>
      </c>
      <c r="K4" s="1">
        <v>0</v>
      </c>
      <c r="L4" s="1">
        <v>0</v>
      </c>
      <c r="M4" s="1">
        <v>0</v>
      </c>
      <c r="N4" s="1">
        <v>0</v>
      </c>
      <c r="P4" s="1">
        <v>150</v>
      </c>
      <c r="Q4"/>
      <c r="R4">
        <f t="shared" ref="R4:R8" si="0">IFERROR(VLOOKUP(E4,$T$7:$AB$12,9,FALSE),0)</f>
        <v>0</v>
      </c>
    </row>
    <row r="5" s="1" customFormat="1" spans="1:18">
      <c r="A5"/>
      <c r="B5" s="1" t="s">
        <v>45</v>
      </c>
      <c r="C5" s="1" t="s">
        <v>46</v>
      </c>
      <c r="D5" s="1" t="s">
        <v>47</v>
      </c>
      <c r="E5" s="1" t="s">
        <v>48</v>
      </c>
      <c r="F5" s="1" t="s">
        <v>43</v>
      </c>
      <c r="G5" s="1">
        <v>0</v>
      </c>
      <c r="H5" s="1" t="s">
        <v>49</v>
      </c>
      <c r="I5" s="1">
        <v>300</v>
      </c>
      <c r="J5" s="1" t="s">
        <v>50</v>
      </c>
      <c r="K5" s="1">
        <v>0</v>
      </c>
      <c r="L5" s="1">
        <v>0</v>
      </c>
      <c r="M5" s="1">
        <v>0</v>
      </c>
      <c r="N5" s="1">
        <v>0</v>
      </c>
      <c r="P5" s="1">
        <v>40</v>
      </c>
      <c r="Q5"/>
      <c r="R5">
        <f t="shared" si="0"/>
        <v>0</v>
      </c>
    </row>
    <row r="6" s="1" customFormat="1" ht="34" spans="1:26">
      <c r="A6"/>
      <c r="B6" s="1" t="s">
        <v>51</v>
      </c>
      <c r="C6" s="1" t="s">
        <v>52</v>
      </c>
      <c r="D6" s="10" t="s">
        <v>53</v>
      </c>
      <c r="E6" s="1" t="s">
        <v>48</v>
      </c>
      <c r="F6" s="1" t="s">
        <v>43</v>
      </c>
      <c r="G6" s="1">
        <v>15</v>
      </c>
      <c r="H6" s="1" t="s">
        <v>54</v>
      </c>
      <c r="I6" s="1">
        <v>300</v>
      </c>
      <c r="J6" s="1" t="s">
        <v>50</v>
      </c>
      <c r="K6" s="1">
        <v>0</v>
      </c>
      <c r="L6" s="1">
        <v>0</v>
      </c>
      <c r="M6" s="1">
        <v>0</v>
      </c>
      <c r="N6" s="1">
        <v>0</v>
      </c>
      <c r="P6" s="1">
        <v>40</v>
      </c>
      <c r="Q6"/>
      <c r="R6">
        <f t="shared" si="0"/>
        <v>0</v>
      </c>
      <c r="Z6"/>
    </row>
    <row r="7" s="1" customFormat="1" ht="34" spans="1:30">
      <c r="A7"/>
      <c r="B7" s="1" t="s">
        <v>55</v>
      </c>
      <c r="C7" s="1" t="s">
        <v>56</v>
      </c>
      <c r="D7" s="10" t="s">
        <v>57</v>
      </c>
      <c r="E7" s="1" t="s">
        <v>48</v>
      </c>
      <c r="F7" s="1" t="s">
        <v>43</v>
      </c>
      <c r="G7" s="1">
        <v>120</v>
      </c>
      <c r="I7" s="1">
        <v>300</v>
      </c>
      <c r="J7" s="1" t="s">
        <v>50</v>
      </c>
      <c r="K7" s="1">
        <v>0</v>
      </c>
      <c r="L7" s="1">
        <v>0</v>
      </c>
      <c r="M7" s="1">
        <v>0</v>
      </c>
      <c r="N7" s="1">
        <v>0</v>
      </c>
      <c r="P7" s="1">
        <v>40</v>
      </c>
      <c r="Q7"/>
      <c r="R7">
        <f t="shared" si="0"/>
        <v>0</v>
      </c>
      <c r="T7"/>
      <c r="U7"/>
      <c r="V7"/>
      <c r="W7"/>
      <c r="X7"/>
      <c r="Y7"/>
      <c r="Z7"/>
      <c r="AB7"/>
      <c r="AC7"/>
      <c r="AD7">
        <f t="shared" ref="AD7:AD10" si="1">IFERROR(Z7/SUM($Z$7:$Z$10),0)</f>
        <v>0</v>
      </c>
    </row>
    <row r="8" s="1" customFormat="1" ht="34" spans="1:30">
      <c r="A8"/>
      <c r="B8" s="1" t="s">
        <v>58</v>
      </c>
      <c r="C8" s="1" t="s">
        <v>59</v>
      </c>
      <c r="D8" s="10" t="s">
        <v>60</v>
      </c>
      <c r="E8" s="1" t="s">
        <v>48</v>
      </c>
      <c r="F8" s="1" t="s">
        <v>43</v>
      </c>
      <c r="G8" s="1">
        <v>0.2</v>
      </c>
      <c r="I8" s="1">
        <v>100</v>
      </c>
      <c r="J8" s="1" t="s">
        <v>61</v>
      </c>
      <c r="K8" s="1">
        <v>0</v>
      </c>
      <c r="L8" s="1">
        <v>0</v>
      </c>
      <c r="M8" s="1">
        <v>0</v>
      </c>
      <c r="N8" s="1">
        <v>0</v>
      </c>
      <c r="P8" s="1">
        <v>80</v>
      </c>
      <c r="Q8"/>
      <c r="R8">
        <f t="shared" si="0"/>
        <v>0</v>
      </c>
      <c r="T8"/>
      <c r="U8"/>
      <c r="V8"/>
      <c r="W8"/>
      <c r="X8"/>
      <c r="Y8"/>
      <c r="Z8"/>
      <c r="AB8"/>
      <c r="AC8"/>
      <c r="AD8">
        <f t="shared" si="1"/>
        <v>0</v>
      </c>
    </row>
    <row r="9" s="13" customFormat="1" ht="17" spans="1:30">
      <c r="A9"/>
      <c r="B9" s="13" t="s">
        <v>62</v>
      </c>
      <c r="C9" s="13" t="s">
        <v>63</v>
      </c>
      <c r="D9" s="14" t="s">
        <v>64</v>
      </c>
      <c r="E9" s="13" t="s">
        <v>48</v>
      </c>
      <c r="F9" s="13" t="s">
        <v>43</v>
      </c>
      <c r="G9" s="13">
        <v>1</v>
      </c>
      <c r="I9" s="13">
        <v>300</v>
      </c>
      <c r="J9" s="13" t="s">
        <v>50</v>
      </c>
      <c r="K9" s="13">
        <v>0</v>
      </c>
      <c r="L9" s="13">
        <v>0</v>
      </c>
      <c r="M9" s="13">
        <v>0</v>
      </c>
      <c r="N9" s="13">
        <v>0</v>
      </c>
      <c r="P9" s="13">
        <v>50</v>
      </c>
      <c r="R9"/>
      <c r="T9"/>
      <c r="V9"/>
      <c r="X9"/>
      <c r="Z9"/>
      <c r="AB9"/>
      <c r="AD9">
        <f t="shared" si="1"/>
        <v>0</v>
      </c>
    </row>
    <row r="10" s="13" customFormat="1" ht="17" spans="1:30">
      <c r="A10"/>
      <c r="B10" s="13" t="s">
        <v>65</v>
      </c>
      <c r="C10" s="13" t="s">
        <v>66</v>
      </c>
      <c r="D10" s="14" t="s">
        <v>64</v>
      </c>
      <c r="E10" s="13" t="s">
        <v>67</v>
      </c>
      <c r="F10" s="13" t="s">
        <v>43</v>
      </c>
      <c r="G10" s="13">
        <v>1</v>
      </c>
      <c r="H10"/>
      <c r="I10" s="13">
        <v>300</v>
      </c>
      <c r="J10" s="13" t="s">
        <v>50</v>
      </c>
      <c r="K10" s="13">
        <v>0</v>
      </c>
      <c r="L10" s="13">
        <v>0</v>
      </c>
      <c r="M10" s="13">
        <v>0</v>
      </c>
      <c r="N10" s="13">
        <v>0</v>
      </c>
      <c r="P10" s="13">
        <v>50</v>
      </c>
      <c r="R10"/>
      <c r="T10"/>
      <c r="V10"/>
      <c r="X10"/>
      <c r="Z10"/>
      <c r="AB10"/>
      <c r="AD10">
        <f t="shared" si="1"/>
        <v>0</v>
      </c>
    </row>
    <row r="11" s="13" customFormat="1" ht="17" spans="1:18">
      <c r="A11"/>
      <c r="B11" s="13" t="s">
        <v>68</v>
      </c>
      <c r="C11" s="13" t="s">
        <v>69</v>
      </c>
      <c r="D11" s="14" t="s">
        <v>70</v>
      </c>
      <c r="E11" s="13" t="s">
        <v>42</v>
      </c>
      <c r="F11" s="13" t="s">
        <v>43</v>
      </c>
      <c r="G11" s="13">
        <v>2</v>
      </c>
      <c r="I11" s="13">
        <v>100</v>
      </c>
      <c r="J11" s="13" t="s">
        <v>61</v>
      </c>
      <c r="K11" s="13">
        <v>0</v>
      </c>
      <c r="L11" s="13">
        <v>0</v>
      </c>
      <c r="M11" s="13">
        <v>0</v>
      </c>
      <c r="N11" s="13">
        <v>0</v>
      </c>
      <c r="P11" s="13">
        <v>80</v>
      </c>
      <c r="R11"/>
    </row>
    <row r="12" s="13" customFormat="1" ht="17" spans="1:27">
      <c r="A12"/>
      <c r="B12" s="13" t="s">
        <v>71</v>
      </c>
      <c r="C12" s="13" t="s">
        <v>72</v>
      </c>
      <c r="D12" s="14" t="s">
        <v>70</v>
      </c>
      <c r="E12" s="13" t="s">
        <v>42</v>
      </c>
      <c r="F12" s="13" t="s">
        <v>43</v>
      </c>
      <c r="G12" s="13">
        <v>2</v>
      </c>
      <c r="H12"/>
      <c r="I12" s="13">
        <v>30</v>
      </c>
      <c r="J12" s="13" t="s">
        <v>44</v>
      </c>
      <c r="K12" s="13">
        <v>0</v>
      </c>
      <c r="L12" s="13">
        <v>0</v>
      </c>
      <c r="M12" s="13">
        <v>0</v>
      </c>
      <c r="N12" s="13">
        <v>0</v>
      </c>
      <c r="P12" s="13">
        <v>120</v>
      </c>
      <c r="R12"/>
      <c r="Y12"/>
      <c r="Z12"/>
      <c r="AA12"/>
    </row>
    <row r="13" s="13" customFormat="1" ht="17" spans="1:23">
      <c r="A13"/>
      <c r="B13" s="13" t="s">
        <v>73</v>
      </c>
      <c r="C13" s="13" t="s">
        <v>74</v>
      </c>
      <c r="D13" s="14" t="s">
        <v>75</v>
      </c>
      <c r="E13" s="13" t="s">
        <v>48</v>
      </c>
      <c r="F13" s="13" t="s">
        <v>43</v>
      </c>
      <c r="G13" s="13">
        <v>0.15</v>
      </c>
      <c r="H13"/>
      <c r="I13" s="13">
        <v>100</v>
      </c>
      <c r="J13" s="13" t="s">
        <v>61</v>
      </c>
      <c r="K13" s="13">
        <v>0</v>
      </c>
      <c r="L13" s="13">
        <v>0</v>
      </c>
      <c r="M13" s="13">
        <v>0</v>
      </c>
      <c r="N13" s="13">
        <v>0</v>
      </c>
      <c r="P13" s="13">
        <v>40</v>
      </c>
      <c r="R13">
        <f t="shared" ref="R13:R15" si="2">IFERROR(VLOOKUP(E13,$T$7:$AB$12,9,FALSE),0)</f>
        <v>0</v>
      </c>
      <c r="T13"/>
      <c r="V13"/>
      <c r="W13"/>
    </row>
    <row r="14" s="13" customFormat="1" spans="1:25">
      <c r="A14"/>
      <c r="B14" s="13" t="s">
        <v>76</v>
      </c>
      <c r="C14" s="13" t="s">
        <v>77</v>
      </c>
      <c r="D14" s="13" t="s">
        <v>78</v>
      </c>
      <c r="E14" s="13" t="s">
        <v>48</v>
      </c>
      <c r="F14" s="13" t="s">
        <v>43</v>
      </c>
      <c r="G14" s="13">
        <v>0.15</v>
      </c>
      <c r="H14"/>
      <c r="I14" s="13">
        <v>300</v>
      </c>
      <c r="J14" s="13" t="s">
        <v>50</v>
      </c>
      <c r="K14" s="13">
        <v>0</v>
      </c>
      <c r="L14" s="13">
        <v>0</v>
      </c>
      <c r="M14" s="13">
        <v>0</v>
      </c>
      <c r="N14" s="13">
        <v>0</v>
      </c>
      <c r="P14" s="13">
        <v>40</v>
      </c>
      <c r="R14">
        <f t="shared" si="2"/>
        <v>0</v>
      </c>
      <c r="T14"/>
      <c r="V14"/>
      <c r="W14"/>
      <c r="Y14"/>
    </row>
    <row r="15" s="1" customFormat="1" ht="17" spans="1:30">
      <c r="A15"/>
      <c r="B15" s="1" t="s">
        <v>79</v>
      </c>
      <c r="C15" s="1" t="s">
        <v>80</v>
      </c>
      <c r="D15" s="10" t="s">
        <v>81</v>
      </c>
      <c r="E15" s="1" t="s">
        <v>48</v>
      </c>
      <c r="F15" s="1" t="s">
        <v>43</v>
      </c>
      <c r="G15" s="1">
        <v>0.15</v>
      </c>
      <c r="I15" s="1">
        <v>100</v>
      </c>
      <c r="J15" s="1" t="s">
        <v>61</v>
      </c>
      <c r="K15" s="1">
        <v>0</v>
      </c>
      <c r="L15" s="1">
        <v>0</v>
      </c>
      <c r="M15" s="1">
        <v>0</v>
      </c>
      <c r="N15" s="1">
        <v>0</v>
      </c>
      <c r="P15" s="1">
        <v>40</v>
      </c>
      <c r="Q15"/>
      <c r="R15">
        <f t="shared" si="2"/>
        <v>0</v>
      </c>
      <c r="T15"/>
      <c r="U15"/>
      <c r="V15"/>
      <c r="W15"/>
      <c r="X15"/>
      <c r="Y15"/>
      <c r="Z15"/>
      <c r="AB15"/>
      <c r="AC15"/>
      <c r="AD15"/>
    </row>
    <row r="16" s="1" customFormat="1" ht="17" spans="1:30">
      <c r="A16"/>
      <c r="B16" s="1" t="s">
        <v>82</v>
      </c>
      <c r="C16" s="1" t="s">
        <v>83</v>
      </c>
      <c r="D16" s="10" t="s">
        <v>84</v>
      </c>
      <c r="E16" s="1" t="s">
        <v>48</v>
      </c>
      <c r="F16" s="1" t="s">
        <v>43</v>
      </c>
      <c r="G16" s="1">
        <v>0.15</v>
      </c>
      <c r="I16" s="1">
        <v>100</v>
      </c>
      <c r="J16" s="1" t="s">
        <v>61</v>
      </c>
      <c r="K16" s="1">
        <v>0</v>
      </c>
      <c r="L16" s="1">
        <v>0</v>
      </c>
      <c r="M16" s="1">
        <v>0</v>
      </c>
      <c r="N16" s="1">
        <v>0</v>
      </c>
      <c r="P16" s="1">
        <v>40</v>
      </c>
      <c r="Q16"/>
      <c r="R16"/>
      <c r="T16"/>
      <c r="U16"/>
      <c r="V16"/>
      <c r="W16"/>
      <c r="X16"/>
      <c r="Y16"/>
      <c r="Z16"/>
      <c r="AB16"/>
      <c r="AC16"/>
      <c r="AD16"/>
    </row>
    <row r="17" s="1" customFormat="1" ht="17" spans="1:30">
      <c r="A17"/>
      <c r="B17" s="1" t="s">
        <v>85</v>
      </c>
      <c r="C17" s="1" t="s">
        <v>86</v>
      </c>
      <c r="D17" s="10" t="s">
        <v>87</v>
      </c>
      <c r="E17" s="1" t="s">
        <v>48</v>
      </c>
      <c r="F17" s="1" t="s">
        <v>43</v>
      </c>
      <c r="G17" s="1">
        <v>0.15</v>
      </c>
      <c r="I17" s="1">
        <v>100</v>
      </c>
      <c r="J17" s="1" t="s">
        <v>61</v>
      </c>
      <c r="K17" s="1">
        <v>0</v>
      </c>
      <c r="L17" s="1">
        <v>0</v>
      </c>
      <c r="M17" s="1">
        <v>0</v>
      </c>
      <c r="N17" s="1">
        <v>0</v>
      </c>
      <c r="P17" s="1">
        <v>40</v>
      </c>
      <c r="Q17"/>
      <c r="R17">
        <f t="shared" ref="R17:R21" si="3">IFERROR(VLOOKUP(E17,$T$7:$AB$12,9,FALSE),0)</f>
        <v>0</v>
      </c>
      <c r="T17"/>
      <c r="U17"/>
      <c r="V17"/>
      <c r="W17"/>
      <c r="X17"/>
      <c r="Y17"/>
      <c r="Z17"/>
      <c r="AB17"/>
      <c r="AC17"/>
      <c r="AD17"/>
    </row>
    <row r="18" s="1" customFormat="1" ht="17" spans="1:30">
      <c r="A18"/>
      <c r="B18" s="1" t="s">
        <v>88</v>
      </c>
      <c r="C18" s="1" t="s">
        <v>89</v>
      </c>
      <c r="D18" s="10" t="s">
        <v>90</v>
      </c>
      <c r="E18" s="1" t="s">
        <v>48</v>
      </c>
      <c r="F18" s="1" t="s">
        <v>43</v>
      </c>
      <c r="G18" s="1">
        <v>0.15</v>
      </c>
      <c r="I18" s="1">
        <v>300</v>
      </c>
      <c r="J18" s="1" t="s">
        <v>50</v>
      </c>
      <c r="K18" s="1">
        <v>0</v>
      </c>
      <c r="L18" s="1">
        <v>0</v>
      </c>
      <c r="M18" s="1">
        <v>0</v>
      </c>
      <c r="N18" s="1">
        <v>0</v>
      </c>
      <c r="P18" s="1">
        <v>40</v>
      </c>
      <c r="Q18"/>
      <c r="R18">
        <f t="shared" si="3"/>
        <v>0</v>
      </c>
      <c r="T18"/>
      <c r="U18"/>
      <c r="V18"/>
      <c r="W18"/>
      <c r="X18"/>
      <c r="Y18"/>
      <c r="Z18"/>
      <c r="AB18"/>
      <c r="AC18"/>
      <c r="AD18"/>
    </row>
    <row r="19" s="1" customFormat="1" ht="17" spans="1:30">
      <c r="A19"/>
      <c r="B19" s="1" t="s">
        <v>91</v>
      </c>
      <c r="C19" s="1" t="s">
        <v>92</v>
      </c>
      <c r="D19" s="10" t="s">
        <v>93</v>
      </c>
      <c r="E19" s="1" t="s">
        <v>67</v>
      </c>
      <c r="F19" s="1" t="s">
        <v>43</v>
      </c>
      <c r="G19" s="1">
        <v>0.25</v>
      </c>
      <c r="I19" s="1">
        <v>100</v>
      </c>
      <c r="J19" s="1" t="s">
        <v>61</v>
      </c>
      <c r="K19" s="1">
        <v>0</v>
      </c>
      <c r="L19" s="1">
        <v>0</v>
      </c>
      <c r="M19" s="1">
        <v>0</v>
      </c>
      <c r="N19" s="1">
        <v>0</v>
      </c>
      <c r="P19" s="1">
        <v>80</v>
      </c>
      <c r="Q19"/>
      <c r="R19">
        <f t="shared" si="3"/>
        <v>0</v>
      </c>
      <c r="T19"/>
      <c r="U19"/>
      <c r="V19"/>
      <c r="W19"/>
      <c r="X19"/>
      <c r="Y19"/>
      <c r="Z19"/>
      <c r="AB19"/>
      <c r="AC19"/>
      <c r="AD19"/>
    </row>
    <row r="20" s="1" customFormat="1" ht="17" spans="1:30">
      <c r="A20"/>
      <c r="B20" s="1" t="s">
        <v>94</v>
      </c>
      <c r="C20" s="1" t="s">
        <v>95</v>
      </c>
      <c r="D20" s="10" t="s">
        <v>96</v>
      </c>
      <c r="E20" s="1" t="s">
        <v>67</v>
      </c>
      <c r="F20" s="1" t="s">
        <v>43</v>
      </c>
      <c r="G20" s="1">
        <v>0.3</v>
      </c>
      <c r="I20" s="1">
        <v>300</v>
      </c>
      <c r="J20" s="1" t="s">
        <v>50</v>
      </c>
      <c r="K20" s="1">
        <v>0</v>
      </c>
      <c r="L20" s="1">
        <v>0</v>
      </c>
      <c r="M20" s="1">
        <v>0</v>
      </c>
      <c r="N20" s="1">
        <v>0</v>
      </c>
      <c r="P20" s="1">
        <v>80</v>
      </c>
      <c r="Q20"/>
      <c r="R20">
        <f t="shared" si="3"/>
        <v>0</v>
      </c>
      <c r="T20"/>
      <c r="U20"/>
      <c r="V20"/>
      <c r="W20"/>
      <c r="X20"/>
      <c r="Y20"/>
      <c r="Z20"/>
      <c r="AB20"/>
      <c r="AC20"/>
      <c r="AD20"/>
    </row>
    <row r="21" s="1" customFormat="1" ht="17" spans="1:30">
      <c r="A21"/>
      <c r="B21" s="1" t="s">
        <v>97</v>
      </c>
      <c r="C21" s="1" t="s">
        <v>98</v>
      </c>
      <c r="D21" s="10" t="s">
        <v>99</v>
      </c>
      <c r="E21" s="1" t="s">
        <v>67</v>
      </c>
      <c r="F21" s="1" t="s">
        <v>43</v>
      </c>
      <c r="G21" s="1">
        <v>0.3</v>
      </c>
      <c r="I21" s="1">
        <v>100</v>
      </c>
      <c r="J21" s="1" t="s">
        <v>61</v>
      </c>
      <c r="K21" s="1">
        <v>0</v>
      </c>
      <c r="L21" s="1">
        <v>0</v>
      </c>
      <c r="M21" s="1">
        <v>0</v>
      </c>
      <c r="N21" s="1">
        <v>0</v>
      </c>
      <c r="P21" s="1">
        <v>80</v>
      </c>
      <c r="Q21"/>
      <c r="R21">
        <f t="shared" si="3"/>
        <v>0</v>
      </c>
      <c r="T21"/>
      <c r="U21"/>
      <c r="V21"/>
      <c r="W21"/>
      <c r="X21"/>
      <c r="Y21"/>
      <c r="Z21"/>
      <c r="AB21"/>
      <c r="AC21"/>
      <c r="AD21"/>
    </row>
    <row r="22" s="1" customFormat="1" ht="17" spans="1:30">
      <c r="A22"/>
      <c r="B22" s="1" t="s">
        <v>100</v>
      </c>
      <c r="C22" s="1" t="s">
        <v>101</v>
      </c>
      <c r="D22" s="10" t="s">
        <v>102</v>
      </c>
      <c r="E22" s="1" t="s">
        <v>67</v>
      </c>
      <c r="F22" s="1" t="s">
        <v>43</v>
      </c>
      <c r="G22" s="1">
        <v>0.3</v>
      </c>
      <c r="I22" s="1">
        <v>100</v>
      </c>
      <c r="J22" s="1" t="s">
        <v>61</v>
      </c>
      <c r="K22" s="1">
        <v>0</v>
      </c>
      <c r="L22" s="1">
        <v>0</v>
      </c>
      <c r="M22" s="1">
        <v>0</v>
      </c>
      <c r="N22" s="1">
        <v>0</v>
      </c>
      <c r="P22" s="1">
        <v>80</v>
      </c>
      <c r="Q22"/>
      <c r="R22"/>
      <c r="T22"/>
      <c r="U22"/>
      <c r="V22"/>
      <c r="W22"/>
      <c r="X22"/>
      <c r="Y22"/>
      <c r="Z22"/>
      <c r="AB22"/>
      <c r="AC22"/>
      <c r="AD22"/>
    </row>
    <row r="23" s="1" customFormat="1" ht="17" spans="1:30">
      <c r="A23"/>
      <c r="B23" s="1" t="s">
        <v>103</v>
      </c>
      <c r="C23" s="1" t="s">
        <v>104</v>
      </c>
      <c r="D23" s="10" t="s">
        <v>105</v>
      </c>
      <c r="E23" s="1" t="s">
        <v>67</v>
      </c>
      <c r="F23" s="1" t="s">
        <v>43</v>
      </c>
      <c r="G23" s="1">
        <v>0.3</v>
      </c>
      <c r="I23" s="1">
        <v>100</v>
      </c>
      <c r="J23" s="1" t="s">
        <v>61</v>
      </c>
      <c r="K23" s="1">
        <v>0</v>
      </c>
      <c r="L23" s="1">
        <v>0</v>
      </c>
      <c r="M23" s="1">
        <v>0</v>
      </c>
      <c r="N23" s="1">
        <v>0</v>
      </c>
      <c r="P23" s="1">
        <v>80</v>
      </c>
      <c r="Q23"/>
      <c r="R23">
        <f t="shared" ref="R23:R25" si="4">IFERROR(VLOOKUP(E23,$T$7:$AB$12,9,FALSE),0)</f>
        <v>0</v>
      </c>
      <c r="T23"/>
      <c r="U23"/>
      <c r="V23"/>
      <c r="W23"/>
      <c r="X23"/>
      <c r="Y23"/>
      <c r="Z23"/>
      <c r="AB23"/>
      <c r="AC23"/>
      <c r="AD23"/>
    </row>
    <row r="24" s="1" customFormat="1" ht="17" spans="1:30">
      <c r="A24"/>
      <c r="B24" s="1" t="s">
        <v>106</v>
      </c>
      <c r="C24" s="1" t="s">
        <v>107</v>
      </c>
      <c r="D24" s="10" t="s">
        <v>108</v>
      </c>
      <c r="E24" s="1" t="s">
        <v>67</v>
      </c>
      <c r="F24" s="1" t="s">
        <v>43</v>
      </c>
      <c r="G24" s="1">
        <v>0.3</v>
      </c>
      <c r="I24" s="1">
        <v>300</v>
      </c>
      <c r="J24" s="1" t="s">
        <v>50</v>
      </c>
      <c r="K24" s="1">
        <v>0</v>
      </c>
      <c r="L24" s="1">
        <v>0</v>
      </c>
      <c r="M24" s="1">
        <v>0</v>
      </c>
      <c r="N24" s="1">
        <v>0</v>
      </c>
      <c r="P24" s="1">
        <v>80</v>
      </c>
      <c r="Q24"/>
      <c r="R24">
        <f t="shared" si="4"/>
        <v>0</v>
      </c>
      <c r="T24"/>
      <c r="U24"/>
      <c r="V24"/>
      <c r="W24"/>
      <c r="X24"/>
      <c r="Y24"/>
      <c r="Z24"/>
      <c r="AB24"/>
      <c r="AC24"/>
      <c r="AD24"/>
    </row>
    <row r="25" s="1" customFormat="1" ht="51" spans="1:30">
      <c r="A25"/>
      <c r="B25" s="1" t="s">
        <v>109</v>
      </c>
      <c r="C25" s="1" t="s">
        <v>110</v>
      </c>
      <c r="D25" s="10" t="s">
        <v>111</v>
      </c>
      <c r="E25" s="1" t="s">
        <v>42</v>
      </c>
      <c r="F25" s="1" t="s">
        <v>43</v>
      </c>
      <c r="G25" s="1">
        <v>0</v>
      </c>
      <c r="I25" s="1">
        <v>30</v>
      </c>
      <c r="J25" s="1" t="s">
        <v>44</v>
      </c>
      <c r="K25" s="1">
        <v>0</v>
      </c>
      <c r="L25" s="1">
        <v>0</v>
      </c>
      <c r="M25" s="1">
        <v>0</v>
      </c>
      <c r="N25" s="1">
        <v>0</v>
      </c>
      <c r="P25" s="1">
        <v>150</v>
      </c>
      <c r="Q25"/>
      <c r="R25">
        <f t="shared" si="4"/>
        <v>0</v>
      </c>
      <c r="T25"/>
      <c r="U25"/>
      <c r="V25"/>
      <c r="W25"/>
      <c r="X25"/>
      <c r="Y25"/>
      <c r="Z25"/>
      <c r="AB25"/>
      <c r="AC25"/>
      <c r="AD25"/>
    </row>
    <row r="26" s="1" customFormat="1" ht="51" spans="1:30">
      <c r="A26"/>
      <c r="B26" s="1" t="s">
        <v>112</v>
      </c>
      <c r="C26" s="1" t="s">
        <v>113</v>
      </c>
      <c r="D26" s="10" t="s">
        <v>114</v>
      </c>
      <c r="E26" s="1" t="s">
        <v>67</v>
      </c>
      <c r="F26" s="1" t="s">
        <v>43</v>
      </c>
      <c r="G26" s="1">
        <v>10</v>
      </c>
      <c r="I26" s="1">
        <v>100</v>
      </c>
      <c r="J26" s="1" t="s">
        <v>61</v>
      </c>
      <c r="K26" s="1">
        <v>0</v>
      </c>
      <c r="L26" s="1">
        <v>0</v>
      </c>
      <c r="M26" s="1">
        <v>0</v>
      </c>
      <c r="N26" s="1">
        <v>0</v>
      </c>
      <c r="P26" s="1">
        <v>80</v>
      </c>
      <c r="Q26"/>
      <c r="R26"/>
      <c r="T26"/>
      <c r="U26"/>
      <c r="V26"/>
      <c r="W26"/>
      <c r="X26"/>
      <c r="Y26"/>
      <c r="Z26"/>
      <c r="AB26"/>
      <c r="AC26"/>
      <c r="AD26"/>
    </row>
    <row r="27" s="1" customFormat="1" ht="51" spans="1:30">
      <c r="A27"/>
      <c r="B27" s="1" t="s">
        <v>115</v>
      </c>
      <c r="C27" s="1" t="s">
        <v>116</v>
      </c>
      <c r="D27" s="10" t="s">
        <v>117</v>
      </c>
      <c r="E27" s="1" t="s">
        <v>67</v>
      </c>
      <c r="F27" s="1" t="s">
        <v>43</v>
      </c>
      <c r="G27" s="1">
        <v>0.3</v>
      </c>
      <c r="I27" s="1">
        <v>100</v>
      </c>
      <c r="J27" s="1" t="s">
        <v>61</v>
      </c>
      <c r="K27" s="1">
        <v>0</v>
      </c>
      <c r="L27" s="1">
        <v>0</v>
      </c>
      <c r="M27" s="1">
        <v>0</v>
      </c>
      <c r="N27" s="1">
        <v>0</v>
      </c>
      <c r="P27" s="1">
        <v>80</v>
      </c>
      <c r="Q27"/>
      <c r="R27"/>
      <c r="T27"/>
      <c r="U27"/>
      <c r="V27"/>
      <c r="W27"/>
      <c r="X27"/>
      <c r="Y27"/>
      <c r="Z27"/>
      <c r="AB27"/>
      <c r="AC27"/>
      <c r="AD27"/>
    </row>
    <row r="28" s="1" customFormat="1" ht="34" spans="1:30">
      <c r="A28"/>
      <c r="B28" s="1" t="s">
        <v>118</v>
      </c>
      <c r="C28" s="1" t="s">
        <v>119</v>
      </c>
      <c r="D28" s="10" t="s">
        <v>120</v>
      </c>
      <c r="E28" s="1" t="s">
        <v>67</v>
      </c>
      <c r="F28" s="1" t="s">
        <v>43</v>
      </c>
      <c r="G28" s="1">
        <v>0</v>
      </c>
      <c r="H28" s="1" t="s">
        <v>121</v>
      </c>
      <c r="I28" s="1">
        <v>300</v>
      </c>
      <c r="J28" s="1" t="s">
        <v>50</v>
      </c>
      <c r="K28" s="1">
        <v>0</v>
      </c>
      <c r="L28" s="1">
        <v>0</v>
      </c>
      <c r="M28" s="1">
        <v>0</v>
      </c>
      <c r="N28" s="1">
        <v>0</v>
      </c>
      <c r="P28" s="1">
        <v>80</v>
      </c>
      <c r="Q28"/>
      <c r="R28">
        <f t="shared" ref="R28:R34" si="5">IFERROR(VLOOKUP(E28,$T$7:$AB$12,9,FALSE),0)</f>
        <v>0</v>
      </c>
      <c r="T28"/>
      <c r="U28"/>
      <c r="V28"/>
      <c r="W28"/>
      <c r="X28"/>
      <c r="Y28"/>
      <c r="Z28"/>
      <c r="AB28"/>
      <c r="AC28"/>
      <c r="AD28"/>
    </row>
    <row r="29" s="1" customFormat="1" ht="34" spans="1:30">
      <c r="A29"/>
      <c r="B29" s="1" t="s">
        <v>122</v>
      </c>
      <c r="C29" s="1" t="s">
        <v>123</v>
      </c>
      <c r="D29" s="10" t="s">
        <v>124</v>
      </c>
      <c r="E29" s="1" t="s">
        <v>48</v>
      </c>
      <c r="F29" s="1" t="s">
        <v>43</v>
      </c>
      <c r="G29" s="1">
        <v>-0.25</v>
      </c>
      <c r="I29" s="1">
        <v>300</v>
      </c>
      <c r="J29" s="1" t="s">
        <v>50</v>
      </c>
      <c r="K29" s="1">
        <v>0</v>
      </c>
      <c r="L29" s="1">
        <v>0</v>
      </c>
      <c r="M29" s="1">
        <v>0</v>
      </c>
      <c r="N29" s="1">
        <v>0</v>
      </c>
      <c r="P29" s="1">
        <v>40</v>
      </c>
      <c r="Q29"/>
      <c r="R29">
        <f t="shared" si="5"/>
        <v>0</v>
      </c>
      <c r="T29"/>
      <c r="U29"/>
      <c r="V29"/>
      <c r="W29"/>
      <c r="X29"/>
      <c r="Y29"/>
      <c r="Z29"/>
      <c r="AB29"/>
      <c r="AC29"/>
      <c r="AD29"/>
    </row>
    <row r="30" s="1" customFormat="1" ht="34" spans="1:30">
      <c r="A30"/>
      <c r="B30" s="1" t="s">
        <v>125</v>
      </c>
      <c r="C30" s="1" t="s">
        <v>126</v>
      </c>
      <c r="D30" s="10" t="s">
        <v>127</v>
      </c>
      <c r="E30" s="1" t="s">
        <v>48</v>
      </c>
      <c r="F30" s="1" t="s">
        <v>43</v>
      </c>
      <c r="G30" s="1">
        <v>-0.25</v>
      </c>
      <c r="I30" s="1">
        <v>100</v>
      </c>
      <c r="J30" s="1" t="s">
        <v>61</v>
      </c>
      <c r="K30" s="1">
        <v>0</v>
      </c>
      <c r="L30" s="1">
        <v>0</v>
      </c>
      <c r="M30" s="1">
        <v>0</v>
      </c>
      <c r="N30" s="1">
        <v>0</v>
      </c>
      <c r="P30" s="1">
        <v>40</v>
      </c>
      <c r="Q30"/>
      <c r="R30">
        <f t="shared" si="5"/>
        <v>0</v>
      </c>
      <c r="T30"/>
      <c r="U30"/>
      <c r="V30"/>
      <c r="W30"/>
      <c r="X30"/>
      <c r="Y30"/>
      <c r="Z30"/>
      <c r="AB30"/>
      <c r="AC30"/>
      <c r="AD30"/>
    </row>
    <row r="31" s="1" customFormat="1" ht="34" spans="1:30">
      <c r="A31"/>
      <c r="B31" s="1" t="s">
        <v>128</v>
      </c>
      <c r="C31" s="1" t="s">
        <v>129</v>
      </c>
      <c r="D31" s="10" t="s">
        <v>130</v>
      </c>
      <c r="E31" s="1" t="s">
        <v>67</v>
      </c>
      <c r="F31" s="1" t="s">
        <v>43</v>
      </c>
      <c r="G31" s="1">
        <v>-0.2</v>
      </c>
      <c r="I31" s="1">
        <v>30</v>
      </c>
      <c r="J31" s="1" t="s">
        <v>44</v>
      </c>
      <c r="K31" s="1">
        <v>0</v>
      </c>
      <c r="L31" s="1">
        <v>0</v>
      </c>
      <c r="M31" s="1">
        <v>0</v>
      </c>
      <c r="N31" s="1">
        <v>0</v>
      </c>
      <c r="P31" s="1">
        <v>80</v>
      </c>
      <c r="Q31"/>
      <c r="R31">
        <f t="shared" si="5"/>
        <v>0</v>
      </c>
      <c r="T31"/>
      <c r="U31"/>
      <c r="V31"/>
      <c r="W31"/>
      <c r="X31"/>
      <c r="Y31"/>
      <c r="Z31"/>
      <c r="AB31"/>
      <c r="AC31"/>
      <c r="AD31"/>
    </row>
    <row r="32" s="1" customFormat="1" ht="51" spans="1:30">
      <c r="A32"/>
      <c r="B32" s="1" t="s">
        <v>131</v>
      </c>
      <c r="C32" s="1" t="s">
        <v>132</v>
      </c>
      <c r="D32" s="10" t="s">
        <v>133</v>
      </c>
      <c r="E32" s="1" t="s">
        <v>67</v>
      </c>
      <c r="F32" s="1" t="s">
        <v>43</v>
      </c>
      <c r="G32" s="1">
        <v>1.5</v>
      </c>
      <c r="H32" s="1" t="s">
        <v>134</v>
      </c>
      <c r="I32" s="1">
        <v>100</v>
      </c>
      <c r="J32" s="1" t="s">
        <v>61</v>
      </c>
      <c r="K32" s="1">
        <v>0</v>
      </c>
      <c r="L32" s="1">
        <v>0</v>
      </c>
      <c r="M32" s="1">
        <v>0</v>
      </c>
      <c r="N32" s="1">
        <v>0</v>
      </c>
      <c r="P32" s="1">
        <v>80</v>
      </c>
      <c r="Q32"/>
      <c r="R32">
        <f t="shared" si="5"/>
        <v>0</v>
      </c>
      <c r="T32"/>
      <c r="U32"/>
      <c r="V32"/>
      <c r="W32"/>
      <c r="X32"/>
      <c r="Y32"/>
      <c r="Z32"/>
      <c r="AB32"/>
      <c r="AC32"/>
      <c r="AD32"/>
    </row>
    <row r="33" s="1" customFormat="1" ht="51" spans="1:30">
      <c r="A33"/>
      <c r="B33" s="1" t="s">
        <v>135</v>
      </c>
      <c r="C33" s="1" t="s">
        <v>136</v>
      </c>
      <c r="D33" s="10" t="s">
        <v>137</v>
      </c>
      <c r="E33" s="1" t="s">
        <v>67</v>
      </c>
      <c r="F33" s="1" t="s">
        <v>43</v>
      </c>
      <c r="G33" s="1">
        <v>1.5</v>
      </c>
      <c r="H33" s="1" t="s">
        <v>138</v>
      </c>
      <c r="I33" s="1">
        <v>30</v>
      </c>
      <c r="J33" s="1" t="s">
        <v>44</v>
      </c>
      <c r="K33" s="1">
        <v>0</v>
      </c>
      <c r="L33" s="1">
        <v>0</v>
      </c>
      <c r="M33" s="1">
        <v>0</v>
      </c>
      <c r="N33" s="1">
        <v>0</v>
      </c>
      <c r="P33" s="1">
        <v>80</v>
      </c>
      <c r="Q33"/>
      <c r="R33">
        <f t="shared" si="5"/>
        <v>0</v>
      </c>
      <c r="T33"/>
      <c r="U33"/>
      <c r="V33"/>
      <c r="W33"/>
      <c r="X33"/>
      <c r="Y33"/>
      <c r="Z33"/>
      <c r="AB33"/>
      <c r="AC33"/>
      <c r="AD33"/>
    </row>
    <row r="34" s="13" customFormat="1" ht="34" spans="1:18">
      <c r="A34"/>
      <c r="B34" s="13" t="s">
        <v>139</v>
      </c>
      <c r="C34" s="13" t="s">
        <v>140</v>
      </c>
      <c r="D34" s="14" t="s">
        <v>141</v>
      </c>
      <c r="E34" s="13" t="s">
        <v>48</v>
      </c>
      <c r="F34" s="13" t="s">
        <v>43</v>
      </c>
      <c r="G34" s="13">
        <v>20</v>
      </c>
      <c r="I34" s="13">
        <v>100</v>
      </c>
      <c r="J34" s="13" t="s">
        <v>61</v>
      </c>
      <c r="K34" s="13">
        <v>0</v>
      </c>
      <c r="L34" s="13">
        <v>0</v>
      </c>
      <c r="M34" s="13">
        <v>0</v>
      </c>
      <c r="N34" s="13">
        <v>0</v>
      </c>
      <c r="P34" s="13">
        <v>40</v>
      </c>
      <c r="R34">
        <f t="shared" si="5"/>
        <v>0</v>
      </c>
    </row>
    <row r="35" s="13" customFormat="1" ht="34" spans="1:16">
      <c r="A35" s="1"/>
      <c r="B35" s="1" t="s">
        <v>142</v>
      </c>
      <c r="C35" s="1" t="s">
        <v>143</v>
      </c>
      <c r="D35" s="14" t="s">
        <v>144</v>
      </c>
      <c r="E35" s="13" t="s">
        <v>67</v>
      </c>
      <c r="F35" s="1" t="s">
        <v>43</v>
      </c>
      <c r="G35" s="1">
        <v>40</v>
      </c>
      <c r="H35" s="1"/>
      <c r="I35" s="1">
        <v>100</v>
      </c>
      <c r="J35" s="1" t="s">
        <v>61</v>
      </c>
      <c r="K35" s="1">
        <v>0</v>
      </c>
      <c r="L35" s="1">
        <v>0</v>
      </c>
      <c r="M35" s="1">
        <v>0</v>
      </c>
      <c r="N35" s="1">
        <v>0</v>
      </c>
      <c r="O35" s="1"/>
      <c r="P35" s="1">
        <v>80</v>
      </c>
    </row>
    <row r="36" s="13" customFormat="1" ht="34" spans="1:20">
      <c r="A36"/>
      <c r="B36" s="13" t="s">
        <v>145</v>
      </c>
      <c r="C36" s="13" t="s">
        <v>146</v>
      </c>
      <c r="D36" s="14" t="s">
        <v>147</v>
      </c>
      <c r="E36" s="13" t="s">
        <v>48</v>
      </c>
      <c r="F36" s="13" t="s">
        <v>43</v>
      </c>
      <c r="G36" s="13">
        <v>15</v>
      </c>
      <c r="H36"/>
      <c r="I36" s="13">
        <v>100</v>
      </c>
      <c r="J36" s="13" t="s">
        <v>61</v>
      </c>
      <c r="K36" s="13">
        <v>0</v>
      </c>
      <c r="L36" s="13">
        <v>0</v>
      </c>
      <c r="M36" s="13">
        <v>0</v>
      </c>
      <c r="N36" s="13">
        <v>0</v>
      </c>
      <c r="P36" s="13">
        <v>40</v>
      </c>
      <c r="R36">
        <f t="shared" ref="R36:R46" si="6">IFERROR(VLOOKUP(E36,$T$7:$AB$12,9,FALSE),0)</f>
        <v>0</v>
      </c>
      <c r="T36"/>
    </row>
    <row r="37" s="1" customFormat="1" ht="34" spans="1:30">
      <c r="A37"/>
      <c r="B37" s="1" t="s">
        <v>148</v>
      </c>
      <c r="C37" s="1" t="s">
        <v>149</v>
      </c>
      <c r="D37" s="10" t="s">
        <v>150</v>
      </c>
      <c r="E37" s="1" t="s">
        <v>67</v>
      </c>
      <c r="F37" s="1" t="s">
        <v>43</v>
      </c>
      <c r="G37" s="1">
        <v>1</v>
      </c>
      <c r="I37" s="1">
        <v>100</v>
      </c>
      <c r="J37" s="1" t="s">
        <v>61</v>
      </c>
      <c r="K37" s="1">
        <v>0</v>
      </c>
      <c r="L37" s="1">
        <v>0</v>
      </c>
      <c r="M37" s="1">
        <v>0</v>
      </c>
      <c r="N37" s="1">
        <v>0</v>
      </c>
      <c r="P37" s="1">
        <v>80</v>
      </c>
      <c r="Q37"/>
      <c r="R37">
        <f t="shared" si="6"/>
        <v>0</v>
      </c>
      <c r="T37"/>
      <c r="U37"/>
      <c r="V37"/>
      <c r="W37"/>
      <c r="X37"/>
      <c r="Y37"/>
      <c r="Z37"/>
      <c r="AB37"/>
      <c r="AC37"/>
      <c r="AD37"/>
    </row>
    <row r="38" s="1" customFormat="1" ht="17" spans="1:30">
      <c r="A38"/>
      <c r="B38" s="1" t="s">
        <v>151</v>
      </c>
      <c r="C38" s="1" t="s">
        <v>152</v>
      </c>
      <c r="D38" s="10" t="s">
        <v>153</v>
      </c>
      <c r="E38" s="1" t="s">
        <v>67</v>
      </c>
      <c r="F38" s="1" t="s">
        <v>43</v>
      </c>
      <c r="G38" s="1">
        <v>150</v>
      </c>
      <c r="I38" s="1">
        <v>30</v>
      </c>
      <c r="J38" s="1" t="s">
        <v>44</v>
      </c>
      <c r="K38" s="1">
        <v>0</v>
      </c>
      <c r="L38" s="1">
        <v>0</v>
      </c>
      <c r="M38" s="1">
        <v>0</v>
      </c>
      <c r="N38" s="1">
        <v>0</v>
      </c>
      <c r="P38" s="1">
        <v>80</v>
      </c>
      <c r="Q38"/>
      <c r="R38">
        <f t="shared" si="6"/>
        <v>0</v>
      </c>
      <c r="T38"/>
      <c r="U38"/>
      <c r="V38"/>
      <c r="W38"/>
      <c r="X38"/>
      <c r="Y38"/>
      <c r="Z38"/>
      <c r="AB38"/>
      <c r="AC38"/>
      <c r="AD38"/>
    </row>
    <row r="39" s="1" customFormat="1" ht="51" spans="1:30">
      <c r="A39"/>
      <c r="B39" s="1" t="s">
        <v>154</v>
      </c>
      <c r="C39" s="1" t="s">
        <v>155</v>
      </c>
      <c r="D39" s="10" t="s">
        <v>156</v>
      </c>
      <c r="E39" s="1" t="s">
        <v>48</v>
      </c>
      <c r="F39" s="1" t="s">
        <v>43</v>
      </c>
      <c r="G39" s="1">
        <v>150</v>
      </c>
      <c r="H39" s="1" t="s">
        <v>157</v>
      </c>
      <c r="I39" s="1">
        <v>100</v>
      </c>
      <c r="J39" s="1" t="s">
        <v>61</v>
      </c>
      <c r="K39" s="1">
        <v>0</v>
      </c>
      <c r="L39" s="1">
        <v>0</v>
      </c>
      <c r="M39" s="1">
        <v>0</v>
      </c>
      <c r="N39" s="1">
        <v>0</v>
      </c>
      <c r="P39" s="1">
        <v>40</v>
      </c>
      <c r="Q39"/>
      <c r="R39">
        <f t="shared" si="6"/>
        <v>0</v>
      </c>
      <c r="T39"/>
      <c r="U39"/>
      <c r="V39"/>
      <c r="W39"/>
      <c r="X39"/>
      <c r="Y39"/>
      <c r="Z39"/>
      <c r="AB39"/>
      <c r="AC39"/>
      <c r="AD39"/>
    </row>
    <row r="40" s="1" customFormat="1" ht="34" spans="1:30">
      <c r="A40"/>
      <c r="B40" s="1" t="s">
        <v>158</v>
      </c>
      <c r="C40" s="1" t="s">
        <v>159</v>
      </c>
      <c r="D40" s="10" t="s">
        <v>160</v>
      </c>
      <c r="E40" s="1" t="s">
        <v>48</v>
      </c>
      <c r="F40" s="1" t="s">
        <v>43</v>
      </c>
      <c r="G40" s="1">
        <v>0</v>
      </c>
      <c r="I40" s="1">
        <v>100</v>
      </c>
      <c r="J40" s="1" t="s">
        <v>61</v>
      </c>
      <c r="K40" s="1">
        <v>0</v>
      </c>
      <c r="L40" s="1">
        <v>0</v>
      </c>
      <c r="M40" s="1">
        <v>0</v>
      </c>
      <c r="N40" s="1">
        <v>0</v>
      </c>
      <c r="P40" s="1">
        <v>40</v>
      </c>
      <c r="Q40"/>
      <c r="R40">
        <f t="shared" si="6"/>
        <v>0</v>
      </c>
      <c r="T40"/>
      <c r="U40"/>
      <c r="V40"/>
      <c r="W40"/>
      <c r="X40"/>
      <c r="Y40"/>
      <c r="Z40"/>
      <c r="AB40"/>
      <c r="AC40"/>
      <c r="AD40"/>
    </row>
    <row r="41" s="1" customFormat="1" ht="17" spans="1:30">
      <c r="A41"/>
      <c r="B41" s="1" t="s">
        <v>161</v>
      </c>
      <c r="C41" s="1" t="s">
        <v>162</v>
      </c>
      <c r="D41" s="10" t="s">
        <v>163</v>
      </c>
      <c r="E41" s="1" t="s">
        <v>67</v>
      </c>
      <c r="F41" s="1" t="s">
        <v>43</v>
      </c>
      <c r="G41" s="1">
        <v>8</v>
      </c>
      <c r="I41" s="1">
        <v>100</v>
      </c>
      <c r="J41" s="1" t="s">
        <v>61</v>
      </c>
      <c r="K41" s="1">
        <v>0</v>
      </c>
      <c r="L41" s="1">
        <v>0</v>
      </c>
      <c r="M41" s="1">
        <v>0</v>
      </c>
      <c r="N41" s="1">
        <v>0</v>
      </c>
      <c r="P41" s="1">
        <v>80</v>
      </c>
      <c r="Q41"/>
      <c r="R41">
        <f t="shared" si="6"/>
        <v>0</v>
      </c>
      <c r="T41"/>
      <c r="U41"/>
      <c r="V41"/>
      <c r="W41"/>
      <c r="X41"/>
      <c r="Y41"/>
      <c r="Z41"/>
      <c r="AB41"/>
      <c r="AC41"/>
      <c r="AD41"/>
    </row>
    <row r="42" s="1" customFormat="1" ht="34" spans="1:30">
      <c r="A42"/>
      <c r="B42" s="1" t="s">
        <v>164</v>
      </c>
      <c r="C42" s="1" t="s">
        <v>165</v>
      </c>
      <c r="D42" s="10" t="s">
        <v>166</v>
      </c>
      <c r="E42" s="1" t="s">
        <v>67</v>
      </c>
      <c r="F42" s="1" t="s">
        <v>43</v>
      </c>
      <c r="G42" s="1">
        <v>1</v>
      </c>
      <c r="H42" s="1" t="s">
        <v>167</v>
      </c>
      <c r="I42" s="1">
        <v>100</v>
      </c>
      <c r="J42" s="1" t="s">
        <v>61</v>
      </c>
      <c r="K42" s="1">
        <v>0</v>
      </c>
      <c r="L42" s="1">
        <v>0</v>
      </c>
      <c r="M42" s="1">
        <v>0</v>
      </c>
      <c r="N42" s="1">
        <v>0</v>
      </c>
      <c r="P42" s="1">
        <v>80</v>
      </c>
      <c r="Q42"/>
      <c r="R42">
        <f>IFERROR(VLOOKUP(E42,$T$7:$AB$12,9,FALSE),0)</f>
        <v>0</v>
      </c>
      <c r="T42"/>
      <c r="U42"/>
      <c r="V42"/>
      <c r="W42"/>
      <c r="X42"/>
      <c r="Y42"/>
      <c r="Z42"/>
      <c r="AB42"/>
      <c r="AC42"/>
      <c r="AD42"/>
    </row>
    <row r="43" s="1" customFormat="1" ht="51" spans="1:30">
      <c r="A43"/>
      <c r="B43" s="1" t="s">
        <v>168</v>
      </c>
      <c r="C43" s="1" t="s">
        <v>169</v>
      </c>
      <c r="D43" s="10" t="s">
        <v>170</v>
      </c>
      <c r="E43" s="1" t="s">
        <v>48</v>
      </c>
      <c r="F43" s="1" t="s">
        <v>43</v>
      </c>
      <c r="G43" s="1">
        <v>3</v>
      </c>
      <c r="H43" s="1" t="s">
        <v>171</v>
      </c>
      <c r="I43" s="1">
        <v>300</v>
      </c>
      <c r="J43" s="1" t="s">
        <v>50</v>
      </c>
      <c r="K43" s="1">
        <v>0</v>
      </c>
      <c r="L43" s="1">
        <v>0</v>
      </c>
      <c r="M43" s="1">
        <v>0</v>
      </c>
      <c r="N43" s="1">
        <v>0</v>
      </c>
      <c r="P43" s="1">
        <v>40</v>
      </c>
      <c r="Q43"/>
      <c r="R43">
        <f>IFERROR(VLOOKUP(E43,$T$7:$AB$12,9,FALSE),0)</f>
        <v>0</v>
      </c>
      <c r="T43"/>
      <c r="U43"/>
      <c r="V43"/>
      <c r="W43"/>
      <c r="X43"/>
      <c r="Y43"/>
      <c r="Z43"/>
      <c r="AB43"/>
      <c r="AC43"/>
      <c r="AD43"/>
    </row>
    <row r="44" s="1" customFormat="1" ht="51" spans="1:30">
      <c r="A44"/>
      <c r="B44" s="1" t="s">
        <v>172</v>
      </c>
      <c r="C44" s="1" t="s">
        <v>173</v>
      </c>
      <c r="D44" s="10" t="s">
        <v>174</v>
      </c>
      <c r="E44" s="1" t="s">
        <v>48</v>
      </c>
      <c r="F44" s="1" t="s">
        <v>43</v>
      </c>
      <c r="G44" s="1">
        <v>3</v>
      </c>
      <c r="H44" s="1" t="s">
        <v>175</v>
      </c>
      <c r="I44" s="1">
        <v>300</v>
      </c>
      <c r="J44" s="1" t="s">
        <v>50</v>
      </c>
      <c r="K44" s="1">
        <v>0</v>
      </c>
      <c r="L44" s="1">
        <v>0</v>
      </c>
      <c r="M44" s="1">
        <v>0</v>
      </c>
      <c r="N44" s="1">
        <v>0</v>
      </c>
      <c r="P44" s="1">
        <v>40</v>
      </c>
      <c r="Q44"/>
      <c r="R44">
        <f>IFERROR(VLOOKUP(E44,$T$7:$AB$12,9,FALSE),0)</f>
        <v>0</v>
      </c>
      <c r="T44"/>
      <c r="U44"/>
      <c r="V44"/>
      <c r="W44"/>
      <c r="X44"/>
      <c r="Y44"/>
      <c r="Z44"/>
      <c r="AB44"/>
      <c r="AC44"/>
      <c r="AD44"/>
    </row>
    <row r="45" s="1" customFormat="1" ht="17" spans="1:30">
      <c r="A45"/>
      <c r="B45" s="1" t="s">
        <v>176</v>
      </c>
      <c r="C45" s="1" t="s">
        <v>177</v>
      </c>
      <c r="D45" s="10" t="s">
        <v>178</v>
      </c>
      <c r="E45" s="1" t="s">
        <v>48</v>
      </c>
      <c r="F45" s="1" t="s">
        <v>43</v>
      </c>
      <c r="G45" s="1">
        <v>2</v>
      </c>
      <c r="I45" s="1">
        <v>100</v>
      </c>
      <c r="J45" s="1" t="s">
        <v>61</v>
      </c>
      <c r="K45" s="1">
        <v>0</v>
      </c>
      <c r="L45" s="1">
        <v>0</v>
      </c>
      <c r="M45" s="1">
        <v>0</v>
      </c>
      <c r="N45" s="1">
        <v>0</v>
      </c>
      <c r="P45" s="1">
        <v>40</v>
      </c>
      <c r="Q45"/>
      <c r="R45">
        <f>IFERROR(VLOOKUP(E45,$T$7:$AB$12,9,FALSE),0)</f>
        <v>0</v>
      </c>
      <c r="T45"/>
      <c r="U45"/>
      <c r="V45"/>
      <c r="W45"/>
      <c r="X45"/>
      <c r="Y45"/>
      <c r="Z45"/>
      <c r="AB45"/>
      <c r="AC45"/>
      <c r="AD45"/>
    </row>
    <row r="46" s="1" customFormat="1" ht="17" spans="1:30">
      <c r="A46"/>
      <c r="B46" s="1" t="s">
        <v>179</v>
      </c>
      <c r="C46" s="1" t="s">
        <v>180</v>
      </c>
      <c r="D46" s="10" t="s">
        <v>181</v>
      </c>
      <c r="E46" s="1" t="s">
        <v>67</v>
      </c>
      <c r="F46" s="1" t="s">
        <v>43</v>
      </c>
      <c r="G46" s="1">
        <v>3</v>
      </c>
      <c r="I46" s="1">
        <v>100</v>
      </c>
      <c r="J46" s="1" t="s">
        <v>61</v>
      </c>
      <c r="K46" s="1">
        <v>0</v>
      </c>
      <c r="L46" s="1">
        <v>0</v>
      </c>
      <c r="M46" s="1">
        <v>0</v>
      </c>
      <c r="N46" s="1">
        <v>0</v>
      </c>
      <c r="P46" s="1">
        <v>80</v>
      </c>
      <c r="Q46"/>
      <c r="R46"/>
      <c r="T46"/>
      <c r="U46"/>
      <c r="V46"/>
      <c r="W46"/>
      <c r="X46"/>
      <c r="Y46"/>
      <c r="Z46"/>
      <c r="AB46"/>
      <c r="AC46"/>
      <c r="AD46"/>
    </row>
    <row r="47" s="1" customFormat="1" ht="34" spans="1:30">
      <c r="A47"/>
      <c r="B47" s="1" t="s">
        <v>182</v>
      </c>
      <c r="C47" s="1" t="s">
        <v>183</v>
      </c>
      <c r="D47" s="10" t="s">
        <v>184</v>
      </c>
      <c r="E47" s="1" t="s">
        <v>48</v>
      </c>
      <c r="F47" s="1" t="s">
        <v>43</v>
      </c>
      <c r="G47" s="1">
        <v>10</v>
      </c>
      <c r="I47" s="1">
        <v>100</v>
      </c>
      <c r="J47" s="1" t="s">
        <v>61</v>
      </c>
      <c r="K47" s="1">
        <v>0</v>
      </c>
      <c r="L47" s="1">
        <v>0</v>
      </c>
      <c r="M47" s="1">
        <v>0</v>
      </c>
      <c r="N47" s="1">
        <v>0</v>
      </c>
      <c r="P47" s="1">
        <v>40</v>
      </c>
      <c r="Q47"/>
      <c r="R47">
        <f t="shared" ref="R47:R56" si="7">IFERROR(VLOOKUP(E47,$T$7:$AB$12,9,FALSE),0)</f>
        <v>0</v>
      </c>
      <c r="T47"/>
      <c r="U47"/>
      <c r="V47"/>
      <c r="W47"/>
      <c r="X47"/>
      <c r="Y47"/>
      <c r="Z47"/>
      <c r="AB47"/>
      <c r="AC47"/>
      <c r="AD47"/>
    </row>
    <row r="48" s="1" customFormat="1" ht="34" spans="1:30">
      <c r="A48"/>
      <c r="B48" s="1" t="s">
        <v>185</v>
      </c>
      <c r="C48" s="1" t="s">
        <v>186</v>
      </c>
      <c r="D48" s="10" t="s">
        <v>187</v>
      </c>
      <c r="E48" s="1" t="s">
        <v>67</v>
      </c>
      <c r="F48" s="1" t="s">
        <v>43</v>
      </c>
      <c r="G48" s="1">
        <v>400</v>
      </c>
      <c r="I48" s="1">
        <v>100</v>
      </c>
      <c r="J48" s="1" t="s">
        <v>61</v>
      </c>
      <c r="K48" s="1">
        <v>0</v>
      </c>
      <c r="L48" s="1">
        <v>0</v>
      </c>
      <c r="M48" s="1">
        <v>0</v>
      </c>
      <c r="N48" s="1">
        <v>0</v>
      </c>
      <c r="P48" s="1">
        <v>80</v>
      </c>
      <c r="Q48"/>
      <c r="R48">
        <f t="shared" si="7"/>
        <v>0</v>
      </c>
      <c r="T48"/>
      <c r="U48"/>
      <c r="V48"/>
      <c r="W48"/>
      <c r="X48"/>
      <c r="Y48"/>
      <c r="Z48"/>
      <c r="AB48"/>
      <c r="AC48"/>
      <c r="AD48"/>
    </row>
    <row r="49" s="1" customFormat="1" ht="34" spans="1:30">
      <c r="A49"/>
      <c r="B49" s="1" t="s">
        <v>188</v>
      </c>
      <c r="C49" s="1" t="s">
        <v>189</v>
      </c>
      <c r="D49" s="10" t="s">
        <v>190</v>
      </c>
      <c r="E49" s="1" t="s">
        <v>48</v>
      </c>
      <c r="F49" s="1" t="s">
        <v>43</v>
      </c>
      <c r="G49" s="1">
        <v>2</v>
      </c>
      <c r="I49" s="1">
        <v>100</v>
      </c>
      <c r="J49" s="1" t="s">
        <v>61</v>
      </c>
      <c r="K49" s="1">
        <v>0</v>
      </c>
      <c r="L49" s="1">
        <v>0</v>
      </c>
      <c r="M49" s="1">
        <v>0</v>
      </c>
      <c r="N49" s="1">
        <v>0</v>
      </c>
      <c r="P49" s="1">
        <v>40</v>
      </c>
      <c r="Q49"/>
      <c r="R49">
        <f t="shared" si="7"/>
        <v>0</v>
      </c>
      <c r="T49"/>
      <c r="U49"/>
      <c r="V49"/>
      <c r="W49"/>
      <c r="X49"/>
      <c r="Y49"/>
      <c r="Z49"/>
      <c r="AB49"/>
      <c r="AC49"/>
      <c r="AD49"/>
    </row>
    <row r="50" s="1" customFormat="1" ht="34" spans="1:30">
      <c r="A50"/>
      <c r="B50" s="1" t="s">
        <v>191</v>
      </c>
      <c r="C50" s="1" t="s">
        <v>192</v>
      </c>
      <c r="D50" s="10" t="s">
        <v>193</v>
      </c>
      <c r="E50" s="1" t="s">
        <v>48</v>
      </c>
      <c r="F50" s="1" t="s">
        <v>43</v>
      </c>
      <c r="G50" s="1">
        <v>100</v>
      </c>
      <c r="I50" s="1">
        <v>100</v>
      </c>
      <c r="J50" s="1" t="s">
        <v>61</v>
      </c>
      <c r="K50" s="1">
        <v>0</v>
      </c>
      <c r="L50" s="1">
        <v>0</v>
      </c>
      <c r="M50" s="1">
        <v>0</v>
      </c>
      <c r="N50" s="1">
        <v>0</v>
      </c>
      <c r="P50" s="1">
        <v>40</v>
      </c>
      <c r="Q50"/>
      <c r="R50">
        <f t="shared" si="7"/>
        <v>0</v>
      </c>
      <c r="T50"/>
      <c r="U50"/>
      <c r="V50"/>
      <c r="W50"/>
      <c r="X50"/>
      <c r="Y50"/>
      <c r="Z50"/>
      <c r="AB50"/>
      <c r="AC50"/>
      <c r="AD50"/>
    </row>
    <row r="51" s="1" customFormat="1" ht="34" spans="1:30">
      <c r="A51"/>
      <c r="B51" s="1" t="s">
        <v>194</v>
      </c>
      <c r="C51" s="1" t="s">
        <v>195</v>
      </c>
      <c r="D51" s="10" t="s">
        <v>196</v>
      </c>
      <c r="E51" s="1" t="s">
        <v>48</v>
      </c>
      <c r="F51" s="1" t="s">
        <v>43</v>
      </c>
      <c r="G51" s="1">
        <v>2</v>
      </c>
      <c r="I51" s="1">
        <v>100</v>
      </c>
      <c r="J51" s="1" t="s">
        <v>61</v>
      </c>
      <c r="K51" s="1">
        <v>0</v>
      </c>
      <c r="L51" s="1">
        <v>0</v>
      </c>
      <c r="M51" s="1">
        <v>0</v>
      </c>
      <c r="N51" s="1">
        <v>0</v>
      </c>
      <c r="P51" s="1">
        <v>40</v>
      </c>
      <c r="Q51"/>
      <c r="R51">
        <f t="shared" si="7"/>
        <v>0</v>
      </c>
      <c r="T51"/>
      <c r="U51"/>
      <c r="V51"/>
      <c r="W51"/>
      <c r="X51"/>
      <c r="Y51"/>
      <c r="Z51"/>
      <c r="AB51"/>
      <c r="AC51"/>
      <c r="AD51"/>
    </row>
    <row r="52" s="1" customFormat="1" ht="17" spans="1:30">
      <c r="A52"/>
      <c r="B52" s="1" t="s">
        <v>197</v>
      </c>
      <c r="C52" s="1" t="s">
        <v>198</v>
      </c>
      <c r="D52" s="10" t="s">
        <v>199</v>
      </c>
      <c r="E52" s="1" t="s">
        <v>200</v>
      </c>
      <c r="F52" s="1" t="s">
        <v>43</v>
      </c>
      <c r="G52" s="1">
        <v>1</v>
      </c>
      <c r="I52" s="1">
        <v>10</v>
      </c>
      <c r="J52" s="1" t="s">
        <v>201</v>
      </c>
      <c r="K52" s="1">
        <v>0</v>
      </c>
      <c r="L52" s="1">
        <v>0</v>
      </c>
      <c r="M52" s="1">
        <v>0</v>
      </c>
      <c r="N52" s="1">
        <v>0</v>
      </c>
      <c r="P52" s="1">
        <v>240</v>
      </c>
      <c r="Q52"/>
      <c r="R52">
        <f t="shared" si="7"/>
        <v>0</v>
      </c>
      <c r="T52"/>
      <c r="U52"/>
      <c r="V52"/>
      <c r="W52"/>
      <c r="X52"/>
      <c r="Y52"/>
      <c r="Z52"/>
      <c r="AB52"/>
      <c r="AC52"/>
      <c r="AD52"/>
    </row>
    <row r="53" s="1" customFormat="1" ht="34" spans="1:30">
      <c r="A53"/>
      <c r="B53" s="1" t="s">
        <v>202</v>
      </c>
      <c r="C53" s="1" t="s">
        <v>203</v>
      </c>
      <c r="D53" s="10" t="s">
        <v>204</v>
      </c>
      <c r="E53" s="1" t="s">
        <v>48</v>
      </c>
      <c r="F53" s="1" t="s">
        <v>43</v>
      </c>
      <c r="G53" s="1">
        <v>3</v>
      </c>
      <c r="I53" s="1">
        <v>100</v>
      </c>
      <c r="J53" s="1" t="s">
        <v>61</v>
      </c>
      <c r="K53" s="1">
        <v>0</v>
      </c>
      <c r="L53" s="1">
        <v>0</v>
      </c>
      <c r="M53" s="1">
        <v>0</v>
      </c>
      <c r="N53" s="1">
        <v>0</v>
      </c>
      <c r="P53" s="1">
        <v>40</v>
      </c>
      <c r="Q53"/>
      <c r="R53">
        <f t="shared" si="7"/>
        <v>0</v>
      </c>
      <c r="T53"/>
      <c r="U53"/>
      <c r="V53"/>
      <c r="W53"/>
      <c r="X53"/>
      <c r="Y53"/>
      <c r="Z53"/>
      <c r="AB53"/>
      <c r="AC53"/>
      <c r="AD53"/>
    </row>
    <row r="54" s="1" customFormat="1" ht="34" spans="1:30">
      <c r="A54"/>
      <c r="B54" s="1" t="s">
        <v>205</v>
      </c>
      <c r="C54" s="1" t="s">
        <v>206</v>
      </c>
      <c r="D54" s="10" t="s">
        <v>207</v>
      </c>
      <c r="E54" s="1" t="s">
        <v>42</v>
      </c>
      <c r="F54" s="1" t="s">
        <v>43</v>
      </c>
      <c r="G54" s="1">
        <v>3</v>
      </c>
      <c r="I54" s="1">
        <v>30</v>
      </c>
      <c r="J54" s="1" t="s">
        <v>44</v>
      </c>
      <c r="K54" s="1">
        <v>0</v>
      </c>
      <c r="L54" s="1">
        <v>0</v>
      </c>
      <c r="M54" s="1">
        <v>0</v>
      </c>
      <c r="N54" s="1">
        <v>0</v>
      </c>
      <c r="P54" s="1">
        <v>150</v>
      </c>
      <c r="Q54"/>
      <c r="R54">
        <f t="shared" si="7"/>
        <v>0</v>
      </c>
      <c r="T54"/>
      <c r="U54"/>
      <c r="V54"/>
      <c r="W54"/>
      <c r="X54"/>
      <c r="Y54"/>
      <c r="Z54"/>
      <c r="AB54"/>
      <c r="AC54"/>
      <c r="AD54"/>
    </row>
    <row r="55" s="1" customFormat="1" ht="17" spans="1:30">
      <c r="A55"/>
      <c r="B55" s="1" t="s">
        <v>208</v>
      </c>
      <c r="C55" s="1" t="s">
        <v>209</v>
      </c>
      <c r="D55" s="10" t="s">
        <v>210</v>
      </c>
      <c r="E55" s="1" t="s">
        <v>42</v>
      </c>
      <c r="F55" s="1" t="s">
        <v>43</v>
      </c>
      <c r="G55" s="1">
        <v>0.4</v>
      </c>
      <c r="I55" s="1">
        <v>30</v>
      </c>
      <c r="J55" s="1" t="s">
        <v>44</v>
      </c>
      <c r="K55" s="1">
        <v>0</v>
      </c>
      <c r="L55" s="1">
        <v>0</v>
      </c>
      <c r="M55" s="1">
        <v>0</v>
      </c>
      <c r="N55" s="1">
        <v>0</v>
      </c>
      <c r="P55" s="1">
        <v>150</v>
      </c>
      <c r="Q55"/>
      <c r="R55">
        <f t="shared" si="7"/>
        <v>0</v>
      </c>
      <c r="T55"/>
      <c r="U55"/>
      <c r="V55"/>
      <c r="W55"/>
      <c r="X55"/>
      <c r="Y55"/>
      <c r="Z55"/>
      <c r="AB55"/>
      <c r="AC55"/>
      <c r="AD55"/>
    </row>
    <row r="56" s="1" customFormat="1" ht="17" spans="1:30">
      <c r="A56"/>
      <c r="B56" s="1" t="s">
        <v>211</v>
      </c>
      <c r="C56" s="1" t="s">
        <v>212</v>
      </c>
      <c r="D56" s="10" t="s">
        <v>213</v>
      </c>
      <c r="E56" s="1" t="s">
        <v>48</v>
      </c>
      <c r="F56" s="1" t="s">
        <v>43</v>
      </c>
      <c r="G56" s="1">
        <v>0.4</v>
      </c>
      <c r="I56" s="1">
        <v>300</v>
      </c>
      <c r="J56" s="1" t="s">
        <v>50</v>
      </c>
      <c r="K56" s="1">
        <v>0</v>
      </c>
      <c r="L56" s="1">
        <v>0</v>
      </c>
      <c r="M56" s="1">
        <v>0</v>
      </c>
      <c r="N56" s="1">
        <v>0</v>
      </c>
      <c r="P56" s="1">
        <v>40</v>
      </c>
      <c r="Q56"/>
      <c r="R56">
        <f t="shared" si="7"/>
        <v>0</v>
      </c>
      <c r="T56"/>
      <c r="U56"/>
      <c r="V56"/>
      <c r="W56"/>
      <c r="X56"/>
      <c r="Y56"/>
      <c r="Z56"/>
      <c r="AB56"/>
      <c r="AC56"/>
      <c r="AD56"/>
    </row>
    <row r="57" s="1" customFormat="1" ht="17" spans="1:30">
      <c r="A57"/>
      <c r="B57" s="1" t="s">
        <v>214</v>
      </c>
      <c r="C57" s="1" t="s">
        <v>215</v>
      </c>
      <c r="D57" s="10" t="s">
        <v>216</v>
      </c>
      <c r="E57" s="1" t="s">
        <v>48</v>
      </c>
      <c r="F57" s="1" t="s">
        <v>43</v>
      </c>
      <c r="G57" s="1">
        <v>1</v>
      </c>
      <c r="I57" s="1">
        <v>100</v>
      </c>
      <c r="J57" s="1" t="s">
        <v>61</v>
      </c>
      <c r="K57" s="1">
        <v>0</v>
      </c>
      <c r="L57" s="1">
        <v>0</v>
      </c>
      <c r="M57" s="1">
        <v>0</v>
      </c>
      <c r="N57" s="1">
        <v>0</v>
      </c>
      <c r="P57" s="1">
        <v>40</v>
      </c>
      <c r="Q57"/>
      <c r="R57"/>
      <c r="T57"/>
      <c r="U57"/>
      <c r="V57"/>
      <c r="W57"/>
      <c r="X57"/>
      <c r="Y57"/>
      <c r="Z57"/>
      <c r="AB57"/>
      <c r="AC57"/>
      <c r="AD57"/>
    </row>
    <row r="58" s="1" customFormat="1" ht="17" spans="1:30">
      <c r="A58"/>
      <c r="B58" s="1" t="s">
        <v>217</v>
      </c>
      <c r="C58" s="1" t="s">
        <v>218</v>
      </c>
      <c r="D58" s="10" t="s">
        <v>219</v>
      </c>
      <c r="E58" s="1" t="s">
        <v>67</v>
      </c>
      <c r="F58" s="1" t="s">
        <v>43</v>
      </c>
      <c r="G58" s="1">
        <v>0.3</v>
      </c>
      <c r="I58" s="1">
        <v>100</v>
      </c>
      <c r="J58" s="1" t="s">
        <v>61</v>
      </c>
      <c r="K58" s="1">
        <v>0</v>
      </c>
      <c r="L58" s="1">
        <v>0</v>
      </c>
      <c r="M58" s="1">
        <v>0</v>
      </c>
      <c r="N58" s="1">
        <v>0</v>
      </c>
      <c r="P58" s="1">
        <v>80</v>
      </c>
      <c r="Q58"/>
      <c r="R58"/>
      <c r="T58"/>
      <c r="U58"/>
      <c r="V58"/>
      <c r="W58"/>
      <c r="X58"/>
      <c r="Y58"/>
      <c r="Z58"/>
      <c r="AB58"/>
      <c r="AC58"/>
      <c r="AD58"/>
    </row>
    <row r="59" s="1" customFormat="1" ht="17" spans="1:30">
      <c r="A59"/>
      <c r="B59" s="1" t="s">
        <v>220</v>
      </c>
      <c r="C59" s="1" t="s">
        <v>221</v>
      </c>
      <c r="D59" s="10" t="s">
        <v>222</v>
      </c>
      <c r="E59" s="1" t="s">
        <v>67</v>
      </c>
      <c r="F59" s="1" t="s">
        <v>43</v>
      </c>
      <c r="G59" s="1">
        <v>0</v>
      </c>
      <c r="I59" s="1">
        <v>100</v>
      </c>
      <c r="J59" s="1" t="s">
        <v>61</v>
      </c>
      <c r="K59" s="1">
        <v>0</v>
      </c>
      <c r="L59" s="1">
        <v>10</v>
      </c>
      <c r="M59" s="1">
        <v>0</v>
      </c>
      <c r="N59" s="1">
        <v>0</v>
      </c>
      <c r="P59" s="1">
        <v>80</v>
      </c>
      <c r="Q59"/>
      <c r="R59"/>
      <c r="T59"/>
      <c r="U59"/>
      <c r="V59"/>
      <c r="W59"/>
      <c r="X59"/>
      <c r="Y59"/>
      <c r="Z59"/>
      <c r="AB59"/>
      <c r="AC59"/>
      <c r="AD59"/>
    </row>
    <row r="60" s="1" customFormat="1" ht="17" spans="1:30">
      <c r="A60"/>
      <c r="B60" s="1" t="s">
        <v>223</v>
      </c>
      <c r="C60" s="1" t="s">
        <v>224</v>
      </c>
      <c r="D60" s="10" t="s">
        <v>225</v>
      </c>
      <c r="E60" s="1" t="s">
        <v>67</v>
      </c>
      <c r="F60" s="1" t="s">
        <v>43</v>
      </c>
      <c r="G60" s="1">
        <v>0</v>
      </c>
      <c r="I60" s="1">
        <v>100</v>
      </c>
      <c r="J60" s="1" t="s">
        <v>61</v>
      </c>
      <c r="K60" s="1">
        <v>0</v>
      </c>
      <c r="L60" s="1">
        <v>0</v>
      </c>
      <c r="M60" s="1">
        <v>0</v>
      </c>
      <c r="N60" s="1">
        <v>10</v>
      </c>
      <c r="P60" s="1">
        <v>80</v>
      </c>
      <c r="Q60"/>
      <c r="R60"/>
      <c r="T60"/>
      <c r="U60"/>
      <c r="V60"/>
      <c r="W60"/>
      <c r="X60"/>
      <c r="Y60"/>
      <c r="Z60"/>
      <c r="AB60"/>
      <c r="AC60"/>
      <c r="AD60"/>
    </row>
    <row r="61" s="1" customFormat="1" ht="17" spans="1:30">
      <c r="A61"/>
      <c r="B61" s="1" t="s">
        <v>226</v>
      </c>
      <c r="C61" s="1" t="s">
        <v>227</v>
      </c>
      <c r="D61" s="10" t="s">
        <v>228</v>
      </c>
      <c r="E61" s="1" t="s">
        <v>67</v>
      </c>
      <c r="F61" s="1" t="s">
        <v>43</v>
      </c>
      <c r="G61" s="1">
        <v>0</v>
      </c>
      <c r="I61" s="1">
        <v>100</v>
      </c>
      <c r="J61" s="1" t="s">
        <v>61</v>
      </c>
      <c r="K61" s="1">
        <v>0</v>
      </c>
      <c r="L61" s="1">
        <v>0</v>
      </c>
      <c r="M61" s="1">
        <v>10</v>
      </c>
      <c r="N61" s="1">
        <v>0</v>
      </c>
      <c r="P61" s="1">
        <v>80</v>
      </c>
      <c r="Q61"/>
      <c r="R61"/>
      <c r="T61"/>
      <c r="U61"/>
      <c r="V61"/>
      <c r="W61"/>
      <c r="X61"/>
      <c r="Y61"/>
      <c r="Z61"/>
      <c r="AB61"/>
      <c r="AC61"/>
      <c r="AD61"/>
    </row>
    <row r="62" s="1" customFormat="1" ht="34" spans="1:30">
      <c r="A62"/>
      <c r="B62" s="1" t="s">
        <v>229</v>
      </c>
      <c r="C62" s="1" t="s">
        <v>230</v>
      </c>
      <c r="D62" s="10" t="s">
        <v>231</v>
      </c>
      <c r="E62" s="1" t="s">
        <v>48</v>
      </c>
      <c r="F62" s="1" t="s">
        <v>43</v>
      </c>
      <c r="G62" s="1">
        <v>15</v>
      </c>
      <c r="I62" s="1">
        <v>300</v>
      </c>
      <c r="J62" s="1" t="s">
        <v>50</v>
      </c>
      <c r="K62" s="1">
        <v>0</v>
      </c>
      <c r="L62" s="1">
        <v>0</v>
      </c>
      <c r="M62" s="1">
        <v>0</v>
      </c>
      <c r="N62" s="1">
        <v>0</v>
      </c>
      <c r="P62" s="1">
        <v>80</v>
      </c>
      <c r="Q62"/>
      <c r="R62">
        <f t="shared" ref="R62:R75" si="8">IFERROR(VLOOKUP(E62,$T$7:$AB$12,9,FALSE),0)</f>
        <v>0</v>
      </c>
      <c r="T62"/>
      <c r="U62"/>
      <c r="V62"/>
      <c r="W62"/>
      <c r="X62"/>
      <c r="Y62"/>
      <c r="Z62"/>
      <c r="AB62"/>
      <c r="AC62"/>
      <c r="AD62"/>
    </row>
    <row r="63" s="1" customFormat="1" ht="17" spans="1:30">
      <c r="A63"/>
      <c r="B63" s="1" t="s">
        <v>232</v>
      </c>
      <c r="C63" s="1" t="s">
        <v>233</v>
      </c>
      <c r="D63" s="10" t="s">
        <v>234</v>
      </c>
      <c r="E63" s="1" t="s">
        <v>48</v>
      </c>
      <c r="F63" s="1" t="s">
        <v>43</v>
      </c>
      <c r="G63" s="1">
        <v>0</v>
      </c>
      <c r="I63" s="1">
        <v>30</v>
      </c>
      <c r="J63" s="1" t="s">
        <v>44</v>
      </c>
      <c r="K63" s="1">
        <v>0</v>
      </c>
      <c r="L63" s="1">
        <v>0</v>
      </c>
      <c r="M63" s="1">
        <v>0</v>
      </c>
      <c r="N63" s="1">
        <v>0</v>
      </c>
      <c r="P63" s="1">
        <v>40</v>
      </c>
      <c r="Q63"/>
      <c r="R63">
        <f t="shared" si="8"/>
        <v>0</v>
      </c>
      <c r="T63"/>
      <c r="U63"/>
      <c r="V63"/>
      <c r="W63"/>
      <c r="X63"/>
      <c r="Y63"/>
      <c r="Z63"/>
      <c r="AB63"/>
      <c r="AC63"/>
      <c r="AD63"/>
    </row>
    <row r="64" s="1" customFormat="1" ht="17" spans="1:30">
      <c r="A64"/>
      <c r="B64" s="1" t="s">
        <v>235</v>
      </c>
      <c r="C64" s="1" t="s">
        <v>236</v>
      </c>
      <c r="D64" s="10" t="s">
        <v>237</v>
      </c>
      <c r="E64" s="1" t="s">
        <v>48</v>
      </c>
      <c r="F64" s="1" t="s">
        <v>43</v>
      </c>
      <c r="G64" s="1">
        <v>0</v>
      </c>
      <c r="I64" s="1">
        <v>30</v>
      </c>
      <c r="J64" s="1" t="s">
        <v>44</v>
      </c>
      <c r="K64" s="1">
        <v>0</v>
      </c>
      <c r="L64" s="1">
        <v>0</v>
      </c>
      <c r="M64" s="1">
        <v>0</v>
      </c>
      <c r="N64" s="1">
        <v>0</v>
      </c>
      <c r="P64" s="1">
        <v>50</v>
      </c>
      <c r="Q64"/>
      <c r="R64"/>
      <c r="T64"/>
      <c r="U64"/>
      <c r="V64"/>
      <c r="W64"/>
      <c r="X64"/>
      <c r="Y64"/>
      <c r="Z64"/>
      <c r="AB64"/>
      <c r="AC64"/>
      <c r="AD64"/>
    </row>
    <row r="65" s="1" customFormat="1" ht="17" spans="1:30">
      <c r="A65"/>
      <c r="B65" s="1" t="s">
        <v>238</v>
      </c>
      <c r="C65" s="1" t="s">
        <v>239</v>
      </c>
      <c r="D65" s="10" t="s">
        <v>240</v>
      </c>
      <c r="E65" s="1" t="s">
        <v>48</v>
      </c>
      <c r="F65" s="1" t="s">
        <v>43</v>
      </c>
      <c r="G65" s="1">
        <v>0</v>
      </c>
      <c r="I65" s="1">
        <v>30</v>
      </c>
      <c r="J65" s="1" t="s">
        <v>44</v>
      </c>
      <c r="K65" s="1">
        <v>0</v>
      </c>
      <c r="L65" s="1">
        <v>0</v>
      </c>
      <c r="M65" s="1">
        <v>0</v>
      </c>
      <c r="N65" s="1">
        <v>0</v>
      </c>
      <c r="P65" s="1">
        <v>50</v>
      </c>
      <c r="Q65"/>
      <c r="R65"/>
      <c r="T65"/>
      <c r="U65"/>
      <c r="V65"/>
      <c r="W65"/>
      <c r="X65"/>
      <c r="Y65"/>
      <c r="Z65"/>
      <c r="AB65"/>
      <c r="AC65"/>
      <c r="AD65"/>
    </row>
    <row r="66" s="1" customFormat="1" ht="34" spans="1:30">
      <c r="A66"/>
      <c r="B66" s="1" t="s">
        <v>241</v>
      </c>
      <c r="C66" s="1" t="s">
        <v>242</v>
      </c>
      <c r="D66" s="10" t="s">
        <v>243</v>
      </c>
      <c r="E66" s="1" t="s">
        <v>67</v>
      </c>
      <c r="F66" s="1" t="s">
        <v>43</v>
      </c>
      <c r="G66" s="1">
        <v>1</v>
      </c>
      <c r="I66" s="1">
        <v>100</v>
      </c>
      <c r="J66" s="1" t="s">
        <v>61</v>
      </c>
      <c r="K66" s="1">
        <v>0</v>
      </c>
      <c r="L66" s="1">
        <v>0</v>
      </c>
      <c r="M66" s="1">
        <v>0</v>
      </c>
      <c r="N66" s="1">
        <v>0</v>
      </c>
      <c r="P66" s="1">
        <v>80</v>
      </c>
      <c r="Q66"/>
      <c r="R66">
        <f t="shared" si="8"/>
        <v>0</v>
      </c>
      <c r="T66"/>
      <c r="U66"/>
      <c r="V66"/>
      <c r="W66"/>
      <c r="X66"/>
      <c r="Y66"/>
      <c r="Z66"/>
      <c r="AB66"/>
      <c r="AC66"/>
      <c r="AD66"/>
    </row>
    <row r="67" s="1" customFormat="1" ht="34" spans="1:30">
      <c r="A67"/>
      <c r="B67" s="1" t="s">
        <v>244</v>
      </c>
      <c r="C67" s="1" t="s">
        <v>245</v>
      </c>
      <c r="D67" s="10" t="s">
        <v>246</v>
      </c>
      <c r="E67" s="1" t="s">
        <v>67</v>
      </c>
      <c r="F67" s="1" t="s">
        <v>43</v>
      </c>
      <c r="G67" s="1">
        <v>0</v>
      </c>
      <c r="H67" s="1" t="s">
        <v>247</v>
      </c>
      <c r="I67" s="1">
        <v>100</v>
      </c>
      <c r="J67" s="1" t="s">
        <v>61</v>
      </c>
      <c r="K67" s="1">
        <v>0</v>
      </c>
      <c r="L67" s="1">
        <v>0</v>
      </c>
      <c r="M67" s="1">
        <v>0</v>
      </c>
      <c r="N67" s="1">
        <v>0</v>
      </c>
      <c r="P67" s="1">
        <v>80</v>
      </c>
      <c r="Q67"/>
      <c r="R67">
        <f t="shared" si="8"/>
        <v>0</v>
      </c>
      <c r="T67"/>
      <c r="U67"/>
      <c r="V67"/>
      <c r="W67"/>
      <c r="X67"/>
      <c r="Y67"/>
      <c r="Z67"/>
      <c r="AB67"/>
      <c r="AC67"/>
      <c r="AD67"/>
    </row>
    <row r="68" s="1" customFormat="1" ht="34" spans="1:30">
      <c r="A68"/>
      <c r="B68" s="1" t="s">
        <v>248</v>
      </c>
      <c r="C68" s="1" t="s">
        <v>249</v>
      </c>
      <c r="D68" s="10" t="s">
        <v>250</v>
      </c>
      <c r="E68" s="1" t="s">
        <v>42</v>
      </c>
      <c r="F68" s="1" t="s">
        <v>43</v>
      </c>
      <c r="G68" s="1">
        <v>0</v>
      </c>
      <c r="H68" s="1" t="s">
        <v>247</v>
      </c>
      <c r="I68" s="1">
        <v>100</v>
      </c>
      <c r="J68" s="1" t="s">
        <v>61</v>
      </c>
      <c r="K68" s="1">
        <v>0</v>
      </c>
      <c r="L68" s="1">
        <v>0</v>
      </c>
      <c r="M68" s="1">
        <v>0</v>
      </c>
      <c r="N68" s="1">
        <v>0</v>
      </c>
      <c r="P68" s="1">
        <v>80</v>
      </c>
      <c r="Q68"/>
      <c r="R68">
        <f t="shared" si="8"/>
        <v>0</v>
      </c>
      <c r="T68"/>
      <c r="U68"/>
      <c r="V68"/>
      <c r="W68"/>
      <c r="X68"/>
      <c r="Y68"/>
      <c r="Z68"/>
      <c r="AB68"/>
      <c r="AC68"/>
      <c r="AD68"/>
    </row>
    <row r="69" s="1" customFormat="1" ht="34" spans="1:30">
      <c r="A69"/>
      <c r="B69" s="1" t="s">
        <v>251</v>
      </c>
      <c r="C69" s="1" t="s">
        <v>252</v>
      </c>
      <c r="D69" s="10" t="s">
        <v>253</v>
      </c>
      <c r="E69" s="1" t="s">
        <v>48</v>
      </c>
      <c r="F69" s="1" t="s">
        <v>43</v>
      </c>
      <c r="G69" s="1">
        <v>3</v>
      </c>
      <c r="I69" s="1">
        <v>100</v>
      </c>
      <c r="J69" s="1" t="s">
        <v>61</v>
      </c>
      <c r="K69" s="1">
        <v>0</v>
      </c>
      <c r="L69" s="1">
        <v>0</v>
      </c>
      <c r="M69" s="1">
        <v>0</v>
      </c>
      <c r="N69" s="1">
        <v>0</v>
      </c>
      <c r="P69" s="1">
        <v>40</v>
      </c>
      <c r="Q69"/>
      <c r="R69">
        <f t="shared" si="8"/>
        <v>0</v>
      </c>
      <c r="T69"/>
      <c r="U69"/>
      <c r="V69"/>
      <c r="W69"/>
      <c r="X69"/>
      <c r="Y69"/>
      <c r="Z69"/>
      <c r="AB69"/>
      <c r="AC69"/>
      <c r="AD69"/>
    </row>
    <row r="70" s="1" customFormat="1" ht="34" spans="1:30">
      <c r="A70"/>
      <c r="B70" s="1" t="s">
        <v>254</v>
      </c>
      <c r="C70" s="1" t="s">
        <v>255</v>
      </c>
      <c r="D70" s="10" t="s">
        <v>256</v>
      </c>
      <c r="E70" s="1" t="s">
        <v>48</v>
      </c>
      <c r="F70" s="1" t="s">
        <v>43</v>
      </c>
      <c r="G70" s="1">
        <v>2</v>
      </c>
      <c r="I70" s="1">
        <v>300</v>
      </c>
      <c r="J70" s="1" t="s">
        <v>50</v>
      </c>
      <c r="K70" s="1">
        <v>0</v>
      </c>
      <c r="L70" s="1">
        <v>0</v>
      </c>
      <c r="M70" s="1">
        <v>0</v>
      </c>
      <c r="N70" s="1">
        <v>0</v>
      </c>
      <c r="P70" s="1">
        <v>40</v>
      </c>
      <c r="Q70"/>
      <c r="R70">
        <f t="shared" si="8"/>
        <v>0</v>
      </c>
      <c r="T70"/>
      <c r="U70"/>
      <c r="V70"/>
      <c r="W70"/>
      <c r="X70"/>
      <c r="Y70"/>
      <c r="Z70"/>
      <c r="AB70"/>
      <c r="AC70"/>
      <c r="AD70"/>
    </row>
    <row r="71" s="1" customFormat="1" ht="51" spans="1:30">
      <c r="A71"/>
      <c r="B71" s="1" t="s">
        <v>257</v>
      </c>
      <c r="C71" s="1" t="s">
        <v>258</v>
      </c>
      <c r="D71" s="10" t="s">
        <v>259</v>
      </c>
      <c r="E71" s="1" t="s">
        <v>67</v>
      </c>
      <c r="F71" s="1" t="s">
        <v>43</v>
      </c>
      <c r="G71" s="1">
        <v>40</v>
      </c>
      <c r="I71" s="1">
        <v>100</v>
      </c>
      <c r="J71" s="1" t="s">
        <v>61</v>
      </c>
      <c r="K71" s="1">
        <v>0</v>
      </c>
      <c r="L71" s="1">
        <v>0</v>
      </c>
      <c r="M71" s="1">
        <v>0</v>
      </c>
      <c r="N71" s="1">
        <v>0</v>
      </c>
      <c r="P71" s="1">
        <v>80</v>
      </c>
      <c r="Q71"/>
      <c r="R71">
        <f t="shared" si="8"/>
        <v>0</v>
      </c>
      <c r="T71"/>
      <c r="U71"/>
      <c r="V71"/>
      <c r="W71"/>
      <c r="X71"/>
      <c r="Y71"/>
      <c r="Z71"/>
      <c r="AB71"/>
      <c r="AC71"/>
      <c r="AD71"/>
    </row>
    <row r="72" s="1" customFormat="1" ht="17" spans="1:30">
      <c r="A72"/>
      <c r="B72" s="1" t="s">
        <v>260</v>
      </c>
      <c r="C72" s="1" t="s">
        <v>261</v>
      </c>
      <c r="D72" s="10" t="s">
        <v>262</v>
      </c>
      <c r="E72" s="1" t="s">
        <v>263</v>
      </c>
      <c r="F72" s="1" t="s">
        <v>263</v>
      </c>
      <c r="G72" s="1">
        <v>-0.2</v>
      </c>
      <c r="I72" s="1">
        <v>300</v>
      </c>
      <c r="J72" s="1" t="s">
        <v>50</v>
      </c>
      <c r="K72" s="1">
        <v>0</v>
      </c>
      <c r="L72" s="1">
        <v>0</v>
      </c>
      <c r="M72" s="1">
        <v>0</v>
      </c>
      <c r="N72" s="1">
        <v>0</v>
      </c>
      <c r="P72" s="1">
        <v>40</v>
      </c>
      <c r="Q72"/>
      <c r="R72">
        <f t="shared" si="8"/>
        <v>0</v>
      </c>
      <c r="T72"/>
      <c r="U72"/>
      <c r="V72"/>
      <c r="W72"/>
      <c r="X72"/>
      <c r="Y72"/>
      <c r="Z72"/>
      <c r="AB72"/>
      <c r="AC72"/>
      <c r="AD72"/>
    </row>
    <row r="73" s="1" customFormat="1" ht="17" spans="1:30">
      <c r="A73"/>
      <c r="B73" s="1" t="s">
        <v>264</v>
      </c>
      <c r="C73" s="1" t="s">
        <v>265</v>
      </c>
      <c r="D73" s="10" t="s">
        <v>266</v>
      </c>
      <c r="E73" s="1" t="s">
        <v>263</v>
      </c>
      <c r="F73" s="1" t="s">
        <v>263</v>
      </c>
      <c r="G73" s="1">
        <v>0.2</v>
      </c>
      <c r="I73" s="1">
        <v>300</v>
      </c>
      <c r="J73" s="1" t="s">
        <v>50</v>
      </c>
      <c r="K73" s="1">
        <v>0</v>
      </c>
      <c r="L73" s="1">
        <v>0</v>
      </c>
      <c r="M73" s="1">
        <v>0</v>
      </c>
      <c r="N73" s="1">
        <v>0</v>
      </c>
      <c r="P73" s="1">
        <v>40</v>
      </c>
      <c r="Q73"/>
      <c r="R73">
        <f t="shared" si="8"/>
        <v>0</v>
      </c>
      <c r="T73"/>
      <c r="U73"/>
      <c r="V73"/>
      <c r="W73"/>
      <c r="X73"/>
      <c r="Y73"/>
      <c r="Z73"/>
      <c r="AB73"/>
      <c r="AC73"/>
      <c r="AD73"/>
    </row>
    <row r="74" s="1" customFormat="1" ht="17" spans="1:30">
      <c r="A74"/>
      <c r="B74" s="1" t="s">
        <v>267</v>
      </c>
      <c r="C74" s="1" t="s">
        <v>268</v>
      </c>
      <c r="D74" s="10" t="s">
        <v>269</v>
      </c>
      <c r="E74" s="1" t="s">
        <v>263</v>
      </c>
      <c r="F74" s="1" t="s">
        <v>263</v>
      </c>
      <c r="G74" s="1">
        <v>0</v>
      </c>
      <c r="I74" s="1">
        <v>300</v>
      </c>
      <c r="J74" s="1" t="s">
        <v>50</v>
      </c>
      <c r="K74" s="1">
        <v>0</v>
      </c>
      <c r="L74" s="1">
        <v>0</v>
      </c>
      <c r="M74" s="1">
        <v>0</v>
      </c>
      <c r="N74" s="1">
        <v>0</v>
      </c>
      <c r="P74" s="1">
        <v>40</v>
      </c>
      <c r="Q74"/>
      <c r="R74">
        <f t="shared" si="8"/>
        <v>0</v>
      </c>
      <c r="T74"/>
      <c r="U74"/>
      <c r="V74"/>
      <c r="W74"/>
      <c r="X74"/>
      <c r="Y74"/>
      <c r="Z74"/>
      <c r="AB74"/>
      <c r="AC74"/>
      <c r="AD74"/>
    </row>
    <row r="75" s="1" customFormat="1" ht="17" spans="1:30">
      <c r="A75"/>
      <c r="B75" s="1" t="s">
        <v>270</v>
      </c>
      <c r="C75" s="1" t="s">
        <v>271</v>
      </c>
      <c r="D75" s="10" t="s">
        <v>272</v>
      </c>
      <c r="E75" s="1" t="s">
        <v>263</v>
      </c>
      <c r="F75" s="1" t="s">
        <v>263</v>
      </c>
      <c r="G75" s="1">
        <v>1</v>
      </c>
      <c r="I75" s="1">
        <v>300</v>
      </c>
      <c r="J75" s="1" t="s">
        <v>50</v>
      </c>
      <c r="K75" s="1">
        <v>0</v>
      </c>
      <c r="L75" s="1">
        <v>0</v>
      </c>
      <c r="M75" s="1">
        <v>0</v>
      </c>
      <c r="N75" s="1">
        <v>0</v>
      </c>
      <c r="P75" s="1">
        <v>40</v>
      </c>
      <c r="Q75"/>
      <c r="R75">
        <f t="shared" si="8"/>
        <v>0</v>
      </c>
      <c r="T75"/>
      <c r="U75"/>
      <c r="V75"/>
      <c r="W75"/>
      <c r="X75"/>
      <c r="Y75"/>
      <c r="Z75"/>
      <c r="AB75"/>
      <c r="AC75"/>
      <c r="AD75"/>
    </row>
    <row r="76" s="1" customFormat="1" ht="17" spans="1:30">
      <c r="A76"/>
      <c r="B76" s="1" t="s">
        <v>273</v>
      </c>
      <c r="C76" s="1" t="s">
        <v>274</v>
      </c>
      <c r="D76" s="10" t="s">
        <v>275</v>
      </c>
      <c r="E76" s="1" t="s">
        <v>263</v>
      </c>
      <c r="F76" s="1" t="s">
        <v>263</v>
      </c>
      <c r="G76" s="1">
        <v>1</v>
      </c>
      <c r="I76" s="1">
        <v>300</v>
      </c>
      <c r="J76" s="1" t="s">
        <v>50</v>
      </c>
      <c r="K76" s="1">
        <v>0</v>
      </c>
      <c r="L76" s="1">
        <v>0</v>
      </c>
      <c r="M76" s="1">
        <v>0</v>
      </c>
      <c r="N76" s="1">
        <v>0</v>
      </c>
      <c r="P76" s="1">
        <v>50</v>
      </c>
      <c r="Q76"/>
      <c r="R76"/>
      <c r="T76"/>
      <c r="U76"/>
      <c r="V76"/>
      <c r="W76"/>
      <c r="X76"/>
      <c r="Y76"/>
      <c r="Z76"/>
      <c r="AB76"/>
      <c r="AC76"/>
      <c r="AD76"/>
    </row>
    <row r="77" s="1" customFormat="1" ht="34" spans="1:30">
      <c r="A77"/>
      <c r="B77" s="1" t="s">
        <v>276</v>
      </c>
      <c r="C77" s="1" t="s">
        <v>277</v>
      </c>
      <c r="D77" s="10" t="s">
        <v>278</v>
      </c>
      <c r="E77" s="1" t="s">
        <v>263</v>
      </c>
      <c r="F77" s="1" t="s">
        <v>263</v>
      </c>
      <c r="G77" s="1">
        <v>-1</v>
      </c>
      <c r="I77" s="1">
        <v>300</v>
      </c>
      <c r="J77" s="1" t="s">
        <v>50</v>
      </c>
      <c r="K77" s="1">
        <v>0</v>
      </c>
      <c r="L77" s="1">
        <v>0</v>
      </c>
      <c r="M77" s="1">
        <v>0</v>
      </c>
      <c r="N77" s="1">
        <v>0</v>
      </c>
      <c r="P77" s="1">
        <v>40</v>
      </c>
      <c r="Q77"/>
      <c r="R77">
        <f t="shared" ref="R77:R81" si="9">IFERROR(VLOOKUP(E77,$T$7:$AB$12,9,FALSE),0)</f>
        <v>0</v>
      </c>
      <c r="T77"/>
      <c r="U77"/>
      <c r="V77"/>
      <c r="W77"/>
      <c r="X77"/>
      <c r="Y77"/>
      <c r="Z77"/>
      <c r="AB77"/>
      <c r="AC77"/>
      <c r="AD77"/>
    </row>
    <row r="78" s="1" customFormat="1" ht="17" spans="1:30">
      <c r="A78"/>
      <c r="B78" s="1" t="s">
        <v>279</v>
      </c>
      <c r="C78" s="1" t="s">
        <v>280</v>
      </c>
      <c r="D78" s="10" t="s">
        <v>281</v>
      </c>
      <c r="E78" s="1" t="s">
        <v>263</v>
      </c>
      <c r="F78" s="1" t="s">
        <v>263</v>
      </c>
      <c r="G78" s="1">
        <v>0.2</v>
      </c>
      <c r="I78" s="1">
        <v>300</v>
      </c>
      <c r="J78" s="1" t="s">
        <v>50</v>
      </c>
      <c r="K78" s="1">
        <v>0</v>
      </c>
      <c r="L78" s="1">
        <v>0</v>
      </c>
      <c r="M78" s="1">
        <v>0</v>
      </c>
      <c r="N78" s="1">
        <v>0</v>
      </c>
      <c r="P78" s="1">
        <v>40</v>
      </c>
      <c r="Q78"/>
      <c r="R78">
        <f t="shared" si="9"/>
        <v>0</v>
      </c>
      <c r="T78"/>
      <c r="U78"/>
      <c r="V78"/>
      <c r="W78"/>
      <c r="X78"/>
      <c r="Y78"/>
      <c r="Z78"/>
      <c r="AB78"/>
      <c r="AC78"/>
      <c r="AD78"/>
    </row>
    <row r="79" s="1" customFormat="1" ht="17" spans="1:30">
      <c r="A79"/>
      <c r="B79" s="1" t="s">
        <v>282</v>
      </c>
      <c r="C79" s="1" t="s">
        <v>283</v>
      </c>
      <c r="D79" s="10" t="s">
        <v>284</v>
      </c>
      <c r="E79" s="1" t="s">
        <v>263</v>
      </c>
      <c r="F79" s="1" t="s">
        <v>263</v>
      </c>
      <c r="G79" s="1">
        <v>0.2</v>
      </c>
      <c r="I79" s="1">
        <v>300</v>
      </c>
      <c r="J79" s="1" t="s">
        <v>50</v>
      </c>
      <c r="K79" s="1">
        <v>0</v>
      </c>
      <c r="L79" s="1">
        <v>0</v>
      </c>
      <c r="M79" s="1">
        <v>0</v>
      </c>
      <c r="N79" s="1">
        <v>0</v>
      </c>
      <c r="P79" s="1">
        <v>40</v>
      </c>
      <c r="Q79"/>
      <c r="R79">
        <f t="shared" si="9"/>
        <v>0</v>
      </c>
      <c r="T79"/>
      <c r="U79"/>
      <c r="V79"/>
      <c r="W79"/>
      <c r="X79"/>
      <c r="Y79"/>
      <c r="Z79"/>
      <c r="AB79"/>
      <c r="AC79"/>
      <c r="AD79"/>
    </row>
    <row r="80" s="1" customFormat="1" ht="17" spans="1:30">
      <c r="A80"/>
      <c r="B80" s="1" t="s">
        <v>285</v>
      </c>
      <c r="C80" s="1" t="s">
        <v>286</v>
      </c>
      <c r="D80" s="10" t="s">
        <v>287</v>
      </c>
      <c r="E80" s="1" t="s">
        <v>263</v>
      </c>
      <c r="F80" s="1" t="s">
        <v>263</v>
      </c>
      <c r="G80" s="1">
        <v>0.2</v>
      </c>
      <c r="I80" s="1">
        <v>300</v>
      </c>
      <c r="J80" s="1" t="s">
        <v>50</v>
      </c>
      <c r="K80" s="1">
        <v>0</v>
      </c>
      <c r="L80" s="1">
        <v>0</v>
      </c>
      <c r="M80" s="1">
        <v>0</v>
      </c>
      <c r="N80" s="1">
        <v>0</v>
      </c>
      <c r="P80" s="1">
        <v>40</v>
      </c>
      <c r="Q80"/>
      <c r="R80">
        <f t="shared" si="9"/>
        <v>0</v>
      </c>
      <c r="T80"/>
      <c r="U80"/>
      <c r="V80"/>
      <c r="W80"/>
      <c r="X80"/>
      <c r="Y80"/>
      <c r="Z80"/>
      <c r="AB80"/>
      <c r="AC80"/>
      <c r="AD80"/>
    </row>
    <row r="81" s="1" customFormat="1" ht="34" spans="1:30">
      <c r="A81"/>
      <c r="B81" s="1" t="s">
        <v>288</v>
      </c>
      <c r="C81" s="1" t="s">
        <v>289</v>
      </c>
      <c r="D81" s="10" t="s">
        <v>290</v>
      </c>
      <c r="E81" s="1" t="s">
        <v>263</v>
      </c>
      <c r="F81" s="1" t="s">
        <v>263</v>
      </c>
      <c r="G81" s="1">
        <v>0</v>
      </c>
      <c r="I81" s="1">
        <v>300</v>
      </c>
      <c r="J81" s="1" t="s">
        <v>50</v>
      </c>
      <c r="K81" s="1">
        <v>0</v>
      </c>
      <c r="L81" s="1">
        <v>0</v>
      </c>
      <c r="M81" s="1">
        <v>0</v>
      </c>
      <c r="N81" s="1">
        <v>0</v>
      </c>
      <c r="P81" s="1">
        <v>40</v>
      </c>
      <c r="Q81"/>
      <c r="R81">
        <f t="shared" si="9"/>
        <v>0</v>
      </c>
      <c r="T81"/>
      <c r="U81"/>
      <c r="V81"/>
      <c r="W81"/>
      <c r="X81"/>
      <c r="Y81"/>
      <c r="Z81"/>
      <c r="AB81"/>
      <c r="AC81"/>
      <c r="AD81"/>
    </row>
    <row r="82" s="1" customFormat="1" ht="51" spans="1:30">
      <c r="A82"/>
      <c r="B82" s="1" t="s">
        <v>291</v>
      </c>
      <c r="C82" s="1" t="s">
        <v>292</v>
      </c>
      <c r="D82" s="10" t="s">
        <v>293</v>
      </c>
      <c r="E82" s="1" t="s">
        <v>42</v>
      </c>
      <c r="F82" s="1" t="s">
        <v>43</v>
      </c>
      <c r="G82" s="1">
        <v>2</v>
      </c>
      <c r="H82" s="1" t="s">
        <v>294</v>
      </c>
      <c r="I82" s="1">
        <v>300</v>
      </c>
      <c r="J82" s="1" t="s">
        <v>50</v>
      </c>
      <c r="K82" s="1">
        <v>0</v>
      </c>
      <c r="L82" s="1">
        <v>0</v>
      </c>
      <c r="M82" s="1">
        <v>0</v>
      </c>
      <c r="N82" s="1">
        <v>0</v>
      </c>
      <c r="P82" s="1">
        <v>50</v>
      </c>
      <c r="Q82"/>
      <c r="R82"/>
      <c r="T82"/>
      <c r="U82"/>
      <c r="V82"/>
      <c r="W82"/>
      <c r="X82"/>
      <c r="Y82"/>
      <c r="Z82"/>
      <c r="AB82"/>
      <c r="AC82"/>
      <c r="AD82"/>
    </row>
    <row r="83" s="1" customFormat="1" ht="34" spans="1:30">
      <c r="A83"/>
      <c r="B83" s="1" t="s">
        <v>295</v>
      </c>
      <c r="C83" s="1" t="s">
        <v>296</v>
      </c>
      <c r="D83" s="10" t="s">
        <v>297</v>
      </c>
      <c r="E83" s="1" t="s">
        <v>42</v>
      </c>
      <c r="F83" s="1" t="s">
        <v>43</v>
      </c>
      <c r="G83" s="1">
        <v>0.3</v>
      </c>
      <c r="I83" s="1">
        <v>100</v>
      </c>
      <c r="J83" s="1" t="s">
        <v>61</v>
      </c>
      <c r="K83" s="1">
        <v>0</v>
      </c>
      <c r="L83" s="1">
        <v>0</v>
      </c>
      <c r="M83" s="1">
        <v>0</v>
      </c>
      <c r="N83" s="1">
        <v>0</v>
      </c>
      <c r="P83" s="1">
        <v>80</v>
      </c>
      <c r="Q83"/>
      <c r="R83"/>
      <c r="T83"/>
      <c r="U83"/>
      <c r="V83"/>
      <c r="W83"/>
      <c r="X83"/>
      <c r="Y83"/>
      <c r="Z83"/>
      <c r="AB83"/>
      <c r="AC83"/>
      <c r="AD83"/>
    </row>
    <row r="84" s="1" customFormat="1" ht="34" spans="1:30">
      <c r="A84"/>
      <c r="B84" s="1" t="s">
        <v>298</v>
      </c>
      <c r="C84" s="1" t="s">
        <v>299</v>
      </c>
      <c r="D84" s="10" t="s">
        <v>300</v>
      </c>
      <c r="E84" s="1" t="s">
        <v>200</v>
      </c>
      <c r="F84" s="1" t="s">
        <v>43</v>
      </c>
      <c r="G84" s="1">
        <v>2</v>
      </c>
      <c r="I84" s="1">
        <v>10</v>
      </c>
      <c r="J84" s="1" t="s">
        <v>201</v>
      </c>
      <c r="K84" s="1">
        <v>0</v>
      </c>
      <c r="L84" s="1">
        <v>0</v>
      </c>
      <c r="M84" s="1">
        <v>0</v>
      </c>
      <c r="N84" s="1">
        <v>0</v>
      </c>
      <c r="O84" s="1" t="s">
        <v>301</v>
      </c>
      <c r="P84" s="1">
        <v>240</v>
      </c>
      <c r="Q84"/>
      <c r="R84">
        <f t="shared" ref="R84:R93" si="10">IFERROR(VLOOKUP(E84,$T$7:$AB$12,9,FALSE),0)</f>
        <v>0</v>
      </c>
      <c r="T84"/>
      <c r="U84"/>
      <c r="V84"/>
      <c r="W84"/>
      <c r="X84"/>
      <c r="Y84"/>
      <c r="Z84"/>
      <c r="AB84"/>
      <c r="AC84"/>
      <c r="AD84"/>
    </row>
    <row r="85" s="1" customFormat="1" ht="34" spans="1:30">
      <c r="A85"/>
      <c r="B85" s="1" t="s">
        <v>302</v>
      </c>
      <c r="C85" s="1" t="s">
        <v>303</v>
      </c>
      <c r="D85" s="10" t="s">
        <v>304</v>
      </c>
      <c r="E85" s="1" t="s">
        <v>42</v>
      </c>
      <c r="F85" s="1" t="s">
        <v>43</v>
      </c>
      <c r="G85" s="1">
        <v>0.5</v>
      </c>
      <c r="I85" s="1">
        <v>10</v>
      </c>
      <c r="J85" s="1" t="s">
        <v>201</v>
      </c>
      <c r="K85" s="1">
        <v>0</v>
      </c>
      <c r="L85" s="1">
        <v>0</v>
      </c>
      <c r="M85" s="1">
        <v>0</v>
      </c>
      <c r="N85" s="1">
        <v>0</v>
      </c>
      <c r="O85" s="1" t="s">
        <v>305</v>
      </c>
      <c r="P85" s="1">
        <v>150</v>
      </c>
      <c r="Q85"/>
      <c r="R85">
        <f t="shared" si="10"/>
        <v>0</v>
      </c>
      <c r="T85"/>
      <c r="U85"/>
      <c r="V85"/>
      <c r="W85"/>
      <c r="X85"/>
      <c r="Y85"/>
      <c r="Z85"/>
      <c r="AB85"/>
      <c r="AC85"/>
      <c r="AD85"/>
    </row>
    <row r="86" s="1" customFormat="1" ht="51" spans="1:30">
      <c r="A86"/>
      <c r="B86" s="1" t="s">
        <v>306</v>
      </c>
      <c r="C86" s="1" t="s">
        <v>307</v>
      </c>
      <c r="D86" s="10" t="s">
        <v>308</v>
      </c>
      <c r="E86" s="1" t="s">
        <v>42</v>
      </c>
      <c r="F86" s="1" t="s">
        <v>43</v>
      </c>
      <c r="G86" s="1">
        <v>0.5</v>
      </c>
      <c r="I86" s="1">
        <v>10</v>
      </c>
      <c r="J86" s="1" t="s">
        <v>201</v>
      </c>
      <c r="K86" s="1">
        <v>0</v>
      </c>
      <c r="L86" s="1">
        <v>0</v>
      </c>
      <c r="M86" s="1">
        <v>0</v>
      </c>
      <c r="N86" s="1">
        <v>0</v>
      </c>
      <c r="O86" s="1" t="s">
        <v>305</v>
      </c>
      <c r="P86" s="1">
        <v>150</v>
      </c>
      <c r="Q86"/>
      <c r="R86">
        <f t="shared" si="10"/>
        <v>0</v>
      </c>
      <c r="T86"/>
      <c r="U86"/>
      <c r="V86"/>
      <c r="W86"/>
      <c r="X86"/>
      <c r="Y86"/>
      <c r="Z86"/>
      <c r="AB86"/>
      <c r="AC86"/>
      <c r="AD86"/>
    </row>
    <row r="87" s="1" customFormat="1" ht="51" spans="1:30">
      <c r="A87"/>
      <c r="B87" s="1" t="s">
        <v>309</v>
      </c>
      <c r="C87" s="1" t="s">
        <v>310</v>
      </c>
      <c r="D87" s="10" t="s">
        <v>311</v>
      </c>
      <c r="E87" s="1" t="s">
        <v>42</v>
      </c>
      <c r="F87" s="1" t="s">
        <v>43</v>
      </c>
      <c r="G87" s="1">
        <v>1</v>
      </c>
      <c r="I87" s="1">
        <v>100</v>
      </c>
      <c r="J87" s="1" t="s">
        <v>61</v>
      </c>
      <c r="K87" s="1">
        <v>0</v>
      </c>
      <c r="L87" s="1">
        <v>0</v>
      </c>
      <c r="M87" s="1">
        <v>0</v>
      </c>
      <c r="N87" s="1">
        <v>0</v>
      </c>
      <c r="P87" s="1">
        <v>150</v>
      </c>
      <c r="Q87"/>
      <c r="R87">
        <f t="shared" si="10"/>
        <v>0</v>
      </c>
      <c r="T87"/>
      <c r="U87"/>
      <c r="V87"/>
      <c r="W87"/>
      <c r="X87"/>
      <c r="Y87"/>
      <c r="Z87"/>
      <c r="AB87"/>
      <c r="AC87"/>
      <c r="AD87"/>
    </row>
    <row r="88" s="1" customFormat="1" ht="34" spans="1:30">
      <c r="A88"/>
      <c r="B88" s="1" t="s">
        <v>312</v>
      </c>
      <c r="C88" s="1" t="s">
        <v>313</v>
      </c>
      <c r="D88" s="10" t="s">
        <v>314</v>
      </c>
      <c r="E88" s="1" t="s">
        <v>48</v>
      </c>
      <c r="F88" s="1" t="s">
        <v>43</v>
      </c>
      <c r="G88" s="1">
        <v>15</v>
      </c>
      <c r="H88" s="1" t="s">
        <v>315</v>
      </c>
      <c r="I88" s="1">
        <v>100</v>
      </c>
      <c r="J88" s="1" t="s">
        <v>61</v>
      </c>
      <c r="K88" s="1">
        <v>0</v>
      </c>
      <c r="L88" s="1">
        <v>0</v>
      </c>
      <c r="M88" s="1">
        <v>0</v>
      </c>
      <c r="N88" s="1">
        <v>0</v>
      </c>
      <c r="O88" s="1" t="s">
        <v>305</v>
      </c>
      <c r="P88" s="1">
        <v>80</v>
      </c>
      <c r="Q88"/>
      <c r="R88">
        <f t="shared" si="10"/>
        <v>0</v>
      </c>
      <c r="T88"/>
      <c r="U88"/>
      <c r="V88"/>
      <c r="W88"/>
      <c r="X88"/>
      <c r="Y88"/>
      <c r="Z88"/>
      <c r="AB88"/>
      <c r="AC88"/>
      <c r="AD88"/>
    </row>
    <row r="89" s="1" customFormat="1" ht="34" spans="1:30">
      <c r="A89"/>
      <c r="B89" s="1" t="s">
        <v>316</v>
      </c>
      <c r="C89" s="1" t="s">
        <v>317</v>
      </c>
      <c r="D89" s="10" t="s">
        <v>318</v>
      </c>
      <c r="E89" s="1" t="s">
        <v>42</v>
      </c>
      <c r="F89" s="1" t="s">
        <v>43</v>
      </c>
      <c r="G89" s="1">
        <v>0.2</v>
      </c>
      <c r="I89" s="1">
        <v>10</v>
      </c>
      <c r="J89" s="1" t="s">
        <v>201</v>
      </c>
      <c r="K89" s="1">
        <v>0</v>
      </c>
      <c r="L89" s="1">
        <v>0</v>
      </c>
      <c r="M89" s="1">
        <v>0</v>
      </c>
      <c r="N89" s="1">
        <v>0</v>
      </c>
      <c r="O89" s="1" t="s">
        <v>319</v>
      </c>
      <c r="P89" s="1">
        <v>240</v>
      </c>
      <c r="Q89"/>
      <c r="R89">
        <f t="shared" si="10"/>
        <v>0</v>
      </c>
      <c r="T89"/>
      <c r="U89"/>
      <c r="V89"/>
      <c r="W89"/>
      <c r="X89"/>
      <c r="Y89"/>
      <c r="Z89"/>
      <c r="AB89"/>
      <c r="AC89"/>
      <c r="AD89"/>
    </row>
    <row r="90" s="1" customFormat="1" ht="34" spans="1:30">
      <c r="A90"/>
      <c r="B90" s="1" t="s">
        <v>320</v>
      </c>
      <c r="C90" s="1" t="s">
        <v>321</v>
      </c>
      <c r="D90" s="10" t="s">
        <v>322</v>
      </c>
      <c r="E90" s="1" t="s">
        <v>67</v>
      </c>
      <c r="F90" s="1" t="s">
        <v>43</v>
      </c>
      <c r="G90" s="1">
        <v>10</v>
      </c>
      <c r="I90" s="1">
        <v>100</v>
      </c>
      <c r="J90" s="1" t="s">
        <v>61</v>
      </c>
      <c r="K90" s="1">
        <v>0</v>
      </c>
      <c r="L90" s="1">
        <v>0</v>
      </c>
      <c r="M90" s="1">
        <v>0</v>
      </c>
      <c r="N90" s="1">
        <v>0</v>
      </c>
      <c r="O90" s="1" t="s">
        <v>319</v>
      </c>
      <c r="P90" s="1">
        <v>80</v>
      </c>
      <c r="Q90"/>
      <c r="R90">
        <f t="shared" si="10"/>
        <v>0</v>
      </c>
      <c r="T90"/>
      <c r="U90"/>
      <c r="V90"/>
      <c r="W90"/>
      <c r="X90"/>
      <c r="Y90"/>
      <c r="Z90"/>
      <c r="AB90"/>
      <c r="AC90"/>
      <c r="AD90"/>
    </row>
    <row r="91" s="1" customFormat="1" ht="34" spans="1:30">
      <c r="A91"/>
      <c r="B91" s="1" t="s">
        <v>323</v>
      </c>
      <c r="C91" s="1" t="s">
        <v>324</v>
      </c>
      <c r="D91" s="10" t="s">
        <v>325</v>
      </c>
      <c r="E91" s="1" t="s">
        <v>42</v>
      </c>
      <c r="F91" s="1" t="s">
        <v>43</v>
      </c>
      <c r="G91" s="1">
        <v>2</v>
      </c>
      <c r="I91" s="1">
        <v>30</v>
      </c>
      <c r="J91" s="1" t="s">
        <v>44</v>
      </c>
      <c r="K91" s="1">
        <v>0</v>
      </c>
      <c r="L91" s="1">
        <v>0</v>
      </c>
      <c r="M91" s="1">
        <v>0</v>
      </c>
      <c r="N91" s="1">
        <v>0</v>
      </c>
      <c r="O91" s="1" t="s">
        <v>319</v>
      </c>
      <c r="P91" s="1">
        <v>150</v>
      </c>
      <c r="Q91"/>
      <c r="R91">
        <f t="shared" si="10"/>
        <v>0</v>
      </c>
      <c r="T91"/>
      <c r="U91"/>
      <c r="V91"/>
      <c r="W91"/>
      <c r="X91"/>
      <c r="Y91"/>
      <c r="Z91"/>
      <c r="AB91"/>
      <c r="AC91"/>
      <c r="AD91"/>
    </row>
    <row r="92" s="1" customFormat="1" ht="34" spans="1:30">
      <c r="A92"/>
      <c r="B92" s="1" t="s">
        <v>326</v>
      </c>
      <c r="C92" s="1" t="s">
        <v>327</v>
      </c>
      <c r="D92" s="10" t="s">
        <v>328</v>
      </c>
      <c r="E92" s="1" t="s">
        <v>48</v>
      </c>
      <c r="F92" s="1" t="s">
        <v>43</v>
      </c>
      <c r="G92" s="1">
        <v>10</v>
      </c>
      <c r="H92" s="1" t="s">
        <v>329</v>
      </c>
      <c r="I92" s="1">
        <v>100</v>
      </c>
      <c r="J92" s="1" t="s">
        <v>61</v>
      </c>
      <c r="K92" s="1">
        <v>0</v>
      </c>
      <c r="L92" s="1">
        <v>0</v>
      </c>
      <c r="M92" s="1">
        <v>0</v>
      </c>
      <c r="N92" s="1">
        <v>0</v>
      </c>
      <c r="O92" s="1" t="s">
        <v>319</v>
      </c>
      <c r="P92" s="1">
        <v>80</v>
      </c>
      <c r="Q92"/>
      <c r="R92">
        <f t="shared" si="10"/>
        <v>0</v>
      </c>
      <c r="T92"/>
      <c r="U92"/>
      <c r="V92"/>
      <c r="W92"/>
      <c r="X92"/>
      <c r="Y92"/>
      <c r="Z92"/>
      <c r="AB92"/>
      <c r="AC92"/>
      <c r="AD92"/>
    </row>
    <row r="93" s="1" customFormat="1" ht="17" spans="1:30">
      <c r="A93"/>
      <c r="B93" s="1" t="s">
        <v>330</v>
      </c>
      <c r="C93" s="1" t="s">
        <v>331</v>
      </c>
      <c r="D93" s="10" t="s">
        <v>332</v>
      </c>
      <c r="E93" s="1" t="s">
        <v>67</v>
      </c>
      <c r="F93" s="1" t="s">
        <v>43</v>
      </c>
      <c r="G93" s="1">
        <v>20</v>
      </c>
      <c r="I93" s="1">
        <v>100</v>
      </c>
      <c r="J93" s="1" t="s">
        <v>61</v>
      </c>
      <c r="K93" s="1">
        <v>0</v>
      </c>
      <c r="L93" s="1">
        <v>0</v>
      </c>
      <c r="M93" s="1">
        <v>0</v>
      </c>
      <c r="N93" s="1">
        <v>0</v>
      </c>
      <c r="O93" s="1" t="s">
        <v>319</v>
      </c>
      <c r="P93" s="1">
        <v>80</v>
      </c>
      <c r="Q93"/>
      <c r="R93">
        <f t="shared" si="10"/>
        <v>0</v>
      </c>
      <c r="T93"/>
      <c r="U93"/>
      <c r="V93"/>
      <c r="W93"/>
      <c r="X93"/>
      <c r="Y93"/>
      <c r="Z93"/>
      <c r="AB93"/>
      <c r="AC93"/>
      <c r="AD93"/>
    </row>
    <row r="94" s="1" customFormat="1" ht="34" spans="1:30">
      <c r="A94"/>
      <c r="D94" s="10" t="s">
        <v>333</v>
      </c>
      <c r="E94" s="1" t="s">
        <v>200</v>
      </c>
      <c r="Q94"/>
      <c r="R94"/>
      <c r="T94"/>
      <c r="U94"/>
      <c r="V94"/>
      <c r="W94"/>
      <c r="X94"/>
      <c r="Y94"/>
      <c r="Z94"/>
      <c r="AB94"/>
      <c r="AC94"/>
      <c r="AD94"/>
    </row>
    <row r="95" s="13" customFormat="1" ht="51" spans="4:5">
      <c r="D95" s="14" t="s">
        <v>334</v>
      </c>
      <c r="E95" s="13" t="s">
        <v>48</v>
      </c>
    </row>
    <row r="96" s="13" customFormat="1" ht="51" spans="4:5">
      <c r="D96" s="14" t="s">
        <v>335</v>
      </c>
      <c r="E96" s="13" t="s">
        <v>67</v>
      </c>
    </row>
    <row r="97" s="13" customFormat="1" ht="51" spans="4:5">
      <c r="D97" s="14" t="s">
        <v>336</v>
      </c>
      <c r="E97" s="13" t="s">
        <v>67</v>
      </c>
    </row>
    <row r="98" s="13" customFormat="1" ht="51" spans="4:5">
      <c r="D98" s="14" t="s">
        <v>337</v>
      </c>
      <c r="E98" s="13" t="s">
        <v>42</v>
      </c>
    </row>
    <row r="99" s="13" customFormat="1" ht="51" spans="4:5">
      <c r="D99" s="14" t="s">
        <v>338</v>
      </c>
      <c r="E99" s="13" t="s">
        <v>67</v>
      </c>
    </row>
    <row r="100" s="13" customFormat="1" ht="51" spans="4:5">
      <c r="D100" s="14" t="s">
        <v>339</v>
      </c>
      <c r="E100" s="13" t="s">
        <v>67</v>
      </c>
    </row>
    <row r="101" s="13" customFormat="1" ht="51" spans="4:5">
      <c r="D101" s="14" t="s">
        <v>340</v>
      </c>
      <c r="E101" s="13" t="s">
        <v>42</v>
      </c>
    </row>
    <row r="102" s="13" customFormat="1" ht="51" spans="4:5">
      <c r="D102" s="14" t="s">
        <v>341</v>
      </c>
      <c r="E102" s="13" t="s">
        <v>42</v>
      </c>
    </row>
    <row r="103" s="13" customFormat="1" ht="51" spans="4:5">
      <c r="D103" s="14" t="s">
        <v>342</v>
      </c>
      <c r="E103" s="13" t="s">
        <v>67</v>
      </c>
    </row>
    <row r="104" s="1" customFormat="1" ht="51" spans="2:18">
      <c r="B104" s="13"/>
      <c r="C104" s="13"/>
      <c r="D104" s="14" t="s">
        <v>343</v>
      </c>
      <c r="E104" s="13" t="s">
        <v>48</v>
      </c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</row>
    <row r="105" ht="34" spans="4:5">
      <c r="D105" s="10" t="s">
        <v>344</v>
      </c>
      <c r="E105" s="13" t="s">
        <v>67</v>
      </c>
    </row>
    <row r="106" ht="34" spans="4:5">
      <c r="D106" s="10" t="s">
        <v>345</v>
      </c>
      <c r="E106" s="13" t="s">
        <v>67</v>
      </c>
    </row>
    <row r="107" ht="51" spans="4:5">
      <c r="D107" s="10" t="s">
        <v>346</v>
      </c>
      <c r="E107" s="1" t="s">
        <v>42</v>
      </c>
    </row>
    <row r="108" ht="34" spans="4:5">
      <c r="D108" s="10" t="s">
        <v>347</v>
      </c>
      <c r="E108" s="1" t="s">
        <v>200</v>
      </c>
    </row>
    <row r="109" ht="34" spans="4:5">
      <c r="D109" s="10" t="s">
        <v>348</v>
      </c>
      <c r="E109" s="1" t="s">
        <v>200</v>
      </c>
    </row>
    <row r="110" ht="34" spans="4:5">
      <c r="D110" s="10" t="s">
        <v>349</v>
      </c>
      <c r="E110" s="1" t="s">
        <v>200</v>
      </c>
    </row>
    <row r="111" ht="34" spans="4:5">
      <c r="D111" s="10" t="s">
        <v>350</v>
      </c>
      <c r="E111" s="1" t="s">
        <v>48</v>
      </c>
    </row>
    <row r="112" spans="4:5">
      <c r="D112" s="1" t="s">
        <v>351</v>
      </c>
      <c r="E112" s="13" t="s">
        <v>67</v>
      </c>
    </row>
    <row r="113" spans="4:5">
      <c r="D113" s="1" t="s">
        <v>352</v>
      </c>
      <c r="E113" s="1" t="s">
        <v>200</v>
      </c>
    </row>
    <row r="114" spans="4:5">
      <c r="D114" s="1" t="s">
        <v>353</v>
      </c>
      <c r="E114" s="1" t="s">
        <v>42</v>
      </c>
    </row>
    <row r="115" spans="4:5">
      <c r="D115" s="1" t="s">
        <v>354</v>
      </c>
      <c r="E115" s="13" t="s">
        <v>48</v>
      </c>
    </row>
    <row r="116" spans="4:5">
      <c r="D116" s="1" t="s">
        <v>355</v>
      </c>
      <c r="E116" s="13" t="s">
        <v>48</v>
      </c>
    </row>
    <row r="117" spans="4:5">
      <c r="D117" s="1" t="s">
        <v>355</v>
      </c>
      <c r="E117" s="13" t="s">
        <v>67</v>
      </c>
    </row>
    <row r="118" spans="4:5">
      <c r="D118" s="1" t="s">
        <v>356</v>
      </c>
      <c r="E118" s="1" t="s">
        <v>48</v>
      </c>
    </row>
    <row r="119" spans="4:5">
      <c r="D119" s="1" t="s">
        <v>357</v>
      </c>
      <c r="E119" s="13" t="s">
        <v>67</v>
      </c>
    </row>
    <row r="120" spans="4:5">
      <c r="D120" s="1" t="s">
        <v>358</v>
      </c>
      <c r="E120" s="13" t="s">
        <v>67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6"/>
  <sheetViews>
    <sheetView topLeftCell="A2" workbookViewId="0">
      <selection activeCell="D24" sqref="D24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53.9191176470588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style="1" customWidth="1"/>
    <col min="13" max="13" width="11.4705882352941" style="1" customWidth="1"/>
    <col min="14" max="14" width="18" style="1" customWidth="1"/>
    <col min="15" max="16384" width="9.00735294117647" style="1"/>
  </cols>
  <sheetData>
    <row r="1" ht="16.5" customHeight="1" spans="1:14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359</v>
      </c>
      <c r="G1" s="7" t="s">
        <v>6</v>
      </c>
      <c r="H1" s="7" t="s">
        <v>7</v>
      </c>
      <c r="I1" s="7" t="s">
        <v>8</v>
      </c>
      <c r="J1" s="7" t="s">
        <v>360</v>
      </c>
      <c r="K1" s="7" t="s">
        <v>361</v>
      </c>
      <c r="L1" s="7" t="s">
        <v>14</v>
      </c>
      <c r="M1" s="1" t="s">
        <v>15</v>
      </c>
      <c r="N1" s="1" t="s">
        <v>362</v>
      </c>
    </row>
    <row r="2" ht="16.5" customHeight="1" spans="1:14">
      <c r="A2" s="7" t="s">
        <v>16</v>
      </c>
      <c r="B2" s="1" t="s">
        <v>363</v>
      </c>
      <c r="C2" s="1" t="s">
        <v>364</v>
      </c>
      <c r="D2" s="1" t="s">
        <v>365</v>
      </c>
      <c r="E2" s="1" t="s">
        <v>21</v>
      </c>
      <c r="F2" s="1" t="s">
        <v>366</v>
      </c>
      <c r="G2" s="1" t="s">
        <v>22</v>
      </c>
      <c r="H2" s="1" t="s">
        <v>23</v>
      </c>
      <c r="I2" s="1" t="s">
        <v>24</v>
      </c>
      <c r="J2" s="1" t="s">
        <v>367</v>
      </c>
      <c r="K2" s="1" t="s">
        <v>368</v>
      </c>
      <c r="L2" s="1" t="s">
        <v>369</v>
      </c>
      <c r="M2" s="1" t="s">
        <v>31</v>
      </c>
      <c r="N2" s="1" t="s">
        <v>370</v>
      </c>
    </row>
    <row r="3" ht="16.5" customHeight="1" spans="1:14">
      <c r="A3" s="7" t="s">
        <v>32</v>
      </c>
      <c r="B3" s="7" t="s">
        <v>33</v>
      </c>
      <c r="C3" s="7" t="s">
        <v>33</v>
      </c>
      <c r="D3" s="7" t="s">
        <v>33</v>
      </c>
      <c r="E3" s="7" t="s">
        <v>33</v>
      </c>
      <c r="F3" s="7" t="s">
        <v>33</v>
      </c>
      <c r="G3" s="7" t="s">
        <v>36</v>
      </c>
      <c r="H3" s="7" t="s">
        <v>33</v>
      </c>
      <c r="I3" s="7" t="s">
        <v>36</v>
      </c>
      <c r="J3" s="7" t="s">
        <v>371</v>
      </c>
      <c r="K3" s="7" t="s">
        <v>38</v>
      </c>
      <c r="L3" s="7" t="s">
        <v>33</v>
      </c>
      <c r="M3" s="1" t="s">
        <v>38</v>
      </c>
      <c r="N3" s="1" t="s">
        <v>372</v>
      </c>
    </row>
    <row r="4" ht="33.75" customHeight="1" spans="2:14">
      <c r="B4" s="7" t="s">
        <v>373</v>
      </c>
      <c r="C4" s="1" t="s">
        <v>374</v>
      </c>
      <c r="D4" s="10" t="s">
        <v>375</v>
      </c>
      <c r="F4" s="7" t="s">
        <v>376</v>
      </c>
      <c r="G4" s="1">
        <v>0</v>
      </c>
      <c r="H4" s="7" t="s">
        <v>377</v>
      </c>
      <c r="I4" s="1">
        <v>1</v>
      </c>
      <c r="J4" s="7" t="s">
        <v>378</v>
      </c>
      <c r="K4" s="1">
        <v>1</v>
      </c>
      <c r="L4" s="7" t="s">
        <v>377</v>
      </c>
      <c r="M4" s="1">
        <v>50</v>
      </c>
      <c r="N4" s="1" t="s">
        <v>379</v>
      </c>
    </row>
    <row r="5" ht="33.75" customHeight="1" spans="2:14">
      <c r="B5" s="7" t="s">
        <v>380</v>
      </c>
      <c r="C5" s="1" t="s">
        <v>381</v>
      </c>
      <c r="D5" s="10" t="s">
        <v>382</v>
      </c>
      <c r="F5" s="7" t="s">
        <v>376</v>
      </c>
      <c r="G5" s="1">
        <v>0</v>
      </c>
      <c r="H5" s="7" t="s">
        <v>383</v>
      </c>
      <c r="I5" s="1">
        <v>1</v>
      </c>
      <c r="J5" s="7" t="s">
        <v>378</v>
      </c>
      <c r="K5" s="1">
        <v>1</v>
      </c>
      <c r="L5" s="7" t="s">
        <v>383</v>
      </c>
      <c r="M5" s="1">
        <v>50</v>
      </c>
      <c r="N5" s="1" t="s">
        <v>379</v>
      </c>
    </row>
    <row r="6" ht="33.75" customHeight="1" spans="2:14">
      <c r="B6" s="7" t="s">
        <v>384</v>
      </c>
      <c r="C6" s="1" t="s">
        <v>385</v>
      </c>
      <c r="D6" s="10" t="s">
        <v>386</v>
      </c>
      <c r="F6" s="7" t="s">
        <v>376</v>
      </c>
      <c r="G6" s="1">
        <v>0</v>
      </c>
      <c r="H6" s="7" t="s">
        <v>387</v>
      </c>
      <c r="I6" s="1">
        <v>1</v>
      </c>
      <c r="J6" s="7" t="s">
        <v>378</v>
      </c>
      <c r="K6" s="1">
        <v>1</v>
      </c>
      <c r="L6" s="7" t="s">
        <v>387</v>
      </c>
      <c r="M6" s="1">
        <v>50</v>
      </c>
      <c r="N6" s="1" t="s">
        <v>379</v>
      </c>
    </row>
    <row r="7" ht="33.75" customHeight="1" spans="2:14">
      <c r="B7" s="7" t="s">
        <v>388</v>
      </c>
      <c r="C7" s="1" t="s">
        <v>389</v>
      </c>
      <c r="D7" s="10" t="s">
        <v>390</v>
      </c>
      <c r="F7" s="7" t="s">
        <v>376</v>
      </c>
      <c r="G7" s="1">
        <v>0</v>
      </c>
      <c r="H7" s="7" t="s">
        <v>391</v>
      </c>
      <c r="I7" s="1">
        <v>1</v>
      </c>
      <c r="J7" s="7" t="s">
        <v>378</v>
      </c>
      <c r="K7" s="1">
        <v>1</v>
      </c>
      <c r="L7" s="7" t="s">
        <v>391</v>
      </c>
      <c r="M7" s="1">
        <v>50</v>
      </c>
      <c r="N7" s="1" t="s">
        <v>379</v>
      </c>
    </row>
    <row r="8" ht="33.75" customHeight="1" spans="2:14">
      <c r="B8" s="7" t="s">
        <v>392</v>
      </c>
      <c r="C8" s="1" t="s">
        <v>393</v>
      </c>
      <c r="D8" s="10" t="s">
        <v>394</v>
      </c>
      <c r="F8" s="7" t="s">
        <v>376</v>
      </c>
      <c r="G8" s="1">
        <v>0</v>
      </c>
      <c r="H8" s="7" t="s">
        <v>395</v>
      </c>
      <c r="I8" s="1">
        <v>1</v>
      </c>
      <c r="J8" s="7" t="s">
        <v>378</v>
      </c>
      <c r="K8" s="1">
        <v>1</v>
      </c>
      <c r="L8" s="7" t="s">
        <v>395</v>
      </c>
      <c r="M8" s="1">
        <v>50</v>
      </c>
      <c r="N8" s="1" t="s">
        <v>379</v>
      </c>
    </row>
    <row r="9" ht="33.75" customHeight="1" spans="2:14">
      <c r="B9" s="7" t="s">
        <v>396</v>
      </c>
      <c r="C9" s="1" t="s">
        <v>397</v>
      </c>
      <c r="D9" s="10" t="s">
        <v>398</v>
      </c>
      <c r="F9" s="7" t="s">
        <v>376</v>
      </c>
      <c r="G9" s="1">
        <v>0</v>
      </c>
      <c r="H9" s="7" t="s">
        <v>399</v>
      </c>
      <c r="I9" s="1">
        <v>1</v>
      </c>
      <c r="J9" s="7" t="s">
        <v>378</v>
      </c>
      <c r="K9" s="1">
        <v>1</v>
      </c>
      <c r="L9" s="7" t="s">
        <v>399</v>
      </c>
      <c r="M9" s="1">
        <v>50</v>
      </c>
      <c r="N9" s="1" t="s">
        <v>379</v>
      </c>
    </row>
    <row r="10" ht="33.75" customHeight="1" spans="2:14">
      <c r="B10" s="7" t="s">
        <v>400</v>
      </c>
      <c r="C10" s="1" t="s">
        <v>401</v>
      </c>
      <c r="D10" s="10" t="s">
        <v>402</v>
      </c>
      <c r="E10" t="s">
        <v>403</v>
      </c>
      <c r="F10" s="7" t="s">
        <v>404</v>
      </c>
      <c r="G10" s="1">
        <v>0</v>
      </c>
      <c r="H10" s="7" t="s">
        <v>405</v>
      </c>
      <c r="I10" s="1">
        <v>1</v>
      </c>
      <c r="J10" s="7" t="s">
        <v>406</v>
      </c>
      <c r="K10" s="1">
        <v>1</v>
      </c>
      <c r="L10" s="7" t="s">
        <v>405</v>
      </c>
      <c r="M10" s="1">
        <v>50</v>
      </c>
      <c r="N10" s="1" t="s">
        <v>379</v>
      </c>
    </row>
    <row r="11" ht="33.75" customHeight="1" spans="2:14">
      <c r="B11" s="7" t="s">
        <v>407</v>
      </c>
      <c r="C11" s="1" t="s">
        <v>408</v>
      </c>
      <c r="D11" s="10" t="s">
        <v>409</v>
      </c>
      <c r="E11" t="s">
        <v>403</v>
      </c>
      <c r="F11" s="7" t="s">
        <v>404</v>
      </c>
      <c r="G11" s="1">
        <v>0</v>
      </c>
      <c r="H11" s="7" t="s">
        <v>410</v>
      </c>
      <c r="I11" s="1">
        <v>1</v>
      </c>
      <c r="J11" s="7" t="s">
        <v>406</v>
      </c>
      <c r="K11" s="1">
        <v>1</v>
      </c>
      <c r="L11" s="7" t="s">
        <v>410</v>
      </c>
      <c r="M11" s="1">
        <v>50</v>
      </c>
      <c r="N11" s="1" t="s">
        <v>379</v>
      </c>
    </row>
    <row r="12" ht="33.75" customHeight="1" spans="2:14">
      <c r="B12" s="7" t="s">
        <v>411</v>
      </c>
      <c r="C12" s="1" t="s">
        <v>412</v>
      </c>
      <c r="D12" s="10" t="s">
        <v>413</v>
      </c>
      <c r="E12" t="s">
        <v>414</v>
      </c>
      <c r="F12" s="7" t="s">
        <v>404</v>
      </c>
      <c r="G12" s="1">
        <v>0</v>
      </c>
      <c r="H12" s="7" t="s">
        <v>415</v>
      </c>
      <c r="I12" s="1">
        <v>1</v>
      </c>
      <c r="J12" s="7" t="s">
        <v>406</v>
      </c>
      <c r="K12" s="1">
        <v>1</v>
      </c>
      <c r="L12" s="7" t="s">
        <v>415</v>
      </c>
      <c r="M12" s="1">
        <v>50</v>
      </c>
      <c r="N12" s="1" t="s">
        <v>379</v>
      </c>
    </row>
    <row r="13" ht="33.75" customHeight="1" spans="2:14">
      <c r="B13" s="7" t="s">
        <v>416</v>
      </c>
      <c r="C13" s="1" t="s">
        <v>417</v>
      </c>
      <c r="D13" s="10" t="s">
        <v>418</v>
      </c>
      <c r="E13" t="s">
        <v>414</v>
      </c>
      <c r="F13" s="7" t="s">
        <v>404</v>
      </c>
      <c r="G13" s="1">
        <v>0</v>
      </c>
      <c r="H13" s="7" t="s">
        <v>419</v>
      </c>
      <c r="I13" s="1">
        <v>1</v>
      </c>
      <c r="J13" s="7" t="s">
        <v>406</v>
      </c>
      <c r="K13" s="1">
        <v>1</v>
      </c>
      <c r="L13" s="7" t="s">
        <v>419</v>
      </c>
      <c r="M13" s="1">
        <v>50</v>
      </c>
      <c r="N13" s="1" t="s">
        <v>379</v>
      </c>
    </row>
    <row r="14" ht="33.75" customHeight="1" spans="2:14">
      <c r="B14" s="7" t="s">
        <v>420</v>
      </c>
      <c r="C14" s="1" t="s">
        <v>421</v>
      </c>
      <c r="D14" s="10" t="s">
        <v>422</v>
      </c>
      <c r="E14" t="s">
        <v>414</v>
      </c>
      <c r="F14" s="7" t="s">
        <v>404</v>
      </c>
      <c r="G14" s="1">
        <v>0</v>
      </c>
      <c r="H14" s="7" t="s">
        <v>423</v>
      </c>
      <c r="I14" s="1">
        <v>1</v>
      </c>
      <c r="J14" s="7" t="s">
        <v>406</v>
      </c>
      <c r="K14" s="1">
        <v>1</v>
      </c>
      <c r="L14" s="7" t="s">
        <v>423</v>
      </c>
      <c r="M14" s="1">
        <v>50</v>
      </c>
      <c r="N14" s="1" t="s">
        <v>379</v>
      </c>
    </row>
    <row r="15" ht="33.75" customHeight="1" spans="2:14">
      <c r="B15" s="7" t="s">
        <v>424</v>
      </c>
      <c r="C15" s="1" t="s">
        <v>425</v>
      </c>
      <c r="D15" s="10" t="s">
        <v>426</v>
      </c>
      <c r="E15" t="s">
        <v>427</v>
      </c>
      <c r="F15" s="7" t="s">
        <v>404</v>
      </c>
      <c r="G15" s="1">
        <v>0</v>
      </c>
      <c r="H15" s="7" t="s">
        <v>428</v>
      </c>
      <c r="I15" s="1">
        <v>1</v>
      </c>
      <c r="J15" s="7" t="s">
        <v>406</v>
      </c>
      <c r="K15" s="1">
        <v>1</v>
      </c>
      <c r="L15" s="7" t="s">
        <v>428</v>
      </c>
      <c r="M15" s="1">
        <v>50</v>
      </c>
      <c r="N15" s="1" t="s">
        <v>379</v>
      </c>
    </row>
    <row r="16" ht="33.75" customHeight="1" spans="2:14">
      <c r="B16" s="7" t="s">
        <v>429</v>
      </c>
      <c r="C16" s="1" t="s">
        <v>430</v>
      </c>
      <c r="D16" s="10" t="s">
        <v>431</v>
      </c>
      <c r="E16" t="s">
        <v>427</v>
      </c>
      <c r="F16" s="7" t="s">
        <v>404</v>
      </c>
      <c r="G16" s="1">
        <v>0</v>
      </c>
      <c r="H16" s="7" t="s">
        <v>432</v>
      </c>
      <c r="I16" s="1">
        <v>1</v>
      </c>
      <c r="J16" s="7" t="s">
        <v>406</v>
      </c>
      <c r="K16" s="1">
        <v>1</v>
      </c>
      <c r="L16" s="7" t="s">
        <v>432</v>
      </c>
      <c r="M16" s="1">
        <v>50</v>
      </c>
      <c r="N16" s="1" t="s">
        <v>379</v>
      </c>
    </row>
    <row r="17" s="9" customFormat="1" ht="17" spans="2:14">
      <c r="B17" s="11" t="s">
        <v>433</v>
      </c>
      <c r="C17" s="9" t="s">
        <v>434</v>
      </c>
      <c r="D17" s="12" t="s">
        <v>435</v>
      </c>
      <c r="F17" s="9" t="s">
        <v>436</v>
      </c>
      <c r="G17" s="9">
        <v>0</v>
      </c>
      <c r="I17" s="9">
        <v>1</v>
      </c>
      <c r="J17" s="9" t="s">
        <v>437</v>
      </c>
      <c r="K17" s="9">
        <v>0</v>
      </c>
      <c r="L17" s="1"/>
      <c r="M17" s="9">
        <v>50</v>
      </c>
      <c r="N17" s="1" t="s">
        <v>438</v>
      </c>
    </row>
    <row r="18" s="9" customFormat="1" ht="16.5" customHeight="1" spans="2:14">
      <c r="B18" s="11" t="s">
        <v>439</v>
      </c>
      <c r="C18" s="9" t="s">
        <v>440</v>
      </c>
      <c r="D18" s="9" t="s">
        <v>441</v>
      </c>
      <c r="F18" s="9" t="s">
        <v>442</v>
      </c>
      <c r="G18" s="9">
        <v>0.5</v>
      </c>
      <c r="I18" s="9">
        <v>1</v>
      </c>
      <c r="J18" s="9" t="s">
        <v>437</v>
      </c>
      <c r="K18" s="9">
        <v>0</v>
      </c>
      <c r="L18" s="1"/>
      <c r="M18" s="9">
        <v>50</v>
      </c>
      <c r="N18" s="1" t="s">
        <v>438</v>
      </c>
    </row>
    <row r="19" s="9" customFormat="1" ht="16.5" customHeight="1" spans="2:14">
      <c r="B19" s="11" t="s">
        <v>443</v>
      </c>
      <c r="C19" s="9" t="s">
        <v>444</v>
      </c>
      <c r="D19" s="9" t="s">
        <v>445</v>
      </c>
      <c r="F19" s="9" t="s">
        <v>446</v>
      </c>
      <c r="G19" s="9">
        <v>0</v>
      </c>
      <c r="I19" s="9">
        <v>1</v>
      </c>
      <c r="J19" s="9" t="s">
        <v>437</v>
      </c>
      <c r="K19" s="9">
        <v>0</v>
      </c>
      <c r="L19" s="1"/>
      <c r="M19" s="9">
        <v>50</v>
      </c>
      <c r="N19" s="1" t="s">
        <v>438</v>
      </c>
    </row>
    <row r="20" s="9" customFormat="1" ht="16.5" customHeight="1" spans="2:14">
      <c r="B20" s="11" t="s">
        <v>447</v>
      </c>
      <c r="C20" s="9" t="s">
        <v>448</v>
      </c>
      <c r="D20" s="9" t="s">
        <v>449</v>
      </c>
      <c r="F20" s="9" t="s">
        <v>450</v>
      </c>
      <c r="G20" s="9">
        <v>0</v>
      </c>
      <c r="H20" s="9" t="s">
        <v>451</v>
      </c>
      <c r="I20" s="9">
        <v>1</v>
      </c>
      <c r="J20" s="9" t="s">
        <v>437</v>
      </c>
      <c r="K20" s="9">
        <v>1</v>
      </c>
      <c r="L20" s="1"/>
      <c r="M20" s="9">
        <v>50</v>
      </c>
      <c r="N20" s="1" t="s">
        <v>438</v>
      </c>
    </row>
    <row r="21" s="9" customFormat="1" spans="2:14">
      <c r="B21" s="9" t="s">
        <v>452</v>
      </c>
      <c r="C21" s="9" t="s">
        <v>453</v>
      </c>
      <c r="D21" s="9" t="s">
        <v>454</v>
      </c>
      <c r="F21" s="9" t="s">
        <v>455</v>
      </c>
      <c r="G21" s="9">
        <v>0</v>
      </c>
      <c r="H21" s="9" t="s">
        <v>456</v>
      </c>
      <c r="I21" s="9">
        <v>1</v>
      </c>
      <c r="J21" s="9" t="s">
        <v>437</v>
      </c>
      <c r="K21" s="9">
        <v>1</v>
      </c>
      <c r="L21" s="1"/>
      <c r="M21" s="1">
        <v>50</v>
      </c>
      <c r="N21" s="1" t="s">
        <v>438</v>
      </c>
    </row>
    <row r="22" s="9" customFormat="1" spans="2:14">
      <c r="B22" s="9" t="s">
        <v>457</v>
      </c>
      <c r="C22" s="9" t="s">
        <v>458</v>
      </c>
      <c r="D22" s="9" t="s">
        <v>459</v>
      </c>
      <c r="F22" s="9" t="s">
        <v>460</v>
      </c>
      <c r="G22" s="9">
        <v>0</v>
      </c>
      <c r="H22" s="9" t="s">
        <v>461</v>
      </c>
      <c r="I22" s="9">
        <v>1</v>
      </c>
      <c r="J22" s="9" t="s">
        <v>437</v>
      </c>
      <c r="K22" s="9">
        <v>1</v>
      </c>
      <c r="L22" s="1"/>
      <c r="M22" s="1">
        <v>50</v>
      </c>
      <c r="N22" s="1" t="s">
        <v>438</v>
      </c>
    </row>
    <row r="23" s="9" customFormat="1" spans="2:14">
      <c r="B23" s="9" t="s">
        <v>462</v>
      </c>
      <c r="C23" s="9" t="s">
        <v>463</v>
      </c>
      <c r="D23" s="9" t="s">
        <v>464</v>
      </c>
      <c r="F23" s="9" t="s">
        <v>465</v>
      </c>
      <c r="G23" s="9">
        <v>0</v>
      </c>
      <c r="H23" t="s">
        <v>466</v>
      </c>
      <c r="I23" s="9">
        <v>1</v>
      </c>
      <c r="J23" s="9" t="s">
        <v>437</v>
      </c>
      <c r="K23" s="9">
        <v>1</v>
      </c>
      <c r="L23" s="1"/>
      <c r="M23" s="1">
        <v>50</v>
      </c>
      <c r="N23" s="1" t="s">
        <v>438</v>
      </c>
    </row>
    <row r="24" s="9" customFormat="1" spans="2:14">
      <c r="B24" s="9" t="s">
        <v>467</v>
      </c>
      <c r="C24" s="9" t="s">
        <v>468</v>
      </c>
      <c r="D24" s="9" t="s">
        <v>469</v>
      </c>
      <c r="F24" s="9" t="s">
        <v>470</v>
      </c>
      <c r="G24" s="9">
        <v>0</v>
      </c>
      <c r="I24" s="9">
        <v>1</v>
      </c>
      <c r="J24" s="9" t="s">
        <v>437</v>
      </c>
      <c r="K24" s="9">
        <v>1</v>
      </c>
      <c r="L24" s="1"/>
      <c r="M24" s="1">
        <v>50</v>
      </c>
      <c r="N24" s="1" t="s">
        <v>438</v>
      </c>
    </row>
    <row r="25" s="9" customFormat="1" ht="34" spans="2:14">
      <c r="B25" s="9" t="s">
        <v>471</v>
      </c>
      <c r="C25" s="9" t="s">
        <v>472</v>
      </c>
      <c r="D25" s="12" t="s">
        <v>473</v>
      </c>
      <c r="F25" s="9" t="s">
        <v>474</v>
      </c>
      <c r="G25" s="9">
        <v>0</v>
      </c>
      <c r="I25" s="9">
        <v>1</v>
      </c>
      <c r="J25" s="9" t="s">
        <v>437</v>
      </c>
      <c r="K25" s="9">
        <v>1</v>
      </c>
      <c r="L25" s="1"/>
      <c r="M25" s="1">
        <v>50</v>
      </c>
      <c r="N25" s="1" t="s">
        <v>438</v>
      </c>
    </row>
    <row r="26" s="9" customFormat="1" ht="34" spans="2:14">
      <c r="B26" s="9" t="s">
        <v>475</v>
      </c>
      <c r="C26" s="9" t="s">
        <v>476</v>
      </c>
      <c r="D26" s="12" t="s">
        <v>477</v>
      </c>
      <c r="F26" s="9" t="s">
        <v>478</v>
      </c>
      <c r="G26" s="9">
        <v>0</v>
      </c>
      <c r="I26" s="9">
        <v>1</v>
      </c>
      <c r="J26" s="9" t="s">
        <v>437</v>
      </c>
      <c r="K26" s="9">
        <v>1</v>
      </c>
      <c r="L26" s="1"/>
      <c r="M26" s="1">
        <v>50</v>
      </c>
      <c r="N26" s="1" t="s">
        <v>438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152"/>
  <sheetViews>
    <sheetView topLeftCell="A109" workbookViewId="0">
      <selection activeCell="I137" sqref="I137"/>
    </sheetView>
  </sheetViews>
  <sheetFormatPr defaultColWidth="9.23529411764706" defaultRowHeight="16.8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ht="17.25" customHeight="1" spans="2:20">
      <c r="B1" s="3" t="s">
        <v>479</v>
      </c>
      <c r="C1" s="3" t="s">
        <v>480</v>
      </c>
      <c r="D1" s="3" t="s">
        <v>481</v>
      </c>
      <c r="E1" s="3" t="s">
        <v>482</v>
      </c>
      <c r="H1" s="7" t="s">
        <v>1</v>
      </c>
      <c r="I1" s="2" t="s">
        <v>483</v>
      </c>
      <c r="L1" t="s">
        <v>484</v>
      </c>
      <c r="M1">
        <v>30</v>
      </c>
      <c r="N1">
        <v>31</v>
      </c>
      <c r="O1">
        <v>32</v>
      </c>
      <c r="P1">
        <v>33</v>
      </c>
      <c r="Q1">
        <v>34</v>
      </c>
      <c r="R1">
        <v>35</v>
      </c>
      <c r="S1">
        <v>36</v>
      </c>
      <c r="T1">
        <v>37</v>
      </c>
    </row>
    <row r="2" ht="17.25" customHeight="1" spans="2:20">
      <c r="B2" s="3" t="s">
        <v>485</v>
      </c>
      <c r="C2" s="3" t="s">
        <v>486</v>
      </c>
      <c r="D2" s="3" t="s">
        <v>487</v>
      </c>
      <c r="E2" s="3" t="s">
        <v>488</v>
      </c>
      <c r="H2" s="1">
        <v>1</v>
      </c>
      <c r="I2" s="2" t="str">
        <f t="shared" ref="I2:I65" si="0">E2</f>
        <v>获得时，获得两个随机（xx品质）的装饰品</v>
      </c>
      <c r="L2" t="s">
        <v>489</v>
      </c>
      <c r="M2">
        <v>40</v>
      </c>
      <c r="N2">
        <v>41</v>
      </c>
      <c r="O2">
        <v>42</v>
      </c>
      <c r="P2">
        <v>43</v>
      </c>
      <c r="Q2">
        <v>44</v>
      </c>
      <c r="R2">
        <v>45</v>
      </c>
      <c r="S2">
        <v>46</v>
      </c>
      <c r="T2">
        <v>47</v>
      </c>
    </row>
    <row r="3" ht="17.25" customHeight="1" spans="2:20">
      <c r="B3" s="4"/>
      <c r="C3" s="4"/>
      <c r="D3" s="3" t="s">
        <v>490</v>
      </c>
      <c r="E3" s="3" t="s">
        <v>491</v>
      </c>
      <c r="H3" s="1">
        <v>2</v>
      </c>
      <c r="I3" s="2" t="str">
        <f t="shared" si="0"/>
        <v>获得时，从多个装饰品中选择一个获得</v>
      </c>
      <c r="L3" t="s">
        <v>492</v>
      </c>
      <c r="M3">
        <v>50</v>
      </c>
      <c r="N3">
        <v>51</v>
      </c>
      <c r="O3">
        <v>52</v>
      </c>
      <c r="P3">
        <v>53</v>
      </c>
      <c r="Q3">
        <v>54</v>
      </c>
      <c r="R3">
        <v>55</v>
      </c>
      <c r="S3">
        <v>56</v>
      </c>
      <c r="T3">
        <v>57</v>
      </c>
    </row>
    <row r="4" ht="17.25" customHeight="1" spans="2:9">
      <c r="B4" s="4"/>
      <c r="C4" s="4"/>
      <c r="D4" s="3" t="s">
        <v>493</v>
      </c>
      <c r="E4" s="3" t="s">
        <v>494</v>
      </c>
      <c r="H4" s="1">
        <v>3</v>
      </c>
      <c r="I4" s="2" t="str">
        <f t="shared" si="0"/>
        <v>获得时，获得两个随机（xx品质）的消耗品</v>
      </c>
    </row>
    <row r="5" ht="17.25" customHeight="1" spans="2:9">
      <c r="B5" s="4"/>
      <c r="C5" s="4"/>
      <c r="D5" s="3" t="s">
        <v>490</v>
      </c>
      <c r="E5" s="3" t="s">
        <v>495</v>
      </c>
      <c r="H5" s="1">
        <v>4</v>
      </c>
      <c r="I5" s="2" t="str">
        <f t="shared" si="0"/>
        <v>获得时，从多个消耗品中选择一个获得</v>
      </c>
    </row>
    <row r="6" ht="17.25" customHeight="1" spans="2:17">
      <c r="B6" s="4"/>
      <c r="C6" s="4"/>
      <c r="D6" s="3" t="s">
        <v>496</v>
      </c>
      <c r="E6" s="3" t="s">
        <v>497</v>
      </c>
      <c r="H6" s="1">
        <v>5</v>
      </c>
      <c r="I6" s="2" t="str">
        <f t="shared" si="0"/>
        <v>获得时，从多个食物中选择一个获得</v>
      </c>
      <c r="Q6" t="s">
        <v>498</v>
      </c>
    </row>
    <row r="7" ht="17.25" customHeight="1" spans="2:21">
      <c r="B7" s="4"/>
      <c r="C7" s="4"/>
      <c r="D7" s="3" t="s">
        <v>499</v>
      </c>
      <c r="E7" s="3" t="s">
        <v>500</v>
      </c>
      <c r="H7" s="1">
        <v>6</v>
      </c>
      <c r="I7" s="2" t="str">
        <f t="shared" si="0"/>
        <v>获得时，从多个餐桌格中选择一个获得</v>
      </c>
      <c r="K7" t="s">
        <v>501</v>
      </c>
      <c r="M7">
        <v>300</v>
      </c>
      <c r="O7" t="s">
        <v>50</v>
      </c>
      <c r="Q7">
        <f>COUNTIF(装饰品!$E$4:$E$93,K7)</f>
        <v>35</v>
      </c>
      <c r="S7">
        <v>40</v>
      </c>
      <c r="U7">
        <f>Q7/SUM($Q$7:$Q$10)</f>
        <v>0.4375</v>
      </c>
    </row>
    <row r="8" ht="17.25" customHeight="1" spans="2:21">
      <c r="B8" s="4"/>
      <c r="C8" s="4"/>
      <c r="D8" s="3" t="s">
        <v>502</v>
      </c>
      <c r="E8" s="3" t="s">
        <v>503</v>
      </c>
      <c r="H8" s="1">
        <v>7</v>
      </c>
      <c r="I8" s="2" t="str">
        <f t="shared" si="0"/>
        <v>获得时，获得一个随机装饰品、随机食物、50金币</v>
      </c>
      <c r="K8" t="s">
        <v>504</v>
      </c>
      <c r="M8">
        <v>100</v>
      </c>
      <c r="O8" t="s">
        <v>61</v>
      </c>
      <c r="Q8">
        <f>COUNTIF(装饰品!$E$4:$E$93,K8)</f>
        <v>29</v>
      </c>
      <c r="S8">
        <v>80</v>
      </c>
      <c r="U8">
        <v>0.362637362637363</v>
      </c>
    </row>
    <row r="9" ht="17.25" customHeight="1" spans="2:21">
      <c r="B9" s="4"/>
      <c r="C9" s="4"/>
      <c r="D9" s="3" t="s">
        <v>505</v>
      </c>
      <c r="E9" s="3" t="s">
        <v>506</v>
      </c>
      <c r="H9" s="1">
        <v>8</v>
      </c>
      <c r="I9" s="2" t="str">
        <f t="shared" si="0"/>
        <v>所有装饰品和消耗品替换为随机装饰品和消耗品</v>
      </c>
      <c r="K9" t="s">
        <v>507</v>
      </c>
      <c r="M9">
        <v>30</v>
      </c>
      <c r="O9" t="s">
        <v>44</v>
      </c>
      <c r="Q9">
        <f>COUNTIF(装饰品!$E$4:$E$93,K9)</f>
        <v>14</v>
      </c>
      <c r="S9">
        <v>150</v>
      </c>
      <c r="U9">
        <v>0.120879120879121</v>
      </c>
    </row>
    <row r="10" ht="17.25" customHeight="1" spans="2:21">
      <c r="B10" s="4"/>
      <c r="C10" s="4" t="s">
        <v>508</v>
      </c>
      <c r="D10" s="3" t="s">
        <v>509</v>
      </c>
      <c r="E10" s="3" t="s">
        <v>510</v>
      </c>
      <c r="H10" s="1">
        <v>9</v>
      </c>
      <c r="I10" s="2" t="str">
        <f t="shared" si="0"/>
        <v>获得1～100个金币</v>
      </c>
      <c r="K10" t="s">
        <v>511</v>
      </c>
      <c r="M10">
        <v>10</v>
      </c>
      <c r="O10" t="s">
        <v>201</v>
      </c>
      <c r="Q10">
        <f>COUNTIF(装饰品!$E$4:$E$93,K10)</f>
        <v>2</v>
      </c>
      <c r="S10">
        <v>240</v>
      </c>
      <c r="U10">
        <v>0.043956043956044</v>
      </c>
    </row>
    <row r="11" ht="17.25" customHeight="1" spans="2:9">
      <c r="B11" s="4"/>
      <c r="C11" s="3"/>
      <c r="D11" s="3" t="s">
        <v>512</v>
      </c>
      <c r="E11" s="3" t="s">
        <v>513</v>
      </c>
      <c r="H11" s="1">
        <v>10</v>
      </c>
      <c r="I11" s="2" t="str">
        <f t="shared" si="0"/>
        <v>接下来10局食物，额外获得15金币</v>
      </c>
    </row>
    <row r="12" ht="17.25" customHeight="1" spans="2:18">
      <c r="B12" s="4"/>
      <c r="C12" s="4"/>
      <c r="D12" s="3" t="s">
        <v>514</v>
      </c>
      <c r="E12" s="3" t="s">
        <v>515</v>
      </c>
      <c r="H12" s="1">
        <v>11</v>
      </c>
      <c r="I12" s="2" t="str">
        <f t="shared" si="0"/>
        <v>完成本次星级评鉴后，额外获得100金币</v>
      </c>
      <c r="P12" t="s">
        <v>516</v>
      </c>
      <c r="Q12" t="s">
        <v>517</v>
      </c>
      <c r="R12" t="s">
        <v>518</v>
      </c>
    </row>
    <row r="13" ht="17.25" customHeight="1" spans="2:14">
      <c r="B13" s="4"/>
      <c r="C13" s="4"/>
      <c r="D13" s="5" t="s">
        <v>519</v>
      </c>
      <c r="E13" s="3" t="s">
        <v>520</v>
      </c>
      <c r="H13" s="1">
        <v>12</v>
      </c>
      <c r="I13" s="2" t="str">
        <f t="shared" si="0"/>
        <v>食物结束获得的金币，额外获得20%</v>
      </c>
      <c r="K13">
        <f>100*0.1*6</f>
        <v>60</v>
      </c>
      <c r="M13" t="s">
        <v>521</v>
      </c>
      <c r="N13">
        <v>240</v>
      </c>
    </row>
    <row r="14" ht="17.25" customHeight="1" spans="2:16">
      <c r="B14" s="4"/>
      <c r="C14" s="4" t="s">
        <v>522</v>
      </c>
      <c r="D14" s="3" t="s">
        <v>523</v>
      </c>
      <c r="E14" s="3" t="s">
        <v>524</v>
      </c>
      <c r="H14" s="1">
        <v>13</v>
      </c>
      <c r="I14" s="2" t="str">
        <f t="shared" si="0"/>
        <v>购买食物打折20%</v>
      </c>
      <c r="K14">
        <f>80*5*0.2</f>
        <v>80</v>
      </c>
      <c r="M14" t="s">
        <v>525</v>
      </c>
      <c r="N14">
        <v>150</v>
      </c>
      <c r="P14">
        <v>250</v>
      </c>
    </row>
    <row r="15" ht="17.25" customHeight="1" spans="2:17">
      <c r="B15" s="4"/>
      <c r="C15" s="3"/>
      <c r="D15" s="3" t="s">
        <v>526</v>
      </c>
      <c r="E15" s="3" t="s">
        <v>527</v>
      </c>
      <c r="H15" s="1">
        <v>14</v>
      </c>
      <c r="I15" s="2" t="str">
        <f t="shared" si="0"/>
        <v>购买碎片打折20%</v>
      </c>
      <c r="K15">
        <f>0.15*40*10</f>
        <v>60</v>
      </c>
      <c r="M15" t="s">
        <v>528</v>
      </c>
      <c r="N15">
        <v>80</v>
      </c>
      <c r="P15">
        <v>150</v>
      </c>
      <c r="Q15">
        <v>10</v>
      </c>
    </row>
    <row r="16" ht="17.25" customHeight="1" spans="2:17">
      <c r="B16" s="4"/>
      <c r="C16" s="4"/>
      <c r="D16" s="3" t="s">
        <v>529</v>
      </c>
      <c r="E16" s="3" t="s">
        <v>530</v>
      </c>
      <c r="H16" s="1">
        <v>15</v>
      </c>
      <c r="I16" s="2" t="str">
        <f t="shared" si="0"/>
        <v>买消耗品打折20%</v>
      </c>
      <c r="M16" t="s">
        <v>531</v>
      </c>
      <c r="N16">
        <v>40</v>
      </c>
      <c r="P16">
        <v>70</v>
      </c>
      <c r="Q16">
        <v>5</v>
      </c>
    </row>
    <row r="17" ht="17.25" customHeight="1" spans="2:9">
      <c r="B17" s="4"/>
      <c r="C17" s="4"/>
      <c r="D17" s="3" t="s">
        <v>532</v>
      </c>
      <c r="E17" s="3" t="s">
        <v>533</v>
      </c>
      <c r="H17" s="1">
        <v>16</v>
      </c>
      <c r="I17" s="2" t="str">
        <f t="shared" si="0"/>
        <v>买装饰品打折20%</v>
      </c>
    </row>
    <row r="18" ht="17.25" customHeight="1" spans="2:14">
      <c r="B18" s="4"/>
      <c r="C18" s="4"/>
      <c r="D18" s="3" t="s">
        <v>534</v>
      </c>
      <c r="E18" s="3" t="s">
        <v>535</v>
      </c>
      <c r="H18" s="1">
        <v>17</v>
      </c>
      <c r="I18" s="2" t="str">
        <f t="shared" si="0"/>
        <v>移除食物价格打折20%</v>
      </c>
      <c r="M18" t="s">
        <v>536</v>
      </c>
      <c r="N18">
        <v>1.4</v>
      </c>
    </row>
    <row r="19" ht="17.25" customHeight="1" spans="2:9">
      <c r="B19" s="4"/>
      <c r="C19" s="4"/>
      <c r="D19" s="3" t="s">
        <v>534</v>
      </c>
      <c r="E19" s="3" t="s">
        <v>537</v>
      </c>
      <c r="H19" s="1">
        <v>18</v>
      </c>
      <c r="I19" s="2" t="str">
        <f t="shared" si="0"/>
        <v>移除食物价格固定为30金币</v>
      </c>
    </row>
    <row r="20" ht="17.25" customHeight="1" spans="2:14">
      <c r="B20" s="4"/>
      <c r="C20" s="4" t="s">
        <v>538</v>
      </c>
      <c r="D20" s="3" t="s">
        <v>539</v>
      </c>
      <c r="E20" s="3" t="s">
        <v>540</v>
      </c>
      <c r="H20" s="1">
        <v>19</v>
      </c>
      <c r="I20" s="2" t="str">
        <f t="shared" si="0"/>
        <v>分数未达标时，不失败，失去此装饰品和消耗品</v>
      </c>
      <c r="K20">
        <f>0.9*0.8</f>
        <v>0.72</v>
      </c>
      <c r="N20">
        <f>280*5</f>
        <v>1400</v>
      </c>
    </row>
    <row r="21" ht="17.25" customHeight="1" spans="2:14">
      <c r="B21" s="4"/>
      <c r="C21" s="4" t="s">
        <v>541</v>
      </c>
      <c r="D21" s="3" t="s">
        <v>542</v>
      </c>
      <c r="E21" s="3" t="s">
        <v>543</v>
      </c>
      <c r="H21" s="1">
        <v>20</v>
      </c>
      <c r="I21" s="2" t="str">
        <f t="shared" si="0"/>
        <v>接下来3局非星级评鉴（星级评鉴），分数要求为1</v>
      </c>
      <c r="N21">
        <f>N20*0.8</f>
        <v>1120</v>
      </c>
    </row>
    <row r="22" ht="17.25" customHeight="1" spans="2:14">
      <c r="B22" s="4"/>
      <c r="C22" s="3"/>
      <c r="D22" s="3" t="s">
        <v>544</v>
      </c>
      <c r="E22" s="3" t="s">
        <v>545</v>
      </c>
      <c r="H22" s="1">
        <v>21</v>
      </c>
      <c r="I22" s="2" t="str">
        <f t="shared" si="0"/>
        <v>日常营业目标美味值-10%</v>
      </c>
      <c r="N22">
        <f>N21*0.15</f>
        <v>168</v>
      </c>
    </row>
    <row r="23" ht="17.25" customHeight="1" spans="2:9">
      <c r="B23" s="4"/>
      <c r="C23" s="3"/>
      <c r="D23" s="3" t="s">
        <v>546</v>
      </c>
      <c r="E23" s="3" t="s">
        <v>547</v>
      </c>
      <c r="H23" s="1">
        <v>22</v>
      </c>
      <c r="I23" s="2" t="str">
        <f t="shared" si="0"/>
        <v>火热营业目标美味值-10%</v>
      </c>
    </row>
    <row r="24" ht="17.25" customHeight="1" spans="2:9">
      <c r="B24" s="4"/>
      <c r="C24" s="4"/>
      <c r="D24" s="3" t="s">
        <v>548</v>
      </c>
      <c r="E24" s="3" t="s">
        <v>549</v>
      </c>
      <c r="H24" s="1">
        <v>23</v>
      </c>
      <c r="I24" s="2" t="str">
        <f t="shared" si="0"/>
        <v>星级评鉴食物目标美味值-10%</v>
      </c>
    </row>
    <row r="25" ht="17.25" customHeight="1" spans="2:9">
      <c r="B25" s="4"/>
      <c r="C25" s="4" t="s">
        <v>550</v>
      </c>
      <c r="D25" s="3" t="s">
        <v>551</v>
      </c>
      <c r="E25" s="3" t="s">
        <v>552</v>
      </c>
      <c r="H25" s="1">
        <v>24</v>
      </c>
      <c r="I25" s="2" t="str">
        <f t="shared" si="0"/>
        <v>结算时，食物数量小于等于10，所有食物倍率×1.1</v>
      </c>
    </row>
    <row r="26" ht="17.25" customHeight="1" spans="2:16">
      <c r="B26" s="4"/>
      <c r="C26" s="4"/>
      <c r="D26" s="3" t="s">
        <v>551</v>
      </c>
      <c r="E26" s="3" t="s">
        <v>553</v>
      </c>
      <c r="H26" s="1">
        <v>25</v>
      </c>
      <c r="I26" s="2" t="str">
        <f t="shared" si="0"/>
        <v>结算时，食物数量大于等于10，所有食物倍率×1.1</v>
      </c>
      <c r="P26">
        <v>180</v>
      </c>
    </row>
    <row r="27" ht="17.25" customHeight="1" spans="2:18">
      <c r="B27" s="4"/>
      <c r="C27" s="3" t="s">
        <v>554</v>
      </c>
      <c r="D27" s="3" t="s">
        <v>555</v>
      </c>
      <c r="E27" s="3" t="s">
        <v>556</v>
      </c>
      <c r="H27" s="1">
        <v>26</v>
      </c>
      <c r="I27" s="2" t="str">
        <f t="shared" si="0"/>
        <v>结算时，食物倍率+0倍（每结算1个食物+0.1倍）</v>
      </c>
      <c r="R27">
        <v>60</v>
      </c>
    </row>
    <row r="28" ht="17.25" customHeight="1" spans="2:9">
      <c r="B28" s="4"/>
      <c r="C28" s="4" t="s">
        <v>557</v>
      </c>
      <c r="D28" s="3" t="s">
        <v>558</v>
      </c>
      <c r="E28" s="3" t="s">
        <v>559</v>
      </c>
      <c r="H28" s="1">
        <v>27</v>
      </c>
      <c r="I28" s="2" t="str">
        <f t="shared" si="0"/>
        <v>所有食物基础分数永久+10</v>
      </c>
    </row>
    <row r="29" ht="17.25" customHeight="1" spans="2:9">
      <c r="B29" s="4"/>
      <c r="C29" s="3" t="s">
        <v>560</v>
      </c>
      <c r="D29" s="3" t="s">
        <v>558</v>
      </c>
      <c r="E29" s="3" t="s">
        <v>561</v>
      </c>
      <c r="H29" s="1">
        <v>28</v>
      </c>
      <c r="I29" s="2" t="str">
        <f t="shared" si="0"/>
        <v>所有食物基础倍率永久+0.2</v>
      </c>
    </row>
    <row r="30" ht="17.25" customHeight="1" spans="2:9">
      <c r="B30" s="4"/>
      <c r="C30" s="3" t="s">
        <v>562</v>
      </c>
      <c r="D30" s="3" t="s">
        <v>563</v>
      </c>
      <c r="E30" s="3" t="s">
        <v>564</v>
      </c>
      <c r="H30" s="1">
        <v>29</v>
      </c>
      <c r="I30" s="2" t="str">
        <f t="shared" si="0"/>
        <v>每5次上菜后，下一次上菜，可以看见食物是什么</v>
      </c>
    </row>
    <row r="31" ht="17.25" customHeight="1" spans="2:9">
      <c r="B31" s="4"/>
      <c r="C31" s="3"/>
      <c r="D31" s="3" t="s">
        <v>563</v>
      </c>
      <c r="E31" s="3" t="s">
        <v>565</v>
      </c>
      <c r="H31" s="1">
        <v>30</v>
      </c>
      <c r="I31" s="2" t="str">
        <f t="shared" si="0"/>
        <v>每局前三次上菜，可以看见食物</v>
      </c>
    </row>
    <row r="32" ht="17.25" customHeight="1" spans="2:9">
      <c r="B32" s="4"/>
      <c r="C32" s="3" t="s">
        <v>566</v>
      </c>
      <c r="D32" s="3" t="s">
        <v>566</v>
      </c>
      <c r="E32" s="3" t="s">
        <v>567</v>
      </c>
      <c r="H32" s="1">
        <v>31</v>
      </c>
      <c r="I32" s="2" t="str">
        <f t="shared" si="0"/>
        <v>随机将5个食物，变为至少同品质的食物</v>
      </c>
    </row>
    <row r="33" ht="17.25" customHeight="1" spans="2:9">
      <c r="B33" s="4"/>
      <c r="C33" s="4"/>
      <c r="D33" s="3" t="s">
        <v>568</v>
      </c>
      <c r="E33" s="3" t="s">
        <v>569</v>
      </c>
      <c r="H33" s="1">
        <v>32</v>
      </c>
      <c r="I33" s="2" t="str">
        <f t="shared" si="0"/>
        <v>进入商店时，获得10金币</v>
      </c>
    </row>
    <row r="34" ht="17.25" customHeight="1" spans="2:9">
      <c r="B34" s="4"/>
      <c r="C34" s="4"/>
      <c r="D34" s="3" t="s">
        <v>570</v>
      </c>
      <c r="E34" s="3" t="s">
        <v>571</v>
      </c>
      <c r="H34" s="1">
        <v>33</v>
      </c>
      <c r="I34" s="2" t="str">
        <f t="shared" si="0"/>
        <v>每周结束，额外执行一次利息</v>
      </c>
    </row>
    <row r="35" ht="17.25" customHeight="1" spans="2:9">
      <c r="B35" s="4"/>
      <c r="C35" s="3"/>
      <c r="D35" s="3" t="s">
        <v>572</v>
      </c>
      <c r="E35" s="3" t="s">
        <v>573</v>
      </c>
      <c r="H35" s="1">
        <v>34</v>
      </c>
      <c r="I35" s="2" t="str">
        <f t="shared" si="0"/>
        <v>回合结束金币小于10时，获得10金币</v>
      </c>
    </row>
    <row r="36" ht="17.25" customHeight="1" spans="2:11">
      <c r="B36" s="4"/>
      <c r="C36" s="3"/>
      <c r="D36" s="6" t="s">
        <v>574</v>
      </c>
      <c r="E36" s="3" t="s">
        <v>575</v>
      </c>
      <c r="H36" s="1">
        <v>35</v>
      </c>
      <c r="I36" s="2" t="str">
        <f t="shared" si="0"/>
        <v>利息上限扩展到10金币</v>
      </c>
      <c r="K36">
        <f>15*6</f>
        <v>90</v>
      </c>
    </row>
    <row r="37" ht="17.25" customHeight="1" spans="2:9">
      <c r="B37" s="4"/>
      <c r="C37" s="3"/>
      <c r="D37" s="3" t="s">
        <v>576</v>
      </c>
      <c r="E37" s="3" t="s">
        <v>577</v>
      </c>
      <c r="H37" s="1">
        <v>36</v>
      </c>
      <c r="I37" s="2" t="str">
        <f t="shared" si="0"/>
        <v>临时获得300金币，下一周失去600金币</v>
      </c>
    </row>
    <row r="38" ht="17.25" customHeight="1" spans="2:11">
      <c r="B38" s="4"/>
      <c r="C38" s="3" t="s">
        <v>578</v>
      </c>
      <c r="D38" s="3" t="s">
        <v>505</v>
      </c>
      <c r="E38" s="3" t="s">
        <v>579</v>
      </c>
      <c r="H38" s="1">
        <v>37</v>
      </c>
      <c r="I38" s="2" t="str">
        <f t="shared" si="0"/>
        <v>随机化时间轴的节点行动。</v>
      </c>
      <c r="K38">
        <f>3*50</f>
        <v>150</v>
      </c>
    </row>
    <row r="39" ht="17.25" customHeight="1" spans="2:9">
      <c r="B39" s="4"/>
      <c r="C39" s="4"/>
      <c r="D39" s="3" t="s">
        <v>580</v>
      </c>
      <c r="E39" s="3" t="s">
        <v>581</v>
      </c>
      <c r="H39" s="1">
        <v>38</v>
      </c>
      <c r="I39" s="2" t="str">
        <f t="shared" si="0"/>
        <v>延后所有星级评鉴一天</v>
      </c>
    </row>
    <row r="40" ht="17.25" customHeight="1" spans="2:11">
      <c r="B40" s="4"/>
      <c r="C40" s="4"/>
      <c r="D40" s="3" t="s">
        <v>582</v>
      </c>
      <c r="E40" s="3" t="s">
        <v>582</v>
      </c>
      <c r="H40" s="1">
        <v>39</v>
      </c>
      <c r="I40" s="2" t="str">
        <f t="shared" si="0"/>
        <v>周数-1</v>
      </c>
      <c r="K40" t="s">
        <v>583</v>
      </c>
    </row>
    <row r="41" ht="17.25" customHeight="1" spans="2:9">
      <c r="B41" s="4"/>
      <c r="C41" s="4"/>
      <c r="D41" s="3" t="s">
        <v>584</v>
      </c>
      <c r="E41" s="3" t="s">
        <v>585</v>
      </c>
      <c r="H41" s="1">
        <v>40</v>
      </c>
      <c r="I41" s="2" t="str">
        <f t="shared" si="0"/>
        <v>增加一个奖励节点到时间轴上</v>
      </c>
    </row>
    <row r="42" ht="17.25" customHeight="1" spans="2:9">
      <c r="B42" s="4"/>
      <c r="C42" s="4"/>
      <c r="D42" s="3" t="s">
        <v>586</v>
      </c>
      <c r="E42" s="3" t="s">
        <v>587</v>
      </c>
      <c r="H42" s="1">
        <v>41</v>
      </c>
      <c r="I42" s="2" t="str">
        <f t="shared" si="0"/>
        <v>增加一个利息节点到时间轴上</v>
      </c>
    </row>
    <row r="43" ht="17.25" customHeight="1" spans="2:9">
      <c r="B43" s="4"/>
      <c r="C43" s="4" t="s">
        <v>588</v>
      </c>
      <c r="D43" s="3" t="s">
        <v>589</v>
      </c>
      <c r="E43" s="3" t="s">
        <v>590</v>
      </c>
      <c r="H43" s="1">
        <v>42</v>
      </c>
      <c r="I43" s="2" t="str">
        <f t="shared" si="0"/>
        <v>每上3个食物后，下1个食物倍率+2</v>
      </c>
    </row>
    <row r="44" ht="17.25" customHeight="1" spans="2:9">
      <c r="B44" s="4"/>
      <c r="C44" s="3"/>
      <c r="D44" s="3" t="s">
        <v>591</v>
      </c>
      <c r="E44" s="3" t="s">
        <v>592</v>
      </c>
      <c r="H44" s="1">
        <v>43</v>
      </c>
      <c r="I44" s="2" t="str">
        <f t="shared" si="0"/>
        <v>第一个上的食物，倍率×2</v>
      </c>
    </row>
    <row r="45" ht="17.25" customHeight="1" spans="2:9">
      <c r="B45" s="4"/>
      <c r="C45" s="4"/>
      <c r="D45" s="3" t="s">
        <v>593</v>
      </c>
      <c r="E45" s="3" t="s">
        <v>594</v>
      </c>
      <c r="H45" s="1">
        <v>44</v>
      </c>
      <c r="I45" s="2" t="str">
        <f t="shared" si="0"/>
        <v>最后一个上的食物，倍率×2</v>
      </c>
    </row>
    <row r="46" ht="17.25" customHeight="1" spans="2:15">
      <c r="B46" s="4"/>
      <c r="C46" s="4" t="s">
        <v>595</v>
      </c>
      <c r="D46" s="3" t="s">
        <v>596</v>
      </c>
      <c r="E46" s="3" t="s">
        <v>597</v>
      </c>
      <c r="H46" s="1">
        <v>45</v>
      </c>
      <c r="I46" s="2" t="str">
        <f t="shared" si="0"/>
        <v>增加2个额外消耗品栏</v>
      </c>
      <c r="L46">
        <v>4</v>
      </c>
      <c r="N46">
        <v>2</v>
      </c>
      <c r="O46">
        <v>3</v>
      </c>
    </row>
    <row r="47" ht="17.25" customHeight="1" spans="2:12">
      <c r="B47" s="4"/>
      <c r="C47" s="4"/>
      <c r="D47" s="3" t="s">
        <v>508</v>
      </c>
      <c r="E47" s="3" t="s">
        <v>598</v>
      </c>
      <c r="H47" s="1">
        <v>46</v>
      </c>
      <c r="I47" s="2" t="str">
        <f t="shared" si="0"/>
        <v>使用消耗品时，获得20金币</v>
      </c>
      <c r="L47">
        <v>9</v>
      </c>
    </row>
    <row r="48" ht="17.25" customHeight="1" spans="2:9">
      <c r="B48" s="4"/>
      <c r="C48" s="4"/>
      <c r="D48" s="3" t="s">
        <v>599</v>
      </c>
      <c r="E48" s="3" t="s">
        <v>600</v>
      </c>
      <c r="H48" s="1">
        <v>47</v>
      </c>
      <c r="I48" s="2" t="str">
        <f t="shared" si="0"/>
        <v>无法获得消耗品，获得1000金币</v>
      </c>
    </row>
    <row r="49" ht="17.25" customHeight="1" spans="2:9">
      <c r="B49" s="4"/>
      <c r="C49" s="3" t="s">
        <v>601</v>
      </c>
      <c r="D49" s="3" t="s">
        <v>602</v>
      </c>
      <c r="E49" s="3" t="s">
        <v>603</v>
      </c>
      <c r="H49" s="1">
        <v>48</v>
      </c>
      <c r="I49" s="2" t="str">
        <f t="shared" si="0"/>
        <v>强化两个随机风味到无风味食物上</v>
      </c>
    </row>
    <row r="50" ht="17.25" customHeight="1" spans="2:9">
      <c r="B50" s="4"/>
      <c r="C50" s="4"/>
      <c r="D50" s="3" t="s">
        <v>604</v>
      </c>
      <c r="E50" s="3" t="s">
        <v>605</v>
      </c>
      <c r="H50" s="1">
        <v>49</v>
      </c>
      <c r="I50" s="2" t="str">
        <f t="shared" si="0"/>
        <v>移除1个食物的风味，获得200金币</v>
      </c>
    </row>
    <row r="51" ht="17.25" customHeight="1" spans="2:9">
      <c r="B51" s="4"/>
      <c r="C51" s="4"/>
      <c r="D51" s="3" t="s">
        <v>606</v>
      </c>
      <c r="E51" s="3" t="s">
        <v>607</v>
      </c>
      <c r="H51" s="1">
        <v>50</v>
      </c>
      <c r="I51" s="2" t="str">
        <f t="shared" si="0"/>
        <v>移除1个食物的风味，其技能复制</v>
      </c>
    </row>
    <row r="52" ht="17.25" customHeight="1" spans="2:9">
      <c r="B52" s="4"/>
      <c r="C52" s="3"/>
      <c r="D52" s="3" t="s">
        <v>608</v>
      </c>
      <c r="E52" s="3" t="s">
        <v>609</v>
      </c>
      <c r="H52" s="1">
        <v>51</v>
      </c>
      <c r="I52" s="2" t="str">
        <f t="shared" si="0"/>
        <v>移除1个食物的风味，其分数翻倍</v>
      </c>
    </row>
    <row r="53" ht="17.25" customHeight="1" spans="2:9">
      <c r="B53" s="4"/>
      <c r="C53" s="4"/>
      <c r="D53" s="3" t="s">
        <v>610</v>
      </c>
      <c r="E53" s="3" t="s">
        <v>611</v>
      </c>
      <c r="H53" s="1">
        <v>52</v>
      </c>
      <c r="I53" s="2" t="str">
        <f t="shared" si="0"/>
        <v>允许1个食物拥有两个风味</v>
      </c>
    </row>
    <row r="54" ht="17.25" customHeight="1" spans="2:9">
      <c r="B54" s="4"/>
      <c r="C54" s="4"/>
      <c r="D54" s="3" t="s">
        <v>612</v>
      </c>
      <c r="E54" s="3" t="s">
        <v>613</v>
      </c>
      <c r="H54" s="1">
        <v>53</v>
      </c>
      <c r="I54" s="2" t="str">
        <f t="shared" si="0"/>
        <v>将1个食物的风味强化到无风味食物上</v>
      </c>
    </row>
    <row r="55" ht="17.25" customHeight="1" spans="2:9">
      <c r="B55" s="4"/>
      <c r="C55" s="3" t="s">
        <v>614</v>
      </c>
      <c r="D55" s="3" t="s">
        <v>615</v>
      </c>
      <c r="E55" s="3" t="s">
        <v>616</v>
      </c>
      <c r="H55" s="1">
        <v>54</v>
      </c>
      <c r="I55" s="2" t="str">
        <f t="shared" si="0"/>
        <v>强化两个随机标签到胃部格子上</v>
      </c>
    </row>
    <row r="56" ht="17.25" customHeight="1" spans="2:9">
      <c r="B56" s="4"/>
      <c r="C56" s="4"/>
      <c r="D56" s="3" t="s">
        <v>617</v>
      </c>
      <c r="E56" s="3" t="s">
        <v>618</v>
      </c>
      <c r="H56" s="1">
        <v>55</v>
      </c>
      <c r="I56" s="2" t="str">
        <f t="shared" si="0"/>
        <v>将一个格子的标签强化到其他格子上</v>
      </c>
    </row>
    <row r="57" ht="17.25" customHeight="1" spans="2:9">
      <c r="B57" s="4"/>
      <c r="C57" s="4" t="s">
        <v>619</v>
      </c>
      <c r="D57" s="3" t="s">
        <v>620</v>
      </c>
      <c r="E57" s="3" t="s">
        <v>621</v>
      </c>
      <c r="H57" s="1">
        <v>56</v>
      </c>
      <c r="I57" s="2" t="str">
        <f t="shared" si="0"/>
        <v>每4个事件的最后一个是奖励事件</v>
      </c>
    </row>
    <row r="58" ht="17.25" customHeight="1" spans="2:9">
      <c r="B58" s="4"/>
      <c r="C58" s="4"/>
      <c r="D58" s="3" t="s">
        <v>620</v>
      </c>
      <c r="E58" s="3" t="s">
        <v>622</v>
      </c>
      <c r="H58" s="1">
        <v>57</v>
      </c>
      <c r="I58" s="2" t="str">
        <f t="shared" si="0"/>
        <v>事件中遇到奖励的概率提高</v>
      </c>
    </row>
    <row r="59" ht="17.25" customHeight="1" spans="2:9">
      <c r="B59" s="4"/>
      <c r="C59" s="4"/>
      <c r="D59" s="3" t="s">
        <v>623</v>
      </c>
      <c r="E59" s="3" t="s">
        <v>624</v>
      </c>
      <c r="H59" s="1">
        <v>58</v>
      </c>
      <c r="I59" s="2" t="str">
        <f t="shared" si="0"/>
        <v>遇到事件的概率提高</v>
      </c>
    </row>
    <row r="60" ht="17.25" customHeight="1" spans="2:9">
      <c r="B60" s="4"/>
      <c r="C60" s="4"/>
      <c r="D60" s="3" t="s">
        <v>625</v>
      </c>
      <c r="E60" s="3" t="s">
        <v>626</v>
      </c>
      <c r="H60" s="1">
        <v>59</v>
      </c>
      <c r="I60" s="2" t="str">
        <f t="shared" si="0"/>
        <v>完成一个事件，获得10金币</v>
      </c>
    </row>
    <row r="61" ht="17.25" customHeight="1" spans="2:9">
      <c r="B61" s="4"/>
      <c r="C61" s="3"/>
      <c r="D61" s="3" t="s">
        <v>627</v>
      </c>
      <c r="E61" s="3" t="s">
        <v>628</v>
      </c>
      <c r="H61" s="1">
        <v>60</v>
      </c>
      <c r="I61" s="2" t="str">
        <f t="shared" si="0"/>
        <v>获得2次重新普通行动的</v>
      </c>
    </row>
    <row r="62" ht="17.25" customHeight="1" spans="2:9">
      <c r="B62" s="4"/>
      <c r="C62" s="4" t="s">
        <v>629</v>
      </c>
      <c r="D62" s="3" t="s">
        <v>630</v>
      </c>
      <c r="E62" s="3" t="s">
        <v>631</v>
      </c>
      <c r="H62" s="1">
        <v>61</v>
      </c>
      <c r="I62" s="2" t="str">
        <f t="shared" si="0"/>
        <v>商店会自动补货</v>
      </c>
    </row>
    <row r="63" ht="17.25" customHeight="1" spans="2:9">
      <c r="B63" s="4"/>
      <c r="C63" s="3" t="s">
        <v>632</v>
      </c>
      <c r="D63" s="3" t="s">
        <v>633</v>
      </c>
      <c r="E63" s="3" t="s">
        <v>634</v>
      </c>
      <c r="H63" s="1">
        <v>62</v>
      </c>
      <c r="I63" s="2" t="str">
        <f t="shared" si="0"/>
        <v>多选一食物时，可选数量+1</v>
      </c>
    </row>
    <row r="64" ht="17.25" customHeight="1" spans="2:9">
      <c r="B64" s="4"/>
      <c r="C64" s="4"/>
      <c r="D64" s="3" t="s">
        <v>635</v>
      </c>
      <c r="E64" s="3" t="s">
        <v>636</v>
      </c>
      <c r="H64" s="1">
        <v>63</v>
      </c>
      <c r="I64" s="2" t="str">
        <f t="shared" si="0"/>
        <v>多选一食物时，可选次数+1，可选数量-1</v>
      </c>
    </row>
    <row r="65" ht="17.25" customHeight="1" spans="2:9">
      <c r="B65" s="4"/>
      <c r="C65" s="4"/>
      <c r="D65" s="3" t="s">
        <v>637</v>
      </c>
      <c r="E65" s="3" t="s">
        <v>638</v>
      </c>
      <c r="H65" s="1">
        <v>64</v>
      </c>
      <c r="I65" s="2" t="str">
        <f t="shared" si="0"/>
        <v>每3次日常营业，额外获得一个多选一食物</v>
      </c>
    </row>
    <row r="66" ht="17.25" customHeight="1" spans="2:9">
      <c r="B66" s="4"/>
      <c r="C66" s="4"/>
      <c r="D66" s="3" t="s">
        <v>639</v>
      </c>
      <c r="E66" s="3" t="s">
        <v>640</v>
      </c>
      <c r="H66" s="1">
        <v>65</v>
      </c>
      <c r="I66" s="2" t="str">
        <f t="shared" ref="I66:I94" si="1">E66</f>
        <v>每3次火热营业，额外获得一个多选一物品</v>
      </c>
    </row>
    <row r="67" ht="17.25" customHeight="1" spans="2:9">
      <c r="B67" s="4"/>
      <c r="C67" s="4"/>
      <c r="D67" s="3" t="s">
        <v>641</v>
      </c>
      <c r="E67" s="3" t="s">
        <v>642</v>
      </c>
      <c r="H67" s="1">
        <v>66</v>
      </c>
      <c r="I67" s="2" t="str">
        <f t="shared" si="1"/>
        <v>随机复制1个食物</v>
      </c>
    </row>
    <row r="68" ht="17.25" customHeight="1" spans="2:9">
      <c r="B68" s="4"/>
      <c r="C68" s="3" t="s">
        <v>643</v>
      </c>
      <c r="D68" s="3" t="s">
        <v>644</v>
      </c>
      <c r="E68" s="3" t="s">
        <v>645</v>
      </c>
      <c r="H68" s="1">
        <v>67</v>
      </c>
      <c r="I68" s="2" t="str">
        <f t="shared" si="1"/>
        <v>移除两个诅咒装饰品</v>
      </c>
    </row>
    <row r="69" ht="17.25" customHeight="1" spans="2:9">
      <c r="B69" s="4"/>
      <c r="C69" s="3"/>
      <c r="D69" s="3" t="s">
        <v>646</v>
      </c>
      <c r="E69" s="3" t="s">
        <v>647</v>
      </c>
      <c r="H69" s="1">
        <v>68</v>
      </c>
      <c r="I69" s="2" t="str">
        <f t="shared" si="1"/>
        <v>移除所有诅咒装饰品，每移除一个获得100金币</v>
      </c>
    </row>
    <row r="70" ht="17.25" customHeight="1" spans="2:9">
      <c r="B70" s="4" t="s">
        <v>648</v>
      </c>
      <c r="C70" s="4" t="s">
        <v>649</v>
      </c>
      <c r="D70" s="3" t="s">
        <v>650</v>
      </c>
      <c r="E70" s="3" t="s">
        <v>651</v>
      </c>
      <c r="H70" s="1">
        <v>69</v>
      </c>
      <c r="I70" s="2" t="str">
        <f t="shared" si="1"/>
        <v>食物获得的金币减少25%</v>
      </c>
    </row>
    <row r="71" ht="17.25" customHeight="1" spans="2:9">
      <c r="B71" s="4"/>
      <c r="C71" s="4"/>
      <c r="D71" s="3" t="s">
        <v>652</v>
      </c>
      <c r="E71" s="3" t="s">
        <v>653</v>
      </c>
      <c r="H71" s="1">
        <v>70</v>
      </c>
      <c r="I71" s="2" t="str">
        <f t="shared" si="1"/>
        <v>商店的价格变高25%</v>
      </c>
    </row>
    <row r="72" ht="17.25" customHeight="1" spans="2:9">
      <c r="B72" s="4"/>
      <c r="C72" s="4"/>
      <c r="D72" s="3" t="s">
        <v>654</v>
      </c>
      <c r="E72" s="3" t="s">
        <v>655</v>
      </c>
      <c r="H72" s="1">
        <v>71</v>
      </c>
      <c r="I72" s="2" t="str">
        <f t="shared" si="1"/>
        <v>无法再移除食物</v>
      </c>
    </row>
    <row r="73" ht="17.25" customHeight="1" spans="2:9">
      <c r="B73" s="4"/>
      <c r="C73" s="4"/>
      <c r="D73" s="3" t="s">
        <v>656</v>
      </c>
      <c r="E73" s="3" t="s">
        <v>657</v>
      </c>
      <c r="H73" s="1">
        <v>72</v>
      </c>
      <c r="I73" s="2" t="str">
        <f t="shared" si="1"/>
        <v>跳过下一个商店或利息节点</v>
      </c>
    </row>
    <row r="74" ht="17.25" customHeight="1" spans="2:9">
      <c r="B74" s="4"/>
      <c r="C74" s="3"/>
      <c r="D74" s="3" t="s">
        <v>658</v>
      </c>
      <c r="E74" s="3" t="s">
        <v>659</v>
      </c>
      <c r="H74" s="1">
        <v>73</v>
      </c>
      <c r="I74" s="2" t="str">
        <f t="shared" si="1"/>
        <v>多选一食物时，可选数量-1</v>
      </c>
    </row>
    <row r="75" ht="17.25" customHeight="1" spans="2:9">
      <c r="B75" s="4"/>
      <c r="C75" s="3"/>
      <c r="D75" s="3" t="s">
        <v>660</v>
      </c>
      <c r="E75" s="3" t="s">
        <v>661</v>
      </c>
      <c r="H75" s="1">
        <v>74</v>
      </c>
      <c r="I75" s="2" t="str">
        <f t="shared" si="1"/>
        <v>日常营业目标美味值+10%</v>
      </c>
    </row>
    <row r="76" ht="17.25" customHeight="1" spans="2:9">
      <c r="B76" s="3"/>
      <c r="C76" s="3"/>
      <c r="D76" s="3" t="s">
        <v>662</v>
      </c>
      <c r="E76" s="3" t="s">
        <v>663</v>
      </c>
      <c r="H76" s="1">
        <v>75</v>
      </c>
      <c r="I76" s="2" t="str">
        <f t="shared" si="1"/>
        <v>火热营业目标美味值+10%</v>
      </c>
    </row>
    <row r="77" ht="17.25" customHeight="1" spans="2:9">
      <c r="B77" s="4"/>
      <c r="C77" s="4"/>
      <c r="D77" s="3" t="s">
        <v>664</v>
      </c>
      <c r="E77" s="3" t="s">
        <v>665</v>
      </c>
      <c r="H77" s="1">
        <v>76</v>
      </c>
      <c r="I77" s="2" t="str">
        <f t="shared" si="1"/>
        <v>星级评鉴食物目标美味值+10%</v>
      </c>
    </row>
    <row r="78" ht="17.25" customHeight="1" spans="2:9">
      <c r="B78" s="4"/>
      <c r="C78" s="4"/>
      <c r="D78" s="3" t="s">
        <v>666</v>
      </c>
      <c r="E78" s="3" t="s">
        <v>667</v>
      </c>
      <c r="H78" s="1">
        <v>77</v>
      </c>
      <c r="I78" s="2" t="str">
        <f t="shared" si="1"/>
        <v>本周结束时，金币清空</v>
      </c>
    </row>
    <row r="79" ht="17.25" customHeight="1" spans="2:9">
      <c r="B79" s="4" t="s">
        <v>668</v>
      </c>
      <c r="C79" s="4" t="s">
        <v>669</v>
      </c>
      <c r="D79" s="3" t="s">
        <v>670</v>
      </c>
      <c r="E79" s="3" t="s">
        <v>671</v>
      </c>
      <c r="H79" s="1">
        <v>78</v>
      </c>
      <c r="I79" s="2" t="str">
        <f t="shared" si="1"/>
        <v>所有食物额外被视为1个食物</v>
      </c>
    </row>
    <row r="80" ht="17.25" customHeight="1" spans="2:9">
      <c r="B80" s="4"/>
      <c r="C80" s="4" t="s">
        <v>672</v>
      </c>
      <c r="D80" s="3" t="s">
        <v>673</v>
      </c>
      <c r="E80" s="3" t="s">
        <v>674</v>
      </c>
      <c r="H80" s="1">
        <v>79</v>
      </c>
      <c r="I80" s="2" t="str">
        <f t="shared" si="1"/>
        <v>传递时，被传递方倍率×1.1</v>
      </c>
    </row>
    <row r="81" ht="17.25" customHeight="1" spans="2:9">
      <c r="B81" s="4"/>
      <c r="C81" s="4"/>
      <c r="D81" s="3" t="s">
        <v>673</v>
      </c>
      <c r="E81" s="3" t="s">
        <v>675</v>
      </c>
      <c r="H81" s="1">
        <v>80</v>
      </c>
      <c r="I81" s="2" t="str">
        <f t="shared" si="1"/>
        <v>传递时，传递方倍率×1.1</v>
      </c>
    </row>
    <row r="82" ht="17.25" customHeight="1" spans="2:9">
      <c r="B82" s="4"/>
      <c r="C82" s="4"/>
      <c r="D82" s="3" t="s">
        <v>676</v>
      </c>
      <c r="E82" s="3" t="s">
        <v>677</v>
      </c>
      <c r="H82" s="1">
        <v>81</v>
      </c>
      <c r="I82" s="2" t="str">
        <f t="shared" si="1"/>
        <v>结算时，倍率×1（每一个技能+0.1倍）</v>
      </c>
    </row>
    <row r="83" ht="17.25" customHeight="1" spans="2:9">
      <c r="B83" s="4"/>
      <c r="C83" s="4"/>
      <c r="D83" s="3" t="s">
        <v>678</v>
      </c>
      <c r="E83" s="3" t="s">
        <v>679</v>
      </c>
      <c r="H83" s="1">
        <v>82</v>
      </c>
      <c r="I83" s="2" t="str">
        <f t="shared" si="1"/>
        <v>传递10次后，获得10金币</v>
      </c>
    </row>
    <row r="84" ht="17.25" customHeight="1" spans="2:9">
      <c r="B84" s="4"/>
      <c r="C84" s="4" t="s">
        <v>680</v>
      </c>
      <c r="D84" s="3" t="s">
        <v>681</v>
      </c>
      <c r="E84" s="3" t="s">
        <v>682</v>
      </c>
      <c r="H84" s="1">
        <v>83</v>
      </c>
      <c r="I84" s="2" t="str">
        <f t="shared" si="1"/>
        <v>每次保留10%的蛋糕层数至下一场经营挑战</v>
      </c>
    </row>
    <row r="85" ht="17.25" customHeight="1" spans="2:9">
      <c r="B85" s="3"/>
      <c r="C85" s="3"/>
      <c r="D85" s="3" t="s">
        <v>683</v>
      </c>
      <c r="E85" s="3" t="s">
        <v>684</v>
      </c>
      <c r="H85" s="1">
        <v>84</v>
      </c>
      <c r="I85" s="2" t="str">
        <f t="shared" si="1"/>
        <v>蛋糕层数初始额外获得10层</v>
      </c>
    </row>
    <row r="86" ht="17.25" customHeight="1" spans="2:9">
      <c r="B86" s="4"/>
      <c r="C86" s="3"/>
      <c r="D86" s="3" t="s">
        <v>685</v>
      </c>
      <c r="E86" s="3" t="s">
        <v>686</v>
      </c>
      <c r="H86" s="1">
        <v>85</v>
      </c>
      <c r="I86" s="2" t="str">
        <f t="shared" si="1"/>
        <v>蛋糕层数增加时，额外加1层</v>
      </c>
    </row>
    <row r="87" ht="17.25" customHeight="1" spans="2:9">
      <c r="B87" s="4"/>
      <c r="C87" s="4"/>
      <c r="D87" s="3" t="s">
        <v>687</v>
      </c>
      <c r="E87" s="3" t="s">
        <v>688</v>
      </c>
      <c r="H87" s="1">
        <v>86</v>
      </c>
      <c r="I87" s="2" t="str">
        <f t="shared" si="1"/>
        <v>蛋糕层数大于100层时，获得10金币</v>
      </c>
    </row>
    <row r="88" ht="17.25" customHeight="1" spans="2:9">
      <c r="B88" s="4"/>
      <c r="C88" s="4"/>
      <c r="D88" s="3" t="s">
        <v>689</v>
      </c>
      <c r="E88" s="3" t="s">
        <v>690</v>
      </c>
      <c r="H88" s="1">
        <v>87</v>
      </c>
      <c r="I88" s="2" t="str">
        <f t="shared" si="1"/>
        <v>蛋糕效果需求的层数-10</v>
      </c>
    </row>
    <row r="89" ht="17.25" customHeight="1" spans="2:9">
      <c r="B89" s="4"/>
      <c r="C89" s="4"/>
      <c r="D89" s="3"/>
      <c r="E89" s="3"/>
      <c r="H89" s="1">
        <v>88</v>
      </c>
      <c r="I89" s="2">
        <f t="shared" si="1"/>
        <v>0</v>
      </c>
    </row>
    <row r="90" ht="17.25" customHeight="1" spans="3:9">
      <c r="C90" s="3"/>
      <c r="D90" s="3"/>
      <c r="E90" s="3"/>
      <c r="I90" s="2">
        <f t="shared" si="1"/>
        <v>0</v>
      </c>
    </row>
    <row r="91" ht="17.25" customHeight="1" spans="2:9">
      <c r="B91" s="4"/>
      <c r="C91" s="4"/>
      <c r="D91" s="3"/>
      <c r="E91" s="3"/>
      <c r="I91" s="2">
        <f t="shared" si="1"/>
        <v>0</v>
      </c>
    </row>
    <row r="92" ht="17.25" customHeight="1" spans="2:9">
      <c r="B92" s="4"/>
      <c r="C92" s="4"/>
      <c r="D92" s="3"/>
      <c r="E92" s="3"/>
      <c r="I92" s="2">
        <f t="shared" si="1"/>
        <v>0</v>
      </c>
    </row>
    <row r="93" ht="17.25" customHeight="1" spans="2:9">
      <c r="B93" s="4"/>
      <c r="C93" s="4"/>
      <c r="D93" s="3"/>
      <c r="E93" s="3"/>
      <c r="I93" s="2">
        <f t="shared" si="1"/>
        <v>0</v>
      </c>
    </row>
    <row r="94" ht="17.25" customHeight="1" spans="2:9">
      <c r="B94" s="4"/>
      <c r="C94" s="4"/>
      <c r="D94" s="3"/>
      <c r="E94" s="3"/>
      <c r="I94" s="2">
        <f t="shared" si="1"/>
        <v>0</v>
      </c>
    </row>
    <row r="95" ht="17.25" customHeight="1" spans="2:5">
      <c r="B95" s="4"/>
      <c r="C95" s="4"/>
      <c r="D95" s="3"/>
      <c r="E95" s="3"/>
    </row>
    <row r="96" ht="17.25" customHeight="1" spans="2:2">
      <c r="B96" s="4"/>
    </row>
    <row r="97" ht="17.25" customHeight="1" spans="2:2">
      <c r="B97" s="4"/>
    </row>
    <row r="98" ht="17.25" customHeight="1" spans="2:2">
      <c r="B98" s="4"/>
    </row>
    <row r="99" ht="17.25" customHeight="1" spans="2:2">
      <c r="B99" s="4"/>
    </row>
    <row r="100" ht="17.25" customHeight="1" spans="2:2">
      <c r="B100" s="4"/>
    </row>
    <row r="101" ht="17.25" customHeight="1" spans="2:2">
      <c r="B101" s="4"/>
    </row>
    <row r="102" ht="17.25" customHeight="1" spans="2:2">
      <c r="B102" s="4"/>
    </row>
    <row r="103" ht="17.25" customHeight="1" spans="2:2">
      <c r="B103" s="4"/>
    </row>
    <row r="104" ht="17.25" customHeight="1" spans="2:2">
      <c r="B104" s="4"/>
    </row>
    <row r="105" ht="17.25" customHeight="1" spans="2:5">
      <c r="B105" s="4"/>
      <c r="C105" s="4"/>
      <c r="D105" s="3"/>
      <c r="E105" s="3"/>
    </row>
    <row r="121" spans="5:5">
      <c r="E121" s="8"/>
    </row>
    <row r="125" spans="5:5">
      <c r="E125" s="8" t="s">
        <v>691</v>
      </c>
    </row>
    <row r="126" spans="5:5">
      <c r="E126" s="8" t="s">
        <v>692</v>
      </c>
    </row>
    <row r="127" spans="5:5">
      <c r="E127" s="8" t="s">
        <v>693</v>
      </c>
    </row>
    <row r="128" spans="5:5">
      <c r="E128" s="8" t="s">
        <v>694</v>
      </c>
    </row>
    <row r="129" spans="5:5">
      <c r="E129" s="8" t="s">
        <v>695</v>
      </c>
    </row>
    <row r="130" spans="5:5">
      <c r="E130" s="8" t="s">
        <v>696</v>
      </c>
    </row>
    <row r="131" spans="5:5">
      <c r="E131" s="8" t="s">
        <v>697</v>
      </c>
    </row>
    <row r="132" spans="5:5">
      <c r="E132" s="8" t="s">
        <v>698</v>
      </c>
    </row>
    <row r="133" spans="5:5">
      <c r="E133" s="8" t="s">
        <v>699</v>
      </c>
    </row>
    <row r="134" spans="5:5">
      <c r="E134" s="8" t="s">
        <v>700</v>
      </c>
    </row>
    <row r="135" spans="5:5">
      <c r="E135" s="8" t="s">
        <v>701</v>
      </c>
    </row>
    <row r="136" spans="5:5">
      <c r="E136" s="8" t="s">
        <v>702</v>
      </c>
    </row>
    <row r="137" spans="5:5">
      <c r="E137" s="8" t="s">
        <v>703</v>
      </c>
    </row>
    <row r="138" spans="5:5">
      <c r="E138" s="8" t="s">
        <v>704</v>
      </c>
    </row>
    <row r="139" spans="5:5">
      <c r="E139" s="8" t="s">
        <v>705</v>
      </c>
    </row>
    <row r="140" spans="5:5">
      <c r="E140" s="8" t="s">
        <v>706</v>
      </c>
    </row>
    <row r="141" spans="5:5">
      <c r="E141" s="8" t="s">
        <v>707</v>
      </c>
    </row>
    <row r="142" spans="5:5">
      <c r="E142" s="8" t="s">
        <v>708</v>
      </c>
    </row>
    <row r="143" spans="5:5">
      <c r="E143" s="8" t="s">
        <v>709</v>
      </c>
    </row>
    <row r="144" spans="5:5">
      <c r="E144" s="8" t="s">
        <v>710</v>
      </c>
    </row>
    <row r="145" spans="5:5">
      <c r="E145" s="8" t="s">
        <v>711</v>
      </c>
    </row>
    <row r="146" spans="5:5">
      <c r="E146" s="8" t="s">
        <v>712</v>
      </c>
    </row>
    <row r="147" spans="5:5">
      <c r="E147" s="8" t="s">
        <v>713</v>
      </c>
    </row>
    <row r="148" spans="5:5">
      <c r="E148" s="8"/>
    </row>
    <row r="149" spans="5:5">
      <c r="E149" s="8"/>
    </row>
    <row r="150" spans="5:5">
      <c r="E150" s="8"/>
    </row>
    <row r="151" spans="5:5">
      <c r="E151" s="8"/>
    </row>
    <row r="152" spans="5:5">
      <c r="E152" s="8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装饰品</vt:lpstr>
      <vt:lpstr>消耗品</vt:lpstr>
      <vt:lpstr>装饰品与消耗品设计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2026-08-07T20:29:00Z</dcterms:created>
  <dcterms:modified xsi:type="dcterms:W3CDTF">2026-08-11T14:19:52Z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18B4066618699A404F80746AFA0CFC6D_42</vt:lpwstr>
  </property>
  <property fmtid="{D5CDD505-2E9C-101B-9397-08002B2CF9AE}" pid="3" name="KSOProductBuildVer">
    <vt:lpwstr>2052-6.1.0.8274</vt:lpwstr>
  </property>
</Properties>
</file>