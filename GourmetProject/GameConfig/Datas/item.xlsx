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09c3914014e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被动道具" sheetId="1" r:id="R7a5cdd10a4a54797"/>
    <x:sheet xmlns:r="http://schemas.openxmlformats.org/officeDocument/2006/relationships" name="主动道具" sheetId="2" r:id="Rd5a81547fe1f457d"/>
    <x:sheet xmlns:r="http://schemas.openxmlformats.org/officeDocument/2006/relationships" name="道具设计" sheetId="3" r:id="Rbc4fa4468efb421b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<x:sst xmlns:x="http://schemas.openxmlformats.org/spreadsheetml/2006/main">
  <x:si>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</x:si>
  <x:si>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</x:si>
  <x:si>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</x:si>
  <x:si>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</x:si>
  <x:si>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</x:si>
  <x:si>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</x:si>
  <x:si>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</x:si>
  <x:si>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</x:si>
  <x:si>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</x:si>
  <x:si>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</x:si>
  <x:si>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</x:si>
  <x:si>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</x:si>
  <x:si>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</x:si>
  <x:si>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activeItemHiddenOffset</x:t>
  </x:si>
  <x:si>
    <x:t xml:space="preserve">fragmentHiddenOffset</x:t>
  </x:si>
  <x:si>
    <x:t xml:space="preserve">goldHiddenOffset</x:t>
  </x:si>
  <x:si>
    <x:t xml:space="preserve">termId</x:t>
  </x:si>
  <x:si>
    <x:t xml:space="preserve">price</x:t>
  </x:si>
  <x:si>
    <x:t xml:space="preserve">##comment</x:t>
  </x:si>
  <x:si>
    <x:t xml:space="preserve">道具ID</x:t>
  </x:si>
  <x:si>
    <x:t xml:space="preserve">道具名称</x:t>
  </x:si>
  <x:si>
    <x:t xml:space="preserve">道具描述</x:t>
  </x:si>
  <x:si>
    <x:t xml:space="preserve">道具品质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</x:si>
  <x:si>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</x:si>
  <x:si>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</x:si>
  <x:si>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</x:si>
  <x:si>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</x:si>
  <x:si>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 min,max)</x:t>
  </x:si>
  <x:si>
    <x:t xml:space="preserve">目标分隐藏分修正</x:t>
  </x:si>
  <x:si>
    <x:t xml:space="preserve">食物隐藏分修正</x:t>
  </x:si>
  <x:si>
    <x:t xml:space="preserve">被动道具隐藏分修正</x:t>
  </x:si>
  <x:si>
    <x:t xml:space="preserve">主动道具隐藏分修正</x:t>
  </x:si>
  <x:si>
    <x:t xml:space="preserve">餐桌格子隐藏分修正</x:t>
  </x:si>
  <x:si>
    <x:t xml:space="preserve">金币隐藏分修正</x:t>
  </x:si>
  <x:si>
    <x:t xml:space="preserve">关联术语ID(可空,| 分隔)</x:t>
  </x:si>
  <x:si>
    <x:t xml:space="preserve">商店基础价格</x:t>
  </x:si>
  <x:si>
    <x:t xml:space="preserve">2周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</x:si>
  <x:si>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</x:si>
  <x:si>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</x:si>
  <x:si>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</x:si>
  <x:si>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</x:si>
  <x:si>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</x:si>
  <x:si>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</x:si>
  <x:si>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</x:si>
  <x:si>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3周</x:t>
  </x:si>
  <x:si>
    <x:t xml:space="preserve">item_grant_two_passive</x:t>
  </x:si>
  <x:si>
    <x:t xml:space="preserve">随机被动包</x:t>
  </x:si>
  <x:si>
    <x:t xml:space="preserve">随机获得2个被动道具</x:t>
  </x:si>
  <x:si>
    <x:t xml:space="preserve">Uncommon</x:t>
  </x:si>
  <x:si>
    <x:t xml:space="preserve">None</x:t>
  </x:si>
  <x:si>
    <x:t xml:space="preserve">passive_grant_2</x:t>
  </x:si>
  <x:si>
    <x:t xml:space="preserve">20,80</x:t>
  </x:si>
  <x:si>
    <x:t xml:space="preserve">4周</x:t>
  </x:si>
  <x:si>
    <x:t xml:space="preserve">item_grant_two_active</x:t>
  </x:si>
  <x:si>
    <x:t xml:space="preserve">随机主动包</x:t>
  </x:si>
  <x:si>
    <x:t xml:space="preserve">随机获得2个主动道具</x:t>
  </x:si>
  <x:si>
    <x:t xml:space="preserve">active_grant_2</x:t>
  </x:si>
  <x:si>
    <x:t xml:space="preserve">10,80</x:t>
  </x:si>
  <x:si>
    <x:t xml:space="preserve">item_family_pack</x:t>
  </x:si>
  <x:si>
    <x:t xml:space="preserve">全家福</x:t>
  </x:si>
  <x:si>
    <x:t xml:space="preserve">获得1个被动道具、食物和50金币</x:t>
  </x:si>
  <x:si>
    <x:t xml:space="preserve">Rare</x:t>
  </x:si>
  <x:si>
    <x:t xml:space="preserve">passive_choice_1|dish_grant_1</x:t>
  </x:si>
  <x:si>
    <x:t xml:space="preserve">30,80</x:t>
  </x:si>
  <x:si>
    <x:t xml:space="preserve">item_randomize_items</x:t>
  </x:si>
  <x:si>
    <x:t xml:space="preserve">混沌重置</x:t>
  </x:si>
  <x:si>
    <x:t xml:space="preserve">所有道具替换为随机道具</x:t>
  </x:si>
  <x:si>
    <x:t xml:space="preserve">item_gold_random</x:t>
  </x:si>
  <x:si>
    <x:t xml:space="preserve">随机金币</x:t>
  </x:si>
  <x:si>
    <x:t xml:space="preserve">获得 50~150金币</x:t>
  </x:si>
  <x:si>
    <x:t xml:space="preserve">Common</x:t>
  </x:si>
  <x:si>
    <x:t xml:space="preserve">range:50,150</x:t>
  </x:si>
  <x:si>
    <x:t xml:space="preserve">item_gold_meal_bonus</x:t>
  </x:si>
  <x:si>
    <x:t xml:space="preserve">美食分红</x:t>
  </x:si>
  <x:si>
    <x:t xml:space="preserve">接下来10次日常营业
额外获得20金币</x:t>
  </x:si>
  <x:si>
    <x:t xml:space="preserve">meals:10</x:t>
  </x:si>
  <x:si>
    <x:t xml:space="preserve">统计</x:t>
  </x:si>
  <x:si>
    <x:t xml:space="preserve">item_gold_boss</x:t>
  </x:si>
  <x:si>
    <x:t xml:space="preserve">Boss赏金</x:t>
  </x:si>
  <x:si>
    <x:t xml:space="preserve">完成下次星级评鉴
额外+100金币</x:t>
  </x:si>
  <x:si>
    <x:t xml:space="preserve">common</x:t>
  </x:si>
  <x:si>
    <x:t xml:space="preserve">item_gold_percent</x:t>
  </x:si>
  <x:si>
    <x:t xml:space="preserve">利润提成</x:t>
  </x:si>
  <x:si>
    <x:t xml:space="preserve">营业结束获得的金币
额外+20%</x:t>
  </x:si>
  <x:si>
    <x:t xml:space="preserve">uncommon</x:t>
  </x:si>
  <x:si>
    <x:t xml:space="preserve">item_trash_upgrade</x:t>
  </x:si>
  <x:si>
    <x:t xml:space="preserve">垃圾桶强化</x:t>
  </x:si>
  <x:si>
    <x:t xml:space="preserve">丢弃次数+1</x:t>
  </x:si>
  <x:si>
    <x:t xml:space="preserve">item_trash_expand</x:t>
  </x:si>
  <x:si>
    <x:t xml:space="preserve">垃圾桶扩容</x:t>
  </x:si>
  <x:si>
    <x:t xml:space="preserve">item_trash_evolve</x:t>
  </x:si>
  <x:si>
    <x:t xml:space="preserve">垃圾桶进化</x:t>
  </x:si>
  <x:si>
    <x:t xml:space="preserve">丢弃次数+2</x:t>
  </x:si>
  <x:si>
    <x:t xml:space="preserve">item_trash_mutate</x:t>
  </x:si>
  <x:si>
    <x:t xml:space="preserve">垃圾桶突变</x:t>
  </x:si>
  <x:si>
    <x:t xml:space="preserve">item_discount_food</x:t>
  </x:si>
  <x:si>
    <x:t xml:space="preserve">食材优惠券</x:t>
  </x:si>
  <x:si>
    <x:t xml:space="preserve">食物价格-15%</x:t>
  </x:si>
  <x:si>
    <x:t xml:space="preserve">rare</x:t>
  </x:si>
  <x:si>
    <x:t xml:space="preserve">item_discount_fragment</x:t>
  </x:si>
  <x:si>
    <x:t xml:space="preserve">碎片优惠券</x:t>
  </x:si>
  <x:si>
    <x:t xml:space="preserve">餐桌格子包价格-20%</x:t>
  </x:si>
  <x:si>
    <x:t xml:space="preserve">epic</x:t>
  </x:si>
  <x:si>
    <x:t xml:space="preserve">40,80</x:t>
  </x:si>
  <x:si>
    <x:t xml:space="preserve">item_discount_active</x:t>
  </x:si>
  <x:si>
    <x:t xml:space="preserve">主动道具券</x:t>
  </x:si>
  <x:si>
    <x:t xml:space="preserve">主动道具价格-15%</x:t>
  </x:si>
  <x:si>
    <x:t xml:space="preserve">item_discount_passive</x:t>
  </x:si>
  <x:si>
    <x:t xml:space="preserve">被动道具券</x:t>
  </x:si>
  <x:si>
    <x:t xml:space="preserve">被动道具价格-15%</x:t>
  </x:si>
  <x:si>
    <x:t xml:space="preserve">item_discount_remove</x:t>
  </x:si>
  <x:si>
    <x:t xml:space="preserve">删牌优惠</x:t>
  </x:si>
  <x:si>
    <x:t xml:space="preserve">删牌价格-30%</x:t>
  </x:si>
  <x:si>
    <x:t xml:space="preserve">item_remove_fixed_30</x:t>
  </x:si>
  <x:si>
    <x:t xml:space="preserve">固定删牌价</x:t>
  </x:si>
  <x:si>
    <x:t xml:space="preserve">删牌价格固定为60金币</x:t>
  </x:si>
  <x:si>
    <x:t xml:space="preserve">item_famous_knife</x:t>
  </x:si>
  <x:si>
    <x:t xml:space="preserve">名刀</x:t>
  </x:si>
  <x:si>
    <x:t xml:space="preserve">分数未达标时不失败
但会失去此道具</x:t>
  </x:si>
  <x:si>
    <x:t xml:space="preserve">item_score_to_one</x:t>
  </x:si>
  <x:si>
    <x:t xml:space="preserve">免检通行证</x:t>
  </x:si>
  <x:si>
    <x:t xml:space="preserve">接下来3次营业
分数要求为1</x:t>
  </x:si>
  <x:si>
    <x:t xml:space="preserve">meals:3</x:t>
  </x:si>
  <x:si>
    <x:t xml:space="preserve">item_req_normal_down</x:t>
  </x:si>
  <x:si>
    <x:t xml:space="preserve">家常减负</x:t>
  </x:si>
  <x:si>
    <x:t xml:space="preserve">日常营业要求分数-20%</x:t>
  </x:si>
  <x:si>
    <x:t xml:space="preserve">item_req_super_down</x:t>
  </x:si>
  <x:si>
    <x:t xml:space="preserve">超级减负</x:t>
  </x:si>
  <x:si>
    <x:t xml:space="preserve">火热营业要求分数-20%</x:t>
  </x:si>
  <x:si>
    <x:t xml:space="preserve">item_req_feast_down</x:t>
  </x:si>
  <x:si>
    <x:t xml:space="preserve">盛宴减负</x:t>
  </x:si>
  <x:si>
    <x:t xml:space="preserve">星级评鉴要求分数-15%</x:t>
  </x:si>
  <x:si>
    <x:t xml:space="preserve">item_count_le_mult</x:t>
  </x:si>
  <x:si>
    <x:t xml:space="preserve">精致料理</x:t>
  </x:si>
  <x:si>
    <x:t xml:space="preserve">结算开始
若食物个数&lt;=20
所有食物倍率×1.2</x:t>
  </x:si>
  <x:si>
    <x:t xml:space="preserve">lte:20</x:t>
  </x:si>
  <x:si>
    <x:t xml:space="preserve">item_count_ge_mult</x:t>
  </x:si>
  <x:si>
    <x:t xml:space="preserve">丰盛大餐</x:t>
  </x:si>
  <x:si>
    <x:t xml:space="preserve">结算开始
若食物数量&gt;=20
所有食物倍率×1.2</x:t>
  </x:si>
  <x:si>
    <x:t xml:space="preserve">gte:20</x:t>
  </x:si>
  <x:si>
    <x:t xml:space="preserve">item_perma_flat_all</x:t>
  </x:si>
  <x:si>
    <x:t xml:space="preserve">增鲜剂</x:t>
  </x:si>
  <x:si>
    <x:t xml:space="preserve">所有食物分数永久+15</x:t>
  </x:si>
  <x:si>
    <x:t xml:space="preserve">item_gold_on_shop</x:t>
  </x:si>
  <x:si>
    <x:t xml:space="preserve">商会返利</x:t>
  </x:si>
  <x:si>
    <x:t xml:space="preserve">进入商店采购
获得15金币</x:t>
  </x:si>
  <x:si>
    <x:t xml:space="preserve">item_extra_interest</x:t>
  </x:si>
  <x:si>
    <x:t xml:space="preserve">复利账户</x:t>
  </x:si>
  <x:si>
    <x:t xml:space="preserve">将一个收取利息
添加至每周末尾</x:t>
  </x:si>
  <x:si>
    <x:t xml:space="preserve">item_interest_cap</x:t>
  </x:si>
  <x:si>
    <x:t xml:space="preserve">高息账户</x:t>
  </x:si>
  <x:si>
    <x:t xml:space="preserve">利息上限扩展到50金币</x:t>
  </x:si>
  <x:si>
    <x:t xml:space="preserve">item_loan</x:t>
  </x:si>
  <x:si>
    <x:t xml:space="preserve">高利贷</x:t>
  </x:si>
  <x:si>
    <x:t xml:space="preserve">获得200金币
将失去400金币的节点行动
添加至本周末尾</x:t>
  </x:si>
  <x:si>
    <x:t xml:space="preserve">repay:400</x:t>
  </x:si>
  <x:si>
    <x:t xml:space="preserve">item_timeline_random</x:t>
  </x:si>
  <x:si>
    <x:t xml:space="preserve">命运骰子</x:t>
  </x:si>
  <x:si>
    <x:t xml:space="preserve">打乱时间轴的节点行动</x:t>
  </x:si>
  <x:si>
    <x:t xml:space="preserve">item_extra_day</x:t>
  </x:si>
  <x:si>
    <x:t xml:space="preserve">加班一天</x:t>
  </x:si>
  <x:si>
    <x:t xml:space="preserve">每周长度变为8天</x:t>
  </x:si>
  <x:si>
    <x:t xml:space="preserve">item_week_minus</x:t>
  </x:si>
  <x:si>
    <x:t xml:space="preserve">时光倒流</x:t>
  </x:si>
  <x:si>
    <x:t xml:space="preserve">周数-1</x:t>
  </x:si>
  <x:si>
    <x:t xml:space="preserve">Epic</x:t>
  </x:si>
  <x:si>
    <x:t xml:space="preserve">item_every3_next_mult</x:t>
  </x:si>
  <x:si>
    <x:t xml:space="preserve">节奏大师</x:t>
  </x:si>
  <x:si>
    <x:t xml:space="preserve">每上菜3个食物后
下个食物倍率+1</x:t>
  </x:si>
  <x:si>
    <x:t xml:space="preserve">every:3</x:t>
  </x:si>
  <x:si>
    <x:t xml:space="preserve">item_first_+2</x:t>
  </x:si>
  <x:si>
    <x:t xml:space="preserve">开门红</x:t>
  </x:si>
  <x:si>
    <x:t xml:space="preserve">首个上菜的食物
倍率+2</x:t>
  </x:si>
  <x:si>
    <x:t xml:space="preserve">index:1</x:t>
  </x:si>
  <x:si>
    <x:t xml:space="preserve">item_last_+2</x:t>
  </x:si>
  <x:si>
    <x:t xml:space="preserve">压轴好戏</x:t>
  </x:si>
  <x:si>
    <x:t xml:space="preserve">最后上菜的食物
倍率+2</x:t>
  </x:si>
  <x:si>
    <x:t xml:space="preserve">index:-1</x:t>
  </x:si>
  <x:si>
    <x:t xml:space="preserve">item_extra_active_slots</x:t>
  </x:si>
  <x:si>
    <x:t xml:space="preserve">工具箱</x:t>
  </x:si>
  <x:si>
    <x:t xml:space="preserve">增加2个主动道具栏</x:t>
  </x:si>
  <x:si>
    <x:t xml:space="preserve">item_gold_on_active</x:t>
  </x:si>
  <x:si>
    <x:t xml:space="preserve">以用换钱</x:t>
  </x:si>
  <x:si>
    <x:t xml:space="preserve">使用主动道具时
获得5金币</x:t>
  </x:si>
  <x:si>
    <x:t xml:space="preserve">item_block_active</x:t>
  </x:si>
  <x:si>
    <x:t xml:space="preserve">极简主义</x:t>
  </x:si>
  <x:si>
    <x:t xml:space="preserve">无法再使用主动道具
立即获得600金币</x:t>
  </x:si>
  <x:si>
    <x:t xml:space="preserve">item_flavor_enhance</x:t>
  </x:si>
  <x:si>
    <x:t xml:space="preserve">风味喷雾</x:t>
  </x:si>
  <x:si>
    <x:t xml:space="preserve">为2个食物添加随机风味</x:t>
  </x:si>
  <x:si>
    <x:t xml:space="preserve">item_flavor_remove_gold</x:t>
  </x:si>
  <x:si>
    <x:t xml:space="preserve">风味回收</x:t>
  </x:si>
  <x:si>
    <x:t xml:space="preserve">移除1个食物的风味
获得200金币</x:t>
  </x:si>
  <x:si>
    <x:t xml:space="preserve">item_flavor_remove_double</x:t>
  </x:si>
  <x:si>
    <x:t xml:space="preserve">风味浓缩</x:t>
  </x:si>
  <x:si>
    <x:t xml:space="preserve">移除1个食物的风味
其分数翻倍</x:t>
  </x:si>
  <x:si>
    <x:t xml:space="preserve">item_flavor_double_slot</x:t>
  </x:si>
  <x:si>
    <x:t xml:space="preserve">双重风味</x:t>
  </x:si>
  <x:si>
    <x:t xml:space="preserve">食物风味上限变为2</x:t>
  </x:si>
  <x:si>
    <x:t xml:space="preserve">item_flavor_contagion</x:t>
  </x:si>
  <x:si>
    <x:t xml:space="preserve">风味传染</x:t>
  </x:si>
  <x:si>
    <x:t xml:space="preserve">使1个食物
拥有另1个食物的风味</x:t>
  </x:si>
  <x:si>
    <x:t xml:space="preserve">item_celltag_enhance</x:t>
  </x:si>
  <x:si>
    <x:t xml:space="preserve">标签强化</x:t>
  </x:si>
  <x:si>
    <x:t xml:space="preserve">为2个餐桌格子
强化随机材质</x:t>
  </x:si>
  <x:si>
    <x:t xml:space="preserve">item_celltag_contagion</x:t>
  </x:si>
  <x:si>
    <x:t xml:space="preserve">标签传染</x:t>
  </x:si>
  <x:si>
    <x:t xml:space="preserve">使1个格子
拥有另1个格子的材质</x:t>
  </x:si>
  <x:si>
    <x:t xml:space="preserve">item_lucky_guarantee</x:t>
  </x:si>
  <x:si>
    <x:t xml:space="preserve">好运连连</x:t>
  </x:si>
  <x:si>
    <x:t xml:space="preserve">经历4个事件后
下个事件一定为奖励</x:t>
  </x:si>
  <x:si>
    <x:t xml:space="preserve">item_lucky_chance</x:t>
  </x:si>
  <x:si>
    <x:t xml:space="preserve">幸运符</x:t>
  </x:si>
  <x:si>
    <x:t xml:space="preserve">更容易在事件中遇到奖励</x:t>
  </x:si>
  <x:si>
    <x:t xml:space="preserve">item_more_events</x:t>
  </x:si>
  <x:si>
    <x:t xml:space="preserve">热闹街区</x:t>
  </x:si>
  <x:si>
    <x:t xml:space="preserve">更容易遇到事件</x:t>
  </x:si>
  <x:si>
    <x:t xml:space="preserve">item_gold_on_event</x:t>
  </x:si>
  <x:si>
    <x:t xml:space="preserve">事件红包</x:t>
  </x:si>
  <x:si>
    <x:t xml:space="preserve">经历1个事件
获得10金币</x:t>
  </x:si>
  <x:si>
    <x:t xml:space="preserve">item_shop_restock</x:t>
  </x:si>
  <x:si>
    <x:t xml:space="preserve">自动补货</x:t>
  </x:si>
  <x:si>
    <x:t xml:space="preserve">商店会自动补货食物</x:t>
  </x:si>
  <x:si>
    <x:t xml:space="preserve">##</x:t>
  </x:si>
  <x:si>
    <x:t xml:space="preserve">商店会自动补货主动道具</x:t>
  </x:si>
  <x:si>
    <x:t xml:space="preserve">商店会自动补货被动道具</x:t>
  </x:si>
  <x:si>
    <x:t xml:space="preserve">item_choice_count_plus1</x:t>
  </x:si>
  <x:si>
    <x:t xml:space="preserve">琳琅满目</x:t>
  </x:si>
  <x:si>
    <x:t xml:space="preserve">选择食物时
可选数量+1</x:t>
  </x:si>
  <x:si>
    <x:t xml:space="preserve">item_extra_food_choice</x:t>
  </x:si>
  <x:si>
    <x:t xml:space="preserve">加餐</x:t>
  </x:si>
  <x:si>
    <x:t xml:space="preserve">每6次日常营业
额外获得3选一美食</x:t>
  </x:si>
  <x:si>
    <x:t xml:space="preserve">every:6</x:t>
  </x:si>
  <x:si>
    <x:t xml:space="preserve">item_extra_item_choice</x:t>
  </x:si>
  <x:si>
    <x:t xml:space="preserve">加料</x:t>
  </x:si>
  <x:si>
    <x:t xml:space="preserve">每4次火热营业
额外获得多选一道具</x:t>
  </x:si>
  <x:si>
    <x:t xml:space="preserve">every:4</x:t>
  </x:si>
  <x:si>
    <x:t xml:space="preserve">item_copy_food</x:t>
  </x:si>
  <x:si>
    <x:t xml:space="preserve">复制美食</x:t>
  </x:si>
  <x:si>
    <x:t xml:space="preserve">随机复制一个食物</x:t>
  </x:si>
  <x:si>
    <x:t xml:space="preserve">item_discard_negative</x:t>
  </x:si>
  <x:si>
    <x:t xml:space="preserve">断舍离</x:t>
  </x:si>
  <x:si>
    <x:t xml:space="preserve">丢弃两个负面道具</x:t>
  </x:si>
  <x:si>
    <x:t xml:space="preserve">item_discard_negative_gold</x:t>
  </x:si>
  <x:si>
    <x:t xml:space="preserve">变废为宝</x:t>
  </x:si>
  <x:si>
    <x:t xml:space="preserve">丢弃所有负面道具
每丢弃一个获得50金币</x:t>
  </x:si>
  <x:si>
    <x:t xml:space="preserve">item_gold_meal_penalty</x:t>
  </x:si>
  <x:si>
    <x:t xml:space="preserve">克扣工钱</x:t>
  </x:si>
  <x:si>
    <x:t xml:space="preserve">营业获得的金币-20%</x:t>
  </x:si>
  <x:si>
    <x:t xml:space="preserve">Negative</x:t>
  </x:si>
  <x:si>
    <x:t xml:space="preserve">item_shop_price_up</x:t>
  </x:si>
  <x:si>
    <x:t xml:space="preserve">涨价</x:t>
  </x:si>
  <x:si>
    <x:t xml:space="preserve">商店的价格+20%</x:t>
  </x:si>
  <x:si>
    <x:t xml:space="preserve">item_no_remove</x:t>
  </x:si>
  <x:si>
    <x:t xml:space="preserve">囤积癖</x:t>
  </x:si>
  <x:si>
    <x:t xml:space="preserve">无法再删除食物</x:t>
  </x:si>
  <x:si>
    <x:t xml:space="preserve">item_skip_node</x:t>
  </x:si>
  <x:si>
    <x:t xml:space="preserve">停业整顿</x:t>
  </x:si>
  <x:si>
    <x:t xml:space="preserve">跳过下一个收取利息节点</x:t>
  </x:si>
  <x:si>
    <x:t xml:space="preserve">跳过下一个幸运事件节点</x:t>
  </x:si>
  <x:si>
    <x:t xml:space="preserve">item_choice_minus1</x:t>
  </x:si>
  <x:si>
    <x:t xml:space="preserve">选择困难</x:t>
  </x:si>
  <x:si>
    <x:t xml:space="preserve">多选一食物时
可选数量-1</x:t>
  </x:si>
  <x:si>
    <x:t xml:space="preserve">item_req_normal_up</x:t>
  </x:si>
  <x:si>
    <x:t xml:space="preserve">家常加码</x:t>
  </x:si>
  <x:si>
    <x:t xml:space="preserve">日常营业要求分数+20%</x:t>
  </x:si>
  <x:si>
    <x:t xml:space="preserve">item_req_super_up</x:t>
  </x:si>
  <x:si>
    <x:t xml:space="preserve">超级加码</x:t>
  </x:si>
  <x:si>
    <x:t xml:space="preserve">火热营业要求分数+15%</x:t>
  </x:si>
  <x:si>
    <x:t xml:space="preserve">item_req_feast_up</x:t>
  </x:si>
  <x:si>
    <x:t xml:space="preserve">盛宴加码</x:t>
  </x:si>
  <x:si>
    <x:t xml:space="preserve">星级评鉴要求分数+15%</x:t>
  </x:si>
  <x:si>
    <x:t xml:space="preserve">item_gold_week_clear</x:t>
  </x:si>
  <x:si>
    <x:t xml:space="preserve">月光族</x:t>
  </x:si>
  <x:si>
    <x:t xml:space="preserve">将失去所有金币的节点行动
添加至本周末尾</x:t>
  </x:si>
  <x:si>
    <x:t xml:space="preserve">日常行动消耗天数加倍
节点事件可以执行2次</x:t>
  </x:si>
  <x:si>
    <x:t xml:space="preserve">遇到节点事件时
时间轴有30%概率会停止</x:t>
  </x:si>
  <x:si>
    <x:t xml:space="preserve">item_count_as_all</x:t>
  </x:si>
  <x:si>
    <x:t xml:space="preserve">小份主义</x:t>
  </x:si>
  <x:si>
    <x:t xml:space="preserve">所有食物额外被视为2个食物</x:t>
  </x:si>
  <x:si>
    <x:t xml:space="preserve">item_transfer_target_mult</x:t>
  </x:si>
  <x:si>
    <x:t xml:space="preserve">传递受益</x:t>
  </x:si>
  <x:si>
    <x:t xml:space="preserve">甜蜜传递时
被传递方倍率×1.2</x:t>
  </x:si>
  <x:si>
    <x:t xml:space="preserve">term_sweet_transfer</x:t>
  </x:si>
  <x:si>
    <x:t xml:space="preserve">item_transfer_source_mult</x:t>
  </x:si>
  <x:si>
    <x:t xml:space="preserve">传递奉献</x:t>
  </x:si>
  <x:si>
    <x:t xml:space="preserve">甜蜜传递时
传递方倍率×1.2</x:t>
  </x:si>
  <x:si>
    <x:t xml:space="preserve">item_skill_count_mult</x:t>
  </x:si>
  <x:si>
    <x:t xml:space="preserve">技法大师</x:t>
  </x:si>
  <x:si>
    <x:t xml:space="preserve">结算时每有1个技能
倍率+0.2</x:t>
  </x:si>
  <x:si>
    <x:t xml:space="preserve">item_gold_on_transfer</x:t>
  </x:si>
  <x:si>
    <x:t xml:space="preserve">传递分红</x:t>
  </x:si>
  <x:si>
    <x:t xml:space="preserve">甜蜜传递10次后
+10金币</x:t>
  </x:si>
  <x:si>
    <x:t xml:space="preserve">count:10</x:t>
  </x:si>
  <x:si>
    <x:t xml:space="preserve">item_cake_retain</x:t>
  </x:si>
  <x:si>
    <x:t xml:space="preserve">蛋糕保鲜</x:t>
  </x:si>
  <x:si>
    <x:t xml:space="preserve">保留20%的蛋糕层数
至下一次美食</x:t>
  </x:si>
  <x:si>
    <x:t xml:space="preserve">clb</x:t>
  </x:si>
  <x:si>
    <x:t xml:space="preserve">item_cake_init_bonus</x:t>
  </x:si>
  <x:si>
    <x:t xml:space="preserve">蛋糕打底</x:t>
  </x:si>
  <x:si>
    <x:t xml:space="preserve">蛋糕层数
初始额外获得10层</x:t>
  </x:si>
  <x:si>
    <x:t xml:space="preserve">item_cake_accel</x:t>
  </x:si>
  <x:si>
    <x:t xml:space="preserve">蛋糕膨胀</x:t>
  </x:si>
  <x:si>
    <x:t xml:space="preserve">蛋糕层数增加时
额外加1层</x:t>
  </x:si>
  <x:si>
    <x:t xml:space="preserve">item_cake_to_gold</x:t>
  </x:si>
  <x:si>
    <x:t xml:space="preserve">蛋糕变现</x:t>
  </x:si>
  <x:si>
    <x:t xml:space="preserve">蛋糕层数大于100层时
获得10金币</x:t>
  </x:si>
  <x:si>
    <x:t xml:space="preserve">threshold:100</x:t>
  </x:si>
  <x:si>
    <x:t xml:space="preserve">item_cake_req_minus</x:t>
  </x:si>
  <x:si>
    <x:t xml:space="preserve">蛋糕捷径</x:t>
  </x:si>
  <x:si>
    <x:t xml:space="preserve">蛋糕效果需求的层数-10</x:t>
  </x:si>
  <x:si>
    <x:t xml:space="preserve">effectType</x:t>
  </x:si>
  <x:si>
    <x:t xml:space="preserve">targetKind</x:t>
  </x:si>
  <x:si>
    <x:t xml:space="preserve">targetCount</x:t>
  </x:si>
  <x:si>
    <x:t xml:space="preserve">效果类型</x:t>
  </x:si>
  <x:si>
    <x:t xml:space="preserve">主动道具目标类型(作用对象;决定可用情境)</x:t>
  </x:si>
  <x:si>
    <x:t xml:space="preserve">选目标数量(1/N;0=无目标或全部)</x:t>
  </x:si>
  <x:si>
    <x:t xml:space="preserve">ItemTargetKind</x:t>
  </x:si>
  <x:si>
    <x:t xml:space="preserve">item_active_season_sweet</x:t>
  </x:si>
  <x:si>
    <x:t xml:space="preserve">加甜单</x:t>
  </x:si>
  <x:si>
    <x:t xml:space="preserve">选择1个食物
添加「甜」风味</x:t>
  </x:si>
  <x:si>
    <x:t xml:space="preserve">AddFlavor</x:t>
  </x:si>
  <x:si>
    <x:t xml:space="preserve">t_sweet</x:t>
  </x:si>
  <x:si>
    <x:t xml:space="preserve">DiningTableDish</x:t>
  </x:si>
  <x:si>
    <x:t xml:space="preserve">item_active_season_bitter</x:t>
  </x:si>
  <x:si>
    <x:t xml:space="preserve">加苦单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</x:si>
  <x:si>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</x:si>
  <x:si>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</x:si>
  <x:si>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</x:si>
  <x:si>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加鲜单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</x:si>
  <x:si>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</x:si>
  <x:si>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</x:si>
  <x:si>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</x:si>
  <x:si>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加麻单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</x:si>
  <x:si>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</x:si>
  <x:si>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</x:si>
  <x:si>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</x:si>
  <x:si>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加酸单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</x:si>
  <x:si>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</x:si>
  <x:si>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</x:si>
  <x:si>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</x:si>
  <x:si>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加咸单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</x:si>
  <x:si>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</x:si>
  <x:si>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</x:si>
  <x:si>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</x:si>
  <x:si>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樱桃木采购单</x:t>
  </x:si>
  <x:si>
    <x:t xml:space="preserve">选择1个餐桌格子
强化「樱桃木」材质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</x:si>
  <x:si>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</x:si>
  <x:si>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</x:si>
  <x:si>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</x:si>
  <x:si>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</x:si>
  <x:si>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胡桃木采购单</x:t>
  </x:si>
  <x:si>
    <x:t xml:space="preserve">选择1个餐桌格子
强化「胡桃木」材质</x:t>
  </x:si>
  <x:si>
    <x:t xml:space="preserve">m_walnut</x:t>
  </x:si>
  <x:si>
    <x:t xml:space="preserve">item_active_lay_marble</x:t>
  </x:si>
  <x:si>
    <x:t xml:space="preserve">大理石采购单</x:t>
  </x:si>
  <x:si>
    <x:t xml:space="preserve">选择1个餐桌格子
强化「大理石」材质</x:t>
  </x:si>
  <x:si>
    <x:t xml:space="preserve">m_marble</x:t>
  </x:si>
  <x:si>
    <x:t xml:space="preserve">item_active_lay_obsidian</x:t>
  </x:si>
  <x:si>
    <x:t xml:space="preserve">黑曜石采购单</x:t>
  </x:si>
  <x:si>
    <x:t xml:space="preserve">选择1个餐桌格子
强化「黑曜石」材质</x:t>
  </x:si>
  <x:si>
    <x:t xml:space="preserve">m_obsidian</x:t>
  </x:si>
  <x:si>
    <x:t xml:space="preserve">item_active_lay_emerald</x:t>
  </x:si>
  <x:si>
    <x:t xml:space="preserve">翡翠采购单</x:t>
  </x:si>
  <x:si>
    <x:t xml:space="preserve">选择1个餐桌格子
强化「翡翠」材质</x:t>
  </x:si>
  <x:si>
    <x:t xml:space="preserve">m_emerald</x:t>
  </x:si>
  <x:si>
    <x:t xml:space="preserve">item_active_lay_gold</x:t>
  </x:si>
  <x:si>
    <x:t xml:space="preserve">金采购单</x:t>
  </x:si>
  <x:si>
    <x:t xml:space="preserve">选择1个餐桌格子
强化「金」材质</x:t>
  </x:si>
  <x:si>
    <x:t xml:space="preserve">m_gold</x:t>
  </x:si>
  <x:si>
    <x:t xml:space="preserve">item_active_lay_silver</x:t>
  </x:si>
  <x:si>
    <x:t xml:space="preserve">银采购单</x:t>
  </x:si>
  <x:si>
    <x:t xml:space="preserve">选择1个餐桌格子
强化「银」材质</x:t>
  </x:si>
  <x:si>
    <x:t xml:space="preserve">m_silver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</x:si>
  <x:si>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</x:si>
  <x:si>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</x:si>
  <x:si>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</x:si>
  <x:si>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</x:si>
  <x:si>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</x:si>
  <x:si>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通用正面</x:t>
  </x:si>
  <x:si>
    <x:t xml:space="preserve">随机获得</x:t>
  </x:si>
  <x:si>
    <x:t xml:space="preserve">随机被动道具</x:t>
  </x:si>
  <x:si>
    <x:t xml:space="preserve">获得时，获得两个随机（xx品质）的被动道具</x:t>
  </x:si>
  <x:si>
    <x:t xml:space="preserve">道具n选一</x:t>
  </x:si>
  <x:si>
    <x:t xml:space="preserve">获得时，从多个被动道具中选择一个获得</x:t>
  </x:si>
  <x:si>
    <x:t xml:space="preserve">随机主动道具</x:t>
  </x:si>
  <x:si>
    <x:t xml:space="preserve">获得时，获得两个随机（xx品质）的主动道具</x:t>
  </x:si>
  <x:si>
    <x:t xml:space="preserve">获得时，从多个主动道具中选择一个获得</x:t>
  </x:si>
  <x:si>
    <x:t xml:space="preserve">食物n选一</x:t>
  </x:si>
  <x:si>
    <x:t xml:space="preserve">获得时，从多个食物中选择一个获得</x:t>
  </x:si>
  <x:si>
    <x:t xml:space="preserve">三选一碎片</x:t>
  </x:si>
  <x:si>
    <x:t xml:space="preserve">获得时，从多个胃部碎片中选择一个获得</x:t>
  </x:si>
  <x:si>
    <x:t xml:space="preserve">获得时，获得一个随机被动道具、随机食物、50金币</x:t>
  </x:si>
  <x:si>
    <x:t xml:space="preserve">随机</x:t>
  </x:si>
  <x:si>
    <x:t xml:space="preserve">给钱</x:t>
  </x:si>
  <x:si>
    <x:t xml:space="preserve">获得1～100个金币</x:t>
  </x:si>
  <x:si>
    <x:t xml:space="preserve">美食给钱</x:t>
  </x:si>
  <x:si>
    <x:t xml:space="preserve">接下来10局美食，额外获得15金币</x:t>
  </x:si>
  <x:si>
    <x:t xml:space="preserve">Boss给钱</x:t>
  </x:si>
  <x:si>
    <x:t xml:space="preserve">完成本次boss后，额外获得100金币</x:t>
  </x:si>
  <x:si>
    <x:t xml:space="preserve">百分比给钱</x:t>
  </x:si>
  <x:si>
    <x:t xml:space="preserve">美食结束获得的金币，额外获得20%</x:t>
  </x:si>
  <x:si>
    <x:t xml:space="preserve">打折</x:t>
  </x:si>
  <x:si>
    <x:t xml:space="preserve">买食物</x:t>
  </x:si>
  <x:si>
    <x:t xml:space="preserve">购买食物打折20%</x:t>
  </x:si>
  <x:si>
    <x:t xml:space="preserve">买碎片</x:t>
  </x:si>
  <x:si>
    <x:t xml:space="preserve">购买碎片打折20%</x:t>
  </x:si>
  <x:si>
    <x:t xml:space="preserve">买主动道具</x:t>
  </x:si>
  <x:si>
    <x:t xml:space="preserve">买主动道具打折20%</x:t>
  </x:si>
  <x:si>
    <x:t xml:space="preserve">买被动道具</x:t>
  </x:si>
  <x:si>
    <x:t xml:space="preserve">买被动道具打折20%</x:t>
  </x:si>
  <x:si>
    <x:t xml:space="preserve">删牌</x:t>
  </x:si>
  <x:si>
    <x:t xml:space="preserve">删牌价格打折20%</x:t>
  </x:si>
  <x:si>
    <x:t xml:space="preserve">删牌价格固定为30金币</x:t>
  </x:si>
  <x:si>
    <x:t xml:space="preserve">不死</x:t>
  </x:si>
  <x:si>
    <x:t xml:space="preserve">分数未达标时，不失败，失去此道具</x:t>
  </x:si>
  <x:si>
    <x:t xml:space="preserve">分数降低</x:t>
  </x:si>
  <x:si>
    <x:t xml:space="preserve">分数变1</x:t>
  </x:si>
  <x:si>
    <x:t xml:space="preserve">接下来3局非盛宴（boss），分数要求为1</x:t>
  </x:si>
  <x:si>
    <x:t xml:space="preserve">普通美食分数减少</x:t>
  </x:si>
  <x:si>
    <x:t xml:space="preserve">普通美食要求分数-10%</x:t>
  </x:si>
  <x:si>
    <x:t xml:space="preserve">超级美食分数减少</x:t>
  </x:si>
  <x:si>
    <x:t xml:space="preserve">超级美食要求分数-10%</x:t>
  </x:si>
  <x:si>
    <x:t xml:space="preserve">盛宴美食分数减少</x:t>
  </x:si>
  <x:si>
    <x:t xml:space="preserve">盛宴美食要求分数-10%</x:t>
  </x:si>
  <x:si>
    <x:t xml:space="preserve">数量检测</x:t>
  </x:si>
  <x:si>
    <x:t xml:space="preserve">胃部食物数量</x:t>
  </x:si>
  <x:si>
    <x:t xml:space="preserve">结算时，食物数量小于等于10，所有美食倍率x1.1</x:t>
  </x:si>
  <x:si>
    <x:t xml:space="preserve">结算时，食物数量大于等于10，所有美食倍率x1.1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</x:si>
  <x:si>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</x:si>
  <x:si>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</x:si>
  <x:si>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</x:si>
  <x:si>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</x:si>
  <x:si>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</x:si>
  <x:si>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</x:si>
  <x:si>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</x:si>
  <x:si>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</x:si>
  <x:si>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</x:si>
  <x:si>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</x:si>
  <x:si>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</x:si>
  <x:si>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</x:si>
  <x:si>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</x:si>
  <x:si>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</x:si>
  <x:si>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</x:si>
  <x:si>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</x:si>
  <x:si>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</x:si>
  <x:si>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</x:si>
  <x:si>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</x:si>
  <x:si>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</x:si>
  <x:si>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</x:si>
  <x:si>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</x:si>
  <x:si>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</x:si>
  <x:si>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</x:si>
  <x:si>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</x:si>
  <x:si>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随机化时间轴的节点事件。</x:t>
  </x:si>
  <x:si>
    <x:t xml:space="preserve">增加第八天</x:t>
  </x:si>
  <x:si>
    <x:t xml:space="preserve">延后所有Boss一天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</x:si>
  <x:si>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</x:si>
  <x:si>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</x:si>
  <x:si>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</x:si>
  <x:si>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</x:si>
  <x:si>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</x:si>
  <x:si>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</x:si>
  <x:si>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每上3个食物后，下一个食物倍率+2</x:t>
  </x:si>
  <x:si>
    <x:t xml:space="preserve">第一个</x:t>
  </x:si>
  <x:si>
    <x:t xml:space="preserve">第一个上的食物，倍率x2</x:t>
  </x:si>
  <x:si>
    <x:t xml:space="preserve">最后一个</x:t>
  </x:si>
  <x:si>
    <x:t xml:space="preserve">最后一个上的食物，倍率x2</x:t>
  </x:si>
  <x:si>
    <x:t xml:space="preserve">主动道具</x:t>
  </x:si>
  <x:si>
    <x:t xml:space="preserve">额外道具栏</x:t>
  </x:si>
  <x:si>
    <x:t xml:space="preserve">增加2个额外主动道具栏</x:t>
  </x:si>
  <x:si>
    <x:t xml:space="preserve">使用主动道具时，获得20金币</x:t>
  </x:si>
  <x:si>
    <x:t xml:space="preserve">屏蔽</x:t>
  </x:si>
  <x:si>
    <x:t xml:space="preserve">无法获得主动道具，获得1000金币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</x:si>
  <x:si>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</x:si>
  <x:si>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</x:si>
  <x:si>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</x:si>
  <x:si>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</x:si>
  <x:si>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移除一个食物的风味，获得200金币</x:t>
  </x:si>
  <x:si>
    <x:t xml:space="preserve">移除风味+技能x2</x:t>
  </x:si>
  <x:si>
    <x:t xml:space="preserve">移除一个食物的风味，其技能复制</x:t>
  </x:si>
  <x:si>
    <x:t xml:space="preserve">基础风味+分数x2</x:t>
  </x:si>
  <x:si>
    <x:t xml:space="preserve">移除一个食物的风味，其分数翻倍</x:t>
  </x:si>
  <x:si>
    <x:t xml:space="preserve">风味上限</x:t>
  </x:si>
  <x:si>
    <x:t xml:space="preserve">允许一个食物拥有两个风味</x:t>
  </x:si>
  <x:si>
    <x:t xml:space="preserve">将一个食物的风味强化到无风味食物上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</x:si>
  <x:si>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</x:si>
  <x:si>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</x:si>
  <x:si>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</x:si>
  <x:si>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</x:si>
  <x:si>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</x:si>
  <x:si>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</x:si>
  <x:si>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</x:si>
  <x:si>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</x:si>
  <x:si>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</x:si>
  <x:si>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</x:si>
  <x:si>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</x:si>
  <x:si>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</x:si>
  <x:si>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</x:si>
  <x:si>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获得2次重新随机行动的</x:t>
  </x:si>
  <x:si>
    <x:t xml:space="preserve">商店</x:t>
  </x:si>
  <x:si>
    <x:t xml:space="preserve">补货</x:t>
  </x:si>
  <x:si>
    <x:t xml:space="preserve">商店会自动补货</x:t>
  </x:si>
  <x:si>
    <x:t xml:space="preserve">美食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</x:si>
  <x:si>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</x:si>
  <x:si>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</x:si>
  <x:si>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</x:si>
  <x:si>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</x:si>
  <x:si>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额外美食</x:t>
  </x:si>
  <x:si>
    <x:t xml:space="preserve">每3次普通美食，额外获得一个多选一美食</x:t>
  </x:si>
  <x:si>
    <x:t xml:space="preserve">额外物品</x:t>
  </x:si>
  <x:si>
    <x:t xml:space="preserve">每3次超级美食，额外获得一个多选一物品</x:t>
  </x:si>
  <x:si>
    <x:t xml:space="preserve">随机复制一个美食</x:t>
  </x:si>
  <x:si>
    <x:t xml:space="preserve">负面</x:t>
  </x:si>
  <x:si>
    <x:t xml:space="preserve">丢弃</x:t>
  </x:si>
  <x:si>
    <x:t xml:space="preserve">转化</x:t>
  </x:si>
  <x:si>
    <x:t xml:space="preserve">丢弃所有负面道具，每丢弃一个获得100金币</x:t>
  </x:si>
  <x:si>
    <x:t xml:space="preserve">通用负面</x:t>
  </x:si>
  <x:si>
    <x:t xml:space="preserve">运营</x:t>
  </x:si>
  <x:si>
    <x:t xml:space="preserve">金币减少</x:t>
  </x:si>
  <x:si>
    <x:t xml:space="preserve">美食获得的金币减少25%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</x:si>
  <x:si>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</x:si>
  <x:si>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</x:si>
  <x:si>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</x:si>
  <x:si>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</x:si>
  <x:si>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</x:si>
  <x:si>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</x:si>
  <x:si>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</x:si>
  <x:si>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普通美食分数增多</x:t>
  </x:si>
  <x:si>
    <x:t xml:space="preserve">普通美食要求分数+10%</x:t>
  </x:si>
  <x:si>
    <x:t xml:space="preserve">超级美食分数增多</x:t>
  </x:si>
  <x:si>
    <x:t xml:space="preserve">超级美食要求分数+10%</x:t>
  </x:si>
  <x:si>
    <x:t xml:space="preserve">盛宴美食分数增多</x:t>
  </x:si>
  <x:si>
    <x:t xml:space="preserve">盛宴美食要求分数+10%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</x:si>
  <x:si>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</x:si>
  <x:si>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</x:si>
  <x:si>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</x:si>
  <x:si>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</x:si>
  <x:si>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</x:si>
  <x:si>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</x:si>
  <x:si>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</x:si>
  <x:si>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</x:si>
  <x:si>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传递时，被传递方倍率x1.1</x:t>
  </x:si>
  <x:si>
    <x:t xml:space="preserve">传递时，传递方倍率x1.1</x:t>
  </x:si>
  <x:si>
    <x:t xml:space="preserve">技能数加分</x:t>
  </x:si>
  <x:si>
    <x:t xml:space="preserve">结算时，倍率x1（每一个技能+0.1倍）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</x:si>
  <x:si>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</x:si>
  <x:si>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</x:si>
  <x:si>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</x:si>
  <x:si>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</x:si>
  <x:si>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每次保留10%的蛋糕层数至下一次美食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</x:si>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</x:sst>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21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/>
    <x:xf numFmtId="0" fontId="0" fillId="0" borderId="0" xfId="0" applyAlignment="1">
      <x:alignment horizontal="center" vertical="center" wrapText="1"/>
    </x:xf>
    <x:xf numFmtId="0" fontId="0" fillId="2" borderId="0" xfId="0" applyFill="1" applyAlignment="1">
      <x:alignment horizontal="center" vertical="center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3" fillId="0" borderId="0" xfId="0"/>
    <x:xf numFmtId="0" fontId="0" fillId="0" borderId="0" xfId="0" applyFill="1"/>
    <x:xf numFmtId="0" fontId="0" fillId="3" borderId="0" xfId="0" applyFill="1"/>
    <x:xf numFmtId="0" fontId="0" fillId="0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0" fillId="0" borderId="0" xfId="0" applyFon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a4bf5ce8104650" /><Relationship Type="http://schemas.openxmlformats.org/officeDocument/2006/relationships/theme" Target="/xl/theme/theme1.xml" Id="Rdc10474a4c4b46b2" /><Relationship Type="http://schemas.openxmlformats.org/officeDocument/2006/relationships/sharedStrings" Target="/xl/sharedStrings.xml" Id="R1b03a4b113354832" /><Relationship Type="http://schemas.openxmlformats.org/officeDocument/2006/relationships/worksheet" Target="/xl/worksheets/sheet1.xml" Id="R7a5cdd10a4a54797" /><Relationship Type="http://schemas.openxmlformats.org/officeDocument/2006/relationships/worksheet" Target="/xl/worksheets/sheet2.xml" Id="Rd5a81547fe1f457d" /><Relationship Type="http://schemas.openxmlformats.org/officeDocument/2006/relationships/worksheet" Target="/xl/worksheets/sheet3.xml" Id="Rbc4fa4468efb421b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26.46323585510254" customWidth="1"/>
    <x:col min="20" max="20" width="11.772058486938477" customWidth="1"/>
    <x:col min="21" max="21" width="13.70588207244873" customWidth="0"/>
  </x:cols>
  <x:sheetData>
    <x:row r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t="s">
        <x:v>16</x:v>
      </x:c>
      <x:c r="R1" t="s">
        <x:v>17</x:v>
      </x:c>
    </x:row>
    <x:row r="2" ht="16.5" customHeight="1">
      <x:c r="A2" s="1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22</x:v>
      </x:c>
      <x:c r="F2" s="1" t="s">
        <x:v>23</x:v>
      </x:c>
      <x:c r="G2" s="1" t="s">
        <x:v>24</x:v>
      </x:c>
      <x:c r="H2" s="1" t="s">
        <x:v>25</x:v>
      </x:c>
      <x:c r="I2" s="1" t="s">
        <x:v>26</x:v>
      </x:c>
      <x:c r="J2" s="1" t="s">
        <x:v>27</x:v>
      </x:c>
      <x:c r="K2" s="1" t="s">
        <x:v>28</x:v>
      </x:c>
      <x:c r="L2" s="1" t="s">
        <x:v>29</x:v>
      </x:c>
      <x:c r="M2" s="1" t="s">
        <x:v>30</x:v>
      </x:c>
      <x:c r="N2" s="1" t="s">
        <x:v>31</x:v>
      </x:c>
      <x:c r="O2" s="1" t="s">
        <x:v>32</x:v>
      </x:c>
      <x:c r="P2" s="1" t="s">
        <x:v>33</x:v>
      </x:c>
      <x:c r="Q2" t="s">
        <x:v>34</x:v>
      </x:c>
      <x:c r="R2" t="s">
        <x:v>35</x:v>
      </x:c>
      <x:c r="U2" s="1" t="s">
        <x:v>36</x:v>
      </x:c>
      <x:c r="V2" s="1">
        <x:v>30</x:v>
      </x:c>
      <x:c r="W2" s="1">
        <x:v>31</x:v>
      </x:c>
      <x:c r="X2" s="1">
        <x:v>32</x:v>
      </x:c>
      <x:c r="Y2" s="1">
        <x:v>33</x:v>
      </x:c>
      <x:c r="Z2" s="1">
        <x:v>34</x:v>
      </x:c>
      <x:c r="AA2" s="1">
        <x:v>35</x:v>
      </x:c>
      <x:c r="AB2" s="1">
        <x:v>36</x:v>
      </x:c>
      <x:c r="AC2" s="1">
        <x:v>37</x:v>
      </x:c>
    </x:row>
    <x:row r="3" ht="16.5" customHeight="1">
      <x:c r="A3" s="1" t="s">
        <x:v>37</x:v>
      </x:c>
      <x:c r="B3" s="1" t="s">
        <x:v>38</x:v>
      </x:c>
      <x:c r="C3" s="1" t="s">
        <x:v>38</x:v>
      </x:c>
      <x:c r="D3" s="1" t="s">
        <x:v>38</x:v>
      </x:c>
      <x:c r="E3" s="1" t="s">
        <x:v>39</x:v>
      </x:c>
      <x:c r="F3" s="1" t="s">
        <x:v>40</x:v>
      </x:c>
      <x:c r="G3" s="1" t="s">
        <x:v>41</x:v>
      </x:c>
      <x:c r="H3" s="1" t="s">
        <x:v>38</x:v>
      </x:c>
      <x:c r="I3" s="1" t="s">
        <x:v>41</x:v>
      </x:c>
      <x:c r="J3" s="1" t="s">
        <x:v>42</x:v>
      </x:c>
      <x:c r="K3" s="1" t="s">
        <x:v>43</x:v>
      </x:c>
      <x:c r="L3" s="1" t="s">
        <x:v>43</x:v>
      </x:c>
      <x:c r="M3" s="1" t="s">
        <x:v>43</x:v>
      </x:c>
      <x:c r="N3" s="1" t="s">
        <x:v>43</x:v>
      </x:c>
      <x:c r="O3" s="1" t="s">
        <x:v>43</x:v>
      </x:c>
      <x:c r="P3" s="1" t="s">
        <x:v>43</x:v>
      </x:c>
      <x:c r="Q3" t="s">
        <x:v>38</x:v>
      </x:c>
      <x:c r="R3" t="s">
        <x:v>43</x:v>
      </x:c>
      <x:c r="U3" s="1" t="s">
        <x:v>44</x:v>
      </x:c>
      <x:c r="V3" s="1">
        <x:v>40</x:v>
      </x:c>
      <x:c r="W3" s="1">
        <x:v>41</x:v>
      </x:c>
      <x:c r="X3" s="1">
        <x:v>42</x:v>
      </x:c>
      <x:c r="Y3" s="1">
        <x:v>43</x:v>
      </x:c>
      <x:c r="Z3" s="1">
        <x:v>44</x:v>
      </x:c>
      <x:c r="AA3" s="1">
        <x:v>45</x:v>
      </x:c>
      <x:c r="AB3" s="1">
        <x:v>46</x:v>
      </x:c>
      <x:c r="AC3" s="1">
        <x:v>47</x:v>
      </x:c>
    </x:row>
    <x:row r="4">
      <x:c r="B4" s="1" t="s">
        <x:v>45</x:v>
      </x:c>
      <x:c r="C4" s="1" t="s">
        <x:v>46</x:v>
      </x:c>
      <x:c r="D4" s="1" t="s">
        <x:v>47</x:v>
      </x:c>
      <x:c r="E4" s="1" t="s">
        <x:v>48</x:v>
      </x:c>
      <x:c r="F4" s="1" t="s">
        <x:v>49</x:v>
      </x:c>
      <x:c r="H4" s="1" t="s">
        <x:v>50</x:v>
      </x:c>
      <x:c r="I4" s="1">
        <x:v>100</x:v>
      </x:c>
      <x:c r="J4" s="1" t="s">
        <x:v>51</x:v>
      </x:c>
      <x:c r="K4" s="1">
        <x:v>0</x:v>
      </x:c>
      <x:c r="L4" s="1">
        <x:v>0</x:v>
      </x:c>
      <x:c r="M4" s="1">
        <x:v>0</x:v>
      </x:c>
      <x:c r="N4" s="1">
        <x:v>0</x:v>
      </x:c>
      <x:c r="O4" s="1">
        <x:v>0</x:v>
      </x:c>
      <x:c r="P4" s="1">
        <x:v>0</x:v>
      </x:c>
      <x:c r="R4">
        <x:v>80</x:v>
      </x:c>
      <x:c r="U4" s="1" t="s">
        <x:v>52</x:v>
      </x:c>
      <x:c r="V4" s="1">
        <x:v>50</x:v>
      </x:c>
      <x:c r="W4" s="1">
        <x:v>51</x:v>
      </x:c>
      <x:c r="X4" s="1">
        <x:v>52</x:v>
      </x:c>
      <x:c r="Y4" s="1">
        <x:v>53</x:v>
      </x:c>
      <x:c r="Z4" s="1">
        <x:v>54</x:v>
      </x:c>
      <x:c r="AA4" s="1">
        <x:v>55</x:v>
      </x:c>
      <x:c r="AB4" s="1">
        <x:v>56</x:v>
      </x:c>
      <x:c r="AC4" s="1">
        <x:v>57</x:v>
      </x:c>
    </x:row>
    <x:row r="5">
      <x:c r="B5" s="1" t="s">
        <x:v>53</x:v>
      </x:c>
      <x:c r="C5" s="1" t="s">
        <x:v>54</x:v>
      </x:c>
      <x:c r="D5" s="1" t="s">
        <x:v>55</x:v>
      </x:c>
      <x:c r="E5" s="1" t="s">
        <x:v>48</x:v>
      </x:c>
      <x:c r="F5" s="1" t="s">
        <x:v>49</x:v>
      </x:c>
      <x:c r="H5" s="20" t="s">
        <x:v>56</x:v>
      </x:c>
      <x:c r="I5" s="1">
        <x:v>300</x:v>
      </x:c>
      <x:c r="J5" s="1" t="s">
        <x:v>57</x:v>
      </x:c>
      <x:c r="K5" s="1">
        <x:v>0</x:v>
      </x:c>
      <x:c r="L5" s="1">
        <x:v>0</x:v>
      </x:c>
      <x:c r="M5" s="1">
        <x:v>0</x:v>
      </x:c>
      <x:c r="N5" s="1">
        <x:v>0</x:v>
      </x:c>
      <x:c r="O5" s="1">
        <x:v>0</x:v>
      </x:c>
      <x:c r="P5" s="1">
        <x:v>0</x:v>
      </x:c>
      <x:c r="R5" t="n">
        <x:f t="shared" ref="R5:R11" si="0">VLOOKUP(E5,$T$10:$AB$17,9,FALSE)</x:f>
        <x:v>80</x:v>
      </x:c>
    </x:row>
    <x:row r="6">
      <x:c r="A6"/>
      <x:c r="B6" s="1" t="s">
        <x:v>58</x:v>
      </x:c>
      <x:c r="C6" s="1" t="s">
        <x:v>59</x:v>
      </x:c>
      <x:c r="D6" s="1" t="s">
        <x:v>60</x:v>
      </x:c>
      <x:c r="E6" s="1" t="s">
        <x:v>61</x:v>
      </x:c>
      <x:c r="F6" s="1" t="s">
        <x:v>49</x:v>
      </x:c>
      <x:c r="G6" s="1">
        <x:v>50</x:v>
      </x:c>
      <x:c r="H6" t="s">
        <x:v>62</x:v>
      </x:c>
      <x:c r="I6" s="1">
        <x:v>30</x:v>
      </x:c>
      <x:c r="J6" s="1" t="s">
        <x:v>63</x:v>
      </x:c>
      <x:c r="K6" s="1">
        <x:v>0</x:v>
      </x:c>
      <x:c r="L6" s="1">
        <x:v>0</x:v>
      </x:c>
      <x:c r="M6" s="1">
        <x:v>0</x:v>
      </x:c>
      <x:c r="N6" s="1">
        <x:v>0</x:v>
      </x:c>
      <x:c r="O6" s="1">
        <x:v>0</x:v>
      </x:c>
      <x:c r="P6" s="1">
        <x:v>0</x:v>
      </x:c>
      <x:c r="R6">
        <x:f t="shared" si="0"/>
        <x:v>120</x:v>
      </x:c>
    </x:row>
    <x:row r="7">
      <x:c r="A7"/>
      <x:c r="B7" s="1" t="s">
        <x:v>64</x:v>
      </x:c>
      <x:c r="C7" s="1" t="s">
        <x:v>65</x:v>
      </x:c>
      <x:c r="D7" s="1" t="s">
        <x:v>66</x:v>
      </x:c>
      <x:c r="E7" s="1" t="s">
        <x:v>61</x:v>
      </x:c>
      <x:c r="F7" s="1" t="s">
        <x:v>49</x:v>
      </x:c>
      <x:c r="G7" s="1">
        <x:v>0</x:v>
      </x:c>
      <x:c r="I7" s="1">
        <x:v>30</x:v>
      </x:c>
      <x:c r="J7" s="1" t="s">
        <x:v>63</x:v>
      </x:c>
      <x:c r="K7" s="1">
        <x:v>0</x:v>
      </x:c>
      <x:c r="L7" s="1">
        <x:v>0</x:v>
      </x:c>
      <x:c r="M7" s="1">
        <x:v>0</x:v>
      </x:c>
      <x:c r="N7" s="1">
        <x:v>0</x:v>
      </x:c>
      <x:c r="O7" s="1">
        <x:v>0</x:v>
      </x:c>
      <x:c r="P7" s="1">
        <x:v>0</x:v>
      </x:c>
      <x:c r="R7">
        <x:f t="shared" si="0"/>
        <x:v>120</x:v>
      </x:c>
    </x:row>
    <x:row r="8">
      <x:c r="A8"/>
      <x:c r="B8" s="1" t="s">
        <x:v>67</x:v>
      </x:c>
      <x:c r="C8" s="1" t="s">
        <x:v>68</x:v>
      </x:c>
      <x:c r="D8" s="1" t="s">
        <x:v>69</x:v>
      </x:c>
      <x:c r="E8" s="1" t="s">
        <x:v>70</x:v>
      </x:c>
      <x:c r="F8" s="1" t="s">
        <x:v>49</x:v>
      </x:c>
      <x:c r="G8" s="1">
        <x:v>0</x:v>
      </x:c>
      <x:c r="H8" t="s">
        <x:v>71</x:v>
      </x:c>
      <x:c r="I8" s="1">
        <x:v>300</x:v>
      </x:c>
      <x:c r="J8" s="1" t="s">
        <x:v>57</x:v>
      </x:c>
      <x:c r="K8" s="1">
        <x:v>0</x:v>
      </x:c>
      <x:c r="L8" s="1">
        <x:v>0</x:v>
      </x:c>
      <x:c r="M8" s="1">
        <x:v>0</x:v>
      </x:c>
      <x:c r="N8" s="1">
        <x:v>0</x:v>
      </x:c>
      <x:c r="O8" s="1">
        <x:v>0</x:v>
      </x:c>
      <x:c r="P8" s="1">
        <x:v>0</x:v>
      </x:c>
      <x:c r="R8">
        <x:f t="shared" si="0"/>
        <x:v>50</x:v>
      </x:c>
    </x:row>
    <x:row r="9" ht="34">
      <x:c r="A9"/>
      <x:c r="B9" s="1" t="s">
        <x:v>72</x:v>
      </x:c>
      <x:c r="C9" s="1" t="s">
        <x:v>73</x:v>
      </x:c>
      <x:c r="D9" s="9" t="s">
        <x:v>74</x:v>
      </x:c>
      <x:c r="E9" s="1" t="s">
        <x:v>70</x:v>
      </x:c>
      <x:c r="F9" s="1" t="s">
        <x:v>49</x:v>
      </x:c>
      <x:c r="G9" s="1">
        <x:v>20</x:v>
      </x:c>
      <x:c r="H9" s="1" t="s">
        <x:v>75</x:v>
      </x:c>
      <x:c r="I9" s="1">
        <x:v>300</x:v>
      </x:c>
      <x:c r="J9" s="1" t="s">
        <x:v>57</x:v>
      </x:c>
      <x:c r="K9" s="1">
        <x:v>0</x:v>
      </x:c>
      <x:c r="L9" s="1">
        <x:v>0</x:v>
      </x:c>
      <x:c r="M9" s="1">
        <x:v>0</x:v>
      </x:c>
      <x:c r="N9" s="1">
        <x:v>0</x:v>
      </x:c>
      <x:c r="O9" s="1">
        <x:v>0</x:v>
      </x:c>
      <x:c r="P9" s="1">
        <x:v>0</x:v>
      </x:c>
      <x:c r="R9">
        <x:f t="shared" si="0"/>
        <x:v>50</x:v>
      </x:c>
      <x:c r="Z9" t="s">
        <x:v>76</x:v>
      </x:c>
    </x:row>
    <x:row r="10" ht="34">
      <x:c r="A10"/>
      <x:c r="B10" s="1" t="s">
        <x:v>77</x:v>
      </x:c>
      <x:c r="C10" s="1" t="s">
        <x:v>78</x:v>
      </x:c>
      <x:c r="D10" s="9" t="s">
        <x:v>79</x:v>
      </x:c>
      <x:c r="E10" s="1" t="s">
        <x:v>70</x:v>
      </x:c>
      <x:c r="F10" s="1" t="s">
        <x:v>49</x:v>
      </x:c>
      <x:c r="G10" s="1">
        <x:v>100</x:v>
      </x:c>
      <x:c r="I10" s="1">
        <x:v>300</x:v>
      </x:c>
      <x:c r="J10" s="1" t="s">
        <x:v>57</x:v>
      </x:c>
      <x:c r="K10" s="1">
        <x:v>0</x:v>
      </x:c>
      <x:c r="L10" s="1">
        <x:v>0</x:v>
      </x:c>
      <x:c r="M10" s="1">
        <x:v>0</x:v>
      </x:c>
      <x:c r="N10" s="1">
        <x:v>0</x:v>
      </x:c>
      <x:c r="O10" s="1">
        <x:v>0</x:v>
      </x:c>
      <x:c r="P10" s="1">
        <x:v>0</x:v>
      </x:c>
      <x:c r="R10">
        <x:f t="shared" si="0"/>
        <x:v>50</x:v>
      </x:c>
      <x:c r="T10" t="s">
        <x:v>80</x:v>
      </x:c>
      <x:c r="V10">
        <x:v>300</x:v>
      </x:c>
      <x:c r="X10" t="s">
        <x:v>57</x:v>
      </x:c>
      <x:c r="Z10" t="n">
        <x:f>COUNTIF($E$4:$E$90,T10)</x:f>
        <x:v>29</x:v>
      </x:c>
      <x:c r="AB10">
        <x:v>50</x:v>
      </x:c>
    </x:row>
    <x:row r="11" ht="34">
      <x:c r="A11"/>
      <x:c r="B11" s="1" t="s">
        <x:v>81</x:v>
      </x:c>
      <x:c r="C11" s="1" t="s">
        <x:v>82</x:v>
      </x:c>
      <x:c r="D11" s="9" t="s">
        <x:v>83</x:v>
      </x:c>
      <x:c r="E11" s="1" t="s">
        <x:v>48</x:v>
      </x:c>
      <x:c r="F11" s="1" t="s">
        <x:v>49</x:v>
      </x:c>
      <x:c r="G11" s="1">
        <x:v>0.2</x:v>
      </x:c>
      <x:c r="H11"/>
      <x:c r="I11" s="1">
        <x:v>100</x:v>
      </x:c>
      <x:c r="J11" s="1" t="s">
        <x:v>51</x:v>
      </x:c>
      <x:c r="K11" s="1">
        <x:v>0</x:v>
      </x:c>
      <x:c r="L11" s="1">
        <x:v>0</x:v>
      </x:c>
      <x:c r="M11" s="1">
        <x:v>0</x:v>
      </x:c>
      <x:c r="N11" s="1">
        <x:v>0</x:v>
      </x:c>
      <x:c r="O11" s="1">
        <x:v>0</x:v>
      </x:c>
      <x:c r="P11" s="1">
        <x:v>0</x:v>
      </x:c>
      <x:c r="R11">
        <x:f t="shared" si="0"/>
        <x:v>80</x:v>
      </x:c>
      <x:c r="T11" t="s">
        <x:v>84</x:v>
      </x:c>
      <x:c r="V11">
        <x:v>100</x:v>
      </x:c>
      <x:c r="X11" t="s">
        <x:v>51</x:v>
      </x:c>
      <x:c r="Z11" t="n">
        <x:f>COUNTIF($E$4:$E$90,T11)</x:f>
        <x:v>33</x:v>
      </x:c>
      <x:c r="AB11">
        <x:v>80</x:v>
      </x:c>
    </x:row>
    <x:row r="12" s="14" customFormat="1" ht="17">
      <x:c r="A12" s="16"/>
      <x:c r="B12" s="16" t="s">
        <x:v>85</x:v>
      </x:c>
      <x:c r="C12" s="16" t="s">
        <x:v>86</x:v>
      </x:c>
      <x:c r="D12" s="17" t="s">
        <x:v>87</x:v>
      </x:c>
      <x:c r="E12" s="16" t="s">
        <x:v>70</x:v>
      </x:c>
      <x:c r="F12" s="16" t="s">
        <x:v>49</x:v>
      </x:c>
      <x:c r="G12" s="16">
        <x:v>1</x:v>
      </x:c>
      <x:c r="H12" s="14"/>
      <x:c r="I12" s="16">
        <x:v>300</x:v>
      </x:c>
      <x:c r="J12" s="16" t="s">
        <x:v>57</x:v>
      </x:c>
      <x:c r="K12" s="16">
        <x:v>0</x:v>
      </x:c>
      <x:c r="L12" s="16">
        <x:v>0</x:v>
      </x:c>
      <x:c r="M12" s="16">
        <x:v>0</x:v>
      </x:c>
      <x:c r="N12" s="16">
        <x:v>0</x:v>
      </x:c>
      <x:c r="O12" s="16">
        <x:v>0</x:v>
      </x:c>
      <x:c r="P12" s="16">
        <x:v>0</x:v>
      </x:c>
      <x:c r="Q12" s="14"/>
      <x:c r="R12" s="14">
        <x:v>50</x:v>
      </x:c>
    </x:row>
    <x:row r="13" s="14" customFormat="1" ht="17">
      <x:c r="A13" s="16"/>
      <x:c r="B13" s="16" t="s">
        <x:v>88</x:v>
      </x:c>
      <x:c r="C13" s="16" t="s">
        <x:v>89</x:v>
      </x:c>
      <x:c r="D13" s="17" t="s">
        <x:v>87</x:v>
      </x:c>
      <x:c r="E13" s="16" t="s">
        <x:v>70</x:v>
      </x:c>
      <x:c r="F13" s="16" t="s">
        <x:v>49</x:v>
      </x:c>
      <x:c r="G13" s="16">
        <x:v>1</x:v>
      </x:c>
      <x:c r="H13" s="14"/>
      <x:c r="I13" s="16">
        <x:v>300</x:v>
      </x:c>
      <x:c r="J13" s="16" t="s">
        <x:v>57</x:v>
      </x:c>
      <x:c r="K13" s="16">
        <x:v>0</x:v>
      </x:c>
      <x:c r="L13" s="16">
        <x:v>0</x:v>
      </x:c>
      <x:c r="M13" s="16">
        <x:v>0</x:v>
      </x:c>
      <x:c r="N13" s="16">
        <x:v>0</x:v>
      </x:c>
      <x:c r="O13" s="16">
        <x:v>0</x:v>
      </x:c>
      <x:c r="P13" s="16">
        <x:v>0</x:v>
      </x:c>
      <x:c r="Q13" s="14"/>
      <x:c r="R13" s="14">
        <x:v>50</x:v>
      </x:c>
    </x:row>
    <x:row r="14" s="14" customFormat="1" ht="17">
      <x:c r="A14" s="16"/>
      <x:c r="B14" s="16" t="s">
        <x:v>90</x:v>
      </x:c>
      <x:c r="C14" s="16" t="s">
        <x:v>91</x:v>
      </x:c>
      <x:c r="D14" s="17" t="s">
        <x:v>92</x:v>
      </x:c>
      <x:c r="E14" s="16" t="s">
        <x:v>48</x:v>
      </x:c>
      <x:c r="F14" s="16" t="s">
        <x:v>49</x:v>
      </x:c>
      <x:c r="G14" s="16">
        <x:v>2</x:v>
      </x:c>
      <x:c r="H14" s="14"/>
      <x:c r="I14" s="16">
        <x:v>100</x:v>
      </x:c>
      <x:c r="J14" s="16" t="s">
        <x:v>51</x:v>
      </x:c>
      <x:c r="K14" s="16">
        <x:v>0</x:v>
      </x:c>
      <x:c r="L14" s="16">
        <x:v>0</x:v>
      </x:c>
      <x:c r="M14" s="16">
        <x:v>0</x:v>
      </x:c>
      <x:c r="N14" s="16">
        <x:v>0</x:v>
      </x:c>
      <x:c r="O14" s="16">
        <x:v>0</x:v>
      </x:c>
      <x:c r="P14" s="16">
        <x:v>0</x:v>
      </x:c>
      <x:c r="Q14" s="14"/>
      <x:c r="R14" s="14">
        <x:v>80</x:v>
      </x:c>
    </x:row>
    <x:row r="15" s="14" customFormat="1" ht="17">
      <x:c r="A15" s="16"/>
      <x:c r="B15" s="16" t="s">
        <x:v>93</x:v>
      </x:c>
      <x:c r="C15" s="16" t="s">
        <x:v>94</x:v>
      </x:c>
      <x:c r="D15" s="17" t="s">
        <x:v>92</x:v>
      </x:c>
      <x:c r="E15" s="16" t="s">
        <x:v>61</x:v>
      </x:c>
      <x:c r="F15" s="16" t="s">
        <x:v>49</x:v>
      </x:c>
      <x:c r="G15" s="16">
        <x:v>2</x:v>
      </x:c>
      <x:c r="H15" s="14"/>
      <x:c r="I15" s="16">
        <x:v>30</x:v>
      </x:c>
      <x:c r="J15" s="16" t="s">
        <x:v>63</x:v>
      </x:c>
      <x:c r="K15" s="16">
        <x:v>0</x:v>
      </x:c>
      <x:c r="L15" s="16">
        <x:v>0</x:v>
      </x:c>
      <x:c r="M15" s="16">
        <x:v>0</x:v>
      </x:c>
      <x:c r="N15" s="16">
        <x:v>0</x:v>
      </x:c>
      <x:c r="O15" s="16">
        <x:v>0</x:v>
      </x:c>
      <x:c r="P15" s="16">
        <x:v>0</x:v>
      </x:c>
      <x:c r="Q15" s="14"/>
      <x:c r="R15" s="14">
        <x:v>120</x:v>
      </x:c>
    </x:row>
    <x:row r="16" s="14" customFormat="1" ht="17">
      <x:c r="B16" s="16" t="s">
        <x:v>95</x:v>
      </x:c>
      <x:c r="C16" s="16" t="s">
        <x:v>96</x:v>
      </x:c>
      <x:c r="D16" s="17" t="s">
        <x:v>97</x:v>
      </x:c>
      <x:c r="E16" s="16" t="s">
        <x:v>48</x:v>
      </x:c>
      <x:c r="F16" s="16" t="s">
        <x:v>49</x:v>
      </x:c>
      <x:c r="G16" s="16">
        <x:v>0.15</x:v>
      </x:c>
      <x:c r="H16" s="14"/>
      <x:c r="I16" s="16">
        <x:v>100</x:v>
      </x:c>
      <x:c r="J16" s="16" t="s">
        <x:v>51</x:v>
      </x:c>
      <x:c r="K16" s="16">
        <x:v>0</x:v>
      </x:c>
      <x:c r="L16" s="16">
        <x:v>0</x:v>
      </x:c>
      <x:c r="M16" s="16">
        <x:v>0</x:v>
      </x:c>
      <x:c r="N16" s="16">
        <x:v>0</x:v>
      </x:c>
      <x:c r="O16" s="16">
        <x:v>0</x:v>
      </x:c>
      <x:c r="P16" s="16">
        <x:v>0</x:v>
      </x:c>
      <x:c r="R16" s="14" t="n">
        <x:f t="shared" ref="R16:R36" si="1">VLOOKUP(E16,$T$10:$AB$17,9,FALSE)</x:f>
        <x:v>80</x:v>
      </x:c>
      <x:c r="T16" s="14" t="s">
        <x:v>98</x:v>
      </x:c>
      <x:c r="V16" s="14">
        <x:v>30</x:v>
      </x:c>
      <x:c r="X16" s="14" t="s">
        <x:v>63</x:v>
      </x:c>
      <x:c r="Z16" s="14" t="n">
        <x:f>COUNTIF($E$4:$E$90,T16)</x:f>
        <x:v>10</x:v>
      </x:c>
      <x:c r="AB16" s="14">
        <x:v>120</x:v>
      </x:c>
    </x:row>
    <x:row r="17" s="14" customFormat="1">
      <x:c r="B17" s="16" t="s">
        <x:v>99</x:v>
      </x:c>
      <x:c r="C17" s="16" t="s">
        <x:v>100</x:v>
      </x:c>
      <x:c r="D17" s="16" t="s">
        <x:v>101</x:v>
      </x:c>
      <x:c r="E17" s="16" t="s">
        <x:v>70</x:v>
      </x:c>
      <x:c r="F17" s="16" t="s">
        <x:v>49</x:v>
      </x:c>
      <x:c r="G17" s="16">
        <x:v>0.2</x:v>
      </x:c>
      <x:c r="H17" s="14"/>
      <x:c r="I17" s="16">
        <x:v>300</x:v>
      </x:c>
      <x:c r="J17" s="16" t="s">
        <x:v>57</x:v>
      </x:c>
      <x:c r="K17" s="16">
        <x:v>0</x:v>
      </x:c>
      <x:c r="L17" s="16">
        <x:v>0</x:v>
      </x:c>
      <x:c r="M17" s="16">
        <x:v>0</x:v>
      </x:c>
      <x:c r="N17" s="16">
        <x:v>0</x:v>
      </x:c>
      <x:c r="O17" s="16">
        <x:v>0</x:v>
      </x:c>
      <x:c r="P17" s="16">
        <x:v>0</x:v>
      </x:c>
      <x:c r="R17" s="14">
        <x:f t="shared" si="1"/>
        <x:v>50</x:v>
      </x:c>
      <x:c r="T17" s="14" t="s">
        <x:v>102</x:v>
      </x:c>
      <x:c r="V17" s="14">
        <x:v>10</x:v>
      </x:c>
      <x:c r="X17" s="14" t="s">
        <x:v>103</x:v>
      </x:c>
      <x:c r="Z17" s="14" t="n">
        <x:f>COUNTIF($E$4:$E$90,T17)</x:f>
        <x:v>6</x:v>
      </x:c>
      <x:c r="AB17" s="14">
        <x:v>200</x:v>
      </x:c>
    </x:row>
    <x:row r="18">
      <x:c r="B18" s="1" t="s">
        <x:v>104</x:v>
      </x:c>
      <x:c r="C18" s="1" t="s">
        <x:v>105</x:v>
      </x:c>
      <x:c r="D18" s="1" t="s">
        <x:v>106</x:v>
      </x:c>
      <x:c r="E18" s="1" t="s">
        <x:v>48</x:v>
      </x:c>
      <x:c r="F18" s="1" t="s">
        <x:v>49</x:v>
      </x:c>
      <x:c r="G18" s="1">
        <x:v>0.15</x:v>
      </x:c>
      <x:c r="I18" s="1">
        <x:v>100</x:v>
      </x:c>
      <x:c r="J18" s="1" t="s">
        <x:v>51</x:v>
      </x:c>
      <x:c r="K18" s="1">
        <x:v>0</x:v>
      </x:c>
      <x:c r="L18" s="1">
        <x:v>0</x:v>
      </x:c>
      <x:c r="M18" s="1">
        <x:v>0</x:v>
      </x:c>
      <x:c r="N18" s="1">
        <x:v>0</x:v>
      </x:c>
      <x:c r="O18" s="1">
        <x:v>0</x:v>
      </x:c>
      <x:c r="P18" s="1">
        <x:v>0</x:v>
      </x:c>
      <x:c r="R18">
        <x:f t="shared" si="1"/>
        <x:v>80</x:v>
      </x:c>
    </x:row>
    <x:row r="19">
      <x:c r="B19" s="1" t="s">
        <x:v>107</x:v>
      </x:c>
      <x:c r="C19" s="1" t="s">
        <x:v>108</x:v>
      </x:c>
      <x:c r="D19" s="1" t="s">
        <x:v>109</x:v>
      </x:c>
      <x:c r="E19" s="1" t="s">
        <x:v>48</x:v>
      </x:c>
      <x:c r="F19" s="1" t="s">
        <x:v>49</x:v>
      </x:c>
      <x:c r="G19" s="1">
        <x:v>0.15</x:v>
      </x:c>
      <x:c r="I19" s="1">
        <x:v>100</x:v>
      </x:c>
      <x:c r="J19" s="1" t="s">
        <x:v>51</x:v>
      </x:c>
      <x:c r="K19" s="1">
        <x:v>0</x:v>
      </x:c>
      <x:c r="L19" s="1">
        <x:v>0</x:v>
      </x:c>
      <x:c r="M19" s="1">
        <x:v>0</x:v>
      </x:c>
      <x:c r="N19" s="1">
        <x:v>0</x:v>
      </x:c>
      <x:c r="O19" s="1">
        <x:v>0</x:v>
      </x:c>
      <x:c r="P19" s="1">
        <x:v>0</x:v>
      </x:c>
      <x:c r="R19">
        <x:f t="shared" si="1"/>
        <x:v>80</x:v>
      </x:c>
    </x:row>
    <x:row r="20">
      <x:c r="B20" s="1" t="s">
        <x:v>110</x:v>
      </x:c>
      <x:c r="C20" s="1" t="s">
        <x:v>111</x:v>
      </x:c>
      <x:c r="D20" s="1" t="s">
        <x:v>112</x:v>
      </x:c>
      <x:c r="E20" s="1" t="s">
        <x:v>70</x:v>
      </x:c>
      <x:c r="F20" s="1" t="s">
        <x:v>49</x:v>
      </x:c>
      <x:c r="G20" s="1">
        <x:v>0.3</x:v>
      </x:c>
      <x:c r="I20" s="1">
        <x:v>300</x:v>
      </x:c>
      <x:c r="J20" s="1" t="s">
        <x:v>57</x:v>
      </x:c>
      <x:c r="K20" s="1">
        <x:v>0</x:v>
      </x:c>
      <x:c r="L20" s="1">
        <x:v>0</x:v>
      </x:c>
      <x:c r="M20" s="1">
        <x:v>0</x:v>
      </x:c>
      <x:c r="N20" s="1">
        <x:v>0</x:v>
      </x:c>
      <x:c r="O20" s="1">
        <x:v>0</x:v>
      </x:c>
      <x:c r="P20" s="1">
        <x:v>0</x:v>
      </x:c>
      <x:c r="R20">
        <x:f t="shared" si="1"/>
        <x:v>50</x:v>
      </x:c>
    </x:row>
    <x:row r="21">
      <x:c r="B21" s="1" t="s">
        <x:v>113</x:v>
      </x:c>
      <x:c r="C21" s="1" t="s">
        <x:v>114</x:v>
      </x:c>
      <x:c r="D21" s="1" t="s">
        <x:v>115</x:v>
      </x:c>
      <x:c r="E21" s="1" t="s">
        <x:v>61</x:v>
      </x:c>
      <x:c r="F21" s="1" t="s">
        <x:v>49</x:v>
      </x:c>
      <x:c r="G21" s="1">
        <x:v>60</x:v>
      </x:c>
      <x:c r="I21" s="1">
        <x:v>30</x:v>
      </x:c>
      <x:c r="J21" s="1" t="s">
        <x:v>63</x:v>
      </x:c>
      <x:c r="K21" s="1">
        <x:v>0</x:v>
      </x:c>
      <x:c r="L21" s="1">
        <x:v>0</x:v>
      </x:c>
      <x:c r="M21" s="1">
        <x:v>0</x:v>
      </x:c>
      <x:c r="N21" s="1">
        <x:v>0</x:v>
      </x:c>
      <x:c r="O21" s="1">
        <x:v>0</x:v>
      </x:c>
      <x:c r="P21" s="1">
        <x:v>0</x:v>
      </x:c>
      <x:c r="R21">
        <x:f t="shared" si="1"/>
        <x:v>120</x:v>
      </x:c>
    </x:row>
    <x:row r="22" ht="34">
      <x:c r="B22" s="1" t="s">
        <x:v>116</x:v>
      </x:c>
      <x:c r="C22" s="1" t="s">
        <x:v>117</x:v>
      </x:c>
      <x:c r="D22" s="9" t="s">
        <x:v>118</x:v>
      </x:c>
      <x:c r="E22" s="1" t="s">
        <x:v>61</x:v>
      </x:c>
      <x:c r="F22" s="1" t="s">
        <x:v>49</x:v>
      </x:c>
      <x:c r="G22" s="1">
        <x:v>0</x:v>
      </x:c>
      <x:c r="I22" s="1">
        <x:v>30</x:v>
      </x:c>
      <x:c r="J22" s="1" t="s">
        <x:v>63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">
        <x:v>0</x:v>
      </x:c>
      <x:c r="P22" s="1">
        <x:v>0</x:v>
      </x:c>
      <x:c r="R22">
        <x:f t="shared" si="1"/>
        <x:v>120</x:v>
      </x:c>
    </x:row>
    <x:row r="23" ht="34">
      <x:c r="B23" s="1" t="s">
        <x:v>119</x:v>
      </x:c>
      <x:c r="C23" s="1" t="s">
        <x:v>120</x:v>
      </x:c>
      <x:c r="D23" s="9" t="s">
        <x:v>121</x:v>
      </x:c>
      <x:c r="E23" s="1" t="s">
        <x:v>70</x:v>
      </x:c>
      <x:c r="F23" s="1" t="s">
        <x:v>49</x:v>
      </x:c>
      <x:c r="G23" s="1">
        <x:v>0</x:v>
      </x:c>
      <x:c r="H23" s="1" t="s">
        <x:v>122</x:v>
      </x:c>
      <x:c r="I23" s="1">
        <x:v>300</x:v>
      </x:c>
      <x:c r="J23" s="1" t="s">
        <x:v>57</x:v>
      </x:c>
      <x:c r="K23" s="1">
        <x:v>0</x:v>
      </x:c>
      <x:c r="L23" s="1">
        <x:v>0</x:v>
      </x:c>
      <x:c r="M23" s="1">
        <x:v>0</x:v>
      </x:c>
      <x:c r="N23" s="1">
        <x:v>0</x:v>
      </x:c>
      <x:c r="O23" s="1">
        <x:v>0</x:v>
      </x:c>
      <x:c r="P23" s="1">
        <x:v>0</x:v>
      </x:c>
      <x:c r="R23">
        <x:f t="shared" si="1"/>
        <x:v>50</x:v>
      </x:c>
    </x:row>
    <x:row r="24" ht="17">
      <x:c r="B24" s="1" t="s">
        <x:v>123</x:v>
      </x:c>
      <x:c r="C24" s="1" t="s">
        <x:v>124</x:v>
      </x:c>
      <x:c r="D24" s="9" t="s">
        <x:v>125</x:v>
      </x:c>
      <x:c r="E24" s="1" t="s">
        <x:v>70</x:v>
      </x:c>
      <x:c r="F24" s="1" t="s">
        <x:v>49</x:v>
      </x:c>
      <x:c r="G24" s="1">
        <x:v>-0.2</x:v>
      </x:c>
      <x:c r="I24" s="1">
        <x:v>300</x:v>
      </x:c>
      <x:c r="J24" s="1" t="s">
        <x:v>57</x:v>
      </x:c>
      <x:c r="K24" s="1">
        <x:v>0</x:v>
      </x:c>
      <x:c r="L24" s="1">
        <x:v>0</x:v>
      </x:c>
      <x:c r="M24" s="1">
        <x:v>0</x:v>
      </x:c>
      <x:c r="N24" s="1">
        <x:v>0</x:v>
      </x:c>
      <x:c r="O24" s="1">
        <x:v>0</x:v>
      </x:c>
      <x:c r="P24" s="1">
        <x:v>0</x:v>
      </x:c>
      <x:c r="R24">
        <x:f t="shared" si="1"/>
        <x:v>50</x:v>
      </x:c>
    </x:row>
    <x:row r="25" ht="17">
      <x:c r="B25" s="1" t="s">
        <x:v>126</x:v>
      </x:c>
      <x:c r="C25" s="1" t="s">
        <x:v>127</x:v>
      </x:c>
      <x:c r="D25" s="9" t="s">
        <x:v>128</x:v>
      </x:c>
      <x:c r="E25" s="1" t="s">
        <x:v>48</x:v>
      </x:c>
      <x:c r="F25" s="1" t="s">
        <x:v>49</x:v>
      </x:c>
      <x:c r="G25" s="1">
        <x:v>-0.2</x:v>
      </x:c>
      <x:c r="I25" s="1">
        <x:v>100</x:v>
      </x:c>
      <x:c r="J25" s="1" t="s">
        <x:v>51</x:v>
      </x:c>
      <x:c r="K25" s="1">
        <x:v>0</x:v>
      </x:c>
      <x:c r="L25" s="1">
        <x:v>0</x:v>
      </x:c>
      <x:c r="M25" s="1">
        <x:v>0</x:v>
      </x:c>
      <x:c r="N25" s="1">
        <x:v>0</x:v>
      </x:c>
      <x:c r="O25" s="1">
        <x:v>0</x:v>
      </x:c>
      <x:c r="P25" s="1">
        <x:v>0</x:v>
      </x:c>
      <x:c r="R25">
        <x:f t="shared" si="1"/>
        <x:v>80</x:v>
      </x:c>
    </x:row>
    <x:row r="26">
      <x:c r="B26" s="1" t="s">
        <x:v>129</x:v>
      </x:c>
      <x:c r="C26" s="1" t="s">
        <x:v>130</x:v>
      </x:c>
      <x:c r="D26" s="1" t="s">
        <x:v>131</x:v>
      </x:c>
      <x:c r="E26" s="1" t="s">
        <x:v>61</x:v>
      </x:c>
      <x:c r="F26" s="1" t="s">
        <x:v>49</x:v>
      </x:c>
      <x:c r="G26" s="1">
        <x:v>-0.15</x:v>
      </x:c>
      <x:c r="I26" s="1">
        <x:v>30</x:v>
      </x:c>
      <x:c r="J26" s="1" t="s">
        <x:v>63</x:v>
      </x:c>
      <x:c r="K26" s="1">
        <x:v>0</x:v>
      </x:c>
      <x:c r="L26" s="1">
        <x:v>0</x:v>
      </x:c>
      <x:c r="M26" s="1">
        <x:v>0</x:v>
      </x:c>
      <x:c r="N26" s="1">
        <x:v>0</x:v>
      </x:c>
      <x:c r="O26" s="1">
        <x:v>0</x:v>
      </x:c>
      <x:c r="P26" s="1">
        <x:v>0</x:v>
      </x:c>
      <x:c r="R26">
        <x:f t="shared" si="1"/>
        <x:v>120</x:v>
      </x:c>
    </x:row>
    <x:row r="27" ht="51">
      <x:c r="B27" s="1" t="s">
        <x:v>132</x:v>
      </x:c>
      <x:c r="C27" s="1" t="s">
        <x:v>133</x:v>
      </x:c>
      <x:c r="D27" s="9" t="s">
        <x:v>134</x:v>
      </x:c>
      <x:c r="E27" s="1" t="s">
        <x:v>48</x:v>
      </x:c>
      <x:c r="F27" s="1" t="s">
        <x:v>49</x:v>
      </x:c>
      <x:c r="G27" s="1">
        <x:v>1.2</x:v>
      </x:c>
      <x:c r="H27" s="1" t="s">
        <x:v>135</x:v>
      </x:c>
      <x:c r="I27" s="1">
        <x:v>100</x:v>
      </x:c>
      <x:c r="J27" s="1" t="s">
        <x:v>51</x:v>
      </x:c>
      <x:c r="K27" s="1">
        <x:v>0</x:v>
      </x:c>
      <x:c r="L27" s="1">
        <x:v>0</x:v>
      </x:c>
      <x:c r="M27" s="1">
        <x:v>0</x:v>
      </x:c>
      <x:c r="N27" s="1">
        <x:v>0</x:v>
      </x:c>
      <x:c r="O27" s="1">
        <x:v>0</x:v>
      </x:c>
      <x:c r="P27" s="1">
        <x:v>0</x:v>
      </x:c>
      <x:c r="R27">
        <x:f t="shared" si="1"/>
        <x:v>80</x:v>
      </x:c>
    </x:row>
    <x:row r="28" ht="51">
      <x:c r="B28" s="1" t="s">
        <x:v>136</x:v>
      </x:c>
      <x:c r="C28" s="1" t="s">
        <x:v>137</x:v>
      </x:c>
      <x:c r="D28" s="9" t="s">
        <x:v>138</x:v>
      </x:c>
      <x:c r="E28" s="1" t="s">
        <x:v>48</x:v>
      </x:c>
      <x:c r="F28" s="1" t="s">
        <x:v>49</x:v>
      </x:c>
      <x:c r="G28" s="1">
        <x:v>1.2</x:v>
      </x:c>
      <x:c r="H28" s="1" t="s">
        <x:v>139</x:v>
      </x:c>
      <x:c r="I28" s="1">
        <x:v>30</x:v>
      </x:c>
      <x:c r="J28" s="1" t="s">
        <x:v>63</x:v>
      </x:c>
      <x:c r="K28" s="1">
        <x:v>0</x:v>
      </x:c>
      <x:c r="L28" s="1">
        <x:v>0</x:v>
      </x:c>
      <x:c r="M28" s="1">
        <x:v>0</x:v>
      </x:c>
      <x:c r="N28" s="1">
        <x:v>0</x:v>
      </x:c>
      <x:c r="O28" s="1">
        <x:v>0</x:v>
      </x:c>
      <x:c r="P28" s="1">
        <x:v>0</x:v>
      </x:c>
      <x:c r="R28">
        <x:f t="shared" si="1"/>
        <x:v>80</x:v>
      </x:c>
    </x:row>
    <x:row r="29" ht="17">
      <x:c r="B29" s="1" t="s">
        <x:v>140</x:v>
      </x:c>
      <x:c r="C29" s="1" t="s">
        <x:v>141</x:v>
      </x:c>
      <x:c r="D29" s="9" t="s">
        <x:v>142</x:v>
      </x:c>
      <x:c r="E29" s="1" t="s">
        <x:v>70</x:v>
      </x:c>
      <x:c r="F29" s="1" t="s">
        <x:v>49</x:v>
      </x:c>
      <x:c r="G29" s="1">
        <x:v>15</x:v>
      </x:c>
      <x:c r="I29" s="1">
        <x:v>100</x:v>
      </x:c>
      <x:c r="J29" s="1" t="s">
        <x:v>51</x:v>
      </x:c>
      <x:c r="K29" s="1">
        <x:v>0</x:v>
      </x:c>
      <x:c r="L29" s="1">
        <x:v>0</x:v>
      </x:c>
      <x:c r="M29" s="1">
        <x:v>0</x:v>
      </x:c>
      <x:c r="N29" s="1">
        <x:v>0</x:v>
      </x:c>
      <x:c r="O29" s="1">
        <x:v>0</x:v>
      </x:c>
      <x:c r="P29" s="1">
        <x:v>0</x:v>
      </x:c>
      <x:c r="R29">
        <x:f t="shared" si="1"/>
        <x:v>50</x:v>
      </x:c>
    </x:row>
    <x:row r="30" ht="34">
      <x:c r="B30" s="1" t="s">
        <x:v>143</x:v>
      </x:c>
      <x:c r="C30" s="1" t="s">
        <x:v>144</x:v>
      </x:c>
      <x:c r="D30" s="9" t="s">
        <x:v>145</x:v>
      </x:c>
      <x:c r="E30" s="1" t="s">
        <x:v>70</x:v>
      </x:c>
      <x:c r="F30" s="1" t="s">
        <x:v>49</x:v>
      </x:c>
      <x:c r="G30" s="1">
        <x:v>10</x:v>
      </x:c>
      <x:c r="I30" s="1">
        <x:v>100</x:v>
      </x:c>
      <x:c r="J30" s="1" t="s">
        <x:v>51</x:v>
      </x:c>
      <x:c r="K30" s="1">
        <x:v>0</x:v>
      </x:c>
      <x:c r="L30" s="1">
        <x:v>0</x:v>
      </x:c>
      <x:c r="M30" s="1">
        <x:v>0</x:v>
      </x:c>
      <x:c r="N30" s="1">
        <x:v>0</x:v>
      </x:c>
      <x:c r="O30" s="1">
        <x:v>0</x:v>
      </x:c>
      <x:c r="P30" s="1">
        <x:v>0</x:v>
      </x:c>
      <x:c r="R30">
        <x:f t="shared" si="1"/>
        <x:v>50</x:v>
      </x:c>
    </x:row>
    <x:row r="31" s="15" customFormat="1" ht="34">
      <x:c r="A31" s="18"/>
      <x:c r="B31" s="18" t="s">
        <x:v>146</x:v>
      </x:c>
      <x:c r="C31" s="18" t="s">
        <x:v>147</x:v>
      </x:c>
      <x:c r="D31" s="19" t="s">
        <x:v>148</x:v>
      </x:c>
      <x:c r="E31" s="18" t="s">
        <x:v>48</x:v>
      </x:c>
      <x:c r="F31" s="18" t="s">
        <x:v>49</x:v>
      </x:c>
      <x:c r="G31" s="18">
        <x:v>1</x:v>
      </x:c>
      <x:c r="H31" s="18"/>
      <x:c r="I31" s="18">
        <x:v>100</x:v>
      </x:c>
      <x:c r="J31" s="18" t="s">
        <x:v>51</x:v>
      </x:c>
      <x:c r="K31" s="18">
        <x:v>0</x:v>
      </x:c>
      <x:c r="L31" s="18">
        <x:v>0</x:v>
      </x:c>
      <x:c r="M31" s="18">
        <x:v>0</x:v>
      </x:c>
      <x:c r="N31" s="18">
        <x:v>0</x:v>
      </x:c>
      <x:c r="O31" s="18">
        <x:v>0</x:v>
      </x:c>
      <x:c r="P31" s="18">
        <x:v>0</x:v>
      </x:c>
      <x:c r="R31" s="15">
        <x:f t="shared" si="1"/>
        <x:v>80</x:v>
      </x:c>
    </x:row>
    <x:row r="32" ht="17">
      <x:c r="B32" s="1" t="s">
        <x:v>149</x:v>
      </x:c>
      <x:c r="C32" s="1" t="s">
        <x:v>150</x:v>
      </x:c>
      <x:c r="D32" s="9" t="s">
        <x:v>151</x:v>
      </x:c>
      <x:c r="E32" s="1" t="s">
        <x:v>61</x:v>
      </x:c>
      <x:c r="F32" s="1" t="s">
        <x:v>49</x:v>
      </x:c>
      <x:c r="G32" s="1">
        <x:v>50</x:v>
      </x:c>
      <x:c r="I32" s="1">
        <x:v>30</x:v>
      </x:c>
      <x:c r="J32" s="1" t="s">
        <x:v>63</x:v>
      </x:c>
      <x:c r="K32" s="1">
        <x:v>0</x:v>
      </x:c>
      <x:c r="L32" s="1">
        <x:v>0</x:v>
      </x:c>
      <x:c r="M32" s="1">
        <x:v>0</x:v>
      </x:c>
      <x:c r="N32" s="1">
        <x:v>0</x:v>
      </x:c>
      <x:c r="O32" s="1">
        <x:v>0</x:v>
      </x:c>
      <x:c r="P32" s="1">
        <x:v>0</x:v>
      </x:c>
      <x:c r="R32">
        <x:f t="shared" si="1"/>
        <x:v>120</x:v>
      </x:c>
    </x:row>
    <x:row r="33" s="8" customFormat="1" ht="51">
      <x:c r="A33" s="10"/>
      <x:c r="B33" s="10" t="s">
        <x:v>152</x:v>
      </x:c>
      <x:c r="C33" s="10" t="s">
        <x:v>153</x:v>
      </x:c>
      <x:c r="D33" s="12" t="s">
        <x:v>154</x:v>
      </x:c>
      <x:c r="E33" s="10" t="s">
        <x:v>48</x:v>
      </x:c>
      <x:c r="F33" s="10" t="s">
        <x:v>49</x:v>
      </x:c>
      <x:c r="G33" s="10">
        <x:v>200</x:v>
      </x:c>
      <x:c r="H33" s="10" t="s">
        <x:v>155</x:v>
      </x:c>
      <x:c r="I33" s="10">
        <x:v>100</x:v>
      </x:c>
      <x:c r="J33" s="10" t="s">
        <x:v>51</x:v>
      </x:c>
      <x:c r="K33" s="10">
        <x:v>0</x:v>
      </x:c>
      <x:c r="L33" s="10">
        <x:v>0</x:v>
      </x:c>
      <x:c r="M33" s="10">
        <x:v>0</x:v>
      </x:c>
      <x:c r="N33" s="10">
        <x:v>0</x:v>
      </x:c>
      <x:c r="O33" s="10">
        <x:v>0</x:v>
      </x:c>
      <x:c r="P33" s="10">
        <x:v>0</x:v>
      </x:c>
      <x:c r="R33" s="8">
        <x:f t="shared" si="1"/>
        <x:v>80</x:v>
      </x:c>
    </x:row>
    <x:row r="34" s="8" customFormat="1" ht="17">
      <x:c r="A34" s="10"/>
      <x:c r="B34" s="10" t="s">
        <x:v>156</x:v>
      </x:c>
      <x:c r="C34" s="10" t="s">
        <x:v>157</x:v>
      </x:c>
      <x:c r="D34" s="12" t="s">
        <x:v>158</x:v>
      </x:c>
      <x:c r="E34" s="10" t="s">
        <x:v>48</x:v>
      </x:c>
      <x:c r="F34" s="10" t="s">
        <x:v>49</x:v>
      </x:c>
      <x:c r="G34" s="10">
        <x:v>0</x:v>
      </x:c>
      <x:c r="H34" s="10"/>
      <x:c r="I34" s="10">
        <x:v>100</x:v>
      </x:c>
      <x:c r="J34" s="10" t="s">
        <x:v>51</x:v>
      </x:c>
      <x:c r="K34" s="10">
        <x:v>0</x:v>
      </x:c>
      <x:c r="L34" s="10">
        <x:v>0</x:v>
      </x:c>
      <x:c r="M34" s="10">
        <x:v>0</x:v>
      </x:c>
      <x:c r="N34" s="10">
        <x:v>0</x:v>
      </x:c>
      <x:c r="O34" s="10">
        <x:v>0</x:v>
      </x:c>
      <x:c r="P34" s="10">
        <x:v>0</x:v>
      </x:c>
      <x:c r="R34" s="8">
        <x:f t="shared" si="1"/>
        <x:v>80</x:v>
      </x:c>
    </x:row>
    <x:row r="35" s="8" customFormat="1" ht="17">
      <x:c r="A35" s="10"/>
      <x:c r="B35" s="10" t="s">
        <x:v>159</x:v>
      </x:c>
      <x:c r="C35" s="10" t="s">
        <x:v>160</x:v>
      </x:c>
      <x:c r="D35" s="12" t="s">
        <x:v>161</x:v>
      </x:c>
      <x:c r="E35" s="10" t="s">
        <x:v>48</x:v>
      </x:c>
      <x:c r="F35" s="10" t="s">
        <x:v>49</x:v>
      </x:c>
      <x:c r="G35" s="10">
        <x:v>1</x:v>
      </x:c>
      <x:c r="H35" s="10"/>
      <x:c r="I35" s="10">
        <x:v>100</x:v>
      </x:c>
      <x:c r="J35" s="10" t="s">
        <x:v>51</x:v>
      </x:c>
      <x:c r="K35" s="10">
        <x:v>0</x:v>
      </x:c>
      <x:c r="L35" s="10">
        <x:v>0</x:v>
      </x:c>
      <x:c r="M35" s="10">
        <x:v>0</x:v>
      </x:c>
      <x:c r="N35" s="10">
        <x:v>0</x:v>
      </x:c>
      <x:c r="O35" s="10">
        <x:v>0</x:v>
      </x:c>
      <x:c r="P35" s="10">
        <x:v>0</x:v>
      </x:c>
      <x:c r="R35" s="8">
        <x:f t="shared" si="1"/>
        <x:v>80</x:v>
      </x:c>
    </x:row>
    <x:row r="36" ht="17">
      <x:c r="B36" s="1" t="s">
        <x:v>162</x:v>
      </x:c>
      <x:c r="C36" s="1" t="s">
        <x:v>163</x:v>
      </x:c>
      <x:c r="D36" s="9" t="s">
        <x:v>164</x:v>
      </x:c>
      <x:c r="E36" s="1" t="s">
        <x:v>165</x:v>
      </x:c>
      <x:c r="F36" s="1" t="s">
        <x:v>49</x:v>
      </x:c>
      <x:c r="G36" s="1">
        <x:v>1</x:v>
      </x:c>
      <x:c r="I36" s="1">
        <x:v>10</x:v>
      </x:c>
      <x:c r="J36" s="1" t="s">
        <x:v>103</x:v>
      </x:c>
      <x:c r="K36" s="1">
        <x:v>0</x:v>
      </x:c>
      <x:c r="L36" s="1">
        <x:v>0</x:v>
      </x:c>
      <x:c r="M36" s="1">
        <x:v>0</x:v>
      </x:c>
      <x:c r="N36" s="1">
        <x:v>0</x:v>
      </x:c>
      <x:c r="O36" s="1">
        <x:v>0</x:v>
      </x:c>
      <x:c r="P36" s="1">
        <x:v>0</x:v>
      </x:c>
      <x:c r="R36">
        <x:f t="shared" si="1"/>
        <x:v>200</x:v>
      </x:c>
    </x:row>
    <x:row r="37" s="14" customFormat="1" ht="34">
      <x:c r="A37" s="16"/>
      <x:c r="B37" s="16" t="s">
        <x:v>166</x:v>
      </x:c>
      <x:c r="C37" s="16" t="s">
        <x:v>167</x:v>
      </x:c>
      <x:c r="D37" s="17" t="s">
        <x:v>168</x:v>
      </x:c>
      <x:c r="E37" s="16" t="s">
        <x:v>48</x:v>
      </x:c>
      <x:c r="F37" s="16" t="s">
        <x:v>49</x:v>
      </x:c>
      <x:c r="G37" s="16">
        <x:v>1</x:v>
      </x:c>
      <x:c r="H37" s="16" t="s">
        <x:v>169</x:v>
      </x:c>
      <x:c r="I37" s="16">
        <x:v>100</x:v>
      </x:c>
      <x:c r="J37" s="16" t="s">
        <x:v>51</x:v>
      </x:c>
      <x:c r="K37" s="16">
        <x:v>0</x:v>
      </x:c>
      <x:c r="L37" s="16">
        <x:v>0</x:v>
      </x:c>
      <x:c r="M37" s="16">
        <x:v>0</x:v>
      </x:c>
      <x:c r="N37" s="16">
        <x:v>0</x:v>
      </x:c>
      <x:c r="O37" s="16">
        <x:v>0</x:v>
      </x:c>
      <x:c r="P37" s="16">
        <x:v>0</x:v>
      </x:c>
      <x:c r="R37" s="14" t="n">
        <x:f t="shared" ref="R37:R54" si="2">VLOOKUP(E37,$T$10:$AB$17,9,FALSE)</x:f>
        <x:v>80</x:v>
      </x:c>
    </x:row>
    <x:row r="38" ht="34">
      <x:c r="B38" s="1" t="s">
        <x:v>170</x:v>
      </x:c>
      <x:c r="C38" s="1" t="s">
        <x:v>171</x:v>
      </x:c>
      <x:c r="D38" s="9" t="s">
        <x:v>172</x:v>
      </x:c>
      <x:c r="E38" s="1" t="s">
        <x:v>70</x:v>
      </x:c>
      <x:c r="F38" s="1" t="s">
        <x:v>49</x:v>
      </x:c>
      <x:c r="G38" s="1">
        <x:v>2</x:v>
      </x:c>
      <x:c r="H38" s="1" t="s">
        <x:v>173</x:v>
      </x:c>
      <x:c r="I38" s="1">
        <x:v>300</x:v>
      </x:c>
      <x:c r="J38" s="1" t="s">
        <x:v>57</x:v>
      </x:c>
      <x:c r="K38" s="1">
        <x:v>0</x:v>
      </x:c>
      <x:c r="L38" s="1">
        <x:v>0</x:v>
      </x:c>
      <x:c r="M38" s="1">
        <x:v>0</x:v>
      </x:c>
      <x:c r="N38" s="1">
        <x:v>0</x:v>
      </x:c>
      <x:c r="O38" s="1">
        <x:v>0</x:v>
      </x:c>
      <x:c r="P38" s="1">
        <x:v>0</x:v>
      </x:c>
      <x:c r="R38">
        <x:f t="shared" si="2"/>
        <x:v>50</x:v>
      </x:c>
    </x:row>
    <x:row r="39" ht="34">
      <x:c r="B39" s="1" t="s">
        <x:v>174</x:v>
      </x:c>
      <x:c r="C39" s="1" t="s">
        <x:v>175</x:v>
      </x:c>
      <x:c r="D39" s="9" t="s">
        <x:v>176</x:v>
      </x:c>
      <x:c r="E39" s="1" t="s">
        <x:v>70</x:v>
      </x:c>
      <x:c r="F39" s="1" t="s">
        <x:v>49</x:v>
      </x:c>
      <x:c r="G39" s="1">
        <x:v>2</x:v>
      </x:c>
      <x:c r="H39" s="1" t="s">
        <x:v>177</x:v>
      </x:c>
      <x:c r="I39" s="1">
        <x:v>300</x:v>
      </x:c>
      <x:c r="J39" s="1" t="s">
        <x:v>57</x:v>
      </x:c>
      <x:c r="K39" s="1">
        <x:v>0</x:v>
      </x:c>
      <x:c r="L39" s="1">
        <x:v>0</x:v>
      </x:c>
      <x:c r="M39" s="1">
        <x:v>0</x:v>
      </x:c>
      <x:c r="N39" s="1">
        <x:v>0</x:v>
      </x:c>
      <x:c r="O39" s="1">
        <x:v>0</x:v>
      </x:c>
      <x:c r="P39" s="1">
        <x:v>0</x:v>
      </x:c>
      <x:c r="R39">
        <x:f t="shared" si="2"/>
        <x:v>50</x:v>
      </x:c>
    </x:row>
    <x:row r="40">
      <x:c r="B40" s="1" t="s">
        <x:v>178</x:v>
      </x:c>
      <x:c r="C40" s="1" t="s">
        <x:v>179</x:v>
      </x:c>
      <x:c r="D40" s="1" t="s">
        <x:v>180</x:v>
      </x:c>
      <x:c r="E40" s="1" t="s">
        <x:v>48</x:v>
      </x:c>
      <x:c r="F40" s="1" t="s">
        <x:v>49</x:v>
      </x:c>
      <x:c r="G40" s="1">
        <x:v>2</x:v>
      </x:c>
      <x:c r="I40" s="1">
        <x:v>100</x:v>
      </x:c>
      <x:c r="J40" s="1" t="s">
        <x:v>51</x:v>
      </x:c>
      <x:c r="K40" s="1">
        <x:v>0</x:v>
      </x:c>
      <x:c r="L40" s="1">
        <x:v>0</x:v>
      </x:c>
      <x:c r="M40" s="1">
        <x:v>0</x:v>
      </x:c>
      <x:c r="N40" s="1">
        <x:v>0</x:v>
      </x:c>
      <x:c r="O40" s="1">
        <x:v>0</x:v>
      </x:c>
      <x:c r="P40" s="1">
        <x:v>0</x:v>
      </x:c>
      <x:c r="R40">
        <x:f t="shared" si="2"/>
        <x:v>80</x:v>
      </x:c>
    </x:row>
    <x:row r="41" ht="34">
      <x:c r="B41" s="1" t="s">
        <x:v>181</x:v>
      </x:c>
      <x:c r="C41" s="1" t="s">
        <x:v>182</x:v>
      </x:c>
      <x:c r="D41" s="9" t="s">
        <x:v>183</x:v>
      </x:c>
      <x:c r="E41" s="1" t="s">
        <x:v>48</x:v>
      </x:c>
      <x:c r="F41" s="1" t="s">
        <x:v>49</x:v>
      </x:c>
      <x:c r="G41" s="1">
        <x:v>5</x:v>
      </x:c>
      <x:c r="I41" s="1">
        <x:v>100</x:v>
      </x:c>
      <x:c r="J41" s="1" t="s">
        <x:v>51</x:v>
      </x:c>
      <x:c r="K41" s="1">
        <x:v>0</x:v>
      </x:c>
      <x:c r="L41" s="1">
        <x:v>0</x:v>
      </x:c>
      <x:c r="M41" s="1">
        <x:v>0</x:v>
      </x:c>
      <x:c r="N41" s="1">
        <x:v>0</x:v>
      </x:c>
      <x:c r="O41" s="1">
        <x:v>0</x:v>
      </x:c>
      <x:c r="P41" s="1">
        <x:v>0</x:v>
      </x:c>
      <x:c r="R41">
        <x:f t="shared" si="2"/>
        <x:v>80</x:v>
      </x:c>
    </x:row>
    <x:row r="42" s="8" customFormat="1" ht="34">
      <x:c r="A42" s="10"/>
      <x:c r="B42" s="10" t="s">
        <x:v>184</x:v>
      </x:c>
      <x:c r="C42" s="10" t="s">
        <x:v>185</x:v>
      </x:c>
      <x:c r="D42" s="12" t="s">
        <x:v>186</x:v>
      </x:c>
      <x:c r="E42" s="10" t="s">
        <x:v>48</x:v>
      </x:c>
      <x:c r="F42" s="10" t="s">
        <x:v>49</x:v>
      </x:c>
      <x:c r="G42" s="10">
        <x:v>600</x:v>
      </x:c>
      <x:c r="H42" s="10"/>
      <x:c r="I42" s="10">
        <x:v>100</x:v>
      </x:c>
      <x:c r="J42" s="10" t="s">
        <x:v>51</x:v>
      </x:c>
      <x:c r="K42" s="10">
        <x:v>0</x:v>
      </x:c>
      <x:c r="L42" s="10">
        <x:v>0</x:v>
      </x:c>
      <x:c r="M42" s="10">
        <x:v>0</x:v>
      </x:c>
      <x:c r="N42" s="10">
        <x:v>0</x:v>
      </x:c>
      <x:c r="O42" s="10">
        <x:v>0</x:v>
      </x:c>
      <x:c r="P42" s="10">
        <x:v>0</x:v>
      </x:c>
      <x:c r="R42" s="8">
        <x:f t="shared" si="2"/>
        <x:v>80</x:v>
      </x:c>
    </x:row>
    <x:row r="43" ht="17">
      <x:c r="B43" s="1" t="s">
        <x:v>187</x:v>
      </x:c>
      <x:c r="C43" s="1" t="s">
        <x:v>188</x:v>
      </x:c>
      <x:c r="D43" s="9" t="s">
        <x:v>189</x:v>
      </x:c>
      <x:c r="E43" s="1" t="s">
        <x:v>48</x:v>
      </x:c>
      <x:c r="F43" s="1" t="s">
        <x:v>49</x:v>
      </x:c>
      <x:c r="G43" s="1">
        <x:v>2</x:v>
      </x:c>
      <x:c r="I43" s="1">
        <x:v>100</x:v>
      </x:c>
      <x:c r="J43" s="1" t="s">
        <x:v>51</x:v>
      </x:c>
      <x:c r="K43" s="1">
        <x:v>0</x:v>
      </x:c>
      <x:c r="L43" s="1">
        <x:v>0</x:v>
      </x:c>
      <x:c r="M43" s="1">
        <x:v>0</x:v>
      </x:c>
      <x:c r="N43" s="1">
        <x:v>0</x:v>
      </x:c>
      <x:c r="O43" s="1">
        <x:v>0</x:v>
      </x:c>
      <x:c r="P43" s="1">
        <x:v>0</x:v>
      </x:c>
      <x:c r="R43">
        <x:f t="shared" si="2"/>
        <x:v>80</x:v>
      </x:c>
    </x:row>
    <x:row r="44" ht="34">
      <x:c r="B44" s="1" t="s">
        <x:v>190</x:v>
      </x:c>
      <x:c r="C44" s="1" t="s">
        <x:v>191</x:v>
      </x:c>
      <x:c r="D44" s="9" t="s">
        <x:v>192</x:v>
      </x:c>
      <x:c r="E44" s="1" t="s">
        <x:v>48</x:v>
      </x:c>
      <x:c r="F44" s="1" t="s">
        <x:v>49</x:v>
      </x:c>
      <x:c r="G44" s="1">
        <x:v>200</x:v>
      </x:c>
      <x:c r="I44" s="1">
        <x:v>100</x:v>
      </x:c>
      <x:c r="J44" s="1" t="s">
        <x:v>51</x:v>
      </x:c>
      <x:c r="K44" s="1">
        <x:v>0</x:v>
      </x:c>
      <x:c r="L44" s="1">
        <x:v>0</x:v>
      </x:c>
      <x:c r="M44" s="1">
        <x:v>0</x:v>
      </x:c>
      <x:c r="N44" s="1">
        <x:v>0</x:v>
      </x:c>
      <x:c r="O44" s="1">
        <x:v>0</x:v>
      </x:c>
      <x:c r="P44" s="1">
        <x:v>0</x:v>
      </x:c>
      <x:c r="R44">
        <x:f t="shared" si="2"/>
        <x:v>80</x:v>
      </x:c>
    </x:row>
    <x:row r="45" ht="34">
      <x:c r="B45" s="1" t="s">
        <x:v>193</x:v>
      </x:c>
      <x:c r="C45" s="1" t="s">
        <x:v>194</x:v>
      </x:c>
      <x:c r="D45" s="9" t="s">
        <x:v>195</x:v>
      </x:c>
      <x:c r="E45" s="1" t="s">
        <x:v>48</x:v>
      </x:c>
      <x:c r="F45" s="1" t="s">
        <x:v>49</x:v>
      </x:c>
      <x:c r="G45" s="1">
        <x:v>2</x:v>
      </x:c>
      <x:c r="I45" s="1">
        <x:v>100</x:v>
      </x:c>
      <x:c r="J45" s="1" t="s">
        <x:v>51</x:v>
      </x:c>
      <x:c r="K45" s="1">
        <x:v>0</x:v>
      </x:c>
      <x:c r="L45" s="1">
        <x:v>0</x:v>
      </x:c>
      <x:c r="M45" s="1">
        <x:v>0</x:v>
      </x:c>
      <x:c r="N45" s="1">
        <x:v>0</x:v>
      </x:c>
      <x:c r="O45" s="1">
        <x:v>0</x:v>
      </x:c>
      <x:c r="P45" s="1">
        <x:v>0</x:v>
      </x:c>
      <x:c r="R45">
        <x:f t="shared" si="2"/>
        <x:v>80</x:v>
      </x:c>
    </x:row>
    <x:row r="46">
      <x:c r="B46" s="1" t="s">
        <x:v>196</x:v>
      </x:c>
      <x:c r="C46" s="1" t="s">
        <x:v>197</x:v>
      </x:c>
      <x:c r="D46" s="1" t="s">
        <x:v>198</x:v>
      </x:c>
      <x:c r="E46" s="1" t="s">
        <x:v>165</x:v>
      </x:c>
      <x:c r="F46" s="1" t="s">
        <x:v>49</x:v>
      </x:c>
      <x:c r="G46" s="1">
        <x:v>1</x:v>
      </x:c>
      <x:c r="I46" s="1">
        <x:v>10</x:v>
      </x:c>
      <x:c r="J46" s="1" t="s">
        <x:v>103</x:v>
      </x:c>
      <x:c r="K46" s="1">
        <x:v>0</x:v>
      </x:c>
      <x:c r="L46" s="1">
        <x:v>0</x:v>
      </x:c>
      <x:c r="M46" s="1">
        <x:v>0</x:v>
      </x:c>
      <x:c r="N46" s="1">
        <x:v>0</x:v>
      </x:c>
      <x:c r="O46" s="1">
        <x:v>0</x:v>
      </x:c>
      <x:c r="P46" s="1">
        <x:v>0</x:v>
      </x:c>
      <x:c r="R46">
        <x:f t="shared" si="2"/>
        <x:v>200</x:v>
      </x:c>
    </x:row>
    <x:row r="47" s="8" customFormat="1" ht="34">
      <x:c r="A47" s="10"/>
      <x:c r="B47" s="10" t="s">
        <x:v>199</x:v>
      </x:c>
      <x:c r="C47" s="10" t="s">
        <x:v>200</x:v>
      </x:c>
      <x:c r="D47" s="12" t="s">
        <x:v>201</x:v>
      </x:c>
      <x:c r="E47" s="10" t="s">
        <x:v>48</x:v>
      </x:c>
      <x:c r="F47" s="10" t="s">
        <x:v>49</x:v>
      </x:c>
      <x:c r="G47" s="10">
        <x:v>1</x:v>
      </x:c>
      <x:c r="H47" s="10"/>
      <x:c r="I47" s="10">
        <x:v>100</x:v>
      </x:c>
      <x:c r="J47" s="10" t="s">
        <x:v>51</x:v>
      </x:c>
      <x:c r="K47" s="10">
        <x:v>0</x:v>
      </x:c>
      <x:c r="L47" s="10">
        <x:v>0</x:v>
      </x:c>
      <x:c r="M47" s="10">
        <x:v>0</x:v>
      </x:c>
      <x:c r="N47" s="10">
        <x:v>0</x:v>
      </x:c>
      <x:c r="O47" s="10">
        <x:v>0</x:v>
      </x:c>
      <x:c r="P47" s="10">
        <x:v>0</x:v>
      </x:c>
      <x:c r="R47" s="8">
        <x:f t="shared" si="2"/>
        <x:v>80</x:v>
      </x:c>
    </x:row>
    <x:row r="48" ht="34">
      <x:c r="B48" s="1" t="s">
        <x:v>202</x:v>
      </x:c>
      <x:c r="C48" s="1" t="s">
        <x:v>203</x:v>
      </x:c>
      <x:c r="D48" s="9" t="s">
        <x:v>204</x:v>
      </x:c>
      <x:c r="E48" s="1" t="s">
        <x:v>48</x:v>
      </x:c>
      <x:c r="F48" s="1" t="s">
        <x:v>49</x:v>
      </x:c>
      <x:c r="G48" s="1">
        <x:v>2</x:v>
      </x:c>
      <x:c r="I48" s="1">
        <x:v>100</x:v>
      </x:c>
      <x:c r="J48" s="1" t="s">
        <x:v>51</x:v>
      </x:c>
      <x:c r="K48" s="1">
        <x:v>0</x:v>
      </x:c>
      <x:c r="L48" s="1">
        <x:v>0</x:v>
      </x:c>
      <x:c r="M48" s="1">
        <x:v>0</x:v>
      </x:c>
      <x:c r="N48" s="1">
        <x:v>0</x:v>
      </x:c>
      <x:c r="O48" s="1">
        <x:v>0</x:v>
      </x:c>
      <x:c r="P48" s="1">
        <x:v>0</x:v>
      </x:c>
      <x:c r="R48">
        <x:f t="shared" si="2"/>
        <x:v>80</x:v>
      </x:c>
    </x:row>
    <x:row r="49" ht="34">
      <x:c r="B49" s="1" t="s">
        <x:v>205</x:v>
      </x:c>
      <x:c r="C49" s="1" t="s">
        <x:v>206</x:v>
      </x:c>
      <x:c r="D49" s="9" t="s">
        <x:v>207</x:v>
      </x:c>
      <x:c r="E49" s="1" t="s">
        <x:v>48</x:v>
      </x:c>
      <x:c r="F49" s="1" t="s">
        <x:v>49</x:v>
      </x:c>
      <x:c r="G49" s="1">
        <x:v>1</x:v>
      </x:c>
      <x:c r="I49" s="1">
        <x:v>100</x:v>
      </x:c>
      <x:c r="J49" s="1" t="s">
        <x:v>51</x:v>
      </x:c>
      <x:c r="K49" s="1">
        <x:v>0</x:v>
      </x:c>
      <x:c r="L49" s="1">
        <x:v>0</x:v>
      </x:c>
      <x:c r="M49" s="1">
        <x:v>0</x:v>
      </x:c>
      <x:c r="N49" s="1">
        <x:v>0</x:v>
      </x:c>
      <x:c r="O49" s="1">
        <x:v>0</x:v>
      </x:c>
      <x:c r="P49" s="1">
        <x:v>0</x:v>
      </x:c>
      <x:c r="R49">
        <x:f t="shared" si="2"/>
        <x:v>80</x:v>
      </x:c>
    </x:row>
    <x:row r="50" ht="34">
      <x:c r="B50" s="1" t="s">
        <x:v>208</x:v>
      </x:c>
      <x:c r="C50" s="1" t="s">
        <x:v>209</x:v>
      </x:c>
      <x:c r="D50" s="9" t="s">
        <x:v>210</x:v>
      </x:c>
      <x:c r="E50" s="1" t="s">
        <x:v>61</x:v>
      </x:c>
      <x:c r="F50" s="1" t="s">
        <x:v>49</x:v>
      </x:c>
      <x:c r="G50" s="1">
        <x:v>4</x:v>
      </x:c>
      <x:c r="I50" s="1">
        <x:v>30</x:v>
      </x:c>
      <x:c r="J50" s="1" t="s">
        <x:v>63</x:v>
      </x:c>
      <x:c r="K50" s="1">
        <x:v>0</x:v>
      </x:c>
      <x:c r="L50" s="1">
        <x:v>0</x:v>
      </x:c>
      <x:c r="M50" s="1">
        <x:v>0</x:v>
      </x:c>
      <x:c r="N50" s="1">
        <x:v>0</x:v>
      </x:c>
      <x:c r="O50" s="1">
        <x:v>0</x:v>
      </x:c>
      <x:c r="P50" s="1">
        <x:v>0</x:v>
      </x:c>
      <x:c r="R50">
        <x:f t="shared" si="2"/>
        <x:v>120</x:v>
      </x:c>
    </x:row>
    <x:row r="51" ht="17">
      <x:c r="B51" s="1" t="s">
        <x:v>211</x:v>
      </x:c>
      <x:c r="C51" s="1" t="s">
        <x:v>212</x:v>
      </x:c>
      <x:c r="D51" s="9" t="s">
        <x:v>213</x:v>
      </x:c>
      <x:c r="E51" s="1" t="s">
        <x:v>61</x:v>
      </x:c>
      <x:c r="F51" s="1" t="s">
        <x:v>49</x:v>
      </x:c>
      <x:c r="G51" s="1">
        <x:v>0.2</x:v>
      </x:c>
      <x:c r="I51" s="1">
        <x:v>30</x:v>
      </x:c>
      <x:c r="J51" s="1" t="s">
        <x:v>63</x:v>
      </x:c>
      <x:c r="K51" s="1">
        <x:v>0</x:v>
      </x:c>
      <x:c r="L51" s="1">
        <x:v>0</x:v>
      </x:c>
      <x:c r="M51" s="1">
        <x:v>0</x:v>
      </x:c>
      <x:c r="N51" s="1">
        <x:v>0</x:v>
      </x:c>
      <x:c r="O51" s="1">
        <x:v>0</x:v>
      </x:c>
      <x:c r="P51" s="1">
        <x:v>0</x:v>
      </x:c>
      <x:c r="R51">
        <x:f t="shared" si="2"/>
        <x:v>120</x:v>
      </x:c>
    </x:row>
    <x:row r="52">
      <x:c r="B52" s="1" t="s">
        <x:v>214</x:v>
      </x:c>
      <x:c r="C52" s="1" t="s">
        <x:v>215</x:v>
      </x:c>
      <x:c r="D52" s="1" t="s">
        <x:v>216</x:v>
      </x:c>
      <x:c r="E52" s="1" t="s">
        <x:v>70</x:v>
      </x:c>
      <x:c r="F52" s="1" t="s">
        <x:v>49</x:v>
      </x:c>
      <x:c r="G52" s="1">
        <x:v>0.2</x:v>
      </x:c>
      <x:c r="I52" s="1">
        <x:v>300</x:v>
      </x:c>
      <x:c r="J52" s="1" t="s">
        <x:v>57</x:v>
      </x:c>
      <x:c r="K52" s="1">
        <x:v>0</x:v>
      </x:c>
      <x:c r="L52" s="1">
        <x:v>0</x:v>
      </x:c>
      <x:c r="M52" s="1">
        <x:v>0</x:v>
      </x:c>
      <x:c r="N52" s="1">
        <x:v>0</x:v>
      </x:c>
      <x:c r="O52" s="1">
        <x:v>0</x:v>
      </x:c>
      <x:c r="P52" s="1">
        <x:v>0</x:v>
      </x:c>
      <x:c r="R52">
        <x:f t="shared" si="2"/>
        <x:v>50</x:v>
      </x:c>
    </x:row>
    <x:row r="53" ht="34">
      <x:c r="B53" s="1" t="s">
        <x:v>217</x:v>
      </x:c>
      <x:c r="C53" s="1" t="s">
        <x:v>218</x:v>
      </x:c>
      <x:c r="D53" s="9" t="s">
        <x:v>219</x:v>
      </x:c>
      <x:c r="E53" s="1" t="s">
        <x:v>70</x:v>
      </x:c>
      <x:c r="F53" s="1" t="s">
        <x:v>49</x:v>
      </x:c>
      <x:c r="G53" s="1">
        <x:v>10</x:v>
      </x:c>
      <x:c r="I53" s="1">
        <x:v>300</x:v>
      </x:c>
      <x:c r="J53" s="1" t="s">
        <x:v>57</x:v>
      </x:c>
      <x:c r="K53" s="1">
        <x:v>0</x:v>
      </x:c>
      <x:c r="L53" s="1">
        <x:v>0</x:v>
      </x:c>
      <x:c r="M53" s="1">
        <x:v>0</x:v>
      </x:c>
      <x:c r="N53" s="1">
        <x:v>0</x:v>
      </x:c>
      <x:c r="O53" s="1">
        <x:v>0</x:v>
      </x:c>
      <x:c r="P53" s="1">
        <x:v>0</x:v>
      </x:c>
      <x:c r="R53">
        <x:f t="shared" si="2"/>
        <x:v>50</x:v>
      </x:c>
    </x:row>
    <x:row r="54" s="8" customFormat="1" ht="17">
      <x:c r="A54" s="10"/>
      <x:c r="B54" s="10" t="s">
        <x:v>220</x:v>
      </x:c>
      <x:c r="C54" s="10" t="s">
        <x:v>221</x:v>
      </x:c>
      <x:c r="D54" s="12" t="s">
        <x:v>222</x:v>
      </x:c>
      <x:c r="E54" s="10" t="s">
        <x:v>70</x:v>
      </x:c>
      <x:c r="F54" s="10" t="s">
        <x:v>49</x:v>
      </x:c>
      <x:c r="G54" s="10">
        <x:v>0</x:v>
      </x:c>
      <x:c r="H54" s="10"/>
      <x:c r="I54" s="10">
        <x:v>30</x:v>
      </x:c>
      <x:c r="J54" s="10" t="s">
        <x:v>63</x:v>
      </x:c>
      <x:c r="K54" s="10">
        <x:v>0</x:v>
      </x:c>
      <x:c r="L54" s="10">
        <x:v>0</x:v>
      </x:c>
      <x:c r="M54" s="10">
        <x:v>0</x:v>
      </x:c>
      <x:c r="N54" s="10">
        <x:v>0</x:v>
      </x:c>
      <x:c r="O54" s="10">
        <x:v>0</x:v>
      </x:c>
      <x:c r="P54" s="10">
        <x:v>0</x:v>
      </x:c>
      <x:c r="R54" s="8">
        <x:f t="shared" si="2"/>
        <x:v>50</x:v>
      </x:c>
    </x:row>
    <x:row r="55" s="8" customFormat="1">
      <x:c r="A55" s="10" t="s">
        <x:v>223</x:v>
      </x:c>
      <x:c r="B55" s="10"/>
      <x:c r="C55" s="10"/>
      <x:c r="D55" s="10" t="s">
        <x:v>224</x:v>
      </x:c>
      <x:c r="E55" s="10" t="s">
        <x:v>70</x:v>
      </x:c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</x:row>
    <x:row r="56" s="8" customFormat="1">
      <x:c r="A56" s="10" t="s">
        <x:v>223</x:v>
      </x:c>
      <x:c r="B56" s="10"/>
      <x:c r="C56" s="10"/>
      <x:c r="D56" s="10" t="s">
        <x:v>225</x:v>
      </x:c>
      <x:c r="E56" s="10" t="s">
        <x:v>70</x:v>
      </x:c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</x:row>
    <x:row r="57" ht="34">
      <x:c r="B57" s="1" t="s">
        <x:v>226</x:v>
      </x:c>
      <x:c r="C57" s="1" t="s">
        <x:v>227</x:v>
      </x:c>
      <x:c r="D57" s="9" t="s">
        <x:v>228</x:v>
      </x:c>
      <x:c r="E57" s="1" t="s">
        <x:v>48</x:v>
      </x:c>
      <x:c r="F57" s="1" t="s">
        <x:v>49</x:v>
      </x:c>
      <x:c r="G57" s="1">
        <x:v>1</x:v>
      </x:c>
      <x:c r="I57" s="1">
        <x:v>100</x:v>
      </x:c>
      <x:c r="J57" s="1" t="s">
        <x:v>51</x:v>
      </x:c>
      <x:c r="K57" s="1">
        <x:v>0</x:v>
      </x:c>
      <x:c r="L57" s="1">
        <x:v>0</x:v>
      </x:c>
      <x:c r="M57" s="1">
        <x:v>0</x:v>
      </x:c>
      <x:c r="N57" s="1">
        <x:v>0</x:v>
      </x:c>
      <x:c r="O57" s="1">
        <x:v>0</x:v>
      </x:c>
      <x:c r="P57" s="1">
        <x:v>0</x:v>
      </x:c>
      <x:c r="R57" t="n">
        <x:f t="shared" ref="R57:R66" si="3">VLOOKUP(E57,$T$10:$AB$17,9,FALSE)</x:f>
        <x:v>80</x:v>
      </x:c>
    </x:row>
    <x:row r="58" ht="34">
      <x:c r="B58" s="1" t="s">
        <x:v>229</x:v>
      </x:c>
      <x:c r="C58" s="1" t="s">
        <x:v>230</x:v>
      </x:c>
      <x:c r="D58" s="9" t="s">
        <x:v>231</x:v>
      </x:c>
      <x:c r="E58" s="1" t="s">
        <x:v>48</x:v>
      </x:c>
      <x:c r="F58" s="1" t="s">
        <x:v>49</x:v>
      </x:c>
      <x:c r="G58" s="1">
        <x:v>0</x:v>
      </x:c>
      <x:c r="H58" s="1" t="s">
        <x:v>232</x:v>
      </x:c>
      <x:c r="I58" s="1">
        <x:v>100</x:v>
      </x:c>
      <x:c r="J58" s="1" t="s">
        <x:v>51</x:v>
      </x:c>
      <x:c r="K58" s="1">
        <x:v>0</x:v>
      </x:c>
      <x:c r="L58" s="1">
        <x:v>0</x:v>
      </x:c>
      <x:c r="M58" s="1">
        <x:v>0</x:v>
      </x:c>
      <x:c r="N58" s="1">
        <x:v>0</x:v>
      </x:c>
      <x:c r="O58" s="1">
        <x:v>0</x:v>
      </x:c>
      <x:c r="P58" s="1">
        <x:v>0</x:v>
      </x:c>
      <x:c r="R58">
        <x:f t="shared" si="3"/>
        <x:v>80</x:v>
      </x:c>
    </x:row>
    <x:row r="59" ht="34">
      <x:c r="B59" s="1" t="s">
        <x:v>233</x:v>
      </x:c>
      <x:c r="C59" s="1" t="s">
        <x:v>234</x:v>
      </x:c>
      <x:c r="D59" s="9" t="s">
        <x:v>235</x:v>
      </x:c>
      <x:c r="E59" s="1" t="s">
        <x:v>48</x:v>
      </x:c>
      <x:c r="F59" s="1" t="s">
        <x:v>49</x:v>
      </x:c>
      <x:c r="G59" s="1">
        <x:v>0</x:v>
      </x:c>
      <x:c r="H59" s="1" t="s">
        <x:v>236</x:v>
      </x:c>
      <x:c r="I59" s="1">
        <x:v>100</x:v>
      </x:c>
      <x:c r="J59" s="1" t="s">
        <x:v>51</x:v>
      </x:c>
      <x:c r="K59" s="1">
        <x:v>0</x:v>
      </x:c>
      <x:c r="L59" s="1">
        <x:v>0</x:v>
      </x:c>
      <x:c r="M59" s="1">
        <x:v>0</x:v>
      </x:c>
      <x:c r="N59" s="1">
        <x:v>0</x:v>
      </x:c>
      <x:c r="O59" s="1">
        <x:v>0</x:v>
      </x:c>
      <x:c r="P59" s="1">
        <x:v>0</x:v>
      </x:c>
      <x:c r="R59">
        <x:f t="shared" si="3"/>
        <x:v>80</x:v>
      </x:c>
    </x:row>
    <x:row r="60" ht="17">
      <x:c r="B60" s="1" t="s">
        <x:v>237</x:v>
      </x:c>
      <x:c r="C60" s="1" t="s">
        <x:v>238</x:v>
      </x:c>
      <x:c r="D60" s="9" t="s">
        <x:v>239</x:v>
      </x:c>
      <x:c r="E60" s="1" t="s">
        <x:v>70</x:v>
      </x:c>
      <x:c r="F60" s="1" t="s">
        <x:v>49</x:v>
      </x:c>
      <x:c r="G60" s="1">
        <x:v>1</x:v>
      </x:c>
      <x:c r="I60" s="1">
        <x:v>100</x:v>
      </x:c>
      <x:c r="J60" s="1" t="s">
        <x:v>51</x:v>
      </x:c>
      <x:c r="K60" s="1">
        <x:v>0</x:v>
      </x:c>
      <x:c r="L60" s="1">
        <x:v>0</x:v>
      </x:c>
      <x:c r="M60" s="1">
        <x:v>0</x:v>
      </x:c>
      <x:c r="N60" s="1">
        <x:v>0</x:v>
      </x:c>
      <x:c r="O60" s="1">
        <x:v>0</x:v>
      </x:c>
      <x:c r="P60" s="1">
        <x:v>0</x:v>
      </x:c>
      <x:c r="R60">
        <x:f t="shared" si="3"/>
        <x:v>50</x:v>
      </x:c>
    </x:row>
    <x:row r="61">
      <x:c r="B61" s="1" t="s">
        <x:v>240</x:v>
      </x:c>
      <x:c r="C61" s="1" t="s">
        <x:v>241</x:v>
      </x:c>
      <x:c r="D61" s="1" t="s">
        <x:v>242</x:v>
      </x:c>
      <x:c r="E61" s="1" t="s">
        <x:v>70</x:v>
      </x:c>
      <x:c r="F61" s="1" t="s">
        <x:v>49</x:v>
      </x:c>
      <x:c r="G61" s="1">
        <x:v>2</x:v>
      </x:c>
      <x:c r="I61" s="1">
        <x:v>300</x:v>
      </x:c>
      <x:c r="J61" s="1" t="s">
        <x:v>57</x:v>
      </x:c>
      <x:c r="K61" s="1">
        <x:v>0</x:v>
      </x:c>
      <x:c r="L61" s="1">
        <x:v>0</x:v>
      </x:c>
      <x:c r="M61" s="1">
        <x:v>0</x:v>
      </x:c>
      <x:c r="N61" s="1">
        <x:v>0</x:v>
      </x:c>
      <x:c r="O61" s="1">
        <x:v>0</x:v>
      </x:c>
      <x:c r="P61" s="1">
        <x:v>0</x:v>
      </x:c>
      <x:c r="R61">
        <x:f t="shared" si="3"/>
        <x:v>50</x:v>
      </x:c>
    </x:row>
    <x:row r="62" ht="34">
      <x:c r="B62" s="1" t="s">
        <x:v>243</x:v>
      </x:c>
      <x:c r="C62" s="1" t="s">
        <x:v>244</x:v>
      </x:c>
      <x:c r="D62" s="9" t="s">
        <x:v>245</x:v>
      </x:c>
      <x:c r="E62" s="1" t="s">
        <x:v>48</x:v>
      </x:c>
      <x:c r="F62" s="1" t="s">
        <x:v>49</x:v>
      </x:c>
      <x:c r="G62" s="1">
        <x:v>50</x:v>
      </x:c>
      <x:c r="I62" s="1">
        <x:v>100</x:v>
      </x:c>
      <x:c r="J62" s="1" t="s">
        <x:v>51</x:v>
      </x:c>
      <x:c r="K62" s="1">
        <x:v>0</x:v>
      </x:c>
      <x:c r="L62" s="1">
        <x:v>0</x:v>
      </x:c>
      <x:c r="M62" s="1">
        <x:v>0</x:v>
      </x:c>
      <x:c r="N62" s="1">
        <x:v>0</x:v>
      </x:c>
      <x:c r="O62" s="1">
        <x:v>0</x:v>
      </x:c>
      <x:c r="P62" s="1">
        <x:v>0</x:v>
      </x:c>
      <x:c r="R62">
        <x:f t="shared" si="3"/>
        <x:v>80</x:v>
      </x:c>
    </x:row>
    <x:row r="63" s="8" customFormat="1" ht="17">
      <x:c r="A63" s="10"/>
      <x:c r="B63" s="10" t="s">
        <x:v>246</x:v>
      </x:c>
      <x:c r="C63" s="10" t="s">
        <x:v>247</x:v>
      </x:c>
      <x:c r="D63" s="12" t="s">
        <x:v>248</x:v>
      </x:c>
      <x:c r="E63" s="10" t="s">
        <x:v>70</x:v>
      </x:c>
      <x:c r="F63" s="10" t="s">
        <x:v>249</x:v>
      </x:c>
      <x:c r="G63" s="10">
        <x:v>-0.2</x:v>
      </x:c>
      <x:c r="H63" s="10"/>
      <x:c r="I63" s="10">
        <x:v>300</x:v>
      </x:c>
      <x:c r="J63" s="10" t="s">
        <x:v>57</x:v>
      </x:c>
      <x:c r="K63" s="10">
        <x:v>0</x:v>
      </x:c>
      <x:c r="L63" s="10">
        <x:v>0</x:v>
      </x:c>
      <x:c r="M63" s="10">
        <x:v>0</x:v>
      </x:c>
      <x:c r="N63" s="10">
        <x:v>0</x:v>
      </x:c>
      <x:c r="O63" s="10">
        <x:v>0</x:v>
      </x:c>
      <x:c r="P63" s="10">
        <x:v>0</x:v>
      </x:c>
      <x:c r="R63" s="8">
        <x:f t="shared" si="3"/>
        <x:v>50</x:v>
      </x:c>
    </x:row>
    <x:row r="64" ht="17">
      <x:c r="B64" s="1" t="s">
        <x:v>250</x:v>
      </x:c>
      <x:c r="C64" s="1" t="s">
        <x:v>251</x:v>
      </x:c>
      <x:c r="D64" s="9" t="s">
        <x:v>252</x:v>
      </x:c>
      <x:c r="E64" s="1" t="s">
        <x:v>70</x:v>
      </x:c>
      <x:c r="F64" s="1" t="s">
        <x:v>249</x:v>
      </x:c>
      <x:c r="G64" s="1">
        <x:v>0.2</x:v>
      </x:c>
      <x:c r="I64" s="1">
        <x:v>300</x:v>
      </x:c>
      <x:c r="J64" s="1" t="s">
        <x:v>57</x:v>
      </x:c>
      <x:c r="K64" s="1">
        <x:v>0</x:v>
      </x:c>
      <x:c r="L64" s="1">
        <x:v>0</x:v>
      </x:c>
      <x:c r="M64" s="1">
        <x:v>0</x:v>
      </x:c>
      <x:c r="N64" s="1">
        <x:v>0</x:v>
      </x:c>
      <x:c r="O64" s="1">
        <x:v>0</x:v>
      </x:c>
      <x:c r="P64" s="1">
        <x:v>0</x:v>
      </x:c>
      <x:c r="R64">
        <x:f t="shared" si="3"/>
        <x:v>50</x:v>
      </x:c>
    </x:row>
    <x:row r="65" ht="17">
      <x:c r="B65" s="1" t="s">
        <x:v>253</x:v>
      </x:c>
      <x:c r="C65" s="1" t="s">
        <x:v>254</x:v>
      </x:c>
      <x:c r="D65" s="9" t="s">
        <x:v>255</x:v>
      </x:c>
      <x:c r="E65" s="1" t="s">
        <x:v>70</x:v>
      </x:c>
      <x:c r="F65" s="1" t="s">
        <x:v>249</x:v>
      </x:c>
      <x:c r="G65" s="1">
        <x:v>0</x:v>
      </x:c>
      <x:c r="I65" s="1">
        <x:v>300</x:v>
      </x:c>
      <x:c r="J65" s="1" t="s">
        <x:v>57</x:v>
      </x:c>
      <x:c r="K65" s="1">
        <x:v>0</x:v>
      </x:c>
      <x:c r="L65" s="1">
        <x:v>0</x:v>
      </x:c>
      <x:c r="M65" s="1">
        <x:v>0</x:v>
      </x:c>
      <x:c r="N65" s="1">
        <x:v>0</x:v>
      </x:c>
      <x:c r="O65" s="1">
        <x:v>0</x:v>
      </x:c>
      <x:c r="P65" s="1">
        <x:v>0</x:v>
      </x:c>
      <x:c r="R65">
        <x:f t="shared" si="3"/>
        <x:v>50</x:v>
      </x:c>
    </x:row>
    <x:row r="66" s="8" customFormat="1">
      <x:c r="A66" s="10"/>
      <x:c r="B66" s="10" t="s">
        <x:v>256</x:v>
      </x:c>
      <x:c r="C66" s="10" t="s">
        <x:v>257</x:v>
      </x:c>
      <x:c r="D66" s="10" t="s">
        <x:v>258</x:v>
      </x:c>
      <x:c r="E66" s="10" t="s">
        <x:v>70</x:v>
      </x:c>
      <x:c r="F66" s="10" t="s">
        <x:v>249</x:v>
      </x:c>
      <x:c r="G66" s="10">
        <x:v>1</x:v>
      </x:c>
      <x:c r="H66" s="10"/>
      <x:c r="I66" s="10">
        <x:v>300</x:v>
      </x:c>
      <x:c r="J66" s="10" t="s">
        <x:v>57</x:v>
      </x:c>
      <x:c r="K66" s="10">
        <x:v>0</x:v>
      </x:c>
      <x:c r="L66" s="10">
        <x:v>0</x:v>
      </x:c>
      <x:c r="M66" s="10">
        <x:v>0</x:v>
      </x:c>
      <x:c r="N66" s="10">
        <x:v>0</x:v>
      </x:c>
      <x:c r="O66" s="10">
        <x:v>0</x:v>
      </x:c>
      <x:c r="P66" s="10">
        <x:v>0</x:v>
      </x:c>
      <x:c r="R66" s="8">
        <x:f t="shared" si="3"/>
        <x:v>50</x:v>
      </x:c>
    </x:row>
    <x:row r="67" s="8" customFormat="1">
      <x:c r="A67" s="10" t="s">
        <x:v>223</x:v>
      </x:c>
      <x:c r="B67" s="10"/>
      <x:c r="C67" s="10"/>
      <x:c r="D67" s="10" t="s">
        <x:v>259</x:v>
      </x:c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</x:row>
    <x:row r="68">
      <x:c r="B68" s="1" t="s">
        <x:v>260</x:v>
      </x:c>
      <x:c r="C68" s="1" t="s">
        <x:v>261</x:v>
      </x:c>
      <x:c r="D68" s="1" t="s">
        <x:v>262</x:v>
      </x:c>
      <x:c r="E68" s="1" t="s">
        <x:v>70</x:v>
      </x:c>
      <x:c r="F68" s="1" t="s">
        <x:v>249</x:v>
      </x:c>
      <x:c r="G68" s="1">
        <x:v>-1</x:v>
      </x:c>
      <x:c r="I68" s="1">
        <x:v>300</x:v>
      </x:c>
      <x:c r="J68" s="1" t="s">
        <x:v>57</x:v>
      </x:c>
      <x:c r="K68" s="1">
        <x:v>0</x:v>
      </x:c>
      <x:c r="L68" s="1">
        <x:v>0</x:v>
      </x:c>
      <x:c r="M68" s="1">
        <x:v>0</x:v>
      </x:c>
      <x:c r="N68" s="1">
        <x:v>0</x:v>
      </x:c>
      <x:c r="O68" s="1">
        <x:v>0</x:v>
      </x:c>
      <x:c r="P68" s="1">
        <x:v>0</x:v>
      </x:c>
      <x:c r="R68" t="n">
        <x:f>VLOOKUP(E68,$T$10:$AB$17,9,FALSE)</x:f>
        <x:v>50</x:v>
      </x:c>
    </x:row>
    <x:row r="69" ht="17">
      <x:c r="B69" s="1" t="s">
        <x:v>263</x:v>
      </x:c>
      <x:c r="C69" s="1" t="s">
        <x:v>264</x:v>
      </x:c>
      <x:c r="D69" s="9" t="s">
        <x:v>265</x:v>
      </x:c>
      <x:c r="E69" s="1" t="s">
        <x:v>70</x:v>
      </x:c>
      <x:c r="F69" s="1" t="s">
        <x:v>249</x:v>
      </x:c>
      <x:c r="G69" s="1">
        <x:v>0.2</x:v>
      </x:c>
      <x:c r="I69" s="1">
        <x:v>300</x:v>
      </x:c>
      <x:c r="J69" s="1" t="s">
        <x:v>57</x:v>
      </x:c>
      <x:c r="K69" s="1">
        <x:v>0</x:v>
      </x:c>
      <x:c r="L69" s="1">
        <x:v>0</x:v>
      </x:c>
      <x:c r="M69" s="1">
        <x:v>0</x:v>
      </x:c>
      <x:c r="N69" s="1">
        <x:v>0</x:v>
      </x:c>
      <x:c r="O69" s="1">
        <x:v>0</x:v>
      </x:c>
      <x:c r="P69" s="1">
        <x:v>0</x:v>
      </x:c>
      <x:c r="R69" t="n">
        <x:f>VLOOKUP(E69,$T$10:$AB$17,9,FALSE)</x:f>
        <x:v>50</x:v>
      </x:c>
    </x:row>
    <x:row r="70">
      <x:c r="B70" s="1" t="s">
        <x:v>266</x:v>
      </x:c>
      <x:c r="C70" s="1" t="s">
        <x:v>267</x:v>
      </x:c>
      <x:c r="D70" s="1" t="s">
        <x:v>268</x:v>
      </x:c>
      <x:c r="E70" s="1" t="s">
        <x:v>70</x:v>
      </x:c>
      <x:c r="F70" s="1" t="s">
        <x:v>249</x:v>
      </x:c>
      <x:c r="G70" s="1">
        <x:v>0.15</x:v>
      </x:c>
      <x:c r="I70" s="1">
        <x:v>300</x:v>
      </x:c>
      <x:c r="J70" s="1" t="s">
        <x:v>57</x:v>
      </x:c>
      <x:c r="K70" s="1">
        <x:v>0</x:v>
      </x:c>
      <x:c r="L70" s="1">
        <x:v>0</x:v>
      </x:c>
      <x:c r="M70" s="1">
        <x:v>0</x:v>
      </x:c>
      <x:c r="N70" s="1">
        <x:v>0</x:v>
      </x:c>
      <x:c r="O70" s="1">
        <x:v>0</x:v>
      </x:c>
      <x:c r="P70" s="1">
        <x:v>0</x:v>
      </x:c>
      <x:c r="R70" t="n">
        <x:f>VLOOKUP(E70,$T$10:$AB$17,9,FALSE)</x:f>
        <x:v>50</x:v>
      </x:c>
    </x:row>
    <x:row r="71">
      <x:c r="B71" s="1" t="s">
        <x:v>269</x:v>
      </x:c>
      <x:c r="C71" s="1" t="s">
        <x:v>270</x:v>
      </x:c>
      <x:c r="D71" s="1" t="s">
        <x:v>271</x:v>
      </x:c>
      <x:c r="E71" s="1" t="s">
        <x:v>70</x:v>
      </x:c>
      <x:c r="F71" s="1" t="s">
        <x:v>249</x:v>
      </x:c>
      <x:c r="G71" s="1">
        <x:v>0.15</x:v>
      </x:c>
      <x:c r="I71" s="1">
        <x:v>300</x:v>
      </x:c>
      <x:c r="J71" s="1" t="s">
        <x:v>57</x:v>
      </x:c>
      <x:c r="K71" s="1">
        <x:v>0</x:v>
      </x:c>
      <x:c r="L71" s="1">
        <x:v>0</x:v>
      </x:c>
      <x:c r="M71" s="1">
        <x:v>0</x:v>
      </x:c>
      <x:c r="N71" s="1">
        <x:v>0</x:v>
      </x:c>
      <x:c r="O71" s="1">
        <x:v>0</x:v>
      </x:c>
      <x:c r="P71" s="1">
        <x:v>0</x:v>
      </x:c>
      <x:c r="R71" t="n">
        <x:f>VLOOKUP(E71,$T$10:$AB$17,9,FALSE)</x:f>
        <x:v>50</x:v>
      </x:c>
    </x:row>
    <x:row r="72" s="8" customFormat="1" ht="34">
      <x:c r="A72" s="10"/>
      <x:c r="B72" s="10" t="s">
        <x:v>272</x:v>
      </x:c>
      <x:c r="C72" s="10" t="s">
        <x:v>273</x:v>
      </x:c>
      <x:c r="D72" s="12" t="s">
        <x:v>274</x:v>
      </x:c>
      <x:c r="E72" s="10" t="s">
        <x:v>70</x:v>
      </x:c>
      <x:c r="F72" s="10" t="s">
        <x:v>249</x:v>
      </x:c>
      <x:c r="G72" s="10">
        <x:v>0</x:v>
      </x:c>
      <x:c r="H72" s="10"/>
      <x:c r="I72" s="10">
        <x:v>300</x:v>
      </x:c>
      <x:c r="J72" s="10" t="s">
        <x:v>57</x:v>
      </x:c>
      <x:c r="K72" s="10">
        <x:v>0</x:v>
      </x:c>
      <x:c r="L72" s="10">
        <x:v>0</x:v>
      </x:c>
      <x:c r="M72" s="10">
        <x:v>0</x:v>
      </x:c>
      <x:c r="N72" s="10">
        <x:v>0</x:v>
      </x:c>
      <x:c r="O72" s="10">
        <x:v>0</x:v>
      </x:c>
      <x:c r="P72" s="10">
        <x:v>0</x:v>
      </x:c>
      <x:c r="R72" s="8" t="n">
        <x:f>VLOOKUP(E72,$T$10:$AB$17,9,FALSE)</x:f>
        <x:v>50</x:v>
      </x:c>
    </x:row>
    <x:row r="73" s="8" customFormat="1" ht="34">
      <x:c r="A73" s="10" t="s">
        <x:v>223</x:v>
      </x:c>
      <x:c r="B73" s="10"/>
      <x:c r="C73" s="10"/>
      <x:c r="D73" s="12" t="s">
        <x:v>275</x:v>
      </x:c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</x:row>
    <x:row r="74" s="8" customFormat="1" ht="34">
      <x:c r="A74" s="10" t="s">
        <x:v>223</x:v>
      </x:c>
      <x:c r="B74" s="10"/>
      <x:c r="C74" s="10"/>
      <x:c r="D74" s="12" t="s">
        <x:v>276</x:v>
      </x:c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</x:row>
    <x:row r="75">
      <x:c r="B75" s="1" t="s">
        <x:v>277</x:v>
      </x:c>
      <x:c r="C75" s="1" t="s">
        <x:v>278</x:v>
      </x:c>
      <x:c r="D75" s="1" t="s">
        <x:v>279</x:v>
      </x:c>
      <x:c r="E75" s="1" t="s">
        <x:v>165</x:v>
      </x:c>
      <x:c r="F75" s="1" t="s">
        <x:v>49</x:v>
      </x:c>
      <x:c r="G75" s="1">
        <x:v>2</x:v>
      </x:c>
      <x:c r="I75" s="1">
        <x:v>10</x:v>
      </x:c>
      <x:c r="J75" s="1" t="s">
        <x:v>103</x:v>
      </x:c>
      <x:c r="K75" s="1">
        <x:v>0</x:v>
      </x:c>
      <x:c r="L75" s="1">
        <x:v>0</x:v>
      </x:c>
      <x:c r="M75" s="1">
        <x:v>0</x:v>
      </x:c>
      <x:c r="N75" s="1">
        <x:v>0</x:v>
      </x:c>
      <x:c r="O75" s="1">
        <x:v>0</x:v>
      </x:c>
      <x:c r="P75" s="1">
        <x:v>0</x:v>
      </x:c>
      <x:c r="R75" t="n">
        <x:f t="shared" ref="R75:R90" si="4">VLOOKUP(E75,$T$10:$AB$17,9,FALSE)</x:f>
        <x:v>200</x:v>
      </x:c>
    </x:row>
    <x:row r="76" ht="34">
      <x:c r="B76" s="1" t="s">
        <x:v>280</x:v>
      </x:c>
      <x:c r="C76" s="1" t="s">
        <x:v>281</x:v>
      </x:c>
      <x:c r="D76" s="9" t="s">
        <x:v>282</x:v>
      </x:c>
      <x:c r="E76" s="1" t="s">
        <x:v>165</x:v>
      </x:c>
      <x:c r="F76" s="1" t="s">
        <x:v>49</x:v>
      </x:c>
      <x:c r="G76" s="1">
        <x:v>1.2</x:v>
      </x:c>
      <x:c r="I76" s="1">
        <x:v>10</x:v>
      </x:c>
      <x:c r="J76" s="1" t="s">
        <x:v>103</x:v>
      </x:c>
      <x:c r="K76" s="1">
        <x:v>0</x:v>
      </x:c>
      <x:c r="L76" s="1">
        <x:v>0</x:v>
      </x:c>
      <x:c r="M76" s="1">
        <x:v>0</x:v>
      </x:c>
      <x:c r="N76" s="1">
        <x:v>0</x:v>
      </x:c>
      <x:c r="O76" s="1">
        <x:v>0</x:v>
      </x:c>
      <x:c r="P76" s="1">
        <x:v>0</x:v>
      </x:c>
      <x:c r="Q76" t="s">
        <x:v>283</x:v>
      </x:c>
      <x:c r="R76">
        <x:f t="shared" si="4"/>
        <x:v>200</x:v>
      </x:c>
    </x:row>
    <x:row r="77" ht="34">
      <x:c r="B77" s="1" t="s">
        <x:v>284</x:v>
      </x:c>
      <x:c r="C77" s="1" t="s">
        <x:v>285</x:v>
      </x:c>
      <x:c r="D77" s="9" t="s">
        <x:v>286</x:v>
      </x:c>
      <x:c r="E77" s="1" t="s">
        <x:v>165</x:v>
      </x:c>
      <x:c r="F77" s="1" t="s">
        <x:v>49</x:v>
      </x:c>
      <x:c r="G77" s="1">
        <x:v>1.2</x:v>
      </x:c>
      <x:c r="I77" s="1">
        <x:v>10</x:v>
      </x:c>
      <x:c r="J77" s="1" t="s">
        <x:v>103</x:v>
      </x:c>
      <x:c r="K77" s="1">
        <x:v>0</x:v>
      </x:c>
      <x:c r="L77" s="1">
        <x:v>0</x:v>
      </x:c>
      <x:c r="M77" s="1">
        <x:v>0</x:v>
      </x:c>
      <x:c r="N77" s="1">
        <x:v>0</x:v>
      </x:c>
      <x:c r="O77" s="1">
        <x:v>0</x:v>
      </x:c>
      <x:c r="P77" s="1">
        <x:v>0</x:v>
      </x:c>
      <x:c r="Q77" t="s">
        <x:v>283</x:v>
      </x:c>
      <x:c r="R77">
        <x:f t="shared" si="4"/>
        <x:v>200</x:v>
      </x:c>
    </x:row>
    <x:row r="78" ht="34">
      <x:c r="B78" s="1" t="s">
        <x:v>287</x:v>
      </x:c>
      <x:c r="C78" s="1" t="s">
        <x:v>288</x:v>
      </x:c>
      <x:c r="D78" s="9" t="s">
        <x:v>289</x:v>
      </x:c>
      <x:c r="E78" s="1" t="s">
        <x:v>48</x:v>
      </x:c>
      <x:c r="F78" s="1" t="s">
        <x:v>49</x:v>
      </x:c>
      <x:c r="G78" s="1">
        <x:v>0.2</x:v>
      </x:c>
      <x:c r="I78" s="1">
        <x:v>100</x:v>
      </x:c>
      <x:c r="J78" s="1" t="s">
        <x:v>51</x:v>
      </x:c>
      <x:c r="K78" s="1">
        <x:v>0</x:v>
      </x:c>
      <x:c r="L78" s="1">
        <x:v>0</x:v>
      </x:c>
      <x:c r="M78" s="1">
        <x:v>0</x:v>
      </x:c>
      <x:c r="N78" s="1">
        <x:v>0</x:v>
      </x:c>
      <x:c r="O78" s="1">
        <x:v>0</x:v>
      </x:c>
      <x:c r="P78" s="1">
        <x:v>0</x:v>
      </x:c>
      <x:c r="Q78" t="s">
        <x:v>283</x:v>
      </x:c>
      <x:c r="R78">
        <x:f t="shared" si="4"/>
        <x:v>80</x:v>
      </x:c>
    </x:row>
    <x:row r="79" ht="34">
      <x:c r="B79" s="1" t="s">
        <x:v>290</x:v>
      </x:c>
      <x:c r="C79" s="1" t="s">
        <x:v>291</x:v>
      </x:c>
      <x:c r="D79" s="9" t="s">
        <x:v>292</x:v>
      </x:c>
      <x:c r="E79" s="1" t="s">
        <x:v>48</x:v>
      </x:c>
      <x:c r="F79" s="1" t="s">
        <x:v>49</x:v>
      </x:c>
      <x:c r="G79" s="1">
        <x:v>10</x:v>
      </x:c>
      <x:c r="H79" s="1" t="s">
        <x:v>293</x:v>
      </x:c>
      <x:c r="I79" s="1">
        <x:v>100</x:v>
      </x:c>
      <x:c r="J79" s="1" t="s">
        <x:v>51</x:v>
      </x:c>
      <x:c r="K79" s="1">
        <x:v>0</x:v>
      </x:c>
      <x:c r="L79" s="1">
        <x:v>0</x:v>
      </x:c>
      <x:c r="M79" s="1">
        <x:v>0</x:v>
      </x:c>
      <x:c r="N79" s="1">
        <x:v>0</x:v>
      </x:c>
      <x:c r="O79" s="1">
        <x:v>0</x:v>
      </x:c>
      <x:c r="P79" s="1">
        <x:v>0</x:v>
      </x:c>
      <x:c r="Q79" t="s">
        <x:v>283</x:v>
      </x:c>
      <x:c r="R79">
        <x:f t="shared" si="4"/>
        <x:v>80</x:v>
      </x:c>
    </x:row>
    <x:row r="80" ht="34">
      <x:c r="B80" s="1" t="s">
        <x:v>294</x:v>
      </x:c>
      <x:c r="C80" s="1" t="s">
        <x:v>295</x:v>
      </x:c>
      <x:c r="D80" s="9" t="s">
        <x:v>296</x:v>
      </x:c>
      <x:c r="E80" s="1" t="s">
        <x:v>165</x:v>
      </x:c>
      <x:c r="F80" s="1" t="s">
        <x:v>49</x:v>
      </x:c>
      <x:c r="G80" s="1">
        <x:v>0.2</x:v>
      </x:c>
      <x:c r="I80" s="1">
        <x:v>10</x:v>
      </x:c>
      <x:c r="J80" s="1" t="s">
        <x:v>103</x:v>
      </x:c>
      <x:c r="K80" s="1">
        <x:v>0</x:v>
      </x:c>
      <x:c r="L80" s="1">
        <x:v>0</x:v>
      </x:c>
      <x:c r="M80" s="1">
        <x:v>0</x:v>
      </x:c>
      <x:c r="N80" s="1">
        <x:v>0</x:v>
      </x:c>
      <x:c r="O80" s="1">
        <x:v>0</x:v>
      </x:c>
      <x:c r="P80" s="1">
        <x:v>0</x:v>
      </x:c>
      <x:c r="Q80" t="s">
        <x:v>297</x:v>
      </x:c>
      <x:c r="R80">
        <x:f t="shared" si="4"/>
        <x:v>200</x:v>
      </x:c>
    </x:row>
    <x:row r="81" ht="34">
      <x:c r="B81" s="1" t="s">
        <x:v>298</x:v>
      </x:c>
      <x:c r="C81" s="1" t="s">
        <x:v>299</x:v>
      </x:c>
      <x:c r="D81" s="9" t="s">
        <x:v>300</x:v>
      </x:c>
      <x:c r="E81" s="1" t="s">
        <x:v>48</x:v>
      </x:c>
      <x:c r="F81" s="1" t="s">
        <x:v>49</x:v>
      </x:c>
      <x:c r="G81" s="1">
        <x:v>10</x:v>
      </x:c>
      <x:c r="I81" s="1">
        <x:v>100</x:v>
      </x:c>
      <x:c r="J81" s="1" t="s">
        <x:v>51</x:v>
      </x:c>
      <x:c r="K81" s="1">
        <x:v>0</x:v>
      </x:c>
      <x:c r="L81" s="1">
        <x:v>0</x:v>
      </x:c>
      <x:c r="M81" s="1">
        <x:v>0</x:v>
      </x:c>
      <x:c r="N81" s="1">
        <x:v>0</x:v>
      </x:c>
      <x:c r="O81" s="1">
        <x:v>0</x:v>
      </x:c>
      <x:c r="P81" s="1">
        <x:v>0</x:v>
      </x:c>
      <x:c r="Q81" t="s">
        <x:v>297</x:v>
      </x:c>
      <x:c r="R81">
        <x:f t="shared" si="4"/>
        <x:v>80</x:v>
      </x:c>
    </x:row>
    <x:row r="82" ht="34">
      <x:c r="B82" s="1" t="s">
        <x:v>301</x:v>
      </x:c>
      <x:c r="C82" s="1" t="s">
        <x:v>302</x:v>
      </x:c>
      <x:c r="D82" s="9" t="s">
        <x:v>303</x:v>
      </x:c>
      <x:c r="E82" s="1" t="s">
        <x:v>61</x:v>
      </x:c>
      <x:c r="F82" s="1" t="s">
        <x:v>49</x:v>
      </x:c>
      <x:c r="G82" s="1">
        <x:v>1</x:v>
      </x:c>
      <x:c r="I82" s="1">
        <x:v>30</x:v>
      </x:c>
      <x:c r="J82" s="1" t="s">
        <x:v>63</x:v>
      </x:c>
      <x:c r="K82" s="1">
        <x:v>0</x:v>
      </x:c>
      <x:c r="L82" s="1">
        <x:v>0</x:v>
      </x:c>
      <x:c r="M82" s="1">
        <x:v>0</x:v>
      </x:c>
      <x:c r="N82" s="1">
        <x:v>0</x:v>
      </x:c>
      <x:c r="O82" s="1">
        <x:v>0</x:v>
      </x:c>
      <x:c r="P82" s="1">
        <x:v>0</x:v>
      </x:c>
      <x:c r="Q82" s="1" t="s">
        <x:v>297</x:v>
      </x:c>
      <x:c r="R82">
        <x:f t="shared" si="4"/>
        <x:v>120</x:v>
      </x:c>
    </x:row>
    <x:row r="83" ht="34">
      <x:c r="B83" s="1" t="s">
        <x:v>304</x:v>
      </x:c>
      <x:c r="C83" s="1" t="s">
        <x:v>305</x:v>
      </x:c>
      <x:c r="D83" s="9" t="s">
        <x:v>306</x:v>
      </x:c>
      <x:c r="E83" s="1" t="s">
        <x:v>48</x:v>
      </x:c>
      <x:c r="F83" s="1" t="s">
        <x:v>49</x:v>
      </x:c>
      <x:c r="G83" s="1">
        <x:v>10</x:v>
      </x:c>
      <x:c r="H83" s="1" t="s">
        <x:v>307</x:v>
      </x:c>
      <x:c r="I83" s="1">
        <x:v>100</x:v>
      </x:c>
      <x:c r="J83" s="1" t="s">
        <x:v>51</x:v>
      </x:c>
      <x:c r="K83" s="1">
        <x:v>0</x:v>
      </x:c>
      <x:c r="L83" s="1">
        <x:v>0</x:v>
      </x:c>
      <x:c r="M83" s="1">
        <x:v>0</x:v>
      </x:c>
      <x:c r="N83" s="1">
        <x:v>0</x:v>
      </x:c>
      <x:c r="O83" s="1">
        <x:v>0</x:v>
      </x:c>
      <x:c r="P83" s="1">
        <x:v>0</x:v>
      </x:c>
      <x:c r="Q83" s="1" t="s">
        <x:v>297</x:v>
      </x:c>
      <x:c r="R83">
        <x:f t="shared" si="4"/>
        <x:v>80</x:v>
      </x:c>
    </x:row>
    <x:row r="84" ht="17">
      <x:c r="B84" s="1" t="s">
        <x:v>308</x:v>
      </x:c>
      <x:c r="C84" s="1" t="s">
        <x:v>309</x:v>
      </x:c>
      <x:c r="D84" s="9" t="s">
        <x:v>310</x:v>
      </x:c>
      <x:c r="E84" s="1" t="s">
        <x:v>48</x:v>
      </x:c>
      <x:c r="F84" s="1" t="s">
        <x:v>49</x:v>
      </x:c>
      <x:c r="G84" s="1">
        <x:v>10</x:v>
      </x:c>
      <x:c r="I84" s="1">
        <x:v>100</x:v>
      </x:c>
      <x:c r="J84" s="1" t="s">
        <x:v>51</x:v>
      </x:c>
      <x:c r="K84" s="1">
        <x:v>0</x:v>
      </x:c>
      <x:c r="L84" s="1">
        <x:v>0</x:v>
      </x:c>
      <x:c r="M84" s="1">
        <x:v>0</x:v>
      </x:c>
      <x:c r="N84" s="1">
        <x:v>0</x:v>
      </x:c>
      <x:c r="O84" s="1">
        <x:v>0</x:v>
      </x:c>
      <x:c r="P84" s="1">
        <x:v>0</x:v>
      </x:c>
      <x:c r="Q84" s="1" t="s">
        <x:v>297</x:v>
      </x:c>
      <x:c r="R84">
        <x:f t="shared" si="4"/>
        <x:v>80</x:v>
      </x:c>
    </x:row>
    <x:row r="85" ht="33.75" customHeight="1">
      <x:c r="A85" t="s">
        <x:v>223</x:v>
      </x:c>
      <x:c r="D85" s="9"/>
      <x:c r="Q85" s="1"/>
      <x:c r="R85" t="e">
        <x:f t="shared" si="4"/>
        <x:v>#N/A</x:v>
      </x:c>
    </x:row>
    <x:row r="86" ht="33.75" customHeight="1">
      <x:c r="A86" t="s">
        <x:v>223</x:v>
      </x:c>
      <x:c r="D86" s="9"/>
      <x:c r="Q86" s="1"/>
      <x:c r="R86" t="e">
        <x:f t="shared" si="4"/>
        <x:v>#N/A</x:v>
      </x:c>
    </x:row>
    <x:row r="87" ht="33.75" customHeight="1">
      <x:c r="A87" t="s">
        <x:v>223</x:v>
      </x:c>
      <x:c r="D87" s="9"/>
      <x:c r="Q87" s="1"/>
      <x:c r="R87" t="e">
        <x:f t="shared" si="4"/>
        <x:v>#N/A</x:v>
      </x:c>
    </x:row>
    <x:row r="88" ht="33.75" customHeight="1">
      <x:c r="A88" t="s">
        <x:v>223</x:v>
      </x:c>
      <x:c r="D88" s="9"/>
      <x:c r="Q88" s="1"/>
      <x:c r="R88" t="e">
        <x:f t="shared" si="4"/>
        <x:v>#N/A</x:v>
      </x:c>
    </x:row>
    <x:row r="89" ht="33.75" customHeight="1">
      <x:c r="A89" t="s">
        <x:v>223</x:v>
      </x:c>
      <x:c r="D89" s="9"/>
      <x:c r="Q89" s="1"/>
      <x:c r="R89" t="e">
        <x:f t="shared" si="4"/>
        <x:v>#N/A</x:v>
      </x:c>
    </x:row>
    <x:row r="90" ht="16.5" customHeight="1">
      <x:c r="A90" t="s">
        <x:v>223</x:v>
      </x:c>
      <x:c r="Q90" s="1"/>
      <x:c r="R90" t="e">
        <x:f t="shared" si="4"/>
        <x:v>#N/A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customWidth="1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311</x:v>
      </x:c>
      <x:c r="G1" s="7" t="s">
        <x:v>6</x:v>
      </x:c>
      <x:c r="H1" s="7" t="s">
        <x:v>7</x:v>
      </x:c>
      <x:c r="I1" s="7" t="s">
        <x:v>8</x:v>
      </x:c>
      <x:c r="J1" s="7" t="s">
        <x:v>312</x:v>
      </x:c>
      <x:c r="K1" s="7" t="s">
        <x:v>313</x:v>
      </x:c>
      <x:c r="L1" s="13" t="s">
        <x:v>16</x:v>
      </x:c>
      <x:c r="M1" t="s">
        <x:v>17</x:v>
      </x:c>
    </x:row>
    <x:row r="2" ht="16.5" customHeight="1">
      <x:c r="A2" s="7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23</x:v>
      </x:c>
      <x:c r="F2" s="1" t="s">
        <x:v>314</x:v>
      </x:c>
      <x:c r="G2" s="1" t="s">
        <x:v>24</x:v>
      </x:c>
      <x:c r="H2" s="1" t="s">
        <x:v>25</x:v>
      </x:c>
      <x:c r="I2" s="1" t="s">
        <x:v>26</x:v>
      </x:c>
      <x:c r="J2" s="1" t="s">
        <x:v>315</x:v>
      </x:c>
      <x:c r="K2" s="1" t="s">
        <x:v>316</x:v>
      </x:c>
      <x:c r="L2" t="s">
        <x:v>34</x:v>
      </x:c>
      <x:c r="M2" t="s">
        <x:v>35</x:v>
      </x:c>
    </x:row>
    <x:row r="3" ht="16.5" customHeight="1">
      <x:c r="A3" s="7" t="s">
        <x:v>37</x:v>
      </x:c>
      <x:c r="B3" s="7" t="s">
        <x:v>38</x:v>
      </x:c>
      <x:c r="C3" s="7" t="s">
        <x:v>38</x:v>
      </x:c>
      <x:c r="D3" s="7" t="s">
        <x:v>38</x:v>
      </x:c>
      <x:c r="E3" s="7" t="s">
        <x:v>38</x:v>
      </x:c>
      <x:c r="F3" s="7" t="s">
        <x:v>38</x:v>
      </x:c>
      <x:c r="G3" s="7" t="s">
        <x:v>41</x:v>
      </x:c>
      <x:c r="H3" s="7" t="s">
        <x:v>38</x:v>
      </x:c>
      <x:c r="I3" s="7" t="s">
        <x:v>41</x:v>
      </x:c>
      <x:c r="J3" s="7" t="s">
        <x:v>317</x:v>
      </x:c>
      <x:c r="K3" s="7" t="s">
        <x:v>43</x:v>
      </x:c>
      <x:c r="L3" s="13" t="s">
        <x:v>38</x:v>
      </x:c>
      <x:c r="M3" t="s">
        <x:v>43</x:v>
      </x:c>
    </x:row>
    <x:row r="4" ht="33.75" customHeight="1">
      <x:c r="B4" s="7" t="s">
        <x:v>318</x:v>
      </x:c>
      <x:c r="C4" s="1" t="s">
        <x:v>319</x:v>
      </x:c>
      <x:c r="D4" s="9" t="s">
        <x:v>320</x:v>
      </x:c>
      <x:c r="F4" s="7" t="s">
        <x:v>321</x:v>
      </x:c>
      <x:c r="G4" s="1">
        <x:v>0</x:v>
      </x:c>
      <x:c r="H4" s="7" t="s">
        <x:v>322</x:v>
      </x:c>
      <x:c r="I4" s="1">
        <x:v>1</x:v>
      </x:c>
      <x:c r="J4" s="7" t="s">
        <x:v>323</x:v>
      </x:c>
      <x:c r="K4" s="1">
        <x:v>1</x:v>
      </x:c>
      <x:c r="L4" s="7" t="s">
        <x:v>322</x:v>
      </x:c>
      <x:c r="M4">
        <x:v>35</x:v>
      </x:c>
    </x:row>
    <x:row r="5" ht="33.75" customHeight="1">
      <x:c r="B5" s="7" t="s">
        <x:v>324</x:v>
      </x:c>
      <x:c r="C5" s="1" t="s">
        <x:v>325</x:v>
      </x:c>
      <x:c r="D5" s="9" t="s">
        <x:v>326</x:v>
      </x:c>
      <x:c r="F5" s="7" t="s">
        <x:v>321</x:v>
      </x:c>
      <x:c r="G5" s="1">
        <x:v>0</x:v>
      </x:c>
      <x:c r="H5" s="7" t="s">
        <x:v>327</x:v>
      </x:c>
      <x:c r="I5" s="1">
        <x:v>1</x:v>
      </x:c>
      <x:c r="J5" s="7" t="s">
        <x:v>323</x:v>
      </x:c>
      <x:c r="K5" s="1">
        <x:v>1</x:v>
      </x:c>
      <x:c r="L5" s="7" t="s">
        <x:v>327</x:v>
      </x:c>
      <x:c r="M5">
        <x:v>35</x:v>
      </x:c>
    </x:row>
    <x:row r="6" ht="33.75" customHeight="1">
      <x:c r="B6" s="7" t="s">
        <x:v>328</x:v>
      </x:c>
      <x:c r="C6" s="1" t="s">
        <x:v>329</x:v>
      </x:c>
      <x:c r="D6" s="9" t="s">
        <x:v>330</x:v>
      </x:c>
      <x:c r="F6" s="7" t="s">
        <x:v>321</x:v>
      </x:c>
      <x:c r="G6" s="1">
        <x:v>0</x:v>
      </x:c>
      <x:c r="H6" s="7" t="s">
        <x:v>331</x:v>
      </x:c>
      <x:c r="I6" s="1">
        <x:v>1</x:v>
      </x:c>
      <x:c r="J6" s="7" t="s">
        <x:v>323</x:v>
      </x:c>
      <x:c r="K6" s="1">
        <x:v>1</x:v>
      </x:c>
      <x:c r="L6" s="7" t="s">
        <x:v>331</x:v>
      </x:c>
      <x:c r="M6">
        <x:v>35</x:v>
      </x:c>
    </x:row>
    <x:row r="7" ht="33.75" customHeight="1">
      <x:c r="B7" s="7" t="s">
        <x:v>332</x:v>
      </x:c>
      <x:c r="C7" s="1" t="s">
        <x:v>333</x:v>
      </x:c>
      <x:c r="D7" s="9" t="s">
        <x:v>334</x:v>
      </x:c>
      <x:c r="F7" s="7" t="s">
        <x:v>321</x:v>
      </x:c>
      <x:c r="G7" s="1">
        <x:v>0</x:v>
      </x:c>
      <x:c r="H7" s="7" t="s">
        <x:v>335</x:v>
      </x:c>
      <x:c r="I7" s="1">
        <x:v>1</x:v>
      </x:c>
      <x:c r="J7" s="7" t="s">
        <x:v>323</x:v>
      </x:c>
      <x:c r="K7" s="1">
        <x:v>1</x:v>
      </x:c>
      <x:c r="L7" s="7" t="s">
        <x:v>335</x:v>
      </x:c>
      <x:c r="M7">
        <x:v>35</x:v>
      </x:c>
    </x:row>
    <x:row r="8" ht="33.75" customHeight="1">
      <x:c r="B8" s="7" t="s">
        <x:v>336</x:v>
      </x:c>
      <x:c r="C8" s="1" t="s">
        <x:v>337</x:v>
      </x:c>
      <x:c r="D8" s="9" t="s">
        <x:v>338</x:v>
      </x:c>
      <x:c r="F8" s="7" t="s">
        <x:v>321</x:v>
      </x:c>
      <x:c r="G8" s="1">
        <x:v>0</x:v>
      </x:c>
      <x:c r="H8" s="7" t="s">
        <x:v>339</x:v>
      </x:c>
      <x:c r="I8" s="1">
        <x:v>1</x:v>
      </x:c>
      <x:c r="J8" s="7" t="s">
        <x:v>323</x:v>
      </x:c>
      <x:c r="K8" s="1">
        <x:v>1</x:v>
      </x:c>
      <x:c r="L8" s="7" t="s">
        <x:v>339</x:v>
      </x:c>
      <x:c r="M8">
        <x:v>35</x:v>
      </x:c>
    </x:row>
    <x:row r="9" ht="33.75" customHeight="1">
      <x:c r="B9" s="7" t="s">
        <x:v>340</x:v>
      </x:c>
      <x:c r="C9" s="1" t="s">
        <x:v>341</x:v>
      </x:c>
      <x:c r="D9" s="9" t="s">
        <x:v>342</x:v>
      </x:c>
      <x:c r="F9" s="7" t="s">
        <x:v>321</x:v>
      </x:c>
      <x:c r="G9" s="1">
        <x:v>0</x:v>
      </x:c>
      <x:c r="H9" s="7" t="s">
        <x:v>343</x:v>
      </x:c>
      <x:c r="I9" s="1">
        <x:v>1</x:v>
      </x:c>
      <x:c r="J9" s="7" t="s">
        <x:v>323</x:v>
      </x:c>
      <x:c r="K9" s="1">
        <x:v>1</x:v>
      </x:c>
      <x:c r="L9" s="7" t="s">
        <x:v>343</x:v>
      </x:c>
      <x:c r="M9">
        <x:v>35</x:v>
      </x:c>
    </x:row>
    <x:row r="10" ht="33.75" customHeight="1">
      <x:c r="B10" s="7" t="s">
        <x:v>344</x:v>
      </x:c>
      <x:c r="C10" s="1" t="s">
        <x:v>345</x:v>
      </x:c>
      <x:c r="D10" s="9" t="s">
        <x:v>346</x:v>
      </x:c>
      <x:c r="F10" s="7" t="s">
        <x:v>347</x:v>
      </x:c>
      <x:c r="G10" s="1">
        <x:v>0</x:v>
      </x:c>
      <x:c r="H10" s="7" t="s">
        <x:v>348</x:v>
      </x:c>
      <x:c r="I10" s="1">
        <x:v>1</x:v>
      </x:c>
      <x:c r="J10" s="7" t="s">
        <x:v>349</x:v>
      </x:c>
      <x:c r="K10" s="1">
        <x:v>1</x:v>
      </x:c>
      <x:c r="L10" s="7" t="s">
        <x:v>348</x:v>
      </x:c>
      <x:c r="M10">
        <x:v>35</x:v>
      </x:c>
    </x:row>
    <x:row r="11" ht="33.75" customHeight="1">
      <x:c r="B11" s="7" t="s">
        <x:v>350</x:v>
      </x:c>
      <x:c r="C11" s="1" t="s">
        <x:v>351</x:v>
      </x:c>
      <x:c r="D11" s="9" t="s">
        <x:v>352</x:v>
      </x:c>
      <x:c r="F11" s="7" t="s">
        <x:v>347</x:v>
      </x:c>
      <x:c r="G11" s="1">
        <x:v>0</x:v>
      </x:c>
      <x:c r="H11" s="7" t="s">
        <x:v>353</x:v>
      </x:c>
      <x:c r="I11" s="1">
        <x:v>1</x:v>
      </x:c>
      <x:c r="J11" s="7" t="s">
        <x:v>349</x:v>
      </x:c>
      <x:c r="K11" s="1">
        <x:v>1</x:v>
      </x:c>
      <x:c r="L11" s="7" t="s">
        <x:v>353</x:v>
      </x:c>
      <x:c r="M11">
        <x:v>35</x:v>
      </x:c>
    </x:row>
    <x:row r="12" ht="33.75" customHeight="1">
      <x:c r="B12" s="7" t="s">
        <x:v>354</x:v>
      </x:c>
      <x:c r="C12" s="1" t="s">
        <x:v>355</x:v>
      </x:c>
      <x:c r="D12" s="9" t="s">
        <x:v>356</x:v>
      </x:c>
      <x:c r="F12" s="7" t="s">
        <x:v>347</x:v>
      </x:c>
      <x:c r="G12" s="1">
        <x:v>0</x:v>
      </x:c>
      <x:c r="H12" s="7" t="s">
        <x:v>357</x:v>
      </x:c>
      <x:c r="I12" s="1">
        <x:v>1</x:v>
      </x:c>
      <x:c r="J12" s="7" t="s">
        <x:v>349</x:v>
      </x:c>
      <x:c r="K12" s="1">
        <x:v>1</x:v>
      </x:c>
      <x:c r="L12" s="7" t="s">
        <x:v>357</x:v>
      </x:c>
      <x:c r="M12">
        <x:v>35</x:v>
      </x:c>
    </x:row>
    <x:row r="13" ht="33.75" customHeight="1">
      <x:c r="B13" s="7" t="s">
        <x:v>358</x:v>
      </x:c>
      <x:c r="C13" s="1" t="s">
        <x:v>359</x:v>
      </x:c>
      <x:c r="D13" s="9" t="s">
        <x:v>360</x:v>
      </x:c>
      <x:c r="F13" s="7" t="s">
        <x:v>347</x:v>
      </x:c>
      <x:c r="G13" s="1">
        <x:v>0</x:v>
      </x:c>
      <x:c r="H13" s="7" t="s">
        <x:v>361</x:v>
      </x:c>
      <x:c r="I13" s="1">
        <x:v>1</x:v>
      </x:c>
      <x:c r="J13" s="7" t="s">
        <x:v>349</x:v>
      </x:c>
      <x:c r="K13" s="1">
        <x:v>1</x:v>
      </x:c>
      <x:c r="L13" s="7" t="s">
        <x:v>361</x:v>
      </x:c>
      <x:c r="M13">
        <x:v>35</x:v>
      </x:c>
    </x:row>
    <x:row r="14" ht="33.75" customHeight="1">
      <x:c r="B14" s="7" t="s">
        <x:v>362</x:v>
      </x:c>
      <x:c r="C14" s="1" t="s">
        <x:v>363</x:v>
      </x:c>
      <x:c r="D14" s="9" t="s">
        <x:v>364</x:v>
      </x:c>
      <x:c r="F14" s="7" t="s">
        <x:v>347</x:v>
      </x:c>
      <x:c r="G14" s="1">
        <x:v>0</x:v>
      </x:c>
      <x:c r="H14" s="7" t="s">
        <x:v>365</x:v>
      </x:c>
      <x:c r="I14" s="1">
        <x:v>1</x:v>
      </x:c>
      <x:c r="J14" s="7" t="s">
        <x:v>349</x:v>
      </x:c>
      <x:c r="K14" s="1">
        <x:v>1</x:v>
      </x:c>
      <x:c r="L14" s="7" t="s">
        <x:v>365</x:v>
      </x:c>
      <x:c r="M14">
        <x:v>35</x:v>
      </x:c>
    </x:row>
    <x:row r="15" ht="33.75" customHeight="1">
      <x:c r="B15" s="7" t="s">
        <x:v>366</x:v>
      </x:c>
      <x:c r="C15" s="1" t="s">
        <x:v>367</x:v>
      </x:c>
      <x:c r="D15" s="9" t="s">
        <x:v>368</x:v>
      </x:c>
      <x:c r="F15" s="7" t="s">
        <x:v>347</x:v>
      </x:c>
      <x:c r="G15" s="1">
        <x:v>0</x:v>
      </x:c>
      <x:c r="H15" s="7" t="s">
        <x:v>369</x:v>
      </x:c>
      <x:c r="I15" s="1">
        <x:v>1</x:v>
      </x:c>
      <x:c r="J15" s="7" t="s">
        <x:v>349</x:v>
      </x:c>
      <x:c r="K15" s="1">
        <x:v>1</x:v>
      </x:c>
      <x:c r="L15" s="7" t="s">
        <x:v>369</x:v>
      </x:c>
      <x:c r="M15">
        <x:v>35</x:v>
      </x:c>
    </x:row>
    <x:row r="16" ht="33.75" customHeight="1">
      <x:c r="B16" s="7" t="s">
        <x:v>370</x:v>
      </x:c>
      <x:c r="C16" s="1" t="s">
        <x:v>371</x:v>
      </x:c>
      <x:c r="D16" s="9" t="s">
        <x:v>372</x:v>
      </x:c>
      <x:c r="F16" s="7" t="s">
        <x:v>347</x:v>
      </x:c>
      <x:c r="G16" s="1">
        <x:v>0</x:v>
      </x:c>
      <x:c r="H16" s="7" t="s">
        <x:v>373</x:v>
      </x:c>
      <x:c r="I16" s="1">
        <x:v>1</x:v>
      </x:c>
      <x:c r="J16" s="7" t="s">
        <x:v>349</x:v>
      </x:c>
      <x:c r="K16" s="1">
        <x:v>1</x:v>
      </x:c>
      <x:c r="L16" s="7" t="s">
        <x:v>373</x:v>
      </x:c>
      <x:c r="M16">
        <x:v>35</x:v>
      </x:c>
    </x:row>
    <x:row r="17" s="8" customFormat="1" ht="33.75" customHeight="1">
      <x:c r="A17" s="10" t="str"/>
      <x:c r="B17" s="11" t="str">
        <x:v>item_active_reroll_action</x:v>
      </x:c>
      <x:c r="C17" s="10" t="str">
        <x:v>行动调整单</x:v>
      </x:c>
      <x:c r="D17" s="12" t="str">
        <x:v>重掷日常行动选项</x:v>
      </x:c>
      <x:c r="E17" s="10" t="str"/>
      <x:c r="F17" s="10" t="str">
        <x:v>RerollAction</x:v>
      </x:c>
      <x:c r="G17" s="10" t="n">
        <x:v>0</x:v>
      </x:c>
      <x:c r="H17" s="10" t="str"/>
      <x:c r="I17" s="10" t="n">
        <x:v>1</x:v>
      </x:c>
      <x:c r="J17" s="10" t="str">
        <x:v>Global</x:v>
      </x:c>
      <x:c r="K17" s="10" t="n">
        <x:v>0</x:v>
      </x:c>
      <x:c r="L17" t="str"/>
      <x:c r="M17" s="8" t="n">
        <x:v>35</x:v>
      </x:c>
    </x:row>
    <x:row r="18" s="8" customFormat="1" ht="16.5" customHeight="1">
      <x:c r="A18" s="10" t="str"/>
      <x:c r="B18" s="11" t="str">
        <x:v>item_active_half_next_action_cost</x:v>
      </x:c>
      <x:c r="C18" s="10" t="str">
        <x:v>半日券</x:v>
      </x:c>
      <x:c r="D18" s="10" t="str">
        <x:v>下个日常行动消耗天数减半</x:v>
      </x:c>
      <x:c r="E18" s="10" t="str"/>
      <x:c r="F18" s="10" t="str">
        <x:v>HalfNextActionCost</x:v>
      </x:c>
      <x:c r="G18" s="10" t="n">
        <x:v>0.5</x:v>
      </x:c>
      <x:c r="H18" s="10" t="str"/>
      <x:c r="I18" s="10" t="n">
        <x:v>1</x:v>
      </x:c>
      <x:c r="J18" s="10" t="str">
        <x:v>Global</x:v>
      </x:c>
      <x:c r="K18" s="10" t="n">
        <x:v>0</x:v>
      </x:c>
      <x:c r="L18" t="str"/>
      <x:c r="M18" s="8" t="n">
        <x:v>35</x:v>
      </x:c>
    </x:row>
    <x:row r="19" s="8" customFormat="1" ht="16.5" customHeight="1">
      <x:c r="A19" s="10" t="str"/>
      <x:c r="B19" s="11" t="str">
        <x:v>item_active_reroll_last_boss_debuff</x:v>
      </x:c>
      <x:c r="C19" s="10" t="str">
        <x:v>盛宴调整单</x:v>
      </x:c>
      <x:c r="D19" s="10" t="str">
        <x:v>重掷星级评鉴的餐食类别</x:v>
      </x:c>
      <x:c r="E19" s="10" t="str"/>
      <x:c r="F19" s="10" t="str">
        <x:v>ResetBossDebuff</x:v>
      </x:c>
      <x:c r="G19" s="10" t="n">
        <x:v>0</x:v>
      </x:c>
      <x:c r="H19" s="10" t="str"/>
      <x:c r="I19" s="10" t="n">
        <x:v>1</x:v>
      </x:c>
      <x:c r="J19" s="10" t="str">
        <x:v>Global</x:v>
      </x:c>
      <x:c r="K19" s="10" t="n">
        <x:v>0</x:v>
      </x:c>
      <x:c r="L19" t="str"/>
      <x:c r="M19" s="8" t="n">
        <x:v>35</x:v>
      </x:c>
    </x:row>
    <x:row r="20" s="8" customFormat="1" ht="16.5" customHeight="1">
      <x:c r="A20" s="10" t="str"/>
      <x:c r="B20" s="11" t="str">
        <x:v>item_active_add_reward_node</x:v>
      </x:c>
      <x:c r="C20" s="10" t="str">
        <x:v>幸运事件单</x:v>
      </x:c>
      <x:c r="D20" s="10" t="str">
        <x:v>添加幸运事件至时间轴上</x:v>
      </x:c>
      <x:c r="E20" s="10" t="str"/>
      <x:c r="F20" s="10" t="str">
        <x:v>TimelineAddRewardNode</x:v>
      </x:c>
      <x:c r="G20" s="10" t="n">
        <x:v>0</x:v>
      </x:c>
      <x:c r="H20" s="10" t="str">
        <x:v>act_reward</x:v>
      </x:c>
      <x:c r="I20" s="10" t="n">
        <x:v>1</x:v>
      </x:c>
      <x:c r="J20" s="10" t="str">
        <x:v>Global</x:v>
      </x:c>
      <x:c r="K20" s="10" t="n">
        <x:v>1</x:v>
      </x:c>
      <x:c r="L20" t="str"/>
      <x:c r="M20" s="8" t="n">
        <x:v>35</x:v>
      </x:c>
    </x:row>
    <x:row r="21" s="8" customFormat="1">
      <x:c r="A21" s="10" t="str"/>
      <x:c r="B21" s="10" t="str">
        <x:v>item_active_add_interest_node</x:v>
      </x:c>
      <x:c r="C21" s="10" t="str">
        <x:v>利息单</x:v>
      </x:c>
      <x:c r="D21" s="10" t="str">
        <x:v>添加收取利息至时间轴上</x:v>
      </x:c>
      <x:c r="E21" s="10" t="str"/>
      <x:c r="F21" s="10" t="str">
        <x:v>TimelineAddInterestNode</x:v>
      </x:c>
      <x:c r="G21" s="10" t="n">
        <x:v>0</x:v>
      </x:c>
      <x:c r="H21" s="10" t="str">
        <x:v>act_interest</x:v>
      </x:c>
      <x:c r="I21" s="10" t="n">
        <x:v>1</x:v>
      </x:c>
      <x:c r="J21" s="10" t="str">
        <x:v>Global</x:v>
      </x:c>
      <x:c r="K21" s="10" t="n">
        <x:v>1</x:v>
      </x:c>
      <x:c r="L21" t="str"/>
      <x:c r="M21" t="n">
        <x:v>35</x:v>
      </x:c>
    </x:row>
    <x:row r="22" s="8" customFormat="1">
      <x:c r="A22" s="10" t="str"/>
      <x:c r="B22" s="10" t="str">
        <x:v>item_active_add_shop_node</x:v>
      </x:c>
      <x:c r="C22" s="10" t="str">
        <x:v>进货单</x:v>
      </x:c>
      <x:c r="D22" s="10" t="str">
        <x:v>添加商店进货至时间轴上</x:v>
      </x:c>
      <x:c r="E22" s="10" t="str"/>
      <x:c r="F22" s="10" t="str">
        <x:v>TimelineAddShopNode</x:v>
      </x:c>
      <x:c r="G22" s="10" t="n">
        <x:v>0</x:v>
      </x:c>
      <x:c r="H22" s="10" t="str">
        <x:v>act_shop</x:v>
      </x:c>
      <x:c r="I22" s="10" t="n">
        <x:v>1</x:v>
      </x:c>
      <x:c r="J22" s="10" t="str">
        <x:v>Global</x:v>
      </x:c>
      <x:c r="K22" s="10" t="n">
        <x:v>1</x:v>
      </x:c>
      <x:c r="L22" t="str"/>
      <x:c r="M22" t="n">
        <x:v>35</x:v>
      </x:c>
    </x:row>
    <x:row r="23" s="8" customFormat="1">
      <x:c r="A23" s="10" t="str"/>
      <x:c r="B23" s="10" t="str">
        <x:v>item_active_add_lottery_node</x:v>
      </x:c>
      <x:c r="C23" s="10" t="str">
        <x:v>抽奖机单</x:v>
      </x:c>
      <x:c r="D23" s="10" t="str">
        <x:v>添加抽奖机至时间轴上</x:v>
      </x:c>
      <x:c r="E23" s="10" t="str"/>
      <x:c r="F23" s="10" t="str">
        <x:v>TimelineAddLotteryNode</x:v>
      </x:c>
      <x:c r="G23" s="10" t="n">
        <x:v>0</x:v>
      </x:c>
      <x:c r="H23" s="10" t="str"/>
      <x:c r="I23" s="10" t="n">
        <x:v>1</x:v>
      </x:c>
      <x:c r="J23" s="10" t="str">
        <x:v>Global</x:v>
      </x:c>
      <x:c r="K23" s="10" t="n">
        <x:v>1</x:v>
      </x:c>
      <x:c r="L23" t="str"/>
      <x:c r="M23" t="n">
        <x:v>35</x:v>
      </x:c>
    </x:row>
    <x:row r="24" s="8" customFormat="1">
      <x:c r="A24" s="10" t="str"/>
      <x:c r="B24" s="10" t="str">
        <x:v>item_active_delete_timeline_node</x:v>
      </x:c>
      <x:c r="C24" s="10" t="str">
        <x:v>节点删除单</x:v>
      </x:c>
      <x:c r="D24" s="10" t="str">
        <x:v>删除1个节点行动</x:v>
      </x:c>
      <x:c r="E24" s="10" t="str"/>
      <x:c r="F24" s="10" t="str">
        <x:v>TimelineDeleteNode</x:v>
      </x:c>
      <x:c r="G24" s="10" t="n">
        <x:v>0</x:v>
      </x:c>
      <x:c r="H24" s="10" t="str"/>
      <x:c r="I24" s="10" t="n">
        <x:v>1</x:v>
      </x:c>
      <x:c r="J24" s="10" t="str">
        <x:v>Global</x:v>
      </x:c>
      <x:c r="K24" s="10" t="n">
        <x:v>1</x:v>
      </x:c>
      <x:c r="L24" t="str"/>
      <x:c r="M24" t="n">
        <x:v>35</x:v>
      </x:c>
    </x:row>
    <x:row r="25" s="8" customFormat="1">
      <x:c r="A25" s="10" t="str"/>
      <x:c r="B25" s="10" t="str">
        <x:v>item_active_execute_future_node</x:v>
      </x:c>
      <x:c r="C25" s="10" t="str">
        <x:v>未来加急单</x:v>
      </x:c>
      <x:c r="D25" s="10" t="str">
        <x:v>立即执行1个未来的节点行动</x:v>
      </x:c>
      <x:c r="E25" s="10" t="str"/>
      <x:c r="F25" s="10" t="str">
        <x:v>TimelineExecuteFuture</x:v>
      </x:c>
      <x:c r="G25" s="10" t="n">
        <x:v>0</x:v>
      </x:c>
      <x:c r="H25" s="10" t="str"/>
      <x:c r="I25" s="10" t="n">
        <x:v>1</x:v>
      </x:c>
      <x:c r="J25" s="10" t="str">
        <x:v>Global</x:v>
      </x:c>
      <x:c r="K25" s="10" t="n">
        <x:v>1</x:v>
      </x:c>
      <x:c r="L25" t="str"/>
      <x:c r="M25" t="n">
        <x:v>35</x:v>
      </x:c>
    </x:row>
    <x:row r="26" s="8" customFormat="1">
      <x:c r="A26" s="10" t="str"/>
      <x:c r="B26" s="10" t="str">
        <x:v>item_active_execute_past_node</x:v>
      </x:c>
      <x:c r="C26" s="10" t="str">
        <x:v>过往加急单</x:v>
      </x:c>
      <x:c r="D26" s="10" t="str">
        <x:v>立即执行1个过去的节点行动</x:v>
      </x:c>
      <x:c r="E26" s="10" t="str"/>
      <x:c r="F26" s="10" t="str">
        <x:v>TimelineExecutePast</x:v>
      </x:c>
      <x:c r="G26" s="10" t="n">
        <x:v>0</x:v>
      </x:c>
      <x:c r="H26" s="10" t="str"/>
      <x:c r="I26" s="10" t="n">
        <x:v>1</x:v>
      </x:c>
      <x:c r="J26" s="10" t="str">
        <x:v>Global</x:v>
      </x:c>
      <x:c r="K26" s="10" t="n">
        <x:v>1</x:v>
      </x:c>
      <x:c r="L26" t="str"/>
      <x:c r="M26" t="n">
        <x:v>35</x:v>
      </x:c>
    </x:row>
    <x:row r="39">
      <x:c r="D39"/>
    </x:row>
    <x:row r="40">
      <x:c r="D40"/>
    </x:row>
    <x:row r="41">
      <x:c r="D4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374</x:v>
      </x:c>
      <x:c r="C1" s="3" t="s">
        <x:v>375</x:v>
      </x:c>
      <x:c r="D1" s="3" t="s">
        <x:v>376</x:v>
      </x:c>
      <x:c r="E1" s="3" t="s">
        <x:v>377</x:v>
      </x:c>
      <x:c r="H1" s="7" t="s">
        <x:v>1</x:v>
      </x:c>
      <x:c r="I1" s="2" t="s">
        <x:v>378</x:v>
      </x:c>
    </x:row>
    <x:row r="2" ht="17.25" customHeight="1">
      <x:c r="B2" s="3" t="s">
        <x:v>379</x:v>
      </x:c>
      <x:c r="C2" s="3" t="s">
        <x:v>380</x:v>
      </x:c>
      <x:c r="D2" s="3" t="s">
        <x:v>381</x:v>
      </x:c>
      <x:c r="E2" s="3" t="s">
        <x:v>382</x:v>
      </x:c>
      <x:c r="H2" s="1">
        <x:v>1</x:v>
      </x:c>
      <x:c r="I2" s="2" t="str">
        <x:f t="shared" ref="I2:I65" si="0">E2</x:f>
        <x:v>获得时，获得两个随机（xx品质）的被动道具</x:v>
      </x:c>
    </x:row>
    <x:row r="3" ht="17.25" customHeight="1">
      <x:c r="B3" s="4"/>
      <x:c r="C3" s="4"/>
      <x:c r="D3" s="3" t="s">
        <x:v>383</x:v>
      </x:c>
      <x:c r="E3" s="3" t="s">
        <x:v>384</x:v>
      </x:c>
      <x:c r="H3" s="1">
        <x:v>2</x:v>
      </x:c>
      <x:c r="I3" s="2" t="str">
        <x:f t="shared" si="0"/>
        <x:v>获得时，从多个被动道具中选择一个获得</x:v>
      </x:c>
    </x:row>
    <x:row r="4" ht="17.25" customHeight="1">
      <x:c r="B4" s="4"/>
      <x:c r="C4" s="4"/>
      <x:c r="D4" s="3" t="s">
        <x:v>385</x:v>
      </x:c>
      <x:c r="E4" s="3" t="s">
        <x:v>386</x:v>
      </x:c>
      <x:c r="H4" s="1">
        <x:v>3</x:v>
      </x:c>
      <x:c r="I4" s="2" t="str">
        <x:f t="shared" si="0"/>
        <x:v>获得时，获得两个随机（xx品质）的主动道具</x:v>
      </x:c>
    </x:row>
    <x:row r="5" ht="17.25" customHeight="1">
      <x:c r="B5" s="4"/>
      <x:c r="C5" s="4"/>
      <x:c r="D5" s="3" t="s">
        <x:v>383</x:v>
      </x:c>
      <x:c r="E5" s="3" t="s">
        <x:v>387</x:v>
      </x:c>
      <x:c r="H5" s="1">
        <x:v>4</x:v>
      </x:c>
      <x:c r="I5" s="2" t="str">
        <x:f t="shared" si="0"/>
        <x:v>获得时，从多个主动道具中选择一个获得</x:v>
      </x:c>
    </x:row>
    <x:row r="6" ht="17.25" customHeight="1">
      <x:c r="B6" s="4"/>
      <x:c r="C6" s="4"/>
      <x:c r="D6" s="3" t="s">
        <x:v>388</x:v>
      </x:c>
      <x:c r="E6" s="3" t="s">
        <x:v>389</x:v>
      </x:c>
      <x:c r="H6" s="1">
        <x:v>5</x:v>
      </x:c>
      <x:c r="I6" s="2" t="str">
        <x:f t="shared" si="0"/>
        <x:v>获得时，从多个食物中选择一个获得</x:v>
      </x:c>
    </x:row>
    <x:row r="7" ht="17.25" customHeight="1">
      <x:c r="B7" s="4"/>
      <x:c r="C7" s="4"/>
      <x:c r="D7" s="3" t="s">
        <x:v>390</x:v>
      </x:c>
      <x:c r="E7" s="3" t="s">
        <x:v>391</x:v>
      </x:c>
      <x:c r="H7" s="1">
        <x:v>6</x:v>
      </x:c>
      <x:c r="I7" s="2" t="str">
        <x:f t="shared" si="0"/>
        <x:v>获得时，从多个胃部碎片中选择一个获得</x:v>
      </x:c>
    </x:row>
    <x:row r="8" ht="17.25" customHeight="1">
      <x:c r="B8" s="4"/>
      <x:c r="C8" s="4"/>
      <x:c r="D8" s="3" t="s">
        <x:v>59</x:v>
      </x:c>
      <x:c r="E8" s="3" t="s">
        <x:v>392</x:v>
      </x:c>
      <x:c r="H8" s="1">
        <x:v>7</x:v>
      </x:c>
      <x:c r="I8" s="2" t="str">
        <x:f t="shared" si="0"/>
        <x:v>获得时，获得一个随机被动道具、随机食物、50金币</x:v>
      </x:c>
    </x:row>
    <x:row r="9" ht="17.25" customHeight="1">
      <x:c r="B9" s="4"/>
      <x:c r="C9" s="4"/>
      <x:c r="D9" s="3" t="s">
        <x:v>393</x:v>
      </x:c>
      <x:c r="E9" s="3" t="s">
        <x:v>66</x:v>
      </x:c>
      <x:c r="H9" s="1">
        <x:v>8</x:v>
      </x:c>
      <x:c r="I9" s="2" t="str">
        <x:f t="shared" si="0"/>
        <x:v>所有道具替换为随机道具</x:v>
      </x:c>
    </x:row>
    <x:row r="10" ht="17.25" customHeight="1">
      <x:c r="B10" s="4"/>
      <x:c r="C10" s="4" t="s">
        <x:v>394</x:v>
      </x:c>
      <x:c r="D10" s="3" t="s">
        <x:v>68</x:v>
      </x:c>
      <x:c r="E10" s="3" t="s">
        <x:v>395</x:v>
      </x:c>
      <x:c r="H10" s="1">
        <x:v>9</x:v>
      </x:c>
      <x:c r="I10" s="2" t="str">
        <x:f t="shared" si="0"/>
        <x:v>获得1～100个金币</x:v>
      </x:c>
    </x:row>
    <x:row r="11" ht="17.25" customHeight="1">
      <x:c r="B11" s="4"/>
      <x:c r="C11" s="3"/>
      <x:c r="D11" s="3" t="s">
        <x:v>396</x:v>
      </x:c>
      <x:c r="E11" s="3" t="s">
        <x:v>397</x:v>
      </x:c>
      <x:c r="H11" s="1">
        <x:v>10</x:v>
      </x:c>
      <x:c r="I11" s="2" t="str">
        <x:f t="shared" si="0"/>
        <x:v>接下来10局美食，额外获得15金币</x:v>
      </x:c>
    </x:row>
    <x:row r="12" ht="17.25" customHeight="1">
      <x:c r="B12" s="4"/>
      <x:c r="C12" s="4"/>
      <x:c r="D12" s="3" t="s">
        <x:v>398</x:v>
      </x:c>
      <x:c r="E12" s="3" t="s">
        <x:v>399</x:v>
      </x:c>
      <x:c r="H12" s="1">
        <x:v>11</x:v>
      </x:c>
      <x:c r="I12" s="2" t="str">
        <x:f t="shared" si="0"/>
        <x:v>完成本次boss后，额外获得100金币</x:v>
      </x:c>
    </x:row>
    <x:row r="13" ht="17.25" customHeight="1">
      <x:c r="B13" s="4"/>
      <x:c r="C13" s="4"/>
      <x:c r="D13" s="5" t="s">
        <x:v>400</x:v>
      </x:c>
      <x:c r="E13" s="3" t="s">
        <x:v>401</x:v>
      </x:c>
      <x:c r="H13" s="1">
        <x:v>12</x:v>
      </x:c>
      <x:c r="I13" s="2" t="str">
        <x:f t="shared" si="0"/>
        <x:v>美食结束获得的金币，额外获得20%</x:v>
      </x:c>
    </x:row>
    <x:row r="14" ht="17.25" customHeight="1">
      <x:c r="B14" s="4"/>
      <x:c r="C14" s="4" t="s">
        <x:v>402</x:v>
      </x:c>
      <x:c r="D14" s="3" t="s">
        <x:v>403</x:v>
      </x:c>
      <x:c r="E14" s="3" t="s">
        <x:v>404</x:v>
      </x:c>
      <x:c r="H14" s="1">
        <x:v>13</x:v>
      </x:c>
      <x:c r="I14" s="2" t="str">
        <x:f t="shared" si="0"/>
        <x:v>购买食物打折20%</x:v>
      </x:c>
    </x:row>
    <x:row r="15" ht="17.25" customHeight="1">
      <x:c r="B15" s="4"/>
      <x:c r="C15" s="3"/>
      <x:c r="D15" s="3" t="s">
        <x:v>405</x:v>
      </x:c>
      <x:c r="E15" s="3" t="s">
        <x:v>406</x:v>
      </x:c>
      <x:c r="H15" s="1">
        <x:v>14</x:v>
      </x:c>
      <x:c r="I15" s="2" t="str">
        <x:f t="shared" si="0"/>
        <x:v>购买碎片打折20%</x:v>
      </x:c>
    </x:row>
    <x:row r="16" ht="17.25" customHeight="1">
      <x:c r="B16" s="4"/>
      <x:c r="C16" s="4"/>
      <x:c r="D16" s="3" t="s">
        <x:v>407</x:v>
      </x:c>
      <x:c r="E16" s="3" t="s">
        <x:v>408</x:v>
      </x:c>
      <x:c r="H16" s="1">
        <x:v>15</x:v>
      </x:c>
      <x:c r="I16" s="2" t="str">
        <x:f t="shared" si="0"/>
        <x:v>买主动道具打折20%</x:v>
      </x:c>
    </x:row>
    <x:row r="17" ht="17.25" customHeight="1">
      <x:c r="B17" s="4"/>
      <x:c r="C17" s="4"/>
      <x:c r="D17" s="3" t="s">
        <x:v>409</x:v>
      </x:c>
      <x:c r="E17" s="3" t="s">
        <x:v>410</x:v>
      </x:c>
      <x:c r="H17" s="1">
        <x:v>16</x:v>
      </x:c>
      <x:c r="I17" s="2" t="str">
        <x:f t="shared" si="0"/>
        <x:v>买被动道具打折20%</x:v>
      </x:c>
    </x:row>
    <x:row r="18" ht="17.25" customHeight="1">
      <x:c r="B18" s="4"/>
      <x:c r="C18" s="4"/>
      <x:c r="D18" s="3" t="s">
        <x:v>411</x:v>
      </x:c>
      <x:c r="E18" s="3" t="s">
        <x:v>412</x:v>
      </x:c>
      <x:c r="H18" s="1">
        <x:v>17</x:v>
      </x:c>
      <x:c r="I18" s="2" t="str">
        <x:f t="shared" si="0"/>
        <x:v>删牌价格打折20%</x:v>
      </x:c>
    </x:row>
    <x:row r="19" ht="17.25" customHeight="1">
      <x:c r="B19" s="4"/>
      <x:c r="C19" s="4"/>
      <x:c r="D19" s="3" t="s">
        <x:v>411</x:v>
      </x:c>
      <x:c r="E19" s="3" t="s">
        <x:v>413</x:v>
      </x:c>
      <x:c r="H19" s="1">
        <x:v>18</x:v>
      </x:c>
      <x:c r="I19" s="2" t="str">
        <x:f t="shared" si="0"/>
        <x:v>删牌价格固定为30金币</x:v>
      </x:c>
    </x:row>
    <x:row r="20" ht="17.25" customHeight="1">
      <x:c r="B20" s="4"/>
      <x:c r="C20" s="4" t="s">
        <x:v>414</x:v>
      </x:c>
      <x:c r="D20" s="3" t="s">
        <x:v>117</x:v>
      </x:c>
      <x:c r="E20" s="3" t="s">
        <x:v>415</x:v>
      </x:c>
      <x:c r="H20" s="1">
        <x:v>19</x:v>
      </x:c>
      <x:c r="I20" s="2" t="str">
        <x:f t="shared" si="0"/>
        <x:v>分数未达标时，不失败，失去此道具</x:v>
      </x:c>
    </x:row>
    <x:row r="21" ht="17.25" customHeight="1">
      <x:c r="B21" s="4"/>
      <x:c r="C21" s="4" t="s">
        <x:v>416</x:v>
      </x:c>
      <x:c r="D21" s="3" t="s">
        <x:v>417</x:v>
      </x:c>
      <x:c r="E21" s="3" t="s">
        <x:v>418</x:v>
      </x:c>
      <x:c r="H21" s="1">
        <x:v>20</x:v>
      </x:c>
      <x:c r="I21" s="2" t="str">
        <x:f t="shared" si="0"/>
        <x:v>接下来3局非盛宴（boss），分数要求为1</x:v>
      </x:c>
    </x:row>
    <x:row r="22" ht="17.25" customHeight="1">
      <x:c r="B22" s="4"/>
      <x:c r="C22" s="3"/>
      <x:c r="D22" s="3" t="s">
        <x:v>419</x:v>
      </x:c>
      <x:c r="E22" s="3" t="s">
        <x:v>420</x:v>
      </x:c>
      <x:c r="H22" s="1">
        <x:v>21</x:v>
      </x:c>
      <x:c r="I22" s="2" t="str">
        <x:f t="shared" si="0"/>
        <x:v>普通美食要求分数-10%</x:v>
      </x:c>
    </x:row>
    <x:row r="23" ht="17.25" customHeight="1">
      <x:c r="B23" s="4"/>
      <x:c r="C23" s="3"/>
      <x:c r="D23" s="3" t="s">
        <x:v>421</x:v>
      </x:c>
      <x:c r="E23" s="3" t="s">
        <x:v>422</x:v>
      </x:c>
      <x:c r="H23" s="1">
        <x:v>22</x:v>
      </x:c>
      <x:c r="I23" s="2" t="str">
        <x:f t="shared" si="0"/>
        <x:v>超级美食要求分数-10%</x:v>
      </x:c>
    </x:row>
    <x:row r="24" ht="17.25" customHeight="1">
      <x:c r="B24" s="4"/>
      <x:c r="C24" s="4"/>
      <x:c r="D24" s="3" t="s">
        <x:v>423</x:v>
      </x:c>
      <x:c r="E24" s="3" t="s">
        <x:v>424</x:v>
      </x:c>
      <x:c r="H24" s="1">
        <x:v>23</x:v>
      </x:c>
      <x:c r="I24" s="2" t="str">
        <x:f t="shared" si="0"/>
        <x:v>盛宴美食要求分数-10%</x:v>
      </x:c>
    </x:row>
    <x:row r="25" ht="17.25" customHeight="1">
      <x:c r="B25" s="4"/>
      <x:c r="C25" s="4" t="s">
        <x:v>425</x:v>
      </x:c>
      <x:c r="D25" s="3" t="s">
        <x:v>426</x:v>
      </x:c>
      <x:c r="E25" s="3" t="s">
        <x:v>427</x:v>
      </x:c>
      <x:c r="H25" s="1">
        <x:v>24</x:v>
      </x:c>
      <x:c r="I25" s="2" t="str">
        <x:f t="shared" si="0"/>
        <x:v>结算时，食物数量小于等于10，所有美食倍率x1.1</x:v>
      </x:c>
    </x:row>
    <x:row r="26" ht="17.25" customHeight="1">
      <x:c r="B26" s="4"/>
      <x:c r="C26" s="4"/>
      <x:c r="D26" s="3" t="s">
        <x:v>426</x:v>
      </x:c>
      <x:c r="E26" s="3" t="s">
        <x:v>428</x:v>
      </x:c>
      <x:c r="H26" s="1">
        <x:v>25</x:v>
      </x:c>
      <x:c r="I26" s="2" t="str">
        <x:f t="shared" si="0"/>
        <x:v>结算时，食物数量大于等于10，所有美食倍率x1.1</x:v>
      </x:c>
    </x:row>
    <x:row r="27" ht="17.25" customHeight="1">
      <x:c r="B27" s="4"/>
      <x:c r="C27" s="3" t="s">
        <x:v>429</x:v>
      </x:c>
      <x:c r="D27" s="3" t="s">
        <x:v>430</x:v>
      </x:c>
      <x:c r="E27" s="3" t="s">
        <x:v>431</x:v>
      </x:c>
      <x:c r="H27" s="1">
        <x:v>26</x:v>
      </x:c>
      <x:c r="I27" s="2" t="str">
        <x:f t="shared" si="0"/>
        <x:v>结算时，食物倍率+0倍（每结算1个食物+0.1倍）</x:v>
      </x:c>
    </x:row>
    <x:row r="28" ht="17.25" customHeight="1">
      <x:c r="B28" s="4"/>
      <x:c r="C28" s="4" t="s">
        <x:v>432</x:v>
      </x:c>
      <x:c r="D28" s="3" t="s">
        <x:v>433</x:v>
      </x:c>
      <x:c r="E28" s="3" t="s">
        <x:v>434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435</x:v>
      </x:c>
      <x:c r="D29" s="3" t="s">
        <x:v>433</x:v>
      </x:c>
      <x:c r="E29" s="3" t="s">
        <x:v>436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437</x:v>
      </x:c>
      <x:c r="D30" s="3" t="s">
        <x:v>438</x:v>
      </x:c>
      <x:c r="E30" s="3" t="s">
        <x:v>439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438</x:v>
      </x:c>
      <x:c r="E31" s="3" t="s">
        <x:v>440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441</x:v>
      </x:c>
      <x:c r="D32" s="3" t="s">
        <x:v>441</x:v>
      </x:c>
      <x:c r="E32" s="3" t="s">
        <x:v>442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443</x:v>
      </x:c>
      <x:c r="E33" s="3" t="s">
        <x:v>444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445</x:v>
      </x:c>
      <x:c r="E34" s="3" t="s">
        <x:v>446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447</x:v>
      </x:c>
      <x:c r="E35" s="3" t="s">
        <x:v>448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449</x:v>
      </x:c>
      <x:c r="E36" s="3" t="s">
        <x:v>450</x:v>
      </x:c>
      <x:c r="H36" s="1">
        <x:v>35</x:v>
      </x:c>
      <x:c r="I36" s="2" t="str">
        <x:f t="shared" si="0"/>
        <x:v>利息上限扩展到10金币</x:v>
      </x:c>
    </x:row>
    <x:row r="37" ht="17.25" customHeight="1">
      <x:c r="B37" s="4"/>
      <x:c r="C37" s="3"/>
      <x:c r="D37" s="3" t="s">
        <x:v>451</x:v>
      </x:c>
      <x:c r="E37" s="3" t="s">
        <x:v>452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453</x:v>
      </x:c>
      <x:c r="D38" s="3" t="s">
        <x:v>393</x:v>
      </x:c>
      <x:c r="E38" s="3" t="s">
        <x:v>454</x:v>
      </x:c>
      <x:c r="H38" s="1">
        <x:v>37</x:v>
      </x:c>
      <x:c r="I38" s="2" t="str">
        <x:f t="shared" si="0"/>
        <x:v>随机化时间轴的节点事件。</x:v>
      </x:c>
    </x:row>
    <x:row r="39" ht="17.25" customHeight="1">
      <x:c r="B39" s="4"/>
      <x:c r="C39" s="4"/>
      <x:c r="D39" s="3" t="s">
        <x:v>455</x:v>
      </x:c>
      <x:c r="E39" s="3" t="s">
        <x:v>456</x:v>
      </x:c>
      <x:c r="H39" s="1">
        <x:v>38</x:v>
      </x:c>
      <x:c r="I39" s="2" t="str">
        <x:f t="shared" si="0"/>
        <x:v>延后所有Boss一天</x:v>
      </x:c>
    </x:row>
    <x:row r="40" ht="17.25" customHeight="1">
      <x:c r="B40" s="4"/>
      <x:c r="C40" s="4"/>
      <x:c r="D40" s="3" t="s">
        <x:v>164</x:v>
      </x:c>
      <x:c r="E40" s="3" t="s">
        <x:v>164</x:v>
      </x:c>
      <x:c r="H40" s="1">
        <x:v>39</x:v>
      </x:c>
      <x:c r="I40" s="2" t="str">
        <x:f t="shared" si="0"/>
        <x:v>周数-1</x:v>
      </x:c>
    </x:row>
    <x:row r="41" ht="17.25" customHeight="1">
      <x:c r="B41" s="4"/>
      <x:c r="C41" s="4"/>
      <x:c r="D41" s="3" t="s">
        <x:v>457</x:v>
      </x:c>
      <x:c r="E41" s="3" t="s">
        <x:v>458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459</x:v>
      </x:c>
      <x:c r="E42" s="3" t="s">
        <x:v>460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461</x:v>
      </x:c>
      <x:c r="D43" s="3" t="s">
        <x:v>462</x:v>
      </x:c>
      <x:c r="E43" s="3" t="s">
        <x:v>463</x:v>
      </x:c>
      <x:c r="H43" s="1">
        <x:v>42</x:v>
      </x:c>
      <x:c r="I43" s="2" t="str">
        <x:f t="shared" si="0"/>
        <x:v>每上3个食物后，下一个食物倍率+2</x:v>
      </x:c>
    </x:row>
    <x:row r="44" ht="17.25" customHeight="1">
      <x:c r="B44" s="4"/>
      <x:c r="C44" s="3"/>
      <x:c r="D44" s="3" t="s">
        <x:v>464</x:v>
      </x:c>
      <x:c r="E44" s="3" t="s">
        <x:v>465</x:v>
      </x:c>
      <x:c r="H44" s="1">
        <x:v>43</x:v>
      </x:c>
      <x:c r="I44" s="2" t="str">
        <x:f t="shared" si="0"/>
        <x:v>第一个上的食物，倍率x2</x:v>
      </x:c>
    </x:row>
    <x:row r="45" ht="17.25" customHeight="1">
      <x:c r="B45" s="4"/>
      <x:c r="C45" s="4"/>
      <x:c r="D45" s="3" t="s">
        <x:v>466</x:v>
      </x:c>
      <x:c r="E45" s="3" t="s">
        <x:v>467</x:v>
      </x:c>
      <x:c r="H45" s="1">
        <x:v>44</x:v>
      </x:c>
      <x:c r="I45" s="2" t="str">
        <x:f t="shared" si="0"/>
        <x:v>最后一个上的食物，倍率x2</x:v>
      </x:c>
    </x:row>
    <x:row r="46" ht="17.25" customHeight="1">
      <x:c r="B46" s="4"/>
      <x:c r="C46" s="4" t="s">
        <x:v>468</x:v>
      </x:c>
      <x:c r="D46" s="3" t="s">
        <x:v>469</x:v>
      </x:c>
      <x:c r="E46" s="3" t="s">
        <x:v>470</x:v>
      </x:c>
      <x:c r="H46" s="1">
        <x:v>45</x:v>
      </x:c>
      <x:c r="I46" s="2" t="str">
        <x:f t="shared" si="0"/>
        <x:v>增加2个额外主动道具栏</x:v>
      </x:c>
    </x:row>
    <x:row r="47" ht="17.25" customHeight="1">
      <x:c r="B47" s="4"/>
      <x:c r="C47" s="4"/>
      <x:c r="D47" s="3" t="s">
        <x:v>394</x:v>
      </x:c>
      <x:c r="E47" s="3" t="s">
        <x:v>471</x:v>
      </x:c>
      <x:c r="H47" s="1">
        <x:v>46</x:v>
      </x:c>
      <x:c r="I47" s="2" t="str">
        <x:f t="shared" si="0"/>
        <x:v>使用主动道具时，获得20金币</x:v>
      </x:c>
    </x:row>
    <x:row r="48" ht="17.25" customHeight="1">
      <x:c r="B48" s="4"/>
      <x:c r="C48" s="4"/>
      <x:c r="D48" s="3" t="s">
        <x:v>472</x:v>
      </x:c>
      <x:c r="E48" s="3" t="s">
        <x:v>473</x:v>
      </x:c>
      <x:c r="H48" s="1">
        <x:v>47</x:v>
      </x:c>
      <x:c r="I48" s="2" t="str">
        <x:f t="shared" si="0"/>
        <x:v>无法获得主动道具，获得1000金币</x:v>
      </x:c>
    </x:row>
    <x:row r="49" ht="17.25" customHeight="1">
      <x:c r="B49" s="4"/>
      <x:c r="C49" s="3" t="s">
        <x:v>474</x:v>
      </x:c>
      <x:c r="D49" s="3" t="s">
        <x:v>475</x:v>
      </x:c>
      <x:c r="E49" s="3" t="s">
        <x:v>476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477</x:v>
      </x:c>
      <x:c r="E50" s="3" t="s">
        <x:v>478</x:v>
      </x:c>
      <x:c r="H50" s="1">
        <x:v>49</x:v>
      </x:c>
      <x:c r="I50" s="2" t="str">
        <x:f t="shared" si="0"/>
        <x:v>移除一个食物的风味，获得200金币</x:v>
      </x:c>
    </x:row>
    <x:row r="51" ht="17.25" customHeight="1">
      <x:c r="B51" s="4"/>
      <x:c r="C51" s="4"/>
      <x:c r="D51" s="3" t="s">
        <x:v>479</x:v>
      </x:c>
      <x:c r="E51" s="3" t="s">
        <x:v>480</x:v>
      </x:c>
      <x:c r="H51" s="1">
        <x:v>50</x:v>
      </x:c>
      <x:c r="I51" s="2" t="str">
        <x:f t="shared" si="0"/>
        <x:v>移除一个食物的风味，其技能复制</x:v>
      </x:c>
    </x:row>
    <x:row r="52" ht="17.25" customHeight="1">
      <x:c r="B52" s="4"/>
      <x:c r="C52" s="3"/>
      <x:c r="D52" s="3" t="s">
        <x:v>481</x:v>
      </x:c>
      <x:c r="E52" s="3" t="s">
        <x:v>482</x:v>
      </x:c>
      <x:c r="H52" s="1">
        <x:v>51</x:v>
      </x:c>
      <x:c r="I52" s="2" t="str">
        <x:f t="shared" si="0"/>
        <x:v>移除一个食物的风味，其分数翻倍</x:v>
      </x:c>
    </x:row>
    <x:row r="53" ht="17.25" customHeight="1">
      <x:c r="B53" s="4"/>
      <x:c r="C53" s="4"/>
      <x:c r="D53" s="3" t="s">
        <x:v>483</x:v>
      </x:c>
      <x:c r="E53" s="3" t="s">
        <x:v>484</x:v>
      </x:c>
      <x:c r="H53" s="1">
        <x:v>52</x:v>
      </x:c>
      <x:c r="I53" s="2" t="str">
        <x:f t="shared" si="0"/>
        <x:v>允许一个食物拥有两个风味</x:v>
      </x:c>
    </x:row>
    <x:row r="54" ht="17.25" customHeight="1">
      <x:c r="B54" s="4"/>
      <x:c r="C54" s="4"/>
      <x:c r="D54" s="3" t="s">
        <x:v>200</x:v>
      </x:c>
      <x:c r="E54" s="3" t="s">
        <x:v>485</x:v>
      </x:c>
      <x:c r="H54" s="1">
        <x:v>53</x:v>
      </x:c>
      <x:c r="I54" s="2" t="str">
        <x:f t="shared" si="0"/>
        <x:v>将一个食物的风味强化到无风味食物上</x:v>
      </x:c>
    </x:row>
    <x:row r="55" ht="17.25" customHeight="1">
      <x:c r="B55" s="4"/>
      <x:c r="C55" s="3" t="s">
        <x:v>486</x:v>
      </x:c>
      <x:c r="D55" s="3" t="s">
        <x:v>487</x:v>
      </x:c>
      <x:c r="E55" s="3" t="s">
        <x:v>488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206</x:v>
      </x:c>
      <x:c r="E56" s="3" t="s">
        <x:v>489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490</x:v>
      </x:c>
      <x:c r="D57" s="3" t="s">
        <x:v>491</x:v>
      </x:c>
      <x:c r="E57" s="3" t="s">
        <x:v>492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491</x:v>
      </x:c>
      <x:c r="E58" s="3" t="s">
        <x:v>493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494</x:v>
      </x:c>
      <x:c r="E59" s="3" t="s">
        <x:v>495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496</x:v>
      </x:c>
      <x:c r="E60" s="3" t="s">
        <x:v>497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498</x:v>
      </x:c>
      <x:c r="E61" s="3" t="s">
        <x:v>499</x:v>
      </x:c>
      <x:c r="H61" s="1">
        <x:v>60</x:v>
      </x:c>
      <x:c r="I61" s="2" t="str">
        <x:f t="shared" si="0"/>
        <x:v>获得2次重新随机行动的</x:v>
      </x:c>
    </x:row>
    <x:row r="62" ht="17.25" customHeight="1">
      <x:c r="B62" s="4"/>
      <x:c r="C62" s="4" t="s">
        <x:v>500</x:v>
      </x:c>
      <x:c r="D62" s="3" t="s">
        <x:v>501</x:v>
      </x:c>
      <x:c r="E62" s="3" t="s">
        <x:v>502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503</x:v>
      </x:c>
      <x:c r="D63" s="3" t="s">
        <x:v>504</x:v>
      </x:c>
      <x:c r="E63" s="3" t="s">
        <x:v>505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506</x:v>
      </x:c>
      <x:c r="E64" s="3" t="s">
        <x:v>507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508</x:v>
      </x:c>
      <x:c r="E65" s="3" t="s">
        <x:v>509</x:v>
      </x:c>
      <x:c r="H65" s="1">
        <x:v>64</x:v>
      </x:c>
      <x:c r="I65" s="2" t="str">
        <x:f t="shared" si="0"/>
        <x:v>每3次普通美食，额外获得一个多选一美食</x:v>
      </x:c>
    </x:row>
    <x:row r="66" ht="17.25" customHeight="1">
      <x:c r="B66" s="4"/>
      <x:c r="C66" s="4"/>
      <x:c r="D66" s="3" t="s">
        <x:v>510</x:v>
      </x:c>
      <x:c r="E66" s="3" t="s">
        <x:v>511</x:v>
      </x:c>
      <x:c r="H66" s="1">
        <x:v>65</x:v>
      </x:c>
      <x:c r="I66" s="2" t="str">
        <x:f t="shared" ref="I66:I94" si="1">E66</x:f>
        <x:v>每3次超级美食，额外获得一个多选一物品</x:v>
      </x:c>
    </x:row>
    <x:row r="67" ht="17.25" customHeight="1">
      <x:c r="B67" s="4"/>
      <x:c r="C67" s="4"/>
      <x:c r="D67" s="3" t="s">
        <x:v>238</x:v>
      </x:c>
      <x:c r="E67" s="3" t="s">
        <x:v>512</x:v>
      </x:c>
      <x:c r="H67" s="1">
        <x:v>66</x:v>
      </x:c>
      <x:c r="I67" s="2" t="str">
        <x:f t="shared" si="1"/>
        <x:v>随机复制一个美食</x:v>
      </x:c>
    </x:row>
    <x:row r="68" ht="17.25" customHeight="1">
      <x:c r="B68" s="4"/>
      <x:c r="C68" s="3" t="s">
        <x:v>513</x:v>
      </x:c>
      <x:c r="D68" s="3" t="s">
        <x:v>514</x:v>
      </x:c>
      <x:c r="E68" s="3" t="s">
        <x:v>242</x:v>
      </x:c>
      <x:c r="H68" s="1">
        <x:v>67</x:v>
      </x:c>
      <x:c r="I68" s="2" t="str">
        <x:f t="shared" si="1"/>
        <x:v>丢弃两个负面道具</x:v>
      </x:c>
    </x:row>
    <x:row r="69" ht="17.25" customHeight="1">
      <x:c r="B69" s="4"/>
      <x:c r="C69" s="3"/>
      <x:c r="D69" s="3" t="s">
        <x:v>515</x:v>
      </x:c>
      <x:c r="E69" s="3" t="s">
        <x:v>516</x:v>
      </x:c>
      <x:c r="H69" s="1">
        <x:v>68</x:v>
      </x:c>
      <x:c r="I69" s="2" t="str">
        <x:f t="shared" si="1"/>
        <x:v>丢弃所有负面道具，每丢弃一个获得100金币</x:v>
      </x:c>
    </x:row>
    <x:row r="70" ht="17.25" customHeight="1">
      <x:c r="B70" s="4" t="s">
        <x:v>517</x:v>
      </x:c>
      <x:c r="C70" s="4" t="s">
        <x:v>518</x:v>
      </x:c>
      <x:c r="D70" s="3" t="s">
        <x:v>519</x:v>
      </x:c>
      <x:c r="E70" s="3" t="s">
        <x:v>520</x:v>
      </x:c>
      <x:c r="H70" s="1">
        <x:v>69</x:v>
      </x:c>
      <x:c r="I70" s="2" t="str">
        <x:f t="shared" si="1"/>
        <x:v>美食获得的金币减少25%</x:v>
      </x:c>
    </x:row>
    <x:row r="71" ht="17.25" customHeight="1">
      <x:c r="B71" s="4"/>
      <x:c r="C71" s="4"/>
      <x:c r="D71" s="3" t="s">
        <x:v>521</x:v>
      </x:c>
      <x:c r="E71" s="3" t="s">
        <x:v>522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523</x:v>
      </x:c>
      <x:c r="E72" s="3" t="s">
        <x:v>255</x:v>
      </x:c>
      <x:c r="H72" s="1">
        <x:v>71</x:v>
      </x:c>
      <x:c r="I72" s="2" t="str">
        <x:f t="shared" si="1"/>
        <x:v>无法再删除食物</x:v>
      </x:c>
    </x:row>
    <x:row r="73" ht="17.25" customHeight="1">
      <x:c r="B73" s="4"/>
      <x:c r="C73" s="4"/>
      <x:c r="D73" s="3" t="s">
        <x:v>524</x:v>
      </x:c>
      <x:c r="E73" s="3" t="s">
        <x:v>525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526</x:v>
      </x:c>
      <x:c r="E74" s="3" t="s">
        <x:v>527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528</x:v>
      </x:c>
      <x:c r="E75" s="3" t="s">
        <x:v>529</x:v>
      </x:c>
      <x:c r="H75" s="1">
        <x:v>74</x:v>
      </x:c>
      <x:c r="I75" s="2" t="str">
        <x:f t="shared" si="1"/>
        <x:v>普通美食要求分数+10%</x:v>
      </x:c>
    </x:row>
    <x:row r="76" ht="17.25" customHeight="1">
      <x:c r="B76" s="3"/>
      <x:c r="C76" s="3"/>
      <x:c r="D76" s="3" t="s">
        <x:v>530</x:v>
      </x:c>
      <x:c r="E76" s="3" t="s">
        <x:v>531</x:v>
      </x:c>
      <x:c r="H76" s="1">
        <x:v>75</x:v>
      </x:c>
      <x:c r="I76" s="2" t="str">
        <x:f t="shared" si="1"/>
        <x:v>超级美食要求分数+10%</x:v>
      </x:c>
    </x:row>
    <x:row r="77" ht="17.25" customHeight="1">
      <x:c r="B77" s="4"/>
      <x:c r="C77" s="4"/>
      <x:c r="D77" s="3" t="s">
        <x:v>532</x:v>
      </x:c>
      <x:c r="E77" s="3" t="s">
        <x:v>533</x:v>
      </x:c>
      <x:c r="H77" s="1">
        <x:v>76</x:v>
      </x:c>
      <x:c r="I77" s="2" t="str">
        <x:f t="shared" si="1"/>
        <x:v>盛宴美食要求分数+10%</x:v>
      </x:c>
    </x:row>
    <x:row r="78" ht="17.25" customHeight="1">
      <x:c r="B78" s="4"/>
      <x:c r="C78" s="4"/>
      <x:c r="D78" s="3" t="s">
        <x:v>534</x:v>
      </x:c>
      <x:c r="E78" s="3" t="s">
        <x:v>535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536</x:v>
      </x:c>
      <x:c r="C79" s="4" t="s">
        <x:v>537</x:v>
      </x:c>
      <x:c r="D79" s="3" t="s">
        <x:v>538</x:v>
      </x:c>
      <x:c r="E79" s="3" t="s">
        <x:v>539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540</x:v>
      </x:c>
      <x:c r="D80" s="3" t="s">
        <x:v>541</x:v>
      </x:c>
      <x:c r="E80" s="3" t="s">
        <x:v>542</x:v>
      </x:c>
      <x:c r="H80" s="1">
        <x:v>79</x:v>
      </x:c>
      <x:c r="I80" s="2" t="str">
        <x:f t="shared" si="1"/>
        <x:v>传递时，被传递方倍率x1.1</x:v>
      </x:c>
    </x:row>
    <x:row r="81" ht="17.25" customHeight="1">
      <x:c r="B81" s="4"/>
      <x:c r="C81" s="4"/>
      <x:c r="D81" s="3" t="s">
        <x:v>541</x:v>
      </x:c>
      <x:c r="E81" s="3" t="s">
        <x:v>543</x:v>
      </x:c>
      <x:c r="H81" s="1">
        <x:v>80</x:v>
      </x:c>
      <x:c r="I81" s="2" t="str">
        <x:f t="shared" si="1"/>
        <x:v>传递时，传递方倍率x1.1</x:v>
      </x:c>
    </x:row>
    <x:row r="82" ht="17.25" customHeight="1">
      <x:c r="B82" s="4"/>
      <x:c r="C82" s="4"/>
      <x:c r="D82" s="3" t="s">
        <x:v>544</x:v>
      </x:c>
      <x:c r="E82" s="3" t="s">
        <x:v>545</x:v>
      </x:c>
      <x:c r="H82" s="1">
        <x:v>81</x:v>
      </x:c>
      <x:c r="I82" s="2" t="str">
        <x:f t="shared" si="1"/>
        <x:v>结算时，倍率x1（每一个技能+0.1倍）</x:v>
      </x:c>
    </x:row>
    <x:row r="83" ht="17.25" customHeight="1">
      <x:c r="B83" s="4"/>
      <x:c r="C83" s="4"/>
      <x:c r="D83" s="3" t="s">
        <x:v>546</x:v>
      </x:c>
      <x:c r="E83" s="3" t="s">
        <x:v>547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548</x:v>
      </x:c>
      <x:c r="D84" s="3" t="s">
        <x:v>549</x:v>
      </x:c>
      <x:c r="E84" s="3" t="s">
        <x:v>550</x:v>
      </x:c>
      <x:c r="H84" s="1">
        <x:v>83</x:v>
      </x:c>
      <x:c r="I84" s="2" t="str">
        <x:f t="shared" si="1"/>
        <x:v>每次保留10%的蛋糕层数至下一次美食</x:v>
      </x:c>
    </x:row>
    <x:row r="85" ht="17.25" customHeight="1">
      <x:c r="B85" s="3"/>
      <x:c r="C85" s="3"/>
      <x:c r="D85" s="3" t="s">
        <x:v>551</x:v>
      </x:c>
      <x:c r="E85" s="3" t="s">
        <x:v>552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553</x:v>
      </x:c>
      <x:c r="E86" s="3" t="s">
        <x:v>554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555</x:v>
      </x:c>
      <x:c r="E87" s="3" t="s">
        <x:v>556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557</x:v>
      </x:c>
      <x:c r="E88" s="3" t="s">
        <x:v>310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