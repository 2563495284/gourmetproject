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<sst xmlns="http://schemas.openxmlformats.org/spreadsheetml/2006/main" count="1257" uniqueCount="780">
  <si>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</si>
  <si>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</si>
  <si>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</si>
  <si>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</si>
  <si>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</si>
  <si>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</si>
  <si>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</si>
  <si>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</si>
  <si>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</si>
  <si>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</si>
  <si>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</si>
  <si>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</si>
  <si>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</si>
  <si>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fragmentHiddenOffset</t>
  </si>
  <si>
    <t>termId</t>
  </si>
  <si>
    <t>price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</si>
  <si>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</si>
  <si>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</si>
  <si>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</si>
  <si>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</si>
  <si>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</si>
  <si>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</si>
  <si>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</si>
  <si>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</si>
  <si>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</si>
  <si>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出现隐藏分区间(单元格:min,max)</t>
  </si>
  <si>
    <t>目标美味值隐藏分修正</t>
  </si>
  <si>
    <t>食物隐藏分修正</t>
  </si>
  <si>
    <t>装饰品隐藏分修正</t>
  </si>
  <si>
    <t>餐桌格隐藏分修正</t>
  </si>
  <si>
    <t>关联术语ID(,|分隔)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</si>
  <si>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</si>
  <si>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</si>
  <si>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</si>
  <si>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</si>
  <si>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</si>
  <si>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</si>
  <si>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</si>
  <si>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</si>
  <si>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item_randomize_items</t>
  </si>
  <si>
    <t>洗好的扑克</t>
  </si>
  <si>
    <t>所有装饰品
替换为随机的装饰品</t>
  </si>
  <si>
    <t>Rare</t>
  </si>
  <si>
    <t>None</t>
  </si>
  <si>
    <t>30,80</t>
  </si>
  <si>
    <t>item_gold_random</t>
  </si>
  <si>
    <t>陶瓷招财猫</t>
  </si>
  <si>
    <t>获得30～200金币</t>
  </si>
  <si>
    <t>Common</t>
  </si>
  <si>
    <t>range:30,200</t>
  </si>
  <si>
    <t>10,80</t>
  </si>
  <si>
    <t>item_gold_meal_bonus</t>
  </si>
  <si>
    <t>柜台小费罐</t>
  </si>
  <si>
    <t>接下来10次日常营业
额外获得15金币</t>
  </si>
  <si>
    <t>meals:10</t>
  </si>
  <si>
    <t>item_gold_boss</t>
  </si>
  <si>
    <t>金边奖杯</t>
  </si>
  <si>
    <t>完成下次星级评鉴
额外+120金币</t>
  </si>
  <si>
    <t>item_gold_percent</t>
  </si>
  <si>
    <t>黄铜算盘</t>
  </si>
  <si>
    <t>营业获得的金币
额外+20%</t>
  </si>
  <si>
    <t>20,80</t>
  </si>
  <si>
    <t>item_trash_upgrade</t>
  </si>
  <si>
    <t>藤编纸篓</t>
  </si>
  <si>
    <t>丢弃次数+1</t>
  </si>
  <si>
    <t>item_trash_expand</t>
  </si>
  <si>
    <t>壁挂废物桶</t>
  </si>
  <si>
    <t>Uncommon</t>
  </si>
  <si>
    <t>item_trash_evolve</t>
  </si>
  <si>
    <t>脚踏垃圾桶</t>
  </si>
  <si>
    <t>丢弃次数+2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</si>
  <si>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</si>
  <si>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</si>
  <si>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</si>
  <si>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</si>
  <si>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</si>
  <si>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</si>
  <si>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</si>
  <si>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</si>
  <si>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</si>
  <si>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</si>
  <si>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</si>
  <si>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</si>
  <si>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</si>
  <si>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</si>
  <si>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</si>
  <si>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</si>
  <si>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装饰品价格-15%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</si>
  <si>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</si>
  <si>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</si>
  <si>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</si>
  <si>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</si>
  <si>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</si>
  <si>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</si>
  <si>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</si>
  <si>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</si>
  <si>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</si>
  <si>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</si>
  <si>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</si>
  <si>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</si>
  <si>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</si>
  <si>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</si>
  <si>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</si>
  <si>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</si>
  <si>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</si>
  <si>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装饰品价格-30%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</si>
  <si>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</si>
  <si>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</si>
  <si>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</si>
  <si>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</si>
  <si>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</si>
  <si>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恢复至1颗红心
生效1次后失效</t>
  </si>
  <si>
    <t>item_heart_flat_all</t>
  </si>
  <si>
    <t>暖心壁灯</t>
  </si>
  <si>
    <t>结算开始
每拥有1颗红心
所有食物分数+10</t>
  </si>
  <si>
    <t>item_empty_heart_mult_all</t>
  </si>
  <si>
    <t>裂纹心形镜</t>
  </si>
  <si>
    <t>结算开始
每拥有1个空红心
所有食物倍率+0.3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</si>
  <si>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</si>
  <si>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</si>
  <si>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</si>
  <si>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</si>
  <si>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</si>
  <si>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</si>
  <si>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日常营业
目标美味值-25%</t>
  </si>
  <si>
    <t>item_req_super_down</t>
  </si>
  <si>
    <t>红格桌布</t>
  </si>
  <si>
    <t>火热营业
目标美味值-25%</t>
  </si>
  <si>
    <t>item_req_feast_down</t>
  </si>
  <si>
    <t>金边证书框</t>
  </si>
  <si>
    <t>星级评鉴
目标美味值-20%</t>
  </si>
  <si>
    <t>item_count_le_mult</t>
  </si>
  <si>
    <t>素色桌旗</t>
  </si>
  <si>
    <t>结算开始
若食物份数≤15
所有食物倍率+0.5</t>
  </si>
  <si>
    <t>lte:15</t>
  </si>
  <si>
    <t>item_count_ge_mult</t>
  </si>
  <si>
    <t>多层餐盘架</t>
  </si>
  <si>
    <t>结算开始
若食物份数≥25
所有食物倍率+0.5</t>
  </si>
  <si>
    <t>gte:25</t>
  </si>
  <si>
    <t>item_perma_flat_all</t>
  </si>
  <si>
    <t>青花调味罐</t>
  </si>
  <si>
    <t>获得时
所有食物分数永久+20</t>
  </si>
  <si>
    <t>item_perma_flat_all_plus</t>
  </si>
  <si>
    <t>成套调味罐</t>
  </si>
  <si>
    <t>获得时
所有食物分数永久+40</t>
  </si>
  <si>
    <t>item_gold_on_shop</t>
  </si>
  <si>
    <t>供货商合影</t>
  </si>
  <si>
    <t>进入商店采购时
获得15金币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</si>
  <si>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</si>
  <si>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</si>
  <si>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</si>
  <si>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</si>
  <si>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</si>
  <si>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利息上限扩展到100金币</t>
  </si>
  <si>
    <t>item_loan</t>
  </si>
  <si>
    <t>挂账记录板</t>
  </si>
  <si>
    <t>金币+150
添加节点"金币-300"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</si>
  <si>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</si>
  <si>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</si>
  <si>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</si>
  <si>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</si>
  <si>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</si>
  <si>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</si>
  <si>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</si>
  <si>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</si>
  <si>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</si>
  <si>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每上菜3个食物后
下个食物倍率+1</t>
  </si>
  <si>
    <t>every:3</t>
  </si>
  <si>
    <t>item_first_+2</t>
  </si>
  <si>
    <t>迎客灯笼</t>
  </si>
  <si>
    <t>结算开始
首个上菜的食物
倍率+3</t>
  </si>
  <si>
    <t>index:1</t>
  </si>
  <si>
    <t>item_last_+2</t>
  </si>
  <si>
    <t>餐后茶具</t>
  </si>
  <si>
    <t>结算开始
最后上菜的食物
倍率+3</t>
  </si>
  <si>
    <t>index:-1</t>
  </si>
  <si>
    <t>item_extra_active_slots</t>
  </si>
  <si>
    <t>墙面置物架</t>
  </si>
  <si>
    <t>增加2个消耗品栏</t>
  </si>
  <si>
    <t>item_extra_active_slots_max</t>
  </si>
  <si>
    <t>整墙储物架</t>
  </si>
  <si>
    <t>增加3个消耗品栏</t>
  </si>
  <si>
    <t>item_gold_on_active</t>
  </si>
  <si>
    <t>皮面账单夹</t>
  </si>
  <si>
    <t>使用消耗品时
获得10金币</t>
  </si>
  <si>
    <t>item_block_active</t>
  </si>
  <si>
    <t>封条备品柜</t>
  </si>
  <si>
    <t>无法再使用消耗品
立即获得400金币</t>
  </si>
  <si>
    <t>item_flavor_enhance</t>
  </si>
  <si>
    <t>彩釉调料瓶组</t>
  </si>
  <si>
    <t>为2个食物
添加随机风味</t>
  </si>
  <si>
    <t>item_flavor_remove_gold</t>
  </si>
  <si>
    <t>复古台秤</t>
  </si>
  <si>
    <t>移除1个食物的风味
获得100金币</t>
  </si>
  <si>
    <t>item_flavor_remove_double</t>
  </si>
  <si>
    <t>小石磨</t>
  </si>
  <si>
    <t>移除1个食物的风味
其分数翻倍</t>
  </si>
  <si>
    <t>item_flavor_double_slot</t>
  </si>
  <si>
    <t>双格蘸料碟</t>
  </si>
  <si>
    <t>食物风味上限变为2</t>
  </si>
  <si>
    <t>Epic</t>
  </si>
  <si>
    <t>40,80</t>
  </si>
  <si>
    <t>item_celltag_enhance</t>
  </si>
  <si>
    <t>拼花砖壁饰</t>
  </si>
  <si>
    <t>为3个餐桌格
强化随机材质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</si>
  <si>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</si>
  <si>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</si>
  <si>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</si>
  <si>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</si>
  <si>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</si>
  <si>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</si>
  <si>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</si>
  <si>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</si>
  <si>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</si>
  <si>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</si>
  <si>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</si>
  <si>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更容易遇见火热营业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</si>
  <si>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</si>
  <si>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</si>
  <si>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</si>
  <si>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</si>
  <si>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</si>
  <si>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</si>
  <si>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</si>
  <si>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</si>
  <si>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</si>
  <si>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</si>
  <si>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</si>
  <si>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更容易获得更好的装饰品</t>
  </si>
  <si>
    <t>item_gold_on_event</t>
  </si>
  <si>
    <t>纪念币展示框</t>
  </si>
  <si>
    <t>进入事件时
获得15金币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</si>
  <si>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</si>
  <si>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</si>
  <si>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</si>
  <si>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</si>
  <si>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</si>
  <si>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商店会自动补货消耗品</t>
  </si>
  <si>
    <t>item_shop_restock_passive</t>
  </si>
  <si>
    <t>壁龛摆件墙</t>
  </si>
  <si>
    <t>商店会自动补货装饰品</t>
  </si>
  <si>
    <t>item_choice_count_plus1</t>
  </si>
  <si>
    <t>活页食谱册</t>
  </si>
  <si>
    <t>选择食物时
可选数量+1</t>
  </si>
  <si>
    <t>item_extra_food_choice</t>
  </si>
  <si>
    <t>点心展示架</t>
  </si>
  <si>
    <t>每4次日常营业
额外获得3选1食物</t>
  </si>
  <si>
    <t>every:4</t>
  </si>
  <si>
    <t>item_extra_item_choice</t>
  </si>
  <si>
    <t>杂货展示架</t>
  </si>
  <si>
    <t>每3次火热营业
额外获得3选1装饰品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</si>
  <si>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</si>
  <si>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</si>
  <si>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</si>
  <si>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</si>
  <si>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</si>
  <si>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移除2个诅咒装饰品</t>
  </si>
  <si>
    <t>item_discard_negative_gold</t>
  </si>
  <si>
    <t>旧餐具寄卖架</t>
  </si>
  <si>
    <t>获得时
移除所有诅咒装饰品
每移除一个获得40金币</t>
  </si>
  <si>
    <t>item_gold_meal_penalty</t>
  </si>
  <si>
    <t>故障收银机</t>
  </si>
  <si>
    <t>营业获得的金币-20%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</si>
  <si>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</si>
  <si>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</si>
  <si>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</si>
  <si>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</si>
  <si>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</si>
  <si>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</si>
  <si>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</si>
  <si>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</si>
  <si>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</si>
  <si>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</si>
  <si>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</si>
  <si>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</si>
  <si>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</si>
  <si>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</si>
  <si>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</si>
  <si>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</si>
  <si>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</si>
  <si>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</si>
  <si>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日常营业目标美味值+20%</t>
  </si>
  <si>
    <t>item_req_super_up</t>
  </si>
  <si>
    <t>爆单警示灯</t>
  </si>
  <si>
    <t>火热营业目标美味值+20%</t>
  </si>
  <si>
    <t>item_req_feast_up</t>
  </si>
  <si>
    <t>评鉴整改书</t>
  </si>
  <si>
    <t>星级评鉴目标美味值+20%</t>
  </si>
  <si>
    <t>item_gold_week_clear</t>
  </si>
  <si>
    <t>逾期账单夹</t>
  </si>
  <si>
    <t>将失去所有金币的节点行动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</si>
  <si>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</si>
  <si>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</si>
  <si>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</si>
  <si>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</si>
  <si>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</si>
  <si>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</si>
  <si>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</si>
  <si>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</si>
  <si>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</si>
  <si>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结算开始
所有食物额外被视为2份食物</t>
  </si>
  <si>
    <t>term_food_count_as</t>
  </si>
  <si>
    <t>item_transfer_target_mult</t>
  </si>
  <si>
    <t>大号糖果盘</t>
  </si>
  <si>
    <t>甜蜜传递时
每个被传递方倍率+0.5</t>
  </si>
  <si>
    <t>term_sweet_transfer</t>
  </si>
  <si>
    <t>item_transfer_source_mult</t>
  </si>
  <si>
    <t>长嘴糖浆壶</t>
  </si>
  <si>
    <t>甜蜜传递时
传递方每成功传递1个目标
倍率+0.5</t>
  </si>
  <si>
    <t>item_skill_count_mult</t>
  </si>
  <si>
    <t>主厨刀架</t>
  </si>
  <si>
    <t>结算结束
每个食物每有1个技能
自身倍率+1</t>
  </si>
  <si>
    <t>item_gold_on_transfer</t>
  </si>
  <si>
    <t>黄铜传菜铃</t>
  </si>
  <si>
    <t>累计甜蜜传递10次后
获得15金币</t>
  </si>
  <si>
    <t>count:10</t>
  </si>
  <si>
    <t>item_cake_retain</t>
  </si>
  <si>
    <t>玻璃蛋糕罩</t>
  </si>
  <si>
    <t>保留10%的蛋糕层数
至下一场经营挑战</t>
  </si>
  <si>
    <t>clb</t>
  </si>
  <si>
    <t>item_cake_init_bonus</t>
  </si>
  <si>
    <t>厚底蛋糕托</t>
  </si>
  <si>
    <t>蛋糕层数
初始额外获得10层</t>
  </si>
  <si>
    <t>item_cake_accel</t>
  </si>
  <si>
    <t>可叠蛋糕托</t>
  </si>
  <si>
    <t>蛋糕层数增加时
额外加2层</t>
  </si>
  <si>
    <t>item_cake_to_gold</t>
  </si>
  <si>
    <t>蛋糕价签架</t>
  </si>
  <si>
    <t>蛋糕层数大于100层时
获得10金币</t>
  </si>
  <si>
    <t>threshold:100</t>
  </si>
  <si>
    <t>item_cake_req_minus</t>
  </si>
  <si>
    <t>迷你蛋糕模</t>
  </si>
  <si>
    <t>蛋糕效果需求的层数-20</t>
  </si>
  <si>
    <t>item_transfer_extra_targets</t>
  </si>
  <si>
    <t>三层糖果塔</t>
  </si>
  <si>
    <t>甜蜜传递时
额外选择2个目标</t>
  </si>
  <si>
    <t>item_flavored_flat</t>
  </si>
  <si>
    <t>风味评分牌</t>
  </si>
  <si>
    <t>结算开始
拥有风味的食物
分数+30</t>
  </si>
  <si>
    <t>flavored</t>
  </si>
  <si>
    <t>item_flavored_count_as</t>
  </si>
  <si>
    <t>双层品鉴碟</t>
  </si>
  <si>
    <t>结算开始
拥有风味的食物
额外视为1份食物</t>
  </si>
  <si>
    <t>item_active_count_flat_all</t>
  </si>
  <si>
    <t>备品清单板</t>
  </si>
  <si>
    <t>结算开始
每拥有1个消耗品
所有食物分数+10</t>
  </si>
  <si>
    <t>basis:active-items</t>
  </si>
  <si>
    <t>item_empty_active_slot_mult_all</t>
  </si>
  <si>
    <t>留白备品柜</t>
  </si>
  <si>
    <t>结算开始
每拥有1个消耗品空槽
所有食物倍率+0.1</t>
  </si>
  <si>
    <t>basis:empty-active-slots</t>
  </si>
  <si>
    <t>item_edge_flat</t>
  </si>
  <si>
    <t>滚边桌布</t>
  </si>
  <si>
    <t>结算开始
处于边缘的食物
分数+50</t>
  </si>
  <si>
    <t>position:edge</t>
  </si>
  <si>
    <t>item_non_edge_mult</t>
  </si>
  <si>
    <t>中央餐台模型</t>
  </si>
  <si>
    <t>结算开始
处于非边缘的食物
倍率+0.5</t>
  </si>
  <si>
    <t>position:non-edge</t>
  </si>
  <si>
    <t>item_gold_per5_flat_all</t>
  </si>
  <si>
    <t>镶币菜单框</t>
  </si>
  <si>
    <t>结算开始
每有5金币
所有食物分数+1</t>
  </si>
  <si>
    <t>basis:gold;every:5</t>
  </si>
  <si>
    <t>item_empty_cell_flat_all</t>
  </si>
  <si>
    <t>留白拼桌图</t>
  </si>
  <si>
    <t>结算开始
每有1个空格
所有食物分数+10</t>
  </si>
  <si>
    <t>basis:empty-cells</t>
  </si>
  <si>
    <t>item_unused_discard_mult_all</t>
  </si>
  <si>
    <t>备用垃圾袋架</t>
  </si>
  <si>
    <t>结算开始
每有1个未使用的丢弃次数
所有食物倍率+0.1</t>
  </si>
  <si>
    <t>item_unused_discard_flat_all</t>
  </si>
  <si>
    <t>磁吸垃圾夹</t>
  </si>
  <si>
    <t>结算开始
每有1个未使用的丢弃次数
所有食物分数+10</t>
  </si>
  <si>
    <t>item_skip_reward_dish_luck</t>
  </si>
  <si>
    <t>空盘回执</t>
  </si>
  <si>
    <t>放弃奖励领取时
获取食物的运气提升</t>
  </si>
  <si>
    <t>purpose:Dish</t>
  </si>
  <si>
    <t>item_skip_reward_passive_luck</t>
  </si>
  <si>
    <t>空柜寄售牌</t>
  </si>
  <si>
    <t>放弃奖励领取时
获取装饰品的运气提升</t>
  </si>
  <si>
    <t>purpose:PassiveItem</t>
  </si>
  <si>
    <t>item_super_material_spread</t>
  </si>
  <si>
    <t>蜂巢桌垫</t>
  </si>
  <si>
    <t>火热营业结束
随机1个餐桌格
将材质复制到相邻1格</t>
  </si>
  <si>
    <t>item_count_as_cake</t>
  </si>
  <si>
    <t>万能蛋糕模</t>
  </si>
  <si>
    <t>结算开始
所有食物均视为蛋糕</t>
  </si>
  <si>
    <t>category:cake</t>
  </si>
  <si>
    <t>item_super_fragment_reward</t>
  </si>
  <si>
    <t>折叠加桌券</t>
  </si>
  <si>
    <t>火热营业结束
获得1个餐桌格</t>
  </si>
  <si>
    <t>fragment_choice_3</t>
  </si>
  <si>
    <t>item_settle_permanent_flat_all</t>
  </si>
  <si>
    <t>老字号记分牌</t>
  </si>
  <si>
    <t>食物结算时
永久分数+3</t>
  </si>
  <si>
    <t>item_same_base_mult_all</t>
  </si>
  <si>
    <t>双份餐铃</t>
  </si>
  <si>
    <t>同种食物结算时
倍率+0.5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</si>
  <si>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</si>
  <si>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</si>
  <si>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</si>
  <si>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</si>
  <si>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</si>
  <si>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</si>
  <si>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删除食谱中所有箭头饼干</t>
  </si>
  <si>
    <t>item_randomize_recipe_dishes</t>
  </si>
  <si>
    <t>万花筒菜单板</t>
  </si>
  <si>
    <t>将所有食物随机为新的食物</t>
  </si>
  <si>
    <t>item_discard_dish_flat</t>
  </si>
  <si>
    <t>退菜改良簿</t>
  </si>
  <si>
    <t>丢弃的食物分数永久+15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</si>
  <si>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</si>
  <si>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</si>
  <si>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</si>
  <si>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</si>
  <si>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</si>
  <si>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</si>
  <si>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</si>
  <si>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</si>
  <si>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</si>
  <si>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</si>
  <si>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</si>
  <si>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</si>
  <si>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</si>
  <si>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抽奖机抽奖所需金币-25%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</si>
  <si>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</si>
  <si>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</si>
  <si>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</si>
  <si>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</si>
  <si>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</si>
  <si>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</si>
  <si>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</si>
  <si>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</si>
  <si>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</si>
  <si>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</si>
  <si>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</si>
  <si>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</si>
  <si>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</si>
  <si>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</si>
  <si>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</si>
  <si>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</si>
  <si>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</si>
  <si>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</si>
  <si>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</si>
  <si>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</si>
  <si>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</si>
  <si>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</si>
  <si>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</si>
  <si>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</si>
  <si>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</si>
  <si>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</si>
  <si>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</si>
  <si>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</si>
  <si>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</si>
  <si>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</si>
  <si>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</si>
  <si>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</si>
  <si>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</si>
  <si>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</si>
  <si>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</si>
  <si>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</si>
  <si>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</si>
  <si>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</si>
  <si>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</si>
  <si>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</si>
  <si>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</si>
  <si>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</si>
  <si>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</si>
  <si>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
将其铺装为「樱桃木」材质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</si>
  <si>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</si>
  <si>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</si>
  <si>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</si>
  <si>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</si>
  <si>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</si>
  <si>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</si>
  <si>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
将其铺装为「胡桃木」材质</t>
  </si>
  <si>
    <t>m_walnut</t>
  </si>
  <si>
    <t>item_active_lay_marble</t>
  </si>
  <si>
    <t>大理石箱</t>
  </si>
  <si>
    <t>选择1个餐桌格
将其铺装为「大理石」材质</t>
  </si>
  <si>
    <t>LayStone</t>
  </si>
  <si>
    <t>m_marble</t>
  </si>
  <si>
    <t>item_active_lay_obsidian</t>
  </si>
  <si>
    <t>黑曜石箱</t>
  </si>
  <si>
    <t>选择1个餐桌格
将其铺装为「黑曜石」材质</t>
  </si>
  <si>
    <t>m_obsidian</t>
  </si>
  <si>
    <t>item_active_lay_emerald</t>
  </si>
  <si>
    <t>翡翠箱</t>
  </si>
  <si>
    <t>选择1个餐桌格
将其铺装为「翡翠」材质</t>
  </si>
  <si>
    <t>m_emerald</t>
  </si>
  <si>
    <t>item_active_lay_gold</t>
  </si>
  <si>
    <t>金质箱</t>
  </si>
  <si>
    <t>选择1个餐桌格
将其铺装为「金」材质</t>
  </si>
  <si>
    <t>LayMetal</t>
  </si>
  <si>
    <t>m_gold</t>
  </si>
  <si>
    <t>item_active_lay_silver</t>
  </si>
  <si>
    <t>银质箱</t>
  </si>
  <si>
    <t>选择1个餐桌格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</si>
  <si>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</si>
  <si>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</si>
  <si>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</si>
  <si>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</si>
  <si>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</si>
  <si>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</si>
  <si>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</si>
  <si>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</si>
  <si>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</si>
  <si>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</si>
  <si>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</si>
  <si>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</si>
  <si>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</si>
  <si>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重掷最近一个尚未触发的星级评鉴食物类别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</si>
  <si>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</si>
  <si>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</si>
  <si>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</si>
  <si>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</si>
  <si>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</si>
  <si>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</si>
  <si>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</si>
  <si>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</si>
  <si>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</si>
  <si>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</si>
  <si>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</si>
  <si>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</si>
  <si>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</si>
  <si>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添加商店采购至指定节点上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</si>
  <si>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</si>
  <si>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</si>
  <si>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</si>
  <si>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</si>
  <si>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</si>
  <si>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</si>
  <si>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act_slot</t>
  </si>
  <si>
    <t>item_active_delete_timeline_node</t>
  </si>
  <si>
    <t>移除单</t>
  </si>
  <si>
    <t>移除1个节点行动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</si>
  <si>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</si>
  <si>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</si>
  <si>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</si>
  <si>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</si>
  <si>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</si>
  <si>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</si>
  <si>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</si>
  <si>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</si>
  <si>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</si>
  <si>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</si>
  <si>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</si>
  <si>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</si>
  <si>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</si>
  <si>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</si>
  <si>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</si>
  <si>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</si>
  <si>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</si>
  <si>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</si>
  <si>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</si>
  <si>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</si>
  <si>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</si>
  <si>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</si>
  <si>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</si>
  <si>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</si>
  <si>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</si>
  <si>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</si>
  <si>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</si>
  <si>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</si>
  <si>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</si>
  <si>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</si>
  <si>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</si>
  <si>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</si>
  <si>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全家福</t>
  </si>
  <si>
    <t>获得时，获得一个随机装饰品、随机食物、50金币</t>
  </si>
  <si>
    <t>uncommon</t>
  </si>
  <si>
    <t>随机</t>
  </si>
  <si>
    <t>所有装饰品和消耗品替换为随机装饰品和消耗品</t>
  </si>
  <si>
    <t>rare</t>
  </si>
  <si>
    <t>给钱</t>
  </si>
  <si>
    <t>随机金币</t>
  </si>
  <si>
    <t>获得1～100个金币</t>
  </si>
  <si>
    <t>epic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</si>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</sst>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20"/>
  <sheetViews>
    <sheetView tabSelected="1" zoomScale="40" zoomScaleNormal="40" workbookViewId="0">
      <selection activeCell="F14" sqref="$A1:$XFD1048576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4"/>
      <c r="R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s="1" customFormat="1" ht="16.5" customHeight="1" spans="1:29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 t="s">
        <v>31</v>
      </c>
      <c r="Q2" s="14"/>
      <c r="R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="1" customFormat="1" ht="16.5" customHeight="1" spans="1:29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38</v>
      </c>
      <c r="L3" s="1" t="s">
        <v>38</v>
      </c>
      <c r="M3" s="1" t="s">
        <v>38</v>
      </c>
      <c r="N3" s="1" t="s">
        <v>38</v>
      </c>
      <c r="O3" s="1" t="s">
        <v>33</v>
      </c>
      <c r="P3" s="1" t="s">
        <v>38</v>
      </c>
      <c r="Q3" s="14"/>
      <c r="R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="1" customFormat="1" ht="34" spans="1:18">
      <c r="A4" s="14"/>
      <c r="B4" s="1" t="s">
        <v>39</v>
      </c>
      <c r="C4" s="1" t="s">
        <v>40</v>
      </c>
      <c r="D4" s="10" t="s">
        <v>41</v>
      </c>
      <c r="E4" s="1" t="s">
        <v>42</v>
      </c>
      <c r="F4" s="1" t="s">
        <v>43</v>
      </c>
      <c r="G4" s="1">
        <v>0</v>
      </c>
      <c r="I4" s="1">
        <v>30</v>
      </c>
      <c r="J4" s="1" t="s">
        <v>44</v>
      </c>
      <c r="K4" s="1">
        <v>0</v>
      </c>
      <c r="L4" s="1">
        <v>0</v>
      </c>
      <c r="M4" s="1">
        <v>0</v>
      </c>
      <c r="N4" s="1">
        <v>0</v>
      </c>
      <c r="P4" s="1">
        <v>150</v>
      </c>
      <c r="Q4" s="14"/>
      <c r="R4" s="14">
        <f t="shared" ref="R4:R8" si="0">IFERROR(VLOOKUP(E4,$T$7:$AB$12,9,FALSE),0)</f>
        <v>0</v>
      </c>
    </row>
    <row r="5" s="1" customFormat="1" spans="1:18">
      <c r="A5" s="14"/>
      <c r="B5" s="1" t="s">
        <v>45</v>
      </c>
      <c r="C5" s="1" t="s">
        <v>46</v>
      </c>
      <c r="D5" s="1" t="s">
        <v>47</v>
      </c>
      <c r="E5" s="1" t="s">
        <v>48</v>
      </c>
      <c r="F5" s="1" t="s">
        <v>43</v>
      </c>
      <c r="G5" s="1">
        <v>0</v>
      </c>
      <c r="H5" s="1" t="s">
        <v>49</v>
      </c>
      <c r="I5" s="1">
        <v>300</v>
      </c>
      <c r="J5" s="1" t="s">
        <v>50</v>
      </c>
      <c r="K5" s="1">
        <v>0</v>
      </c>
      <c r="L5" s="1">
        <v>0</v>
      </c>
      <c r="M5" s="1">
        <v>0</v>
      </c>
      <c r="N5" s="1">
        <v>0</v>
      </c>
      <c r="P5" s="1">
        <v>40</v>
      </c>
      <c r="Q5" s="14"/>
      <c r="R5" s="14">
        <f t="shared" si="0"/>
        <v>0</v>
      </c>
    </row>
    <row r="6" s="1" customFormat="1" ht="34" spans="1:26">
      <c r="A6" s="14"/>
      <c r="B6" s="1" t="s">
        <v>51</v>
      </c>
      <c r="C6" s="1" t="s">
        <v>52</v>
      </c>
      <c r="D6" s="10" t="s">
        <v>53</v>
      </c>
      <c r="E6" s="1" t="s">
        <v>48</v>
      </c>
      <c r="F6" s="1" t="s">
        <v>43</v>
      </c>
      <c r="G6" s="1">
        <v>15</v>
      </c>
      <c r="H6" s="1" t="s">
        <v>54</v>
      </c>
      <c r="I6" s="1">
        <v>300</v>
      </c>
      <c r="J6" s="1" t="s">
        <v>50</v>
      </c>
      <c r="K6" s="1">
        <v>0</v>
      </c>
      <c r="L6" s="1">
        <v>0</v>
      </c>
      <c r="M6" s="1">
        <v>0</v>
      </c>
      <c r="N6" s="1">
        <v>0</v>
      </c>
      <c r="P6" s="1">
        <v>40</v>
      </c>
      <c r="Q6" s="14"/>
      <c r="R6" s="14">
        <f t="shared" si="0"/>
        <v>0</v>
      </c>
      <c r="Z6" s="14"/>
    </row>
    <row r="7" s="1" customFormat="1" ht="34" spans="1:30">
      <c r="A7" s="14"/>
      <c r="B7" s="1" t="s">
        <v>55</v>
      </c>
      <c r="C7" s="1" t="s">
        <v>56</v>
      </c>
      <c r="D7" s="10" t="s">
        <v>57</v>
      </c>
      <c r="E7" s="1" t="s">
        <v>48</v>
      </c>
      <c r="F7" s="1" t="s">
        <v>43</v>
      </c>
      <c r="G7" s="1">
        <v>120</v>
      </c>
      <c r="I7" s="1">
        <v>300</v>
      </c>
      <c r="J7" s="1" t="s">
        <v>50</v>
      </c>
      <c r="K7" s="1">
        <v>0</v>
      </c>
      <c r="L7" s="1">
        <v>0</v>
      </c>
      <c r="M7" s="1">
        <v>0</v>
      </c>
      <c r="N7" s="1">
        <v>0</v>
      </c>
      <c r="P7" s="1">
        <v>40</v>
      </c>
      <c r="Q7" s="14"/>
      <c r="R7" s="14">
        <f t="shared" si="0"/>
        <v>0</v>
      </c>
      <c r="T7" s="14"/>
      <c r="U7" s="14"/>
      <c r="V7" s="14"/>
      <c r="W7" s="14"/>
      <c r="X7" s="14"/>
      <c r="Y7" s="14"/>
      <c r="Z7" s="14"/>
      <c r="AB7" s="14"/>
      <c r="AC7" s="14"/>
      <c r="AD7" s="14">
        <f t="shared" ref="AD7:AD10" si="1">IFERROR(Z7/SUM($Z$7:$Z$10),0)</f>
        <v>0</v>
      </c>
    </row>
    <row r="8" s="1" customFormat="1" ht="34" spans="1:30">
      <c r="A8" s="14"/>
      <c r="B8" s="1" t="s">
        <v>58</v>
      </c>
      <c r="C8" s="1" t="s">
        <v>59</v>
      </c>
      <c r="D8" s="10" t="s">
        <v>60</v>
      </c>
      <c r="E8" s="1" t="s">
        <v>48</v>
      </c>
      <c r="F8" s="1" t="s">
        <v>43</v>
      </c>
      <c r="G8" s="1">
        <v>0.2</v>
      </c>
      <c r="I8" s="1">
        <v>100</v>
      </c>
      <c r="J8" s="1" t="s">
        <v>61</v>
      </c>
      <c r="K8" s="1">
        <v>0</v>
      </c>
      <c r="L8" s="1">
        <v>0</v>
      </c>
      <c r="M8" s="1">
        <v>0</v>
      </c>
      <c r="N8" s="1">
        <v>0</v>
      </c>
      <c r="P8" s="1">
        <v>80</v>
      </c>
      <c r="Q8" s="14"/>
      <c r="R8" s="14">
        <f t="shared" si="0"/>
        <v>0</v>
      </c>
      <c r="T8" s="14"/>
      <c r="U8" s="14"/>
      <c r="V8" s="14"/>
      <c r="W8" s="14"/>
      <c r="X8" s="14"/>
      <c r="Y8" s="14"/>
      <c r="Z8" s="14"/>
      <c r="AB8" s="14"/>
      <c r="AC8" s="14"/>
      <c r="AD8" s="14">
        <f t="shared" si="1"/>
        <v>0</v>
      </c>
    </row>
    <row r="9" s="13" customFormat="1" ht="17" spans="1:30">
      <c r="A9" s="14"/>
      <c r="B9" s="13" t="s">
        <v>62</v>
      </c>
      <c r="C9" s="13" t="s">
        <v>63</v>
      </c>
      <c r="D9" s="15" t="s">
        <v>64</v>
      </c>
      <c r="E9" s="13" t="s">
        <v>48</v>
      </c>
      <c r="F9" s="13" t="s">
        <v>43</v>
      </c>
      <c r="G9" s="13">
        <v>1</v>
      </c>
      <c r="I9" s="13">
        <v>300</v>
      </c>
      <c r="J9" s="13" t="s">
        <v>50</v>
      </c>
      <c r="K9" s="13">
        <v>0</v>
      </c>
      <c r="L9" s="13">
        <v>0</v>
      </c>
      <c r="M9" s="13">
        <v>0</v>
      </c>
      <c r="N9" s="13">
        <v>0</v>
      </c>
      <c r="P9" s="13">
        <v>50</v>
      </c>
      <c r="R9" s="14"/>
      <c r="T9" s="14"/>
      <c r="V9" s="14"/>
      <c r="X9" s="14"/>
      <c r="Z9" s="14"/>
      <c r="AB9" s="14"/>
      <c r="AD9" s="14">
        <f t="shared" si="1"/>
        <v>0</v>
      </c>
    </row>
    <row r="10" s="13" customFormat="1" ht="17" spans="1:30">
      <c r="A10" s="14"/>
      <c r="B10" s="13" t="s">
        <v>65</v>
      </c>
      <c r="C10" s="13" t="s">
        <v>66</v>
      </c>
      <c r="D10" s="15" t="s">
        <v>64</v>
      </c>
      <c r="E10" s="13" t="s">
        <v>67</v>
      </c>
      <c r="F10" s="13" t="s">
        <v>43</v>
      </c>
      <c r="G10" s="13">
        <v>1</v>
      </c>
      <c r="H10" s="14"/>
      <c r="I10" s="13">
        <v>300</v>
      </c>
      <c r="J10" s="13" t="s">
        <v>50</v>
      </c>
      <c r="K10" s="13">
        <v>0</v>
      </c>
      <c r="L10" s="13">
        <v>0</v>
      </c>
      <c r="M10" s="13">
        <v>0</v>
      </c>
      <c r="N10" s="13">
        <v>0</v>
      </c>
      <c r="P10" s="13">
        <v>50</v>
      </c>
      <c r="R10" s="14"/>
      <c r="T10" s="14"/>
      <c r="V10" s="14"/>
      <c r="X10" s="14"/>
      <c r="Z10" s="14"/>
      <c r="AB10" s="14"/>
      <c r="AD10" s="14">
        <f t="shared" si="1"/>
        <v>0</v>
      </c>
    </row>
    <row r="11" s="13" customFormat="1" ht="17" spans="1:18">
      <c r="A11" s="14"/>
      <c r="B11" s="13" t="s">
        <v>68</v>
      </c>
      <c r="C11" s="13" t="s">
        <v>69</v>
      </c>
      <c r="D11" s="15" t="s">
        <v>70</v>
      </c>
      <c r="E11" s="13" t="s">
        <v>42</v>
      </c>
      <c r="F11" s="13" t="s">
        <v>43</v>
      </c>
      <c r="G11" s="13">
        <v>2</v>
      </c>
      <c r="I11" s="13">
        <v>100</v>
      </c>
      <c r="J11" s="13" t="s">
        <v>61</v>
      </c>
      <c r="K11" s="13">
        <v>0</v>
      </c>
      <c r="L11" s="13">
        <v>0</v>
      </c>
      <c r="M11" s="13">
        <v>0</v>
      </c>
      <c r="N11" s="13">
        <v>0</v>
      </c>
      <c r="P11" s="13">
        <v>80</v>
      </c>
      <c r="R11" s="14"/>
    </row>
    <row r="12" s="13" customFormat="1" ht="17" spans="1:27">
      <c r="A12" s="14"/>
      <c r="B12" s="13" t="s">
        <v>71</v>
      </c>
      <c r="C12" s="13" t="s">
        <v>72</v>
      </c>
      <c r="D12" s="15" t="s">
        <v>70</v>
      </c>
      <c r="E12" s="13" t="s">
        <v>42</v>
      </c>
      <c r="F12" s="13" t="s">
        <v>43</v>
      </c>
      <c r="G12" s="13">
        <v>2</v>
      </c>
      <c r="H12" s="14"/>
      <c r="I12" s="13">
        <v>30</v>
      </c>
      <c r="J12" s="13" t="s">
        <v>44</v>
      </c>
      <c r="K12" s="13">
        <v>0</v>
      </c>
      <c r="L12" s="13">
        <v>0</v>
      </c>
      <c r="M12" s="13">
        <v>0</v>
      </c>
      <c r="N12" s="13">
        <v>0</v>
      </c>
      <c r="P12" s="13">
        <v>120</v>
      </c>
      <c r="R12" s="14"/>
      <c r="Y12" s="14"/>
      <c r="Z12" s="14"/>
      <c r="AA12" s="14"/>
    </row>
    <row r="13" s="13" customFormat="1" ht="17" spans="1:23">
      <c r="A13" s="14"/>
      <c r="B13" s="13" t="s">
        <v>73</v>
      </c>
      <c r="C13" s="13" t="s">
        <v>74</v>
      </c>
      <c r="D13" s="15" t="s">
        <v>75</v>
      </c>
      <c r="E13" s="13" t="s">
        <v>48</v>
      </c>
      <c r="F13" s="13" t="s">
        <v>43</v>
      </c>
      <c r="G13" s="13">
        <v>0.15</v>
      </c>
      <c r="H13" s="14"/>
      <c r="I13" s="13">
        <v>100</v>
      </c>
      <c r="J13" s="13" t="s">
        <v>61</v>
      </c>
      <c r="K13" s="13">
        <v>0</v>
      </c>
      <c r="L13" s="13">
        <v>0</v>
      </c>
      <c r="M13" s="13">
        <v>0</v>
      </c>
      <c r="N13" s="13">
        <v>0</v>
      </c>
      <c r="P13" s="13">
        <v>40</v>
      </c>
      <c r="R13" s="14">
        <f t="shared" ref="R13:R15" si="2">IFERROR(VLOOKUP(E13,$T$7:$AB$12,9,FALSE),0)</f>
        <v>0</v>
      </c>
      <c r="T13" s="14"/>
      <c r="V13" s="14"/>
      <c r="W13" s="14"/>
    </row>
    <row r="14" s="13" customFormat="1" spans="1:25">
      <c r="A14" s="14"/>
      <c r="B14" s="13" t="s">
        <v>76</v>
      </c>
      <c r="C14" s="13" t="s">
        <v>77</v>
      </c>
      <c r="D14" s="13" t="s">
        <v>78</v>
      </c>
      <c r="E14" s="13" t="s">
        <v>48</v>
      </c>
      <c r="F14" s="13" t="s">
        <v>43</v>
      </c>
      <c r="G14" s="13">
        <v>0.15</v>
      </c>
      <c r="H14" s="14"/>
      <c r="I14" s="13">
        <v>300</v>
      </c>
      <c r="J14" s="13" t="s">
        <v>50</v>
      </c>
      <c r="K14" s="13">
        <v>0</v>
      </c>
      <c r="L14" s="13">
        <v>0</v>
      </c>
      <c r="M14" s="13">
        <v>0</v>
      </c>
      <c r="N14" s="13">
        <v>0</v>
      </c>
      <c r="P14" s="13">
        <v>40</v>
      </c>
      <c r="R14" s="14">
        <f t="shared" si="2"/>
        <v>0</v>
      </c>
      <c r="T14" s="14"/>
      <c r="V14" s="14"/>
      <c r="W14" s="14"/>
      <c r="Y14" s="14"/>
    </row>
    <row r="15" s="1" customFormat="1" ht="17" spans="1:30">
      <c r="A15" s="14"/>
      <c r="B15" s="1" t="s">
        <v>79</v>
      </c>
      <c r="C15" s="1" t="s">
        <v>80</v>
      </c>
      <c r="D15" s="10" t="s">
        <v>81</v>
      </c>
      <c r="E15" s="1" t="s">
        <v>48</v>
      </c>
      <c r="F15" s="1" t="s">
        <v>43</v>
      </c>
      <c r="G15" s="1">
        <v>0.15</v>
      </c>
      <c r="I15" s="1">
        <v>100</v>
      </c>
      <c r="J15" s="1" t="s">
        <v>61</v>
      </c>
      <c r="K15" s="1">
        <v>0</v>
      </c>
      <c r="L15" s="1">
        <v>0</v>
      </c>
      <c r="M15" s="1">
        <v>0</v>
      </c>
      <c r="N15" s="1">
        <v>0</v>
      </c>
      <c r="P15" s="1">
        <v>40</v>
      </c>
      <c r="Q15" s="14"/>
      <c r="R15" s="14">
        <f t="shared" si="2"/>
        <v>0</v>
      </c>
      <c r="T15" s="14"/>
      <c r="U15" s="14"/>
      <c r="V15" s="14"/>
      <c r="W15" s="14"/>
      <c r="X15" s="14"/>
      <c r="Y15" s="14"/>
      <c r="Z15" s="14"/>
      <c r="AB15" s="14"/>
      <c r="AC15" s="14"/>
      <c r="AD15" s="14"/>
    </row>
    <row r="16" s="1" customFormat="1" ht="17" spans="1:30">
      <c r="A16" s="14"/>
      <c r="B16" s="1" t="s">
        <v>82</v>
      </c>
      <c r="C16" s="1" t="s">
        <v>83</v>
      </c>
      <c r="D16" s="10" t="s">
        <v>84</v>
      </c>
      <c r="E16" s="1" t="s">
        <v>48</v>
      </c>
      <c r="F16" s="1" t="s">
        <v>43</v>
      </c>
      <c r="G16" s="1">
        <v>0.15</v>
      </c>
      <c r="I16" s="1">
        <v>100</v>
      </c>
      <c r="J16" s="1" t="s">
        <v>61</v>
      </c>
      <c r="K16" s="1">
        <v>0</v>
      </c>
      <c r="L16" s="1">
        <v>0</v>
      </c>
      <c r="M16" s="1">
        <v>0</v>
      </c>
      <c r="N16" s="1">
        <v>0</v>
      </c>
      <c r="P16" s="1">
        <v>40</v>
      </c>
      <c r="Q16" s="14"/>
      <c r="R16" s="14"/>
      <c r="T16" s="14"/>
      <c r="U16" s="14"/>
      <c r="V16" s="14"/>
      <c r="W16" s="14"/>
      <c r="X16" s="14"/>
      <c r="Y16" s="14"/>
      <c r="Z16" s="14"/>
      <c r="AB16" s="14"/>
      <c r="AC16" s="14"/>
      <c r="AD16" s="14"/>
    </row>
    <row r="17" s="1" customFormat="1" ht="17" spans="1:30">
      <c r="A17" s="14"/>
      <c r="B17" s="1" t="s">
        <v>85</v>
      </c>
      <c r="C17" s="1" t="s">
        <v>86</v>
      </c>
      <c r="D17" s="10" t="s">
        <v>87</v>
      </c>
      <c r="E17" s="1" t="s">
        <v>48</v>
      </c>
      <c r="F17" s="1" t="s">
        <v>43</v>
      </c>
      <c r="G17" s="1">
        <v>0.15</v>
      </c>
      <c r="I17" s="1">
        <v>100</v>
      </c>
      <c r="J17" s="1" t="s">
        <v>61</v>
      </c>
      <c r="K17" s="1">
        <v>0</v>
      </c>
      <c r="L17" s="1">
        <v>0</v>
      </c>
      <c r="M17" s="1">
        <v>0</v>
      </c>
      <c r="N17" s="1">
        <v>0</v>
      </c>
      <c r="P17" s="1">
        <v>40</v>
      </c>
      <c r="Q17" s="14"/>
      <c r="R17" s="14">
        <f t="shared" ref="R17:R21" si="3">IFERROR(VLOOKUP(E17,$T$7:$AB$12,9,FALSE),0)</f>
        <v>0</v>
      </c>
      <c r="T17" s="14"/>
      <c r="U17" s="14"/>
      <c r="V17" s="14"/>
      <c r="W17" s="14"/>
      <c r="X17" s="14"/>
      <c r="Y17" s="14"/>
      <c r="Z17" s="14"/>
      <c r="AB17" s="14"/>
      <c r="AC17" s="14"/>
      <c r="AD17" s="14"/>
    </row>
    <row r="18" s="1" customFormat="1" ht="17" spans="1:30">
      <c r="A18" s="14"/>
      <c r="B18" s="1" t="s">
        <v>88</v>
      </c>
      <c r="C18" s="1" t="s">
        <v>89</v>
      </c>
      <c r="D18" s="10" t="s">
        <v>90</v>
      </c>
      <c r="E18" s="1" t="s">
        <v>48</v>
      </c>
      <c r="F18" s="1" t="s">
        <v>43</v>
      </c>
      <c r="G18" s="1">
        <v>0.15</v>
      </c>
      <c r="I18" s="1">
        <v>300</v>
      </c>
      <c r="J18" s="1" t="s">
        <v>50</v>
      </c>
      <c r="K18" s="1">
        <v>0</v>
      </c>
      <c r="L18" s="1">
        <v>0</v>
      </c>
      <c r="M18" s="1">
        <v>0</v>
      </c>
      <c r="N18" s="1">
        <v>0</v>
      </c>
      <c r="P18" s="1">
        <v>40</v>
      </c>
      <c r="Q18" s="14"/>
      <c r="R18" s="14">
        <f t="shared" si="3"/>
        <v>0</v>
      </c>
      <c r="T18" s="14"/>
      <c r="U18" s="14"/>
      <c r="V18" s="14"/>
      <c r="W18" s="14"/>
      <c r="X18" s="14"/>
      <c r="Y18" s="14"/>
      <c r="Z18" s="14"/>
      <c r="AB18" s="14"/>
      <c r="AC18" s="14"/>
      <c r="AD18" s="14"/>
    </row>
    <row r="19" s="1" customFormat="1" ht="17" spans="1:30">
      <c r="A19" s="14"/>
      <c r="B19" s="1" t="s">
        <v>91</v>
      </c>
      <c r="C19" s="1" t="s">
        <v>92</v>
      </c>
      <c r="D19" s="10" t="s">
        <v>93</v>
      </c>
      <c r="E19" s="1" t="s">
        <v>67</v>
      </c>
      <c r="F19" s="1" t="s">
        <v>43</v>
      </c>
      <c r="G19" s="1">
        <v>0.25</v>
      </c>
      <c r="I19" s="1">
        <v>100</v>
      </c>
      <c r="J19" s="1" t="s">
        <v>61</v>
      </c>
      <c r="K19" s="1">
        <v>0</v>
      </c>
      <c r="L19" s="1">
        <v>0</v>
      </c>
      <c r="M19" s="1">
        <v>0</v>
      </c>
      <c r="N19" s="1">
        <v>0</v>
      </c>
      <c r="P19" s="1">
        <v>80</v>
      </c>
      <c r="Q19" s="14"/>
      <c r="R19" s="14">
        <f t="shared" si="3"/>
        <v>0</v>
      </c>
      <c r="T19" s="14"/>
      <c r="U19" s="14"/>
      <c r="V19" s="14"/>
      <c r="W19" s="14"/>
      <c r="X19" s="14"/>
      <c r="Y19" s="14"/>
      <c r="Z19" s="14"/>
      <c r="AB19" s="14"/>
      <c r="AC19" s="14"/>
      <c r="AD19" s="14"/>
    </row>
    <row r="20" s="1" customFormat="1" ht="17" spans="1:30">
      <c r="A20" s="14"/>
      <c r="B20" s="1" t="s">
        <v>94</v>
      </c>
      <c r="C20" s="1" t="s">
        <v>95</v>
      </c>
      <c r="D20" s="10" t="s">
        <v>96</v>
      </c>
      <c r="E20" s="1" t="s">
        <v>67</v>
      </c>
      <c r="F20" s="1" t="s">
        <v>43</v>
      </c>
      <c r="G20" s="1">
        <v>0.3</v>
      </c>
      <c r="I20" s="1">
        <v>300</v>
      </c>
      <c r="J20" s="1" t="s">
        <v>50</v>
      </c>
      <c r="K20" s="1">
        <v>0</v>
      </c>
      <c r="L20" s="1">
        <v>0</v>
      </c>
      <c r="M20" s="1">
        <v>0</v>
      </c>
      <c r="N20" s="1">
        <v>0</v>
      </c>
      <c r="P20" s="1">
        <v>80</v>
      </c>
      <c r="Q20" s="14"/>
      <c r="R20" s="14">
        <f t="shared" si="3"/>
        <v>0</v>
      </c>
      <c r="T20" s="14"/>
      <c r="U20" s="14"/>
      <c r="V20" s="14"/>
      <c r="W20" s="14"/>
      <c r="X20" s="14"/>
      <c r="Y20" s="14"/>
      <c r="Z20" s="14"/>
      <c r="AB20" s="14"/>
      <c r="AC20" s="14"/>
      <c r="AD20" s="14"/>
    </row>
    <row r="21" s="1" customFormat="1" ht="17" spans="1:30">
      <c r="A21" s="14"/>
      <c r="B21" s="1" t="s">
        <v>97</v>
      </c>
      <c r="C21" s="1" t="s">
        <v>98</v>
      </c>
      <c r="D21" s="10" t="s">
        <v>99</v>
      </c>
      <c r="E21" s="1" t="s">
        <v>67</v>
      </c>
      <c r="F21" s="1" t="s">
        <v>43</v>
      </c>
      <c r="G21" s="1">
        <v>0.3</v>
      </c>
      <c r="I21" s="1">
        <v>100</v>
      </c>
      <c r="J21" s="1" t="s">
        <v>61</v>
      </c>
      <c r="K21" s="1">
        <v>0</v>
      </c>
      <c r="L21" s="1">
        <v>0</v>
      </c>
      <c r="M21" s="1">
        <v>0</v>
      </c>
      <c r="N21" s="1">
        <v>0</v>
      </c>
      <c r="P21" s="1">
        <v>80</v>
      </c>
      <c r="Q21" s="14"/>
      <c r="R21" s="14">
        <f t="shared" si="3"/>
        <v>0</v>
      </c>
      <c r="T21" s="14"/>
      <c r="U21" s="14"/>
      <c r="V21" s="14"/>
      <c r="W21" s="14"/>
      <c r="X21" s="14"/>
      <c r="Y21" s="14"/>
      <c r="Z21" s="14"/>
      <c r="AB21" s="14"/>
      <c r="AC21" s="14"/>
      <c r="AD21" s="14"/>
    </row>
    <row r="22" s="1" customFormat="1" ht="17" spans="1:30">
      <c r="A22" s="14"/>
      <c r="B22" s="1" t="s">
        <v>100</v>
      </c>
      <c r="C22" s="1" t="s">
        <v>101</v>
      </c>
      <c r="D22" s="10" t="s">
        <v>102</v>
      </c>
      <c r="E22" s="1" t="s">
        <v>67</v>
      </c>
      <c r="F22" s="1" t="s">
        <v>43</v>
      </c>
      <c r="G22" s="1">
        <v>0.3</v>
      </c>
      <c r="I22" s="1">
        <v>100</v>
      </c>
      <c r="J22" s="1" t="s">
        <v>61</v>
      </c>
      <c r="K22" s="1">
        <v>0</v>
      </c>
      <c r="L22" s="1">
        <v>0</v>
      </c>
      <c r="M22" s="1">
        <v>0</v>
      </c>
      <c r="N22" s="1">
        <v>0</v>
      </c>
      <c r="P22" s="1">
        <v>80</v>
      </c>
      <c r="Q22" s="14"/>
      <c r="R22" s="14"/>
      <c r="T22" s="14"/>
      <c r="U22" s="14"/>
      <c r="V22" s="14"/>
      <c r="W22" s="14"/>
      <c r="X22" s="14"/>
      <c r="Y22" s="14"/>
      <c r="Z22" s="14"/>
      <c r="AB22" s="14"/>
      <c r="AC22" s="14"/>
      <c r="AD22" s="14"/>
    </row>
    <row r="23" s="1" customFormat="1" ht="17" spans="1:30">
      <c r="A23" s="14"/>
      <c r="B23" s="1" t="s">
        <v>103</v>
      </c>
      <c r="C23" s="1" t="s">
        <v>104</v>
      </c>
      <c r="D23" s="10" t="s">
        <v>105</v>
      </c>
      <c r="E23" s="1" t="s">
        <v>67</v>
      </c>
      <c r="F23" s="1" t="s">
        <v>43</v>
      </c>
      <c r="G23" s="1">
        <v>0.3</v>
      </c>
      <c r="I23" s="1">
        <v>100</v>
      </c>
      <c r="J23" s="1" t="s">
        <v>61</v>
      </c>
      <c r="K23" s="1">
        <v>0</v>
      </c>
      <c r="L23" s="1">
        <v>0</v>
      </c>
      <c r="M23" s="1">
        <v>0</v>
      </c>
      <c r="N23" s="1">
        <v>0</v>
      </c>
      <c r="P23" s="1">
        <v>80</v>
      </c>
      <c r="Q23" s="14"/>
      <c r="R23" s="14">
        <f t="shared" ref="R23:R25" si="4">IFERROR(VLOOKUP(E23,$T$7:$AB$12,9,FALSE),0)</f>
        <v>0</v>
      </c>
      <c r="T23" s="14"/>
      <c r="U23" s="14"/>
      <c r="V23" s="14"/>
      <c r="W23" s="14"/>
      <c r="X23" s="14"/>
      <c r="Y23" s="14"/>
      <c r="Z23" s="14"/>
      <c r="AB23" s="14"/>
      <c r="AC23" s="14"/>
      <c r="AD23" s="14"/>
    </row>
    <row r="24" s="1" customFormat="1" ht="17" spans="1:30">
      <c r="A24" s="14"/>
      <c r="B24" s="1" t="s">
        <v>106</v>
      </c>
      <c r="C24" s="1" t="s">
        <v>107</v>
      </c>
      <c r="D24" s="10" t="s">
        <v>108</v>
      </c>
      <c r="E24" s="1" t="s">
        <v>67</v>
      </c>
      <c r="F24" s="1" t="s">
        <v>43</v>
      </c>
      <c r="G24" s="1">
        <v>0.3</v>
      </c>
      <c r="I24" s="1">
        <v>300</v>
      </c>
      <c r="J24" s="1" t="s">
        <v>50</v>
      </c>
      <c r="K24" s="1">
        <v>0</v>
      </c>
      <c r="L24" s="1">
        <v>0</v>
      </c>
      <c r="M24" s="1">
        <v>0</v>
      </c>
      <c r="N24" s="1">
        <v>0</v>
      </c>
      <c r="P24" s="1">
        <v>80</v>
      </c>
      <c r="Q24" s="14"/>
      <c r="R24" s="14">
        <f t="shared" si="4"/>
        <v>0</v>
      </c>
      <c r="T24" s="14"/>
      <c r="U24" s="14"/>
      <c r="V24" s="14"/>
      <c r="W24" s="14"/>
      <c r="X24" s="14"/>
      <c r="Y24" s="14"/>
      <c r="Z24" s="14"/>
      <c r="AB24" s="14"/>
      <c r="AC24" s="14"/>
      <c r="AD24" s="14"/>
    </row>
    <row r="25" s="1" customFormat="1" ht="51" spans="1:30">
      <c r="A25" s="14"/>
      <c r="B25" s="1" t="s">
        <v>109</v>
      </c>
      <c r="C25" s="1" t="s">
        <v>110</v>
      </c>
      <c r="D25" s="10" t="s">
        <v>111</v>
      </c>
      <c r="E25" s="1" t="s">
        <v>42</v>
      </c>
      <c r="F25" s="1" t="s">
        <v>43</v>
      </c>
      <c r="G25" s="1">
        <v>0</v>
      </c>
      <c r="I25" s="1">
        <v>30</v>
      </c>
      <c r="J25" s="1" t="s">
        <v>44</v>
      </c>
      <c r="K25" s="1">
        <v>0</v>
      </c>
      <c r="L25" s="1">
        <v>0</v>
      </c>
      <c r="M25" s="1">
        <v>0</v>
      </c>
      <c r="N25" s="1">
        <v>0</v>
      </c>
      <c r="P25" s="1">
        <v>150</v>
      </c>
      <c r="Q25" s="14"/>
      <c r="R25" s="14">
        <f t="shared" si="4"/>
        <v>0</v>
      </c>
      <c r="T25" s="14"/>
      <c r="U25" s="14"/>
      <c r="V25" s="14"/>
      <c r="W25" s="14"/>
      <c r="X25" s="14"/>
      <c r="Y25" s="14"/>
      <c r="Z25" s="14"/>
      <c r="AB25" s="14"/>
      <c r="AC25" s="14"/>
      <c r="AD25" s="14"/>
    </row>
    <row r="26" s="1" customFormat="1" ht="51" spans="1:30">
      <c r="A26" s="14"/>
      <c r="B26" s="1" t="s">
        <v>112</v>
      </c>
      <c r="C26" s="1" t="s">
        <v>113</v>
      </c>
      <c r="D26" s="10" t="s">
        <v>114</v>
      </c>
      <c r="E26" s="1" t="s">
        <v>67</v>
      </c>
      <c r="F26" s="1" t="s">
        <v>43</v>
      </c>
      <c r="G26" s="1">
        <v>10</v>
      </c>
      <c r="I26" s="1">
        <v>100</v>
      </c>
      <c r="J26" s="1" t="s">
        <v>61</v>
      </c>
      <c r="K26" s="1">
        <v>0</v>
      </c>
      <c r="L26" s="1">
        <v>0</v>
      </c>
      <c r="M26" s="1">
        <v>0</v>
      </c>
      <c r="N26" s="1">
        <v>0</v>
      </c>
      <c r="P26" s="1">
        <v>80</v>
      </c>
      <c r="Q26" s="14"/>
      <c r="R26" s="14"/>
      <c r="T26" s="14"/>
      <c r="U26" s="14"/>
      <c r="V26" s="14"/>
      <c r="W26" s="14"/>
      <c r="X26" s="14"/>
      <c r="Y26" s="14"/>
      <c r="Z26" s="14"/>
      <c r="AB26" s="14"/>
      <c r="AC26" s="14"/>
      <c r="AD26" s="14"/>
    </row>
    <row r="27" s="1" customFormat="1" ht="51" spans="1:30">
      <c r="A27" s="14"/>
      <c r="B27" s="1" t="s">
        <v>115</v>
      </c>
      <c r="C27" s="1" t="s">
        <v>116</v>
      </c>
      <c r="D27" s="10" t="s">
        <v>117</v>
      </c>
      <c r="E27" s="1" t="s">
        <v>67</v>
      </c>
      <c r="F27" s="1" t="s">
        <v>43</v>
      </c>
      <c r="G27" s="1">
        <v>0.3</v>
      </c>
      <c r="I27" s="1">
        <v>100</v>
      </c>
      <c r="J27" s="1" t="s">
        <v>61</v>
      </c>
      <c r="K27" s="1">
        <v>0</v>
      </c>
      <c r="L27" s="1">
        <v>0</v>
      </c>
      <c r="M27" s="1">
        <v>0</v>
      </c>
      <c r="N27" s="1">
        <v>0</v>
      </c>
      <c r="P27" s="1">
        <v>80</v>
      </c>
      <c r="Q27" s="14"/>
      <c r="R27" s="14"/>
      <c r="T27" s="14"/>
      <c r="U27" s="14"/>
      <c r="V27" s="14"/>
      <c r="W27" s="14"/>
      <c r="X27" s="14"/>
      <c r="Y27" s="14"/>
      <c r="Z27" s="14"/>
      <c r="AB27" s="14"/>
      <c r="AC27" s="14"/>
      <c r="AD27" s="14"/>
    </row>
    <row r="28" s="1" customFormat="1" ht="34" spans="1:30">
      <c r="A28" s="14"/>
      <c r="B28" s="1" t="s">
        <v>118</v>
      </c>
      <c r="C28" s="1" t="s">
        <v>119</v>
      </c>
      <c r="D28" s="10" t="s">
        <v>120</v>
      </c>
      <c r="E28" s="1" t="s">
        <v>67</v>
      </c>
      <c r="F28" s="1" t="s">
        <v>43</v>
      </c>
      <c r="G28" s="1">
        <v>0</v>
      </c>
      <c r="H28" s="1" t="s">
        <v>121</v>
      </c>
      <c r="I28" s="1">
        <v>300</v>
      </c>
      <c r="J28" s="1" t="s">
        <v>50</v>
      </c>
      <c r="K28" s="1">
        <v>0</v>
      </c>
      <c r="L28" s="1">
        <v>0</v>
      </c>
      <c r="M28" s="1">
        <v>0</v>
      </c>
      <c r="N28" s="1">
        <v>0</v>
      </c>
      <c r="P28" s="1">
        <v>80</v>
      </c>
      <c r="Q28" s="14"/>
      <c r="R28" s="14">
        <f t="shared" ref="R28:R34" si="5">IFERROR(VLOOKUP(E28,$T$7:$AB$12,9,FALSE),0)</f>
        <v>0</v>
      </c>
      <c r="T28" s="14"/>
      <c r="U28" s="14"/>
      <c r="V28" s="14"/>
      <c r="W28" s="14"/>
      <c r="X28" s="14"/>
      <c r="Y28" s="14"/>
      <c r="Z28" s="14"/>
      <c r="AB28" s="14"/>
      <c r="AC28" s="14"/>
      <c r="AD28" s="14"/>
    </row>
    <row r="29" s="1" customFormat="1" ht="34" spans="1:30">
      <c r="A29" s="14"/>
      <c r="B29" s="1" t="s">
        <v>122</v>
      </c>
      <c r="C29" s="1" t="s">
        <v>123</v>
      </c>
      <c r="D29" s="10" t="s">
        <v>124</v>
      </c>
      <c r="E29" s="1" t="s">
        <v>48</v>
      </c>
      <c r="F29" s="1" t="s">
        <v>43</v>
      </c>
      <c r="G29" s="1">
        <v>-0.25</v>
      </c>
      <c r="I29" s="1">
        <v>300</v>
      </c>
      <c r="J29" s="1" t="s">
        <v>50</v>
      </c>
      <c r="K29" s="1">
        <v>0</v>
      </c>
      <c r="L29" s="1">
        <v>0</v>
      </c>
      <c r="M29" s="1">
        <v>0</v>
      </c>
      <c r="N29" s="1">
        <v>0</v>
      </c>
      <c r="P29" s="1">
        <v>40</v>
      </c>
      <c r="Q29" s="14"/>
      <c r="R29" s="14">
        <f t="shared" si="5"/>
        <v>0</v>
      </c>
      <c r="T29" s="14"/>
      <c r="U29" s="14"/>
      <c r="V29" s="14"/>
      <c r="W29" s="14"/>
      <c r="X29" s="14"/>
      <c r="Y29" s="14"/>
      <c r="Z29" s="14"/>
      <c r="AB29" s="14"/>
      <c r="AC29" s="14"/>
      <c r="AD29" s="14"/>
    </row>
    <row r="30" s="1" customFormat="1" ht="34" spans="1:30">
      <c r="A30" s="14"/>
      <c r="B30" s="1" t="s">
        <v>125</v>
      </c>
      <c r="C30" s="1" t="s">
        <v>126</v>
      </c>
      <c r="D30" s="10" t="s">
        <v>127</v>
      </c>
      <c r="E30" s="1" t="s">
        <v>48</v>
      </c>
      <c r="F30" s="1" t="s">
        <v>43</v>
      </c>
      <c r="G30" s="1">
        <v>-0.25</v>
      </c>
      <c r="I30" s="1">
        <v>100</v>
      </c>
      <c r="J30" s="1" t="s">
        <v>61</v>
      </c>
      <c r="K30" s="1">
        <v>0</v>
      </c>
      <c r="L30" s="1">
        <v>0</v>
      </c>
      <c r="M30" s="1">
        <v>0</v>
      </c>
      <c r="N30" s="1">
        <v>0</v>
      </c>
      <c r="P30" s="1">
        <v>40</v>
      </c>
      <c r="Q30" s="14"/>
      <c r="R30" s="14">
        <f t="shared" si="5"/>
        <v>0</v>
      </c>
      <c r="T30" s="14"/>
      <c r="U30" s="14"/>
      <c r="V30" s="14"/>
      <c r="W30" s="14"/>
      <c r="X30" s="14"/>
      <c r="Y30" s="14"/>
      <c r="Z30" s="14"/>
      <c r="AB30" s="14"/>
      <c r="AC30" s="14"/>
      <c r="AD30" s="14"/>
    </row>
    <row r="31" s="1" customFormat="1" ht="34" spans="1:30">
      <c r="A31" s="14"/>
      <c r="B31" s="1" t="s">
        <v>128</v>
      </c>
      <c r="C31" s="1" t="s">
        <v>129</v>
      </c>
      <c r="D31" s="10" t="s">
        <v>130</v>
      </c>
      <c r="E31" s="1" t="s">
        <v>67</v>
      </c>
      <c r="F31" s="1" t="s">
        <v>43</v>
      </c>
      <c r="G31" s="1">
        <v>-0.2</v>
      </c>
      <c r="I31" s="1">
        <v>30</v>
      </c>
      <c r="J31" s="1" t="s">
        <v>44</v>
      </c>
      <c r="K31" s="1">
        <v>0</v>
      </c>
      <c r="L31" s="1">
        <v>0</v>
      </c>
      <c r="M31" s="1">
        <v>0</v>
      </c>
      <c r="N31" s="1">
        <v>0</v>
      </c>
      <c r="P31" s="1">
        <v>80</v>
      </c>
      <c r="Q31" s="14"/>
      <c r="R31" s="14">
        <f t="shared" si="5"/>
        <v>0</v>
      </c>
      <c r="T31" s="14"/>
      <c r="U31" s="14"/>
      <c r="V31" s="14"/>
      <c r="W31" s="14"/>
      <c r="X31" s="14"/>
      <c r="Y31" s="14"/>
      <c r="Z31" s="14"/>
      <c r="AB31" s="14"/>
      <c r="AC31" s="14"/>
      <c r="AD31" s="14"/>
    </row>
    <row r="32" s="1" customFormat="1" ht="51" spans="1:30">
      <c r="A32" s="14"/>
      <c r="B32" s="1" t="s">
        <v>131</v>
      </c>
      <c r="C32" s="1" t="s">
        <v>132</v>
      </c>
      <c r="D32" s="10" t="s">
        <v>133</v>
      </c>
      <c r="E32" s="1" t="s">
        <v>67</v>
      </c>
      <c r="F32" s="1" t="s">
        <v>43</v>
      </c>
      <c r="G32" s="1">
        <v>0.5</v>
      </c>
      <c r="H32" s="1" t="s">
        <v>134</v>
      </c>
      <c r="I32" s="1">
        <v>100</v>
      </c>
      <c r="J32" s="1" t="s">
        <v>61</v>
      </c>
      <c r="K32" s="1">
        <v>0</v>
      </c>
      <c r="L32" s="1">
        <v>0</v>
      </c>
      <c r="M32" s="1">
        <v>0</v>
      </c>
      <c r="N32" s="1">
        <v>0</v>
      </c>
      <c r="P32" s="1">
        <v>80</v>
      </c>
      <c r="Q32" s="14"/>
      <c r="R32" s="14">
        <f t="shared" si="5"/>
        <v>0</v>
      </c>
      <c r="T32" s="14"/>
      <c r="U32" s="14"/>
      <c r="V32" s="14"/>
      <c r="W32" s="14"/>
      <c r="X32" s="14"/>
      <c r="Y32" s="14"/>
      <c r="Z32" s="14"/>
      <c r="AB32" s="14"/>
      <c r="AC32" s="14"/>
      <c r="AD32" s="14"/>
    </row>
    <row r="33" s="1" customFormat="1" ht="51" spans="1:30">
      <c r="A33" s="14"/>
      <c r="B33" s="1" t="s">
        <v>135</v>
      </c>
      <c r="C33" s="1" t="s">
        <v>136</v>
      </c>
      <c r="D33" s="10" t="s">
        <v>137</v>
      </c>
      <c r="E33" s="1" t="s">
        <v>67</v>
      </c>
      <c r="F33" s="1" t="s">
        <v>43</v>
      </c>
      <c r="G33" s="1">
        <v>0.5</v>
      </c>
      <c r="H33" s="1" t="s">
        <v>138</v>
      </c>
      <c r="I33" s="1">
        <v>30</v>
      </c>
      <c r="J33" s="1" t="s">
        <v>44</v>
      </c>
      <c r="K33" s="1">
        <v>0</v>
      </c>
      <c r="L33" s="1">
        <v>0</v>
      </c>
      <c r="M33" s="1">
        <v>0</v>
      </c>
      <c r="N33" s="1">
        <v>0</v>
      </c>
      <c r="P33" s="1">
        <v>80</v>
      </c>
      <c r="Q33" s="14"/>
      <c r="R33" s="14">
        <f t="shared" si="5"/>
        <v>0</v>
      </c>
      <c r="T33" s="14"/>
      <c r="U33" s="14"/>
      <c r="V33" s="14"/>
      <c r="W33" s="14"/>
      <c r="X33" s="14"/>
      <c r="Y33" s="14"/>
      <c r="Z33" s="14"/>
      <c r="AB33" s="14"/>
      <c r="AC33" s="14"/>
      <c r="AD33" s="14"/>
    </row>
    <row r="34" s="13" customFormat="1" ht="34" spans="1:18">
      <c r="A34" s="14"/>
      <c r="B34" s="13" t="s">
        <v>139</v>
      </c>
      <c r="C34" s="13" t="s">
        <v>140</v>
      </c>
      <c r="D34" s="15" t="s">
        <v>141</v>
      </c>
      <c r="E34" s="13" t="s">
        <v>48</v>
      </c>
      <c r="F34" s="13" t="s">
        <v>43</v>
      </c>
      <c r="G34" s="13">
        <v>20</v>
      </c>
      <c r="I34" s="13">
        <v>100</v>
      </c>
      <c r="J34" s="13" t="s">
        <v>61</v>
      </c>
      <c r="K34" s="13">
        <v>0</v>
      </c>
      <c r="L34" s="13">
        <v>0</v>
      </c>
      <c r="M34" s="13">
        <v>0</v>
      </c>
      <c r="N34" s="13">
        <v>0</v>
      </c>
      <c r="P34" s="13">
        <v>40</v>
      </c>
      <c r="R34" s="14">
        <f t="shared" si="5"/>
        <v>0</v>
      </c>
    </row>
    <row r="35" s="13" customFormat="1" ht="34" spans="1:16">
      <c r="A35" s="1"/>
      <c r="B35" s="1" t="s">
        <v>142</v>
      </c>
      <c r="C35" s="1" t="s">
        <v>143</v>
      </c>
      <c r="D35" s="15" t="s">
        <v>144</v>
      </c>
      <c r="E35" s="13" t="s">
        <v>67</v>
      </c>
      <c r="F35" s="1" t="s">
        <v>43</v>
      </c>
      <c r="G35" s="1">
        <v>40</v>
      </c>
      <c r="H35" s="1"/>
      <c r="I35" s="1">
        <v>100</v>
      </c>
      <c r="J35" s="1" t="s">
        <v>61</v>
      </c>
      <c r="K35" s="1">
        <v>0</v>
      </c>
      <c r="L35" s="1">
        <v>0</v>
      </c>
      <c r="M35" s="1">
        <v>0</v>
      </c>
      <c r="N35" s="1">
        <v>0</v>
      </c>
      <c r="O35" s="1"/>
      <c r="P35" s="1">
        <v>80</v>
      </c>
    </row>
    <row r="36" s="13" customFormat="1" ht="34" spans="1:20">
      <c r="A36" s="14"/>
      <c r="B36" s="13" t="s">
        <v>145</v>
      </c>
      <c r="C36" s="13" t="s">
        <v>146</v>
      </c>
      <c r="D36" s="15" t="s">
        <v>147</v>
      </c>
      <c r="E36" s="13" t="s">
        <v>48</v>
      </c>
      <c r="F36" s="13" t="s">
        <v>43</v>
      </c>
      <c r="G36" s="13">
        <v>15</v>
      </c>
      <c r="H36" s="14"/>
      <c r="I36" s="13">
        <v>100</v>
      </c>
      <c r="J36" s="13" t="s">
        <v>61</v>
      </c>
      <c r="K36" s="13">
        <v>0</v>
      </c>
      <c r="L36" s="13">
        <v>0</v>
      </c>
      <c r="M36" s="13">
        <v>0</v>
      </c>
      <c r="N36" s="13">
        <v>0</v>
      </c>
      <c r="P36" s="13">
        <v>40</v>
      </c>
      <c r="R36" s="14">
        <f t="shared" ref="R36:R45" si="6">IFERROR(VLOOKUP(E36,$T$7:$AB$12,9,FALSE),0)</f>
        <v>0</v>
      </c>
      <c r="T36" s="14"/>
    </row>
    <row r="37" s="1" customFormat="1" ht="34" spans="1:30">
      <c r="A37" s="14"/>
      <c r="B37" s="1" t="s">
        <v>148</v>
      </c>
      <c r="C37" s="1" t="s">
        <v>149</v>
      </c>
      <c r="D37" s="10" t="s">
        <v>150</v>
      </c>
      <c r="E37" s="1" t="s">
        <v>67</v>
      </c>
      <c r="F37" s="1" t="s">
        <v>43</v>
      </c>
      <c r="G37" s="1">
        <v>1</v>
      </c>
      <c r="I37" s="1">
        <v>100</v>
      </c>
      <c r="J37" s="1" t="s">
        <v>61</v>
      </c>
      <c r="K37" s="1">
        <v>0</v>
      </c>
      <c r="L37" s="1">
        <v>0</v>
      </c>
      <c r="M37" s="1">
        <v>0</v>
      </c>
      <c r="N37" s="1">
        <v>0</v>
      </c>
      <c r="P37" s="1">
        <v>80</v>
      </c>
      <c r="Q37" s="14"/>
      <c r="R37" s="14">
        <f t="shared" si="6"/>
        <v>0</v>
      </c>
      <c r="T37" s="14"/>
      <c r="U37" s="14"/>
      <c r="V37" s="14"/>
      <c r="W37" s="14"/>
      <c r="X37" s="14"/>
      <c r="Y37" s="14"/>
      <c r="Z37" s="14"/>
      <c r="AB37" s="14"/>
      <c r="AC37" s="14"/>
      <c r="AD37" s="14"/>
    </row>
    <row r="38" s="1" customFormat="1" ht="17" spans="1:30">
      <c r="A38" s="14"/>
      <c r="B38" s="1" t="s">
        <v>151</v>
      </c>
      <c r="C38" s="1" t="s">
        <v>152</v>
      </c>
      <c r="D38" s="10" t="s">
        <v>153</v>
      </c>
      <c r="E38" s="1" t="s">
        <v>67</v>
      </c>
      <c r="F38" s="1" t="s">
        <v>43</v>
      </c>
      <c r="G38" s="1">
        <v>100</v>
      </c>
      <c r="I38" s="1">
        <v>30</v>
      </c>
      <c r="J38" s="1" t="s">
        <v>44</v>
      </c>
      <c r="K38" s="1">
        <v>0</v>
      </c>
      <c r="L38" s="1">
        <v>0</v>
      </c>
      <c r="M38" s="1">
        <v>0</v>
      </c>
      <c r="N38" s="1">
        <v>0</v>
      </c>
      <c r="P38" s="1">
        <v>80</v>
      </c>
      <c r="Q38" s="14"/>
      <c r="R38" s="14">
        <f t="shared" si="6"/>
        <v>0</v>
      </c>
      <c r="T38" s="14"/>
      <c r="U38" s="14"/>
      <c r="V38" s="14"/>
      <c r="W38" s="14"/>
      <c r="X38" s="14"/>
      <c r="Y38" s="14"/>
      <c r="Z38" s="14"/>
      <c r="AB38" s="14"/>
      <c r="AC38" s="14"/>
      <c r="AD38" s="14"/>
    </row>
    <row r="39" s="1" customFormat="1" ht="51" spans="1:30">
      <c r="A39" s="14"/>
      <c r="B39" s="1" t="s">
        <v>154</v>
      </c>
      <c r="C39" s="1" t="s">
        <v>155</v>
      </c>
      <c r="D39" s="10" t="s">
        <v>156</v>
      </c>
      <c r="E39" s="1" t="s">
        <v>48</v>
      </c>
      <c r="F39" s="1" t="s">
        <v>43</v>
      </c>
      <c r="G39" s="1">
        <v>150</v>
      </c>
      <c r="H39" s="1" t="s">
        <v>157</v>
      </c>
      <c r="I39" s="1">
        <v>100</v>
      </c>
      <c r="J39" s="1" t="s">
        <v>61</v>
      </c>
      <c r="K39" s="1">
        <v>0</v>
      </c>
      <c r="L39" s="1">
        <v>0</v>
      </c>
      <c r="M39" s="1">
        <v>0</v>
      </c>
      <c r="N39" s="1">
        <v>0</v>
      </c>
      <c r="P39" s="1">
        <v>40</v>
      </c>
      <c r="Q39" s="14"/>
      <c r="R39" s="14">
        <f t="shared" si="6"/>
        <v>0</v>
      </c>
      <c r="T39" s="14"/>
      <c r="U39" s="14"/>
      <c r="V39" s="14"/>
      <c r="W39" s="14"/>
      <c r="X39" s="14"/>
      <c r="Y39" s="14"/>
      <c r="Z39" s="14"/>
      <c r="AB39" s="14"/>
      <c r="AC39" s="14"/>
      <c r="AD39" s="14"/>
    </row>
    <row r="40" s="1" customFormat="1" ht="34" spans="1:30">
      <c r="A40" s="14"/>
      <c r="B40" s="1" t="s">
        <v>158</v>
      </c>
      <c r="C40" s="1" t="s">
        <v>159</v>
      </c>
      <c r="D40" s="10" t="s">
        <v>160</v>
      </c>
      <c r="E40" s="1" t="s">
        <v>48</v>
      </c>
      <c r="F40" s="1" t="s">
        <v>43</v>
      </c>
      <c r="G40" s="1">
        <v>0</v>
      </c>
      <c r="I40" s="1">
        <v>100</v>
      </c>
      <c r="J40" s="1" t="s">
        <v>61</v>
      </c>
      <c r="K40" s="1">
        <v>0</v>
      </c>
      <c r="L40" s="1">
        <v>0</v>
      </c>
      <c r="M40" s="1">
        <v>0</v>
      </c>
      <c r="N40" s="1">
        <v>0</v>
      </c>
      <c r="P40" s="1">
        <v>40</v>
      </c>
      <c r="Q40" s="14"/>
      <c r="R40" s="14">
        <f t="shared" si="6"/>
        <v>0</v>
      </c>
      <c r="T40" s="14"/>
      <c r="U40" s="14"/>
      <c r="V40" s="14"/>
      <c r="W40" s="14"/>
      <c r="X40" s="14"/>
      <c r="Y40" s="14"/>
      <c r="Z40" s="14"/>
      <c r="AB40" s="14"/>
      <c r="AC40" s="14"/>
      <c r="AD40" s="14"/>
    </row>
    <row r="41" s="1" customFormat="1" ht="17" spans="1:30">
      <c r="A41" s="14"/>
      <c r="B41" s="1" t="s">
        <v>161</v>
      </c>
      <c r="C41" s="1" t="s">
        <v>162</v>
      </c>
      <c r="D41" s="10" t="s">
        <v>163</v>
      </c>
      <c r="E41" s="1" t="s">
        <v>67</v>
      </c>
      <c r="F41" s="1" t="s">
        <v>43</v>
      </c>
      <c r="G41" s="1">
        <v>8</v>
      </c>
      <c r="I41" s="1">
        <v>100</v>
      </c>
      <c r="J41" s="1" t="s">
        <v>61</v>
      </c>
      <c r="K41" s="1">
        <v>0</v>
      </c>
      <c r="L41" s="1">
        <v>0</v>
      </c>
      <c r="M41" s="1">
        <v>0</v>
      </c>
      <c r="N41" s="1">
        <v>0</v>
      </c>
      <c r="P41" s="1">
        <v>80</v>
      </c>
      <c r="Q41" s="14"/>
      <c r="R41" s="14">
        <f t="shared" si="6"/>
        <v>0</v>
      </c>
      <c r="T41" s="14"/>
      <c r="U41" s="14"/>
      <c r="V41" s="14"/>
      <c r="W41" s="14"/>
      <c r="X41" s="14"/>
      <c r="Y41" s="14"/>
      <c r="Z41" s="14"/>
      <c r="AB41" s="14"/>
      <c r="AC41" s="14"/>
      <c r="AD41" s="14"/>
    </row>
    <row r="42" s="1" customFormat="1" ht="34" spans="1:30">
      <c r="A42" s="14"/>
      <c r="B42" s="1" t="s">
        <v>164</v>
      </c>
      <c r="C42" s="1" t="s">
        <v>165</v>
      </c>
      <c r="D42" s="10" t="s">
        <v>166</v>
      </c>
      <c r="E42" s="1" t="s">
        <v>67</v>
      </c>
      <c r="F42" s="1" t="s">
        <v>43</v>
      </c>
      <c r="G42" s="1">
        <v>1</v>
      </c>
      <c r="H42" s="1" t="s">
        <v>167</v>
      </c>
      <c r="I42" s="1">
        <v>100</v>
      </c>
      <c r="J42" s="1" t="s">
        <v>61</v>
      </c>
      <c r="K42" s="1">
        <v>0</v>
      </c>
      <c r="L42" s="1">
        <v>0</v>
      </c>
      <c r="M42" s="1">
        <v>0</v>
      </c>
      <c r="N42" s="1">
        <v>0</v>
      </c>
      <c r="P42" s="1">
        <v>80</v>
      </c>
      <c r="Q42" s="14"/>
      <c r="R42" s="14">
        <f t="shared" si="6"/>
        <v>0</v>
      </c>
      <c r="T42" s="14"/>
      <c r="U42" s="14"/>
      <c r="V42" s="14"/>
      <c r="W42" s="14"/>
      <c r="X42" s="14"/>
      <c r="Y42" s="14"/>
      <c r="Z42" s="14"/>
      <c r="AB42" s="14"/>
      <c r="AC42" s="14"/>
      <c r="AD42" s="14"/>
    </row>
    <row r="43" s="1" customFormat="1" ht="51" spans="1:30">
      <c r="A43" s="14"/>
      <c r="B43" s="1" t="s">
        <v>168</v>
      </c>
      <c r="C43" s="1" t="s">
        <v>169</v>
      </c>
      <c r="D43" s="10" t="s">
        <v>170</v>
      </c>
      <c r="E43" s="1" t="s">
        <v>48</v>
      </c>
      <c r="F43" s="1" t="s">
        <v>43</v>
      </c>
      <c r="G43" s="1">
        <v>3</v>
      </c>
      <c r="H43" s="1" t="s">
        <v>171</v>
      </c>
      <c r="I43" s="1">
        <v>300</v>
      </c>
      <c r="J43" s="1" t="s">
        <v>50</v>
      </c>
      <c r="K43" s="1">
        <v>0</v>
      </c>
      <c r="L43" s="1">
        <v>0</v>
      </c>
      <c r="M43" s="1">
        <v>0</v>
      </c>
      <c r="N43" s="1">
        <v>0</v>
      </c>
      <c r="P43" s="1">
        <v>40</v>
      </c>
      <c r="Q43" s="14"/>
      <c r="R43" s="14">
        <f t="shared" si="6"/>
        <v>0</v>
      </c>
      <c r="T43" s="14"/>
      <c r="U43" s="14"/>
      <c r="V43" s="14"/>
      <c r="W43" s="14"/>
      <c r="X43" s="14"/>
      <c r="Y43" s="14"/>
      <c r="Z43" s="14"/>
      <c r="AB43" s="14"/>
      <c r="AC43" s="14"/>
      <c r="AD43" s="14"/>
    </row>
    <row r="44" s="1" customFormat="1" ht="51" spans="1:30">
      <c r="A44" s="14"/>
      <c r="B44" s="1" t="s">
        <v>172</v>
      </c>
      <c r="C44" s="1" t="s">
        <v>173</v>
      </c>
      <c r="D44" s="10" t="s">
        <v>174</v>
      </c>
      <c r="E44" s="1" t="s">
        <v>48</v>
      </c>
      <c r="F44" s="1" t="s">
        <v>43</v>
      </c>
      <c r="G44" s="1">
        <v>3</v>
      </c>
      <c r="H44" s="1" t="s">
        <v>175</v>
      </c>
      <c r="I44" s="1">
        <v>300</v>
      </c>
      <c r="J44" s="1" t="s">
        <v>50</v>
      </c>
      <c r="K44" s="1">
        <v>0</v>
      </c>
      <c r="L44" s="1">
        <v>0</v>
      </c>
      <c r="M44" s="1">
        <v>0</v>
      </c>
      <c r="N44" s="1">
        <v>0</v>
      </c>
      <c r="P44" s="1">
        <v>40</v>
      </c>
      <c r="Q44" s="14"/>
      <c r="R44" s="14">
        <f t="shared" si="6"/>
        <v>0</v>
      </c>
      <c r="T44" s="14"/>
      <c r="U44" s="14"/>
      <c r="V44" s="14"/>
      <c r="W44" s="14"/>
      <c r="X44" s="14"/>
      <c r="Y44" s="14"/>
      <c r="Z44" s="14"/>
      <c r="AB44" s="14"/>
      <c r="AC44" s="14"/>
      <c r="AD44" s="14"/>
    </row>
    <row r="45" s="1" customFormat="1" ht="17" spans="1:30">
      <c r="A45" s="14"/>
      <c r="B45" s="1" t="s">
        <v>176</v>
      </c>
      <c r="C45" s="1" t="s">
        <v>177</v>
      </c>
      <c r="D45" s="10" t="s">
        <v>178</v>
      </c>
      <c r="E45" s="1" t="s">
        <v>48</v>
      </c>
      <c r="F45" s="1" t="s">
        <v>43</v>
      </c>
      <c r="G45" s="1">
        <v>2</v>
      </c>
      <c r="I45" s="1">
        <v>100</v>
      </c>
      <c r="J45" s="1" t="s">
        <v>61</v>
      </c>
      <c r="K45" s="1">
        <v>0</v>
      </c>
      <c r="L45" s="1">
        <v>0</v>
      </c>
      <c r="M45" s="1">
        <v>0</v>
      </c>
      <c r="N45" s="1">
        <v>0</v>
      </c>
      <c r="P45" s="1">
        <v>40</v>
      </c>
      <c r="Q45" s="14"/>
      <c r="R45" s="14">
        <f t="shared" si="6"/>
        <v>0</v>
      </c>
      <c r="T45" s="14"/>
      <c r="U45" s="14"/>
      <c r="V45" s="14"/>
      <c r="W45" s="14"/>
      <c r="X45" s="14"/>
      <c r="Y45" s="14"/>
      <c r="Z45" s="14"/>
      <c r="AB45" s="14"/>
      <c r="AC45" s="14"/>
      <c r="AD45" s="14"/>
    </row>
    <row r="46" s="1" customFormat="1" ht="17" spans="1:30">
      <c r="A46" s="14"/>
      <c r="B46" s="1" t="s">
        <v>179</v>
      </c>
      <c r="C46" s="1" t="s">
        <v>180</v>
      </c>
      <c r="D46" s="10" t="s">
        <v>181</v>
      </c>
      <c r="E46" s="1" t="s">
        <v>67</v>
      </c>
      <c r="F46" s="1" t="s">
        <v>43</v>
      </c>
      <c r="G46" s="1">
        <v>3</v>
      </c>
      <c r="I46" s="1">
        <v>100</v>
      </c>
      <c r="J46" s="1" t="s">
        <v>61</v>
      </c>
      <c r="K46" s="1">
        <v>0</v>
      </c>
      <c r="L46" s="1">
        <v>0</v>
      </c>
      <c r="M46" s="1">
        <v>0</v>
      </c>
      <c r="N46" s="1">
        <v>0</v>
      </c>
      <c r="P46" s="1">
        <v>80</v>
      </c>
      <c r="Q46" s="14"/>
      <c r="R46" s="14"/>
      <c r="T46" s="14"/>
      <c r="U46" s="14"/>
      <c r="V46" s="14"/>
      <c r="W46" s="14"/>
      <c r="X46" s="14"/>
      <c r="Y46" s="14"/>
      <c r="Z46" s="14"/>
      <c r="AB46" s="14"/>
      <c r="AC46" s="14"/>
      <c r="AD46" s="14"/>
    </row>
    <row r="47" s="1" customFormat="1" ht="34" spans="1:30">
      <c r="A47" s="14"/>
      <c r="B47" s="1" t="s">
        <v>182</v>
      </c>
      <c r="C47" s="1" t="s">
        <v>183</v>
      </c>
      <c r="D47" s="10" t="s">
        <v>184</v>
      </c>
      <c r="E47" s="1" t="s">
        <v>48</v>
      </c>
      <c r="F47" s="1" t="s">
        <v>43</v>
      </c>
      <c r="G47" s="1">
        <v>10</v>
      </c>
      <c r="I47" s="1">
        <v>100</v>
      </c>
      <c r="J47" s="1" t="s">
        <v>61</v>
      </c>
      <c r="K47" s="1">
        <v>0</v>
      </c>
      <c r="L47" s="1">
        <v>0</v>
      </c>
      <c r="M47" s="1">
        <v>0</v>
      </c>
      <c r="N47" s="1">
        <v>0</v>
      </c>
      <c r="P47" s="1">
        <v>40</v>
      </c>
      <c r="Q47" s="14"/>
      <c r="R47" s="14">
        <f t="shared" ref="R47:R56" si="7">IFERROR(VLOOKUP(E47,$T$7:$AB$12,9,FALSE),0)</f>
        <v>0</v>
      </c>
      <c r="T47" s="14"/>
      <c r="U47" s="14"/>
      <c r="V47" s="14"/>
      <c r="W47" s="14"/>
      <c r="X47" s="14"/>
      <c r="Y47" s="14"/>
      <c r="Z47" s="14"/>
      <c r="AB47" s="14"/>
      <c r="AC47" s="14"/>
      <c r="AD47" s="14"/>
    </row>
    <row r="48" s="1" customFormat="1" ht="34" spans="1:30">
      <c r="A48" s="14"/>
      <c r="B48" s="1" t="s">
        <v>185</v>
      </c>
      <c r="C48" s="1" t="s">
        <v>186</v>
      </c>
      <c r="D48" s="10" t="s">
        <v>187</v>
      </c>
      <c r="E48" s="1" t="s">
        <v>67</v>
      </c>
      <c r="F48" s="1" t="s">
        <v>43</v>
      </c>
      <c r="G48" s="1">
        <v>400</v>
      </c>
      <c r="I48" s="1">
        <v>100</v>
      </c>
      <c r="J48" s="1" t="s">
        <v>61</v>
      </c>
      <c r="K48" s="1">
        <v>0</v>
      </c>
      <c r="L48" s="1">
        <v>0</v>
      </c>
      <c r="M48" s="1">
        <v>0</v>
      </c>
      <c r="N48" s="1">
        <v>0</v>
      </c>
      <c r="P48" s="1">
        <v>80</v>
      </c>
      <c r="Q48" s="14"/>
      <c r="R48" s="14">
        <f t="shared" si="7"/>
        <v>0</v>
      </c>
      <c r="T48" s="14"/>
      <c r="U48" s="14"/>
      <c r="V48" s="14"/>
      <c r="W48" s="14"/>
      <c r="X48" s="14"/>
      <c r="Y48" s="14"/>
      <c r="Z48" s="14"/>
      <c r="AB48" s="14"/>
      <c r="AC48" s="14"/>
      <c r="AD48" s="14"/>
    </row>
    <row r="49" s="1" customFormat="1" ht="34" spans="1:30">
      <c r="A49" s="14"/>
      <c r="B49" s="1" t="s">
        <v>188</v>
      </c>
      <c r="C49" s="1" t="s">
        <v>189</v>
      </c>
      <c r="D49" s="10" t="s">
        <v>190</v>
      </c>
      <c r="E49" s="1" t="s">
        <v>48</v>
      </c>
      <c r="F49" s="1" t="s">
        <v>43</v>
      </c>
      <c r="G49" s="1">
        <v>2</v>
      </c>
      <c r="I49" s="1">
        <v>100</v>
      </c>
      <c r="J49" s="1" t="s">
        <v>61</v>
      </c>
      <c r="K49" s="1">
        <v>0</v>
      </c>
      <c r="L49" s="1">
        <v>0</v>
      </c>
      <c r="M49" s="1">
        <v>0</v>
      </c>
      <c r="N49" s="1">
        <v>0</v>
      </c>
      <c r="P49" s="1">
        <v>40</v>
      </c>
      <c r="Q49" s="14"/>
      <c r="R49" s="14">
        <f t="shared" si="7"/>
        <v>0</v>
      </c>
      <c r="T49" s="14"/>
      <c r="U49" s="14"/>
      <c r="V49" s="14"/>
      <c r="W49" s="14"/>
      <c r="X49" s="14"/>
      <c r="Y49" s="14"/>
      <c r="Z49" s="14"/>
      <c r="AB49" s="14"/>
      <c r="AC49" s="14"/>
      <c r="AD49" s="14"/>
    </row>
    <row r="50" s="1" customFormat="1" ht="34" spans="1:30">
      <c r="A50" s="14"/>
      <c r="B50" s="1" t="s">
        <v>191</v>
      </c>
      <c r="C50" s="1" t="s">
        <v>192</v>
      </c>
      <c r="D50" s="10" t="s">
        <v>193</v>
      </c>
      <c r="E50" s="1" t="s">
        <v>48</v>
      </c>
      <c r="F50" s="1" t="s">
        <v>43</v>
      </c>
      <c r="G50" s="1">
        <v>100</v>
      </c>
      <c r="I50" s="1">
        <v>100</v>
      </c>
      <c r="J50" s="1" t="s">
        <v>61</v>
      </c>
      <c r="K50" s="1">
        <v>0</v>
      </c>
      <c r="L50" s="1">
        <v>0</v>
      </c>
      <c r="M50" s="1">
        <v>0</v>
      </c>
      <c r="N50" s="1">
        <v>0</v>
      </c>
      <c r="P50" s="1">
        <v>40</v>
      </c>
      <c r="Q50" s="14"/>
      <c r="R50" s="14">
        <f t="shared" si="7"/>
        <v>0</v>
      </c>
      <c r="T50" s="14"/>
      <c r="U50" s="14"/>
      <c r="V50" s="14"/>
      <c r="W50" s="14"/>
      <c r="X50" s="14"/>
      <c r="Y50" s="14"/>
      <c r="Z50" s="14"/>
      <c r="AB50" s="14"/>
      <c r="AC50" s="14"/>
      <c r="AD50" s="14"/>
    </row>
    <row r="51" s="1" customFormat="1" ht="34" spans="1:30">
      <c r="A51" s="14"/>
      <c r="B51" s="1" t="s">
        <v>194</v>
      </c>
      <c r="C51" s="1" t="s">
        <v>195</v>
      </c>
      <c r="D51" s="10" t="s">
        <v>196</v>
      </c>
      <c r="E51" s="1" t="s">
        <v>48</v>
      </c>
      <c r="F51" s="1" t="s">
        <v>43</v>
      </c>
      <c r="G51" s="1">
        <v>2</v>
      </c>
      <c r="I51" s="1">
        <v>100</v>
      </c>
      <c r="J51" s="1" t="s">
        <v>61</v>
      </c>
      <c r="K51" s="1">
        <v>0</v>
      </c>
      <c r="L51" s="1">
        <v>0</v>
      </c>
      <c r="M51" s="1">
        <v>0</v>
      </c>
      <c r="N51" s="1">
        <v>0</v>
      </c>
      <c r="P51" s="1">
        <v>40</v>
      </c>
      <c r="Q51" s="14"/>
      <c r="R51" s="14">
        <f t="shared" si="7"/>
        <v>0</v>
      </c>
      <c r="T51" s="14"/>
      <c r="U51" s="14"/>
      <c r="V51" s="14"/>
      <c r="W51" s="14"/>
      <c r="X51" s="14"/>
      <c r="Y51" s="14"/>
      <c r="Z51" s="14"/>
      <c r="AB51" s="14"/>
      <c r="AC51" s="14"/>
      <c r="AD51" s="14"/>
    </row>
    <row r="52" s="1" customFormat="1" ht="17" spans="1:30">
      <c r="A52" s="14"/>
      <c r="B52" s="1" t="s">
        <v>197</v>
      </c>
      <c r="C52" s="1" t="s">
        <v>198</v>
      </c>
      <c r="D52" s="10" t="s">
        <v>199</v>
      </c>
      <c r="E52" s="1" t="s">
        <v>200</v>
      </c>
      <c r="F52" s="1" t="s">
        <v>43</v>
      </c>
      <c r="G52" s="1">
        <v>1</v>
      </c>
      <c r="I52" s="1">
        <v>10</v>
      </c>
      <c r="J52" s="1" t="s">
        <v>201</v>
      </c>
      <c r="K52" s="1">
        <v>0</v>
      </c>
      <c r="L52" s="1">
        <v>0</v>
      </c>
      <c r="M52" s="1">
        <v>0</v>
      </c>
      <c r="N52" s="1">
        <v>0</v>
      </c>
      <c r="P52" s="1">
        <v>240</v>
      </c>
      <c r="Q52" s="14"/>
      <c r="R52" s="14">
        <f t="shared" si="7"/>
        <v>0</v>
      </c>
      <c r="T52" s="14"/>
      <c r="U52" s="14"/>
      <c r="V52" s="14"/>
      <c r="W52" s="14"/>
      <c r="X52" s="14"/>
      <c r="Y52" s="14"/>
      <c r="Z52" s="14"/>
      <c r="AB52" s="14"/>
      <c r="AC52" s="14"/>
      <c r="AD52" s="14"/>
    </row>
    <row r="53" s="1" customFormat="1" ht="34" spans="1:30">
      <c r="A53" s="14"/>
      <c r="B53" s="1" t="s">
        <v>202</v>
      </c>
      <c r="C53" s="1" t="s">
        <v>203</v>
      </c>
      <c r="D53" s="10" t="s">
        <v>204</v>
      </c>
      <c r="E53" s="1" t="s">
        <v>48</v>
      </c>
      <c r="F53" s="1" t="s">
        <v>43</v>
      </c>
      <c r="G53" s="1">
        <v>3</v>
      </c>
      <c r="I53" s="1">
        <v>100</v>
      </c>
      <c r="J53" s="1" t="s">
        <v>61</v>
      </c>
      <c r="K53" s="1">
        <v>0</v>
      </c>
      <c r="L53" s="1">
        <v>0</v>
      </c>
      <c r="M53" s="1">
        <v>0</v>
      </c>
      <c r="N53" s="1">
        <v>0</v>
      </c>
      <c r="P53" s="1">
        <v>40</v>
      </c>
      <c r="Q53" s="14"/>
      <c r="R53" s="14">
        <f t="shared" si="7"/>
        <v>0</v>
      </c>
      <c r="T53" s="14"/>
      <c r="U53" s="14"/>
      <c r="V53" s="14"/>
      <c r="W53" s="14"/>
      <c r="X53" s="14"/>
      <c r="Y53" s="14"/>
      <c r="Z53" s="14"/>
      <c r="AB53" s="14"/>
      <c r="AC53" s="14"/>
      <c r="AD53" s="14"/>
    </row>
    <row r="54" s="1" customFormat="1" ht="34" spans="1:30">
      <c r="A54" s="14"/>
      <c r="B54" s="1" t="s">
        <v>205</v>
      </c>
      <c r="C54" s="1" t="s">
        <v>206</v>
      </c>
      <c r="D54" s="10" t="s">
        <v>207</v>
      </c>
      <c r="E54" s="1" t="s">
        <v>42</v>
      </c>
      <c r="F54" s="1" t="s">
        <v>43</v>
      </c>
      <c r="G54" s="1">
        <v>3</v>
      </c>
      <c r="I54" s="1">
        <v>30</v>
      </c>
      <c r="J54" s="1" t="s">
        <v>44</v>
      </c>
      <c r="K54" s="1">
        <v>0</v>
      </c>
      <c r="L54" s="1">
        <v>0</v>
      </c>
      <c r="M54" s="1">
        <v>0</v>
      </c>
      <c r="N54" s="1">
        <v>0</v>
      </c>
      <c r="P54" s="1">
        <v>150</v>
      </c>
      <c r="Q54" s="14"/>
      <c r="R54" s="14">
        <f t="shared" si="7"/>
        <v>0</v>
      </c>
      <c r="T54" s="14"/>
      <c r="U54" s="14"/>
      <c r="V54" s="14"/>
      <c r="W54" s="14"/>
      <c r="X54" s="14"/>
      <c r="Y54" s="14"/>
      <c r="Z54" s="14"/>
      <c r="AB54" s="14"/>
      <c r="AC54" s="14"/>
      <c r="AD54" s="14"/>
    </row>
    <row r="55" s="1" customFormat="1" ht="17" spans="1:30">
      <c r="A55" s="14"/>
      <c r="B55" s="1" t="s">
        <v>208</v>
      </c>
      <c r="C55" s="1" t="s">
        <v>209</v>
      </c>
      <c r="D55" s="10" t="s">
        <v>210</v>
      </c>
      <c r="E55" s="1" t="s">
        <v>42</v>
      </c>
      <c r="F55" s="1" t="s">
        <v>43</v>
      </c>
      <c r="G55" s="1">
        <v>0.4</v>
      </c>
      <c r="I55" s="1">
        <v>30</v>
      </c>
      <c r="J55" s="1" t="s">
        <v>44</v>
      </c>
      <c r="K55" s="1">
        <v>0</v>
      </c>
      <c r="L55" s="1">
        <v>0</v>
      </c>
      <c r="M55" s="1">
        <v>0</v>
      </c>
      <c r="N55" s="1">
        <v>0</v>
      </c>
      <c r="P55" s="1">
        <v>150</v>
      </c>
      <c r="Q55" s="14"/>
      <c r="R55" s="14">
        <f t="shared" si="7"/>
        <v>0</v>
      </c>
      <c r="T55" s="14"/>
      <c r="U55" s="14"/>
      <c r="V55" s="14"/>
      <c r="W55" s="14"/>
      <c r="X55" s="14"/>
      <c r="Y55" s="14"/>
      <c r="Z55" s="14"/>
      <c r="AB55" s="14"/>
      <c r="AC55" s="14"/>
      <c r="AD55" s="14"/>
    </row>
    <row r="56" s="1" customFormat="1" ht="17" spans="1:30">
      <c r="A56" s="14"/>
      <c r="B56" s="1" t="s">
        <v>211</v>
      </c>
      <c r="C56" s="1" t="s">
        <v>212</v>
      </c>
      <c r="D56" s="10" t="s">
        <v>213</v>
      </c>
      <c r="E56" s="1" t="s">
        <v>48</v>
      </c>
      <c r="F56" s="1" t="s">
        <v>43</v>
      </c>
      <c r="G56" s="1">
        <v>0.4</v>
      </c>
      <c r="I56" s="1">
        <v>300</v>
      </c>
      <c r="J56" s="1" t="s">
        <v>50</v>
      </c>
      <c r="K56" s="1">
        <v>0</v>
      </c>
      <c r="L56" s="1">
        <v>0</v>
      </c>
      <c r="M56" s="1">
        <v>0</v>
      </c>
      <c r="N56" s="1">
        <v>0</v>
      </c>
      <c r="P56" s="1">
        <v>40</v>
      </c>
      <c r="Q56" s="14"/>
      <c r="R56" s="14">
        <f t="shared" si="7"/>
        <v>0</v>
      </c>
      <c r="T56" s="14"/>
      <c r="U56" s="14"/>
      <c r="V56" s="14"/>
      <c r="W56" s="14"/>
      <c r="X56" s="14"/>
      <c r="Y56" s="14"/>
      <c r="Z56" s="14"/>
      <c r="AB56" s="14"/>
      <c r="AC56" s="14"/>
      <c r="AD56" s="14"/>
    </row>
    <row r="57" s="1" customFormat="1" ht="17" spans="1:30">
      <c r="A57" s="14"/>
      <c r="B57" s="1" t="s">
        <v>214</v>
      </c>
      <c r="C57" s="1" t="s">
        <v>215</v>
      </c>
      <c r="D57" s="10" t="s">
        <v>216</v>
      </c>
      <c r="E57" s="1" t="s">
        <v>48</v>
      </c>
      <c r="F57" s="1" t="s">
        <v>43</v>
      </c>
      <c r="G57" s="1">
        <v>1</v>
      </c>
      <c r="I57" s="1">
        <v>100</v>
      </c>
      <c r="J57" s="1" t="s">
        <v>61</v>
      </c>
      <c r="K57" s="1">
        <v>0</v>
      </c>
      <c r="L57" s="1">
        <v>0</v>
      </c>
      <c r="M57" s="1">
        <v>0</v>
      </c>
      <c r="N57" s="1">
        <v>0</v>
      </c>
      <c r="P57" s="1">
        <v>40</v>
      </c>
      <c r="Q57" s="14"/>
      <c r="R57" s="14"/>
      <c r="T57" s="14"/>
      <c r="U57" s="14"/>
      <c r="V57" s="14"/>
      <c r="W57" s="14"/>
      <c r="X57" s="14"/>
      <c r="Y57" s="14"/>
      <c r="Z57" s="14"/>
      <c r="AB57" s="14"/>
      <c r="AC57" s="14"/>
      <c r="AD57" s="14"/>
    </row>
    <row r="58" s="1" customFormat="1" ht="17" spans="1:30">
      <c r="A58" s="14"/>
      <c r="B58" s="1" t="s">
        <v>217</v>
      </c>
      <c r="C58" s="1" t="s">
        <v>218</v>
      </c>
      <c r="D58" s="10" t="s">
        <v>219</v>
      </c>
      <c r="E58" s="1" t="s">
        <v>67</v>
      </c>
      <c r="F58" s="1" t="s">
        <v>43</v>
      </c>
      <c r="G58" s="1">
        <v>0.3</v>
      </c>
      <c r="I58" s="1">
        <v>100</v>
      </c>
      <c r="J58" s="1" t="s">
        <v>61</v>
      </c>
      <c r="K58" s="1">
        <v>0</v>
      </c>
      <c r="L58" s="1">
        <v>0</v>
      </c>
      <c r="M58" s="1">
        <v>0</v>
      </c>
      <c r="N58" s="1">
        <v>0</v>
      </c>
      <c r="P58" s="1">
        <v>80</v>
      </c>
      <c r="Q58" s="14"/>
      <c r="R58" s="14"/>
      <c r="T58" s="14"/>
      <c r="U58" s="14"/>
      <c r="V58" s="14"/>
      <c r="W58" s="14"/>
      <c r="X58" s="14"/>
      <c r="Y58" s="14"/>
      <c r="Z58" s="14"/>
      <c r="AB58" s="14"/>
      <c r="AC58" s="14"/>
      <c r="AD58" s="14"/>
    </row>
    <row r="59" s="1" customFormat="1" ht="17" spans="1:30">
      <c r="A59" s="14"/>
      <c r="B59" s="1" t="s">
        <v>220</v>
      </c>
      <c r="C59" s="1" t="s">
        <v>221</v>
      </c>
      <c r="D59" s="10" t="s">
        <v>222</v>
      </c>
      <c r="E59" s="1" t="s">
        <v>67</v>
      </c>
      <c r="F59" s="1" t="s">
        <v>43</v>
      </c>
      <c r="G59" s="1">
        <v>0</v>
      </c>
      <c r="I59" s="1">
        <v>100</v>
      </c>
      <c r="J59" s="1" t="s">
        <v>61</v>
      </c>
      <c r="K59" s="1">
        <v>0</v>
      </c>
      <c r="L59" s="1">
        <v>10</v>
      </c>
      <c r="M59" s="1">
        <v>0</v>
      </c>
      <c r="N59" s="1">
        <v>0</v>
      </c>
      <c r="P59" s="1">
        <v>80</v>
      </c>
      <c r="Q59" s="14"/>
      <c r="R59" s="14"/>
      <c r="T59" s="14"/>
      <c r="U59" s="14"/>
      <c r="V59" s="14"/>
      <c r="W59" s="14"/>
      <c r="X59" s="14"/>
      <c r="Y59" s="14"/>
      <c r="Z59" s="14"/>
      <c r="AB59" s="14"/>
      <c r="AC59" s="14"/>
      <c r="AD59" s="14"/>
    </row>
    <row r="60" s="1" customFormat="1" ht="17" spans="1:30">
      <c r="A60" s="14"/>
      <c r="B60" s="1" t="s">
        <v>223</v>
      </c>
      <c r="C60" s="1" t="s">
        <v>224</v>
      </c>
      <c r="D60" s="10" t="s">
        <v>225</v>
      </c>
      <c r="E60" s="1" t="s">
        <v>67</v>
      </c>
      <c r="F60" s="1" t="s">
        <v>43</v>
      </c>
      <c r="G60" s="1">
        <v>0</v>
      </c>
      <c r="I60" s="1">
        <v>100</v>
      </c>
      <c r="J60" s="1" t="s">
        <v>61</v>
      </c>
      <c r="K60" s="1">
        <v>0</v>
      </c>
      <c r="L60" s="1">
        <v>0</v>
      </c>
      <c r="M60" s="1">
        <v>0</v>
      </c>
      <c r="N60" s="1">
        <v>10</v>
      </c>
      <c r="P60" s="1">
        <v>80</v>
      </c>
      <c r="Q60" s="14"/>
      <c r="R60" s="14"/>
      <c r="T60" s="14"/>
      <c r="U60" s="14"/>
      <c r="V60" s="14"/>
      <c r="W60" s="14"/>
      <c r="X60" s="14"/>
      <c r="Y60" s="14"/>
      <c r="Z60" s="14"/>
      <c r="AB60" s="14"/>
      <c r="AC60" s="14"/>
      <c r="AD60" s="14"/>
    </row>
    <row r="61" s="1" customFormat="1" ht="17" spans="1:30">
      <c r="A61" s="14"/>
      <c r="B61" s="1" t="s">
        <v>226</v>
      </c>
      <c r="C61" s="1" t="s">
        <v>227</v>
      </c>
      <c r="D61" s="10" t="s">
        <v>228</v>
      </c>
      <c r="E61" s="1" t="s">
        <v>67</v>
      </c>
      <c r="F61" s="1" t="s">
        <v>43</v>
      </c>
      <c r="G61" s="1">
        <v>0</v>
      </c>
      <c r="I61" s="1">
        <v>100</v>
      </c>
      <c r="J61" s="1" t="s">
        <v>61</v>
      </c>
      <c r="K61" s="1">
        <v>0</v>
      </c>
      <c r="L61" s="1">
        <v>0</v>
      </c>
      <c r="M61" s="1">
        <v>10</v>
      </c>
      <c r="N61" s="1">
        <v>0</v>
      </c>
      <c r="P61" s="1">
        <v>80</v>
      </c>
      <c r="Q61" s="14"/>
      <c r="R61" s="14"/>
      <c r="T61" s="14"/>
      <c r="U61" s="14"/>
      <c r="V61" s="14"/>
      <c r="W61" s="14"/>
      <c r="X61" s="14"/>
      <c r="Y61" s="14"/>
      <c r="Z61" s="14"/>
      <c r="AB61" s="14"/>
      <c r="AC61" s="14"/>
      <c r="AD61" s="14"/>
    </row>
    <row r="62" s="1" customFormat="1" ht="34" spans="1:30">
      <c r="A62" s="14"/>
      <c r="B62" s="1" t="s">
        <v>229</v>
      </c>
      <c r="C62" s="1" t="s">
        <v>230</v>
      </c>
      <c r="D62" s="10" t="s">
        <v>231</v>
      </c>
      <c r="E62" s="1" t="s">
        <v>48</v>
      </c>
      <c r="F62" s="1" t="s">
        <v>43</v>
      </c>
      <c r="G62" s="1">
        <v>15</v>
      </c>
      <c r="I62" s="1">
        <v>300</v>
      </c>
      <c r="J62" s="1" t="s">
        <v>50</v>
      </c>
      <c r="K62" s="1">
        <v>0</v>
      </c>
      <c r="L62" s="1">
        <v>0</v>
      </c>
      <c r="M62" s="1">
        <v>0</v>
      </c>
      <c r="N62" s="1">
        <v>0</v>
      </c>
      <c r="P62" s="1">
        <v>80</v>
      </c>
      <c r="Q62" s="14"/>
      <c r="R62" s="14">
        <f t="shared" ref="R62:R75" si="8">IFERROR(VLOOKUP(E62,$T$7:$AB$12,9,FALSE),0)</f>
        <v>0</v>
      </c>
      <c r="T62" s="14"/>
      <c r="U62" s="14"/>
      <c r="V62" s="14"/>
      <c r="W62" s="14"/>
      <c r="X62" s="14"/>
      <c r="Y62" s="14"/>
      <c r="Z62" s="14"/>
      <c r="AB62" s="14"/>
      <c r="AC62" s="14"/>
      <c r="AD62" s="14"/>
    </row>
    <row r="63" s="1" customFormat="1" ht="17" spans="1:30">
      <c r="A63" s="14"/>
      <c r="B63" s="1" t="s">
        <v>232</v>
      </c>
      <c r="C63" s="1" t="s">
        <v>233</v>
      </c>
      <c r="D63" s="10" t="s">
        <v>234</v>
      </c>
      <c r="E63" s="1" t="s">
        <v>48</v>
      </c>
      <c r="F63" s="1" t="s">
        <v>43</v>
      </c>
      <c r="G63" s="1">
        <v>0</v>
      </c>
      <c r="I63" s="1">
        <v>30</v>
      </c>
      <c r="J63" s="1" t="s">
        <v>44</v>
      </c>
      <c r="K63" s="1">
        <v>0</v>
      </c>
      <c r="L63" s="1">
        <v>0</v>
      </c>
      <c r="M63" s="1">
        <v>0</v>
      </c>
      <c r="N63" s="1">
        <v>0</v>
      </c>
      <c r="P63" s="1">
        <v>40</v>
      </c>
      <c r="Q63" s="14"/>
      <c r="R63" s="14">
        <f t="shared" si="8"/>
        <v>0</v>
      </c>
      <c r="T63" s="14"/>
      <c r="U63" s="14"/>
      <c r="V63" s="14"/>
      <c r="W63" s="14"/>
      <c r="X63" s="14"/>
      <c r="Y63" s="14"/>
      <c r="Z63" s="14"/>
      <c r="AB63" s="14"/>
      <c r="AC63" s="14"/>
      <c r="AD63" s="14"/>
    </row>
    <row r="64" s="1" customFormat="1" ht="17" spans="1:30">
      <c r="A64" s="14"/>
      <c r="B64" s="1" t="s">
        <v>235</v>
      </c>
      <c r="C64" s="1" t="s">
        <v>236</v>
      </c>
      <c r="D64" s="10" t="s">
        <v>237</v>
      </c>
      <c r="E64" s="1" t="s">
        <v>48</v>
      </c>
      <c r="F64" s="1" t="s">
        <v>43</v>
      </c>
      <c r="G64" s="1">
        <v>0</v>
      </c>
      <c r="I64" s="1">
        <v>30</v>
      </c>
      <c r="J64" s="1" t="s">
        <v>44</v>
      </c>
      <c r="K64" s="1">
        <v>0</v>
      </c>
      <c r="L64" s="1">
        <v>0</v>
      </c>
      <c r="M64" s="1">
        <v>0</v>
      </c>
      <c r="N64" s="1">
        <v>0</v>
      </c>
      <c r="P64" s="1">
        <v>50</v>
      </c>
      <c r="Q64" s="14"/>
      <c r="R64" s="14"/>
      <c r="T64" s="14"/>
      <c r="U64" s="14"/>
      <c r="V64" s="14"/>
      <c r="W64" s="14"/>
      <c r="X64" s="14"/>
      <c r="Y64" s="14"/>
      <c r="Z64" s="14"/>
      <c r="AB64" s="14"/>
      <c r="AC64" s="14"/>
      <c r="AD64" s="14"/>
    </row>
    <row r="65" s="1" customFormat="1" ht="17" spans="1:30">
      <c r="A65" s="14"/>
      <c r="B65" s="1" t="s">
        <v>238</v>
      </c>
      <c r="C65" s="1" t="s">
        <v>239</v>
      </c>
      <c r="D65" s="10" t="s">
        <v>240</v>
      </c>
      <c r="E65" s="1" t="s">
        <v>48</v>
      </c>
      <c r="F65" s="1" t="s">
        <v>43</v>
      </c>
      <c r="G65" s="1">
        <v>0</v>
      </c>
      <c r="I65" s="1">
        <v>30</v>
      </c>
      <c r="J65" s="1" t="s">
        <v>44</v>
      </c>
      <c r="K65" s="1">
        <v>0</v>
      </c>
      <c r="L65" s="1">
        <v>0</v>
      </c>
      <c r="M65" s="1">
        <v>0</v>
      </c>
      <c r="N65" s="1">
        <v>0</v>
      </c>
      <c r="P65" s="1">
        <v>50</v>
      </c>
      <c r="Q65" s="14"/>
      <c r="R65" s="14"/>
      <c r="T65" s="14"/>
      <c r="U65" s="14"/>
      <c r="V65" s="14"/>
      <c r="W65" s="14"/>
      <c r="X65" s="14"/>
      <c r="Y65" s="14"/>
      <c r="Z65" s="14"/>
      <c r="AB65" s="14"/>
      <c r="AC65" s="14"/>
      <c r="AD65" s="14"/>
    </row>
    <row r="66" s="1" customFormat="1" ht="34" spans="1:30">
      <c r="A66" s="14"/>
      <c r="B66" s="1" t="s">
        <v>241</v>
      </c>
      <c r="C66" s="1" t="s">
        <v>242</v>
      </c>
      <c r="D66" s="10" t="s">
        <v>243</v>
      </c>
      <c r="E66" s="1" t="s">
        <v>67</v>
      </c>
      <c r="F66" s="1" t="s">
        <v>43</v>
      </c>
      <c r="G66" s="1">
        <v>1</v>
      </c>
      <c r="I66" s="1">
        <v>100</v>
      </c>
      <c r="J66" s="1" t="s">
        <v>61</v>
      </c>
      <c r="K66" s="1">
        <v>0</v>
      </c>
      <c r="L66" s="1">
        <v>0</v>
      </c>
      <c r="M66" s="1">
        <v>0</v>
      </c>
      <c r="N66" s="1">
        <v>0</v>
      </c>
      <c r="P66" s="1">
        <v>80</v>
      </c>
      <c r="Q66" s="14"/>
      <c r="R66" s="14">
        <f t="shared" si="8"/>
        <v>0</v>
      </c>
      <c r="T66" s="14"/>
      <c r="U66" s="14"/>
      <c r="V66" s="14"/>
      <c r="W66" s="14"/>
      <c r="X66" s="14"/>
      <c r="Y66" s="14"/>
      <c r="Z66" s="14"/>
      <c r="AB66" s="14"/>
      <c r="AC66" s="14"/>
      <c r="AD66" s="14"/>
    </row>
    <row r="67" s="1" customFormat="1" ht="34" spans="1:30">
      <c r="A67" s="14"/>
      <c r="B67" s="1" t="s">
        <v>244</v>
      </c>
      <c r="C67" s="1" t="s">
        <v>245</v>
      </c>
      <c r="D67" s="10" t="s">
        <v>246</v>
      </c>
      <c r="E67" s="1" t="s">
        <v>67</v>
      </c>
      <c r="F67" s="1" t="s">
        <v>43</v>
      </c>
      <c r="G67" s="1">
        <v>0</v>
      </c>
      <c r="H67" s="1" t="s">
        <v>247</v>
      </c>
      <c r="I67" s="1">
        <v>100</v>
      </c>
      <c r="J67" s="1" t="s">
        <v>61</v>
      </c>
      <c r="K67" s="1">
        <v>0</v>
      </c>
      <c r="L67" s="1">
        <v>0</v>
      </c>
      <c r="M67" s="1">
        <v>0</v>
      </c>
      <c r="N67" s="1">
        <v>0</v>
      </c>
      <c r="P67" s="1">
        <v>80</v>
      </c>
      <c r="Q67" s="14"/>
      <c r="R67" s="14">
        <f t="shared" si="8"/>
        <v>0</v>
      </c>
      <c r="T67" s="14"/>
      <c r="U67" s="14"/>
      <c r="V67" s="14"/>
      <c r="W67" s="14"/>
      <c r="X67" s="14"/>
      <c r="Y67" s="14"/>
      <c r="Z67" s="14"/>
      <c r="AB67" s="14"/>
      <c r="AC67" s="14"/>
      <c r="AD67" s="14"/>
    </row>
    <row r="68" s="1" customFormat="1" ht="34" spans="1:30">
      <c r="A68" s="14"/>
      <c r="B68" s="1" t="s">
        <v>248</v>
      </c>
      <c r="C68" s="1" t="s">
        <v>249</v>
      </c>
      <c r="D68" s="10" t="s">
        <v>250</v>
      </c>
      <c r="E68" s="1" t="s">
        <v>42</v>
      </c>
      <c r="F68" s="1" t="s">
        <v>43</v>
      </c>
      <c r="G68" s="1">
        <v>0</v>
      </c>
      <c r="H68" s="1" t="s">
        <v>167</v>
      </c>
      <c r="I68" s="1">
        <v>100</v>
      </c>
      <c r="J68" s="1" t="s">
        <v>61</v>
      </c>
      <c r="K68" s="1">
        <v>0</v>
      </c>
      <c r="L68" s="1">
        <v>0</v>
      </c>
      <c r="M68" s="1">
        <v>0</v>
      </c>
      <c r="N68" s="1">
        <v>0</v>
      </c>
      <c r="P68" s="1">
        <v>80</v>
      </c>
      <c r="Q68" s="14"/>
      <c r="R68" s="14">
        <f t="shared" si="8"/>
        <v>0</v>
      </c>
      <c r="T68" s="14"/>
      <c r="U68" s="14"/>
      <c r="V68" s="14"/>
      <c r="W68" s="14"/>
      <c r="X68" s="14"/>
      <c r="Y68" s="14"/>
      <c r="Z68" s="14"/>
      <c r="AB68" s="14"/>
      <c r="AC68" s="14"/>
      <c r="AD68" s="14"/>
    </row>
    <row r="69" s="1" customFormat="1" ht="34" spans="1:30">
      <c r="A69" s="14"/>
      <c r="B69" s="1" t="s">
        <v>251</v>
      </c>
      <c r="C69" s="1" t="s">
        <v>252</v>
      </c>
      <c r="D69" s="10" t="s">
        <v>253</v>
      </c>
      <c r="E69" s="1" t="s">
        <v>48</v>
      </c>
      <c r="F69" s="1" t="s">
        <v>43</v>
      </c>
      <c r="G69" s="1">
        <v>3</v>
      </c>
      <c r="I69" s="1">
        <v>100</v>
      </c>
      <c r="J69" s="1" t="s">
        <v>61</v>
      </c>
      <c r="K69" s="1">
        <v>0</v>
      </c>
      <c r="L69" s="1">
        <v>0</v>
      </c>
      <c r="M69" s="1">
        <v>0</v>
      </c>
      <c r="N69" s="1">
        <v>0</v>
      </c>
      <c r="P69" s="1">
        <v>40</v>
      </c>
      <c r="Q69" s="14"/>
      <c r="R69" s="14">
        <f t="shared" si="8"/>
        <v>0</v>
      </c>
      <c r="T69" s="14"/>
      <c r="U69" s="14"/>
      <c r="V69" s="14"/>
      <c r="W69" s="14"/>
      <c r="X69" s="14"/>
      <c r="Y69" s="14"/>
      <c r="Z69" s="14"/>
      <c r="AB69" s="14"/>
      <c r="AC69" s="14"/>
      <c r="AD69" s="14"/>
    </row>
    <row r="70" s="1" customFormat="1" ht="34" spans="1:30">
      <c r="A70" s="14"/>
      <c r="B70" s="1" t="s">
        <v>254</v>
      </c>
      <c r="C70" s="1" t="s">
        <v>255</v>
      </c>
      <c r="D70" s="10" t="s">
        <v>256</v>
      </c>
      <c r="E70" s="1" t="s">
        <v>48</v>
      </c>
      <c r="F70" s="1" t="s">
        <v>43</v>
      </c>
      <c r="G70" s="1">
        <v>2</v>
      </c>
      <c r="I70" s="1">
        <v>300</v>
      </c>
      <c r="J70" s="1" t="s">
        <v>50</v>
      </c>
      <c r="K70" s="1">
        <v>0</v>
      </c>
      <c r="L70" s="1">
        <v>0</v>
      </c>
      <c r="M70" s="1">
        <v>0</v>
      </c>
      <c r="N70" s="1">
        <v>0</v>
      </c>
      <c r="P70" s="1">
        <v>40</v>
      </c>
      <c r="Q70" s="14"/>
      <c r="R70" s="14">
        <f t="shared" si="8"/>
        <v>0</v>
      </c>
      <c r="T70" s="14"/>
      <c r="U70" s="14"/>
      <c r="V70" s="14"/>
      <c r="W70" s="14"/>
      <c r="X70" s="14"/>
      <c r="Y70" s="14"/>
      <c r="Z70" s="14"/>
      <c r="AB70" s="14"/>
      <c r="AC70" s="14"/>
      <c r="AD70" s="14"/>
    </row>
    <row r="71" s="1" customFormat="1" ht="51" spans="1:30">
      <c r="A71" s="14"/>
      <c r="B71" s="1" t="s">
        <v>257</v>
      </c>
      <c r="C71" s="1" t="s">
        <v>258</v>
      </c>
      <c r="D71" s="10" t="s">
        <v>259</v>
      </c>
      <c r="E71" s="1" t="s">
        <v>67</v>
      </c>
      <c r="F71" s="1" t="s">
        <v>43</v>
      </c>
      <c r="G71" s="1">
        <v>40</v>
      </c>
      <c r="I71" s="1">
        <v>100</v>
      </c>
      <c r="J71" s="1" t="s">
        <v>61</v>
      </c>
      <c r="K71" s="1">
        <v>0</v>
      </c>
      <c r="L71" s="1">
        <v>0</v>
      </c>
      <c r="M71" s="1">
        <v>0</v>
      </c>
      <c r="N71" s="1">
        <v>0</v>
      </c>
      <c r="P71" s="1">
        <v>80</v>
      </c>
      <c r="Q71" s="14"/>
      <c r="R71" s="14">
        <f t="shared" si="8"/>
        <v>0</v>
      </c>
      <c r="T71" s="14"/>
      <c r="U71" s="14"/>
      <c r="V71" s="14"/>
      <c r="W71" s="14"/>
      <c r="X71" s="14"/>
      <c r="Y71" s="14"/>
      <c r="Z71" s="14"/>
      <c r="AB71" s="14"/>
      <c r="AC71" s="14"/>
      <c r="AD71" s="14"/>
    </row>
    <row r="72" s="1" customFormat="1" ht="17" spans="1:30">
      <c r="A72" s="14"/>
      <c r="B72" s="1" t="s">
        <v>260</v>
      </c>
      <c r="C72" s="1" t="s">
        <v>261</v>
      </c>
      <c r="D72" s="10" t="s">
        <v>262</v>
      </c>
      <c r="E72" s="1" t="s">
        <v>263</v>
      </c>
      <c r="F72" s="1" t="s">
        <v>263</v>
      </c>
      <c r="G72" s="1">
        <v>-0.2</v>
      </c>
      <c r="I72" s="1">
        <v>300</v>
      </c>
      <c r="J72" s="1" t="s">
        <v>50</v>
      </c>
      <c r="K72" s="1">
        <v>0</v>
      </c>
      <c r="L72" s="1">
        <v>0</v>
      </c>
      <c r="M72" s="1">
        <v>0</v>
      </c>
      <c r="N72" s="1">
        <v>0</v>
      </c>
      <c r="P72" s="1">
        <v>40</v>
      </c>
      <c r="Q72" s="14"/>
      <c r="R72" s="14">
        <f t="shared" si="8"/>
        <v>0</v>
      </c>
      <c r="T72" s="14"/>
      <c r="U72" s="14"/>
      <c r="V72" s="14"/>
      <c r="W72" s="14"/>
      <c r="X72" s="14"/>
      <c r="Y72" s="14"/>
      <c r="Z72" s="14"/>
      <c r="AB72" s="14"/>
      <c r="AC72" s="14"/>
      <c r="AD72" s="14"/>
    </row>
    <row r="73" s="1" customFormat="1" ht="17" spans="1:30">
      <c r="A73" s="14"/>
      <c r="B73" s="1" t="s">
        <v>264</v>
      </c>
      <c r="C73" s="1" t="s">
        <v>265</v>
      </c>
      <c r="D73" s="10" t="s">
        <v>266</v>
      </c>
      <c r="E73" s="1" t="s">
        <v>263</v>
      </c>
      <c r="F73" s="1" t="s">
        <v>263</v>
      </c>
      <c r="G73" s="1">
        <v>0.2</v>
      </c>
      <c r="I73" s="1">
        <v>300</v>
      </c>
      <c r="J73" s="1" t="s">
        <v>50</v>
      </c>
      <c r="K73" s="1">
        <v>0</v>
      </c>
      <c r="L73" s="1">
        <v>0</v>
      </c>
      <c r="M73" s="1">
        <v>0</v>
      </c>
      <c r="N73" s="1">
        <v>0</v>
      </c>
      <c r="P73" s="1">
        <v>40</v>
      </c>
      <c r="Q73" s="14"/>
      <c r="R73" s="14">
        <f t="shared" si="8"/>
        <v>0</v>
      </c>
      <c r="T73" s="14"/>
      <c r="U73" s="14"/>
      <c r="V73" s="14"/>
      <c r="W73" s="14"/>
      <c r="X73" s="14"/>
      <c r="Y73" s="14"/>
      <c r="Z73" s="14"/>
      <c r="AB73" s="14"/>
      <c r="AC73" s="14"/>
      <c r="AD73" s="14"/>
    </row>
    <row r="74" s="1" customFormat="1" ht="17" spans="1:30">
      <c r="A74" s="14"/>
      <c r="B74" s="1" t="s">
        <v>267</v>
      </c>
      <c r="C74" s="1" t="s">
        <v>268</v>
      </c>
      <c r="D74" s="10" t="s">
        <v>269</v>
      </c>
      <c r="E74" s="1" t="s">
        <v>263</v>
      </c>
      <c r="F74" s="1" t="s">
        <v>263</v>
      </c>
      <c r="G74" s="1">
        <v>0</v>
      </c>
      <c r="I74" s="1">
        <v>300</v>
      </c>
      <c r="J74" s="1" t="s">
        <v>50</v>
      </c>
      <c r="K74" s="1">
        <v>0</v>
      </c>
      <c r="L74" s="1">
        <v>0</v>
      </c>
      <c r="M74" s="1">
        <v>0</v>
      </c>
      <c r="N74" s="1">
        <v>0</v>
      </c>
      <c r="P74" s="1">
        <v>40</v>
      </c>
      <c r="Q74" s="14"/>
      <c r="R74" s="14">
        <f t="shared" si="8"/>
        <v>0</v>
      </c>
      <c r="T74" s="14"/>
      <c r="U74" s="14"/>
      <c r="V74" s="14"/>
      <c r="W74" s="14"/>
      <c r="X74" s="14"/>
      <c r="Y74" s="14"/>
      <c r="Z74" s="14"/>
      <c r="AB74" s="14"/>
      <c r="AC74" s="14"/>
      <c r="AD74" s="14"/>
    </row>
    <row r="75" s="1" customFormat="1" ht="17" spans="1:30">
      <c r="A75" s="14"/>
      <c r="B75" s="1" t="s">
        <v>270</v>
      </c>
      <c r="C75" s="1" t="s">
        <v>271</v>
      </c>
      <c r="D75" s="10" t="s">
        <v>272</v>
      </c>
      <c r="E75" s="1" t="s">
        <v>263</v>
      </c>
      <c r="F75" s="1" t="s">
        <v>263</v>
      </c>
      <c r="G75" s="1">
        <v>1</v>
      </c>
      <c r="I75" s="1">
        <v>300</v>
      </c>
      <c r="J75" s="1" t="s">
        <v>50</v>
      </c>
      <c r="K75" s="1">
        <v>0</v>
      </c>
      <c r="L75" s="1">
        <v>0</v>
      </c>
      <c r="M75" s="1">
        <v>0</v>
      </c>
      <c r="N75" s="1">
        <v>0</v>
      </c>
      <c r="P75" s="1">
        <v>40</v>
      </c>
      <c r="Q75" s="14"/>
      <c r="R75" s="14">
        <f t="shared" si="8"/>
        <v>0</v>
      </c>
      <c r="T75" s="14"/>
      <c r="U75" s="14"/>
      <c r="V75" s="14"/>
      <c r="W75" s="14"/>
      <c r="X75" s="14"/>
      <c r="Y75" s="14"/>
      <c r="Z75" s="14"/>
      <c r="AB75" s="14"/>
      <c r="AC75" s="14"/>
      <c r="AD75" s="14"/>
    </row>
    <row r="76" s="1" customFormat="1" ht="17" spans="1:30">
      <c r="A76" s="14"/>
      <c r="B76" s="1" t="s">
        <v>273</v>
      </c>
      <c r="C76" s="1" t="s">
        <v>274</v>
      </c>
      <c r="D76" s="10" t="s">
        <v>275</v>
      </c>
      <c r="E76" s="1" t="s">
        <v>263</v>
      </c>
      <c r="F76" s="1" t="s">
        <v>263</v>
      </c>
      <c r="G76" s="1">
        <v>1</v>
      </c>
      <c r="I76" s="1">
        <v>300</v>
      </c>
      <c r="J76" s="1" t="s">
        <v>50</v>
      </c>
      <c r="K76" s="1">
        <v>0</v>
      </c>
      <c r="L76" s="1">
        <v>0</v>
      </c>
      <c r="M76" s="1">
        <v>0</v>
      </c>
      <c r="N76" s="1">
        <v>0</v>
      </c>
      <c r="P76" s="1">
        <v>50</v>
      </c>
      <c r="Q76" s="14"/>
      <c r="R76" s="14"/>
      <c r="T76" s="14"/>
      <c r="U76" s="14"/>
      <c r="V76" s="14"/>
      <c r="W76" s="14"/>
      <c r="X76" s="14"/>
      <c r="Y76" s="14"/>
      <c r="Z76" s="14"/>
      <c r="AB76" s="14"/>
      <c r="AC76" s="14"/>
      <c r="AD76" s="14"/>
    </row>
    <row r="77" s="1" customFormat="1" ht="34" spans="1:30">
      <c r="A77" s="14"/>
      <c r="B77" s="1" t="s">
        <v>276</v>
      </c>
      <c r="C77" s="1" t="s">
        <v>277</v>
      </c>
      <c r="D77" s="10" t="s">
        <v>278</v>
      </c>
      <c r="E77" s="1" t="s">
        <v>263</v>
      </c>
      <c r="F77" s="1" t="s">
        <v>263</v>
      </c>
      <c r="G77" s="1">
        <v>-1</v>
      </c>
      <c r="I77" s="1">
        <v>300</v>
      </c>
      <c r="J77" s="1" t="s">
        <v>50</v>
      </c>
      <c r="K77" s="1">
        <v>0</v>
      </c>
      <c r="L77" s="1">
        <v>0</v>
      </c>
      <c r="M77" s="1">
        <v>0</v>
      </c>
      <c r="N77" s="1">
        <v>0</v>
      </c>
      <c r="P77" s="1">
        <v>40</v>
      </c>
      <c r="Q77" s="14"/>
      <c r="R77" s="14">
        <f t="shared" ref="R77:R81" si="9">IFERROR(VLOOKUP(E77,$T$7:$AB$12,9,FALSE),0)</f>
        <v>0</v>
      </c>
      <c r="T77" s="14"/>
      <c r="U77" s="14"/>
      <c r="V77" s="14"/>
      <c r="W77" s="14"/>
      <c r="X77" s="14"/>
      <c r="Y77" s="14"/>
      <c r="Z77" s="14"/>
      <c r="AB77" s="14"/>
      <c r="AC77" s="14"/>
      <c r="AD77" s="14"/>
    </row>
    <row r="78" s="1" customFormat="1" ht="17" spans="1:30">
      <c r="A78" s="14"/>
      <c r="B78" s="1" t="s">
        <v>279</v>
      </c>
      <c r="C78" s="1" t="s">
        <v>280</v>
      </c>
      <c r="D78" s="10" t="s">
        <v>281</v>
      </c>
      <c r="E78" s="1" t="s">
        <v>263</v>
      </c>
      <c r="F78" s="1" t="s">
        <v>263</v>
      </c>
      <c r="G78" s="1">
        <v>0.2</v>
      </c>
      <c r="I78" s="1">
        <v>300</v>
      </c>
      <c r="J78" s="1" t="s">
        <v>50</v>
      </c>
      <c r="K78" s="1">
        <v>0</v>
      </c>
      <c r="L78" s="1">
        <v>0</v>
      </c>
      <c r="M78" s="1">
        <v>0</v>
      </c>
      <c r="N78" s="1">
        <v>0</v>
      </c>
      <c r="P78" s="1">
        <v>40</v>
      </c>
      <c r="Q78" s="14"/>
      <c r="R78" s="14">
        <f t="shared" si="9"/>
        <v>0</v>
      </c>
      <c r="T78" s="14"/>
      <c r="U78" s="14"/>
      <c r="V78" s="14"/>
      <c r="W78" s="14"/>
      <c r="X78" s="14"/>
      <c r="Y78" s="14"/>
      <c r="Z78" s="14"/>
      <c r="AB78" s="14"/>
      <c r="AC78" s="14"/>
      <c r="AD78" s="14"/>
    </row>
    <row r="79" s="1" customFormat="1" ht="17" spans="1:30">
      <c r="A79" s="14"/>
      <c r="B79" s="1" t="s">
        <v>282</v>
      </c>
      <c r="C79" s="1" t="s">
        <v>283</v>
      </c>
      <c r="D79" s="10" t="s">
        <v>284</v>
      </c>
      <c r="E79" s="1" t="s">
        <v>263</v>
      </c>
      <c r="F79" s="1" t="s">
        <v>263</v>
      </c>
      <c r="G79" s="1">
        <v>0.2</v>
      </c>
      <c r="I79" s="1">
        <v>300</v>
      </c>
      <c r="J79" s="1" t="s">
        <v>50</v>
      </c>
      <c r="K79" s="1">
        <v>0</v>
      </c>
      <c r="L79" s="1">
        <v>0</v>
      </c>
      <c r="M79" s="1">
        <v>0</v>
      </c>
      <c r="N79" s="1">
        <v>0</v>
      </c>
      <c r="P79" s="1">
        <v>40</v>
      </c>
      <c r="Q79" s="14"/>
      <c r="R79" s="14">
        <f t="shared" si="9"/>
        <v>0</v>
      </c>
      <c r="T79" s="14"/>
      <c r="U79" s="14"/>
      <c r="V79" s="14"/>
      <c r="W79" s="14"/>
      <c r="X79" s="14"/>
      <c r="Y79" s="14"/>
      <c r="Z79" s="14"/>
      <c r="AB79" s="14"/>
      <c r="AC79" s="14"/>
      <c r="AD79" s="14"/>
    </row>
    <row r="80" s="1" customFormat="1" ht="17" spans="1:30">
      <c r="A80" s="14"/>
      <c r="B80" s="1" t="s">
        <v>285</v>
      </c>
      <c r="C80" s="1" t="s">
        <v>286</v>
      </c>
      <c r="D80" s="10" t="s">
        <v>287</v>
      </c>
      <c r="E80" s="1" t="s">
        <v>263</v>
      </c>
      <c r="F80" s="1" t="s">
        <v>263</v>
      </c>
      <c r="G80" s="1">
        <v>0.2</v>
      </c>
      <c r="I80" s="1">
        <v>300</v>
      </c>
      <c r="J80" s="1" t="s">
        <v>50</v>
      </c>
      <c r="K80" s="1">
        <v>0</v>
      </c>
      <c r="L80" s="1">
        <v>0</v>
      </c>
      <c r="M80" s="1">
        <v>0</v>
      </c>
      <c r="N80" s="1">
        <v>0</v>
      </c>
      <c r="P80" s="1">
        <v>40</v>
      </c>
      <c r="Q80" s="14"/>
      <c r="R80" s="14">
        <f t="shared" si="9"/>
        <v>0</v>
      </c>
      <c r="T80" s="14"/>
      <c r="U80" s="14"/>
      <c r="V80" s="14"/>
      <c r="W80" s="14"/>
      <c r="X80" s="14"/>
      <c r="Y80" s="14"/>
      <c r="Z80" s="14"/>
      <c r="AB80" s="14"/>
      <c r="AC80" s="14"/>
      <c r="AD80" s="14"/>
    </row>
    <row r="81" s="1" customFormat="1" ht="34" spans="1:30">
      <c r="A81" s="14"/>
      <c r="B81" s="1" t="s">
        <v>288</v>
      </c>
      <c r="C81" s="1" t="s">
        <v>289</v>
      </c>
      <c r="D81" s="10" t="s">
        <v>290</v>
      </c>
      <c r="E81" s="1" t="s">
        <v>263</v>
      </c>
      <c r="F81" s="1" t="s">
        <v>263</v>
      </c>
      <c r="G81" s="1">
        <v>0</v>
      </c>
      <c r="I81" s="1">
        <v>300</v>
      </c>
      <c r="J81" s="1" t="s">
        <v>50</v>
      </c>
      <c r="K81" s="1">
        <v>0</v>
      </c>
      <c r="L81" s="1">
        <v>0</v>
      </c>
      <c r="M81" s="1">
        <v>0</v>
      </c>
      <c r="N81" s="1">
        <v>0</v>
      </c>
      <c r="P81" s="1">
        <v>40</v>
      </c>
      <c r="Q81" s="14"/>
      <c r="R81" s="14">
        <f t="shared" si="9"/>
        <v>0</v>
      </c>
      <c r="T81" s="14"/>
      <c r="U81" s="14"/>
      <c r="V81" s="14"/>
      <c r="W81" s="14"/>
      <c r="X81" s="14"/>
      <c r="Y81" s="14"/>
      <c r="Z81" s="14"/>
      <c r="AB81" s="14"/>
      <c r="AC81" s="14"/>
      <c r="AD81" s="14"/>
    </row>
    <row r="82" s="1" customFormat="1" ht="51" spans="1:30">
      <c r="A82" s="14"/>
      <c r="B82" s="1" t="s">
        <v>291</v>
      </c>
      <c r="C82" s="1" t="s">
        <v>292</v>
      </c>
      <c r="D82" s="10" t="s">
        <v>293</v>
      </c>
      <c r="E82" s="1" t="s">
        <v>42</v>
      </c>
      <c r="F82" s="1" t="s">
        <v>43</v>
      </c>
      <c r="G82" s="1">
        <v>1.5</v>
      </c>
      <c r="H82" s="1" t="s">
        <v>294</v>
      </c>
      <c r="I82" s="1">
        <v>300</v>
      </c>
      <c r="J82" s="1" t="s">
        <v>50</v>
      </c>
      <c r="K82" s="1">
        <v>0</v>
      </c>
      <c r="L82" s="1">
        <v>0</v>
      </c>
      <c r="M82" s="1">
        <v>0</v>
      </c>
      <c r="N82" s="1">
        <v>0</v>
      </c>
      <c r="P82" s="1">
        <v>50</v>
      </c>
      <c r="Q82" s="14"/>
      <c r="R82" s="14"/>
      <c r="T82" s="14"/>
      <c r="U82" s="14"/>
      <c r="V82" s="14"/>
      <c r="W82" s="14"/>
      <c r="X82" s="14"/>
      <c r="Y82" s="14"/>
      <c r="Z82" s="14"/>
      <c r="AB82" s="14"/>
      <c r="AC82" s="14"/>
      <c r="AD82" s="14"/>
    </row>
    <row r="83" s="1" customFormat="1" ht="34" spans="1:30">
      <c r="A83" s="14"/>
      <c r="B83" s="1" t="s">
        <v>295</v>
      </c>
      <c r="C83" s="1" t="s">
        <v>296</v>
      </c>
      <c r="D83" s="10" t="s">
        <v>297</v>
      </c>
      <c r="E83" s="1" t="s">
        <v>42</v>
      </c>
      <c r="F83" s="1" t="s">
        <v>43</v>
      </c>
      <c r="G83" s="1">
        <v>0.3</v>
      </c>
      <c r="I83" s="1">
        <v>100</v>
      </c>
      <c r="J83" s="1" t="s">
        <v>61</v>
      </c>
      <c r="K83" s="1">
        <v>0</v>
      </c>
      <c r="L83" s="1">
        <v>0</v>
      </c>
      <c r="M83" s="1">
        <v>0</v>
      </c>
      <c r="N83" s="1">
        <v>0</v>
      </c>
      <c r="P83" s="1">
        <v>80</v>
      </c>
      <c r="Q83" s="14"/>
      <c r="R83" s="14"/>
      <c r="T83" s="14"/>
      <c r="U83" s="14"/>
      <c r="V83" s="14"/>
      <c r="W83" s="14"/>
      <c r="X83" s="14"/>
      <c r="Y83" s="14"/>
      <c r="Z83" s="14"/>
      <c r="AB83" s="14"/>
      <c r="AC83" s="14"/>
      <c r="AD83" s="14"/>
    </row>
    <row r="84" s="1" customFormat="1" ht="34" spans="1:30">
      <c r="A84" s="14"/>
      <c r="B84" s="1" t="s">
        <v>298</v>
      </c>
      <c r="C84" s="1" t="s">
        <v>299</v>
      </c>
      <c r="D84" s="10" t="s">
        <v>300</v>
      </c>
      <c r="E84" s="1" t="s">
        <v>200</v>
      </c>
      <c r="F84" s="1" t="s">
        <v>43</v>
      </c>
      <c r="G84" s="1">
        <v>2</v>
      </c>
      <c r="I84" s="1">
        <v>10</v>
      </c>
      <c r="J84" s="1" t="s">
        <v>201</v>
      </c>
      <c r="K84" s="1">
        <v>0</v>
      </c>
      <c r="L84" s="1">
        <v>0</v>
      </c>
      <c r="M84" s="1">
        <v>0</v>
      </c>
      <c r="N84" s="1">
        <v>0</v>
      </c>
      <c r="O84" s="1" t="s">
        <v>301</v>
      </c>
      <c r="P84" s="1">
        <v>240</v>
      </c>
      <c r="Q84" s="14"/>
      <c r="R84" s="14">
        <f t="shared" ref="R84:R93" si="10">IFERROR(VLOOKUP(E84,$T$7:$AB$12,9,FALSE),0)</f>
        <v>0</v>
      </c>
      <c r="T84" s="14"/>
      <c r="U84" s="14"/>
      <c r="V84" s="14"/>
      <c r="W84" s="14"/>
      <c r="X84" s="14"/>
      <c r="Y84" s="14"/>
      <c r="Z84" s="14"/>
      <c r="AB84" s="14"/>
      <c r="AC84" s="14"/>
      <c r="AD84" s="14"/>
    </row>
    <row r="85" s="1" customFormat="1" ht="34" spans="1:30">
      <c r="A85" s="14"/>
      <c r="B85" s="1" t="s">
        <v>302</v>
      </c>
      <c r="C85" s="1" t="s">
        <v>303</v>
      </c>
      <c r="D85" s="10" t="s">
        <v>304</v>
      </c>
      <c r="E85" s="1" t="s">
        <v>42</v>
      </c>
      <c r="F85" s="1" t="s">
        <v>43</v>
      </c>
      <c r="G85" s="1">
        <v>0.5</v>
      </c>
      <c r="I85" s="1">
        <v>10</v>
      </c>
      <c r="J85" s="1" t="s">
        <v>201</v>
      </c>
      <c r="K85" s="1">
        <v>0</v>
      </c>
      <c r="L85" s="1">
        <v>0</v>
      </c>
      <c r="M85" s="1">
        <v>0</v>
      </c>
      <c r="N85" s="1">
        <v>0</v>
      </c>
      <c r="O85" s="1" t="s">
        <v>305</v>
      </c>
      <c r="P85" s="1">
        <v>150</v>
      </c>
      <c r="Q85" s="14"/>
      <c r="R85" s="14">
        <f t="shared" si="10"/>
        <v>0</v>
      </c>
      <c r="T85" s="14"/>
      <c r="U85" s="14"/>
      <c r="V85" s="14"/>
      <c r="W85" s="14"/>
      <c r="X85" s="14"/>
      <c r="Y85" s="14"/>
      <c r="Z85" s="14"/>
      <c r="AB85" s="14"/>
      <c r="AC85" s="14"/>
      <c r="AD85" s="14"/>
    </row>
    <row r="86" s="1" customFormat="1" ht="51" spans="1:30">
      <c r="A86" s="14"/>
      <c r="B86" s="1" t="s">
        <v>306</v>
      </c>
      <c r="C86" s="1" t="s">
        <v>307</v>
      </c>
      <c r="D86" s="10" t="s">
        <v>308</v>
      </c>
      <c r="E86" s="1" t="s">
        <v>42</v>
      </c>
      <c r="F86" s="1" t="s">
        <v>43</v>
      </c>
      <c r="G86" s="1">
        <v>0.5</v>
      </c>
      <c r="I86" s="1">
        <v>10</v>
      </c>
      <c r="J86" s="1" t="s">
        <v>201</v>
      </c>
      <c r="K86" s="1">
        <v>0</v>
      </c>
      <c r="L86" s="1">
        <v>0</v>
      </c>
      <c r="M86" s="1">
        <v>0</v>
      </c>
      <c r="N86" s="1">
        <v>0</v>
      </c>
      <c r="O86" s="1" t="s">
        <v>305</v>
      </c>
      <c r="P86" s="1">
        <v>150</v>
      </c>
      <c r="Q86" s="14"/>
      <c r="R86" s="14">
        <f t="shared" si="10"/>
        <v>0</v>
      </c>
      <c r="T86" s="14"/>
      <c r="U86" s="14"/>
      <c r="V86" s="14"/>
      <c r="W86" s="14"/>
      <c r="X86" s="14"/>
      <c r="Y86" s="14"/>
      <c r="Z86" s="14"/>
      <c r="AB86" s="14"/>
      <c r="AC86" s="14"/>
      <c r="AD86" s="14"/>
    </row>
    <row r="87" s="1" customFormat="1" ht="51" spans="1:30">
      <c r="A87" s="14"/>
      <c r="B87" s="1" t="s">
        <v>309</v>
      </c>
      <c r="C87" s="1" t="s">
        <v>310</v>
      </c>
      <c r="D87" s="10" t="s">
        <v>311</v>
      </c>
      <c r="E87" s="1" t="s">
        <v>42</v>
      </c>
      <c r="F87" s="1" t="s">
        <v>43</v>
      </c>
      <c r="G87" s="1">
        <v>1</v>
      </c>
      <c r="I87" s="1">
        <v>100</v>
      </c>
      <c r="J87" s="1" t="s">
        <v>61</v>
      </c>
      <c r="K87" s="1">
        <v>0</v>
      </c>
      <c r="L87" s="1">
        <v>0</v>
      </c>
      <c r="M87" s="1">
        <v>0</v>
      </c>
      <c r="N87" s="1">
        <v>0</v>
      </c>
      <c r="P87" s="1">
        <v>150</v>
      </c>
      <c r="Q87" s="14"/>
      <c r="R87" s="14">
        <f t="shared" si="10"/>
        <v>0</v>
      </c>
      <c r="T87" s="14"/>
      <c r="U87" s="14"/>
      <c r="V87" s="14"/>
      <c r="W87" s="14"/>
      <c r="X87" s="14"/>
      <c r="Y87" s="14"/>
      <c r="Z87" s="14"/>
      <c r="AB87" s="14"/>
      <c r="AC87" s="14"/>
      <c r="AD87" s="14"/>
    </row>
    <row r="88" s="1" customFormat="1" ht="34" spans="1:30">
      <c r="A88" s="14"/>
      <c r="B88" s="1" t="s">
        <v>312</v>
      </c>
      <c r="C88" s="1" t="s">
        <v>313</v>
      </c>
      <c r="D88" s="10" t="s">
        <v>314</v>
      </c>
      <c r="E88" s="1" t="s">
        <v>48</v>
      </c>
      <c r="F88" s="1" t="s">
        <v>43</v>
      </c>
      <c r="G88" s="1">
        <v>15</v>
      </c>
      <c r="H88" s="1" t="s">
        <v>315</v>
      </c>
      <c r="I88" s="1">
        <v>100</v>
      </c>
      <c r="J88" s="1" t="s">
        <v>61</v>
      </c>
      <c r="K88" s="1">
        <v>0</v>
      </c>
      <c r="L88" s="1">
        <v>0</v>
      </c>
      <c r="M88" s="1">
        <v>0</v>
      </c>
      <c r="N88" s="1">
        <v>0</v>
      </c>
      <c r="O88" s="1" t="s">
        <v>305</v>
      </c>
      <c r="P88" s="1">
        <v>80</v>
      </c>
      <c r="Q88" s="14"/>
      <c r="R88" s="14">
        <f t="shared" si="10"/>
        <v>0</v>
      </c>
      <c r="T88" s="14"/>
      <c r="U88" s="14"/>
      <c r="V88" s="14"/>
      <c r="W88" s="14"/>
      <c r="X88" s="14"/>
      <c r="Y88" s="14"/>
      <c r="Z88" s="14"/>
      <c r="AB88" s="14"/>
      <c r="AC88" s="14"/>
      <c r="AD88" s="14"/>
    </row>
    <row r="89" s="1" customFormat="1" ht="34" spans="1:30">
      <c r="A89" s="14"/>
      <c r="B89" s="1" t="s">
        <v>316</v>
      </c>
      <c r="C89" s="1" t="s">
        <v>317</v>
      </c>
      <c r="D89" s="10" t="s">
        <v>318</v>
      </c>
      <c r="E89" s="1" t="s">
        <v>42</v>
      </c>
      <c r="F89" s="1" t="s">
        <v>43</v>
      </c>
      <c r="G89" s="1">
        <v>0.1</v>
      </c>
      <c r="I89" s="1">
        <v>10</v>
      </c>
      <c r="J89" s="1" t="s">
        <v>201</v>
      </c>
      <c r="K89" s="1">
        <v>0</v>
      </c>
      <c r="L89" s="1">
        <v>0</v>
      </c>
      <c r="M89" s="1">
        <v>0</v>
      </c>
      <c r="N89" s="1">
        <v>0</v>
      </c>
      <c r="O89" s="1" t="s">
        <v>319</v>
      </c>
      <c r="P89" s="1">
        <v>240</v>
      </c>
      <c r="Q89" s="14"/>
      <c r="R89" s="14">
        <f t="shared" si="10"/>
        <v>0</v>
      </c>
      <c r="T89" s="14"/>
      <c r="U89" s="14"/>
      <c r="V89" s="14"/>
      <c r="W89" s="14"/>
      <c r="X89" s="14"/>
      <c r="Y89" s="14"/>
      <c r="Z89" s="14"/>
      <c r="AB89" s="14"/>
      <c r="AC89" s="14"/>
      <c r="AD89" s="14"/>
    </row>
    <row r="90" s="1" customFormat="1" ht="34" spans="1:30">
      <c r="A90" s="14"/>
      <c r="B90" s="1" t="s">
        <v>320</v>
      </c>
      <c r="C90" s="1" t="s">
        <v>321</v>
      </c>
      <c r="D90" s="10" t="s">
        <v>322</v>
      </c>
      <c r="E90" s="1" t="s">
        <v>67</v>
      </c>
      <c r="F90" s="1" t="s">
        <v>43</v>
      </c>
      <c r="G90" s="1">
        <v>10</v>
      </c>
      <c r="I90" s="1">
        <v>100</v>
      </c>
      <c r="J90" s="1" t="s">
        <v>61</v>
      </c>
      <c r="K90" s="1">
        <v>0</v>
      </c>
      <c r="L90" s="1">
        <v>0</v>
      </c>
      <c r="M90" s="1">
        <v>0</v>
      </c>
      <c r="N90" s="1">
        <v>0</v>
      </c>
      <c r="O90" s="1" t="s">
        <v>319</v>
      </c>
      <c r="P90" s="1">
        <v>80</v>
      </c>
      <c r="Q90" s="14"/>
      <c r="R90" s="14">
        <f t="shared" si="10"/>
        <v>0</v>
      </c>
      <c r="T90" s="14"/>
      <c r="U90" s="14"/>
      <c r="V90" s="14"/>
      <c r="W90" s="14"/>
      <c r="X90" s="14"/>
      <c r="Y90" s="14"/>
      <c r="Z90" s="14"/>
      <c r="AB90" s="14"/>
      <c r="AC90" s="14"/>
      <c r="AD90" s="14"/>
    </row>
    <row r="91" s="1" customFormat="1" ht="34" spans="1:30">
      <c r="A91" s="14"/>
      <c r="B91" s="1" t="s">
        <v>323</v>
      </c>
      <c r="C91" s="1" t="s">
        <v>324</v>
      </c>
      <c r="D91" s="10" t="s">
        <v>325</v>
      </c>
      <c r="E91" s="1" t="s">
        <v>42</v>
      </c>
      <c r="F91" s="1" t="s">
        <v>43</v>
      </c>
      <c r="G91" s="1">
        <v>2</v>
      </c>
      <c r="I91" s="1">
        <v>30</v>
      </c>
      <c r="J91" s="1" t="s">
        <v>44</v>
      </c>
      <c r="K91" s="1">
        <v>0</v>
      </c>
      <c r="L91" s="1">
        <v>0</v>
      </c>
      <c r="M91" s="1">
        <v>0</v>
      </c>
      <c r="N91" s="1">
        <v>0</v>
      </c>
      <c r="O91" s="1" t="s">
        <v>319</v>
      </c>
      <c r="P91" s="1">
        <v>150</v>
      </c>
      <c r="Q91" s="14"/>
      <c r="R91" s="14">
        <f t="shared" si="10"/>
        <v>0</v>
      </c>
      <c r="T91" s="14"/>
      <c r="U91" s="14"/>
      <c r="V91" s="14"/>
      <c r="W91" s="14"/>
      <c r="X91" s="14"/>
      <c r="Y91" s="14"/>
      <c r="Z91" s="14"/>
      <c r="AB91" s="14"/>
      <c r="AC91" s="14"/>
      <c r="AD91" s="14"/>
    </row>
    <row r="92" s="1" customFormat="1" ht="34" spans="1:30">
      <c r="A92" s="14"/>
      <c r="B92" s="1" t="s">
        <v>326</v>
      </c>
      <c r="C92" s="1" t="s">
        <v>327</v>
      </c>
      <c r="D92" s="10" t="s">
        <v>328</v>
      </c>
      <c r="E92" s="1" t="s">
        <v>48</v>
      </c>
      <c r="F92" s="1" t="s">
        <v>43</v>
      </c>
      <c r="G92" s="1">
        <v>10</v>
      </c>
      <c r="H92" s="1" t="s">
        <v>329</v>
      </c>
      <c r="I92" s="1">
        <v>100</v>
      </c>
      <c r="J92" s="1" t="s">
        <v>61</v>
      </c>
      <c r="K92" s="1">
        <v>0</v>
      </c>
      <c r="L92" s="1">
        <v>0</v>
      </c>
      <c r="M92" s="1">
        <v>0</v>
      </c>
      <c r="N92" s="1">
        <v>0</v>
      </c>
      <c r="O92" s="1" t="s">
        <v>319</v>
      </c>
      <c r="P92" s="1">
        <v>80</v>
      </c>
      <c r="Q92" s="14"/>
      <c r="R92" s="14">
        <f t="shared" si="10"/>
        <v>0</v>
      </c>
      <c r="T92" s="14"/>
      <c r="U92" s="14"/>
      <c r="V92" s="14"/>
      <c r="W92" s="14"/>
      <c r="X92" s="14"/>
      <c r="Y92" s="14"/>
      <c r="Z92" s="14"/>
      <c r="AB92" s="14"/>
      <c r="AC92" s="14"/>
      <c r="AD92" s="14"/>
    </row>
    <row r="93" s="1" customFormat="1" ht="17" spans="1:30">
      <c r="A93" s="14"/>
      <c r="B93" s="1" t="s">
        <v>330</v>
      </c>
      <c r="C93" s="1" t="s">
        <v>331</v>
      </c>
      <c r="D93" s="10" t="s">
        <v>332</v>
      </c>
      <c r="E93" s="1" t="s">
        <v>67</v>
      </c>
      <c r="F93" s="1" t="s">
        <v>43</v>
      </c>
      <c r="G93" s="1">
        <v>20</v>
      </c>
      <c r="I93" s="1">
        <v>100</v>
      </c>
      <c r="J93" s="1" t="s">
        <v>61</v>
      </c>
      <c r="K93" s="1">
        <v>0</v>
      </c>
      <c r="L93" s="1">
        <v>0</v>
      </c>
      <c r="M93" s="1">
        <v>0</v>
      </c>
      <c r="N93" s="1">
        <v>0</v>
      </c>
      <c r="O93" s="1" t="s">
        <v>319</v>
      </c>
      <c r="P93" s="1">
        <v>80</v>
      </c>
      <c r="Q93" s="14"/>
      <c r="R93" s="14">
        <f t="shared" si="10"/>
        <v>0</v>
      </c>
      <c r="T93" s="14"/>
      <c r="U93" s="14"/>
      <c r="V93" s="14"/>
      <c r="W93" s="14"/>
      <c r="X93" s="14"/>
      <c r="Y93" s="14"/>
      <c r="Z93" s="14"/>
      <c r="AB93" s="14"/>
      <c r="AC93" s="14"/>
      <c r="AD93" s="14"/>
    </row>
    <row r="94" s="1" customFormat="1" ht="34" spans="1:30">
      <c r="A94" s="14"/>
      <c r="B94" s="14" t="s">
        <v>333</v>
      </c>
      <c r="C94" s="14" t="s">
        <v>334</v>
      </c>
      <c r="D94" s="10" t="s">
        <v>335</v>
      </c>
      <c r="E94" s="1" t="s">
        <v>200</v>
      </c>
      <c r="F94" s="14" t="s">
        <v>43</v>
      </c>
      <c r="G94" s="14">
        <v>2</v>
      </c>
      <c r="H94" s="14"/>
      <c r="I94" s="14">
        <v>10</v>
      </c>
      <c r="J94" s="14" t="s">
        <v>201</v>
      </c>
      <c r="K94" s="14">
        <v>0</v>
      </c>
      <c r="L94" s="14">
        <v>0</v>
      </c>
      <c r="M94" s="14">
        <v>0</v>
      </c>
      <c r="N94" s="14">
        <v>0</v>
      </c>
      <c r="O94" s="14" t="s">
        <v>305</v>
      </c>
      <c r="P94" s="14">
        <v>240</v>
      </c>
      <c r="Q94" s="14"/>
      <c r="R94" s="14"/>
      <c r="T94" s="14"/>
      <c r="U94" s="14"/>
      <c r="V94" s="14"/>
      <c r="W94" s="14"/>
      <c r="X94" s="14"/>
      <c r="Y94" s="14"/>
      <c r="Z94" s="14"/>
      <c r="AB94" s="14"/>
      <c r="AC94" s="14"/>
      <c r="AD94" s="14"/>
    </row>
    <row r="95" s="13" customFormat="1" ht="51" spans="2:16">
      <c r="B95" s="14" t="s">
        <v>336</v>
      </c>
      <c r="C95" s="14" t="s">
        <v>337</v>
      </c>
      <c r="D95" s="15" t="s">
        <v>338</v>
      </c>
      <c r="E95" s="13" t="s">
        <v>48</v>
      </c>
      <c r="F95" s="14" t="s">
        <v>43</v>
      </c>
      <c r="G95" s="14">
        <v>30</v>
      </c>
      <c r="H95" s="14" t="s">
        <v>339</v>
      </c>
      <c r="I95" s="14">
        <v>300</v>
      </c>
      <c r="J95" s="14" t="s">
        <v>50</v>
      </c>
      <c r="K95" s="14">
        <v>0</v>
      </c>
      <c r="L95" s="14">
        <v>0</v>
      </c>
      <c r="M95" s="14">
        <v>0</v>
      </c>
      <c r="N95" s="14">
        <v>0</v>
      </c>
      <c r="O95" s="14"/>
      <c r="P95" s="14">
        <v>40</v>
      </c>
    </row>
    <row r="96" s="13" customFormat="1" ht="51" spans="2:16">
      <c r="B96" s="14" t="s">
        <v>340</v>
      </c>
      <c r="C96" s="14" t="s">
        <v>341</v>
      </c>
      <c r="D96" s="15" t="s">
        <v>342</v>
      </c>
      <c r="E96" s="13" t="s">
        <v>67</v>
      </c>
      <c r="F96" s="14" t="s">
        <v>43</v>
      </c>
      <c r="G96" s="14">
        <v>1</v>
      </c>
      <c r="H96" s="14" t="s">
        <v>339</v>
      </c>
      <c r="I96" s="14">
        <v>100</v>
      </c>
      <c r="J96" s="14" t="s">
        <v>61</v>
      </c>
      <c r="K96" s="14">
        <v>0</v>
      </c>
      <c r="L96" s="14">
        <v>0</v>
      </c>
      <c r="M96" s="14">
        <v>0</v>
      </c>
      <c r="N96" s="14">
        <v>0</v>
      </c>
      <c r="O96" s="14" t="s">
        <v>301</v>
      </c>
      <c r="P96" s="14">
        <v>80</v>
      </c>
    </row>
    <row r="97" s="13" customFormat="1" ht="51" spans="2:16">
      <c r="B97" s="14" t="s">
        <v>343</v>
      </c>
      <c r="C97" s="14" t="s">
        <v>344</v>
      </c>
      <c r="D97" s="15" t="s">
        <v>345</v>
      </c>
      <c r="E97" s="13" t="s">
        <v>67</v>
      </c>
      <c r="F97" s="14" t="s">
        <v>43</v>
      </c>
      <c r="G97" s="14">
        <v>10</v>
      </c>
      <c r="H97" s="14" t="s">
        <v>346</v>
      </c>
      <c r="I97" s="14">
        <v>100</v>
      </c>
      <c r="J97" s="14" t="s">
        <v>61</v>
      </c>
      <c r="K97" s="14">
        <v>0</v>
      </c>
      <c r="L97" s="14">
        <v>0</v>
      </c>
      <c r="M97" s="14">
        <v>0</v>
      </c>
      <c r="N97" s="14">
        <v>0</v>
      </c>
      <c r="O97" s="14"/>
      <c r="P97" s="14">
        <v>80</v>
      </c>
    </row>
    <row r="98" s="13" customFormat="1" ht="51" spans="2:16">
      <c r="B98" s="14" t="s">
        <v>347</v>
      </c>
      <c r="C98" s="14" t="s">
        <v>348</v>
      </c>
      <c r="D98" s="15" t="s">
        <v>349</v>
      </c>
      <c r="E98" s="13" t="s">
        <v>42</v>
      </c>
      <c r="F98" s="14" t="s">
        <v>43</v>
      </c>
      <c r="G98" s="14">
        <v>0.1</v>
      </c>
      <c r="H98" s="14" t="s">
        <v>350</v>
      </c>
      <c r="I98" s="14">
        <v>30</v>
      </c>
      <c r="J98" s="14" t="s">
        <v>44</v>
      </c>
      <c r="K98" s="14">
        <v>0</v>
      </c>
      <c r="L98" s="14">
        <v>0</v>
      </c>
      <c r="M98" s="14">
        <v>0</v>
      </c>
      <c r="N98" s="14">
        <v>0</v>
      </c>
      <c r="O98" s="14"/>
      <c r="P98" s="14">
        <v>150</v>
      </c>
    </row>
    <row r="99" s="13" customFormat="1" ht="51" spans="2:16">
      <c r="B99" s="14" t="s">
        <v>351</v>
      </c>
      <c r="C99" s="14" t="s">
        <v>352</v>
      </c>
      <c r="D99" s="15" t="s">
        <v>353</v>
      </c>
      <c r="E99" s="13" t="s">
        <v>67</v>
      </c>
      <c r="F99" s="14" t="s">
        <v>43</v>
      </c>
      <c r="G99" s="14">
        <v>50</v>
      </c>
      <c r="H99" s="14" t="s">
        <v>354</v>
      </c>
      <c r="I99" s="14">
        <v>100</v>
      </c>
      <c r="J99" s="14" t="s">
        <v>61</v>
      </c>
      <c r="K99" s="14">
        <v>0</v>
      </c>
      <c r="L99" s="14">
        <v>0</v>
      </c>
      <c r="M99" s="14">
        <v>0</v>
      </c>
      <c r="N99" s="14">
        <v>0</v>
      </c>
      <c r="O99" s="14"/>
      <c r="P99" s="14">
        <v>80</v>
      </c>
    </row>
    <row r="100" s="13" customFormat="1" ht="51" spans="2:16">
      <c r="B100" s="14" t="s">
        <v>355</v>
      </c>
      <c r="C100" s="14" t="s">
        <v>356</v>
      </c>
      <c r="D100" s="15" t="s">
        <v>357</v>
      </c>
      <c r="E100" s="13" t="s">
        <v>67</v>
      </c>
      <c r="F100" s="14" t="s">
        <v>43</v>
      </c>
      <c r="G100" s="14">
        <v>0.5</v>
      </c>
      <c r="H100" s="14" t="s">
        <v>358</v>
      </c>
      <c r="I100" s="14">
        <v>100</v>
      </c>
      <c r="J100" s="14" t="s">
        <v>61</v>
      </c>
      <c r="K100" s="14">
        <v>0</v>
      </c>
      <c r="L100" s="14">
        <v>0</v>
      </c>
      <c r="M100" s="14">
        <v>0</v>
      </c>
      <c r="N100" s="14">
        <v>0</v>
      </c>
      <c r="O100" s="14"/>
      <c r="P100" s="14">
        <v>80</v>
      </c>
    </row>
    <row r="101" s="13" customFormat="1" ht="51" spans="2:16">
      <c r="B101" s="14" t="s">
        <v>359</v>
      </c>
      <c r="C101" s="14" t="s">
        <v>360</v>
      </c>
      <c r="D101" s="15" t="s">
        <v>361</v>
      </c>
      <c r="E101" s="13" t="s">
        <v>42</v>
      </c>
      <c r="F101" s="14" t="s">
        <v>43</v>
      </c>
      <c r="G101" s="14">
        <v>1</v>
      </c>
      <c r="H101" s="14" t="s">
        <v>362</v>
      </c>
      <c r="I101" s="14">
        <v>30</v>
      </c>
      <c r="J101" s="14" t="s">
        <v>44</v>
      </c>
      <c r="K101" s="14">
        <v>0</v>
      </c>
      <c r="L101" s="14">
        <v>0</v>
      </c>
      <c r="M101" s="14">
        <v>0</v>
      </c>
      <c r="N101" s="14">
        <v>0</v>
      </c>
      <c r="O101" s="14"/>
      <c r="P101" s="14">
        <v>150</v>
      </c>
    </row>
    <row r="102" s="13" customFormat="1" ht="51" spans="2:16">
      <c r="B102" s="14" t="s">
        <v>363</v>
      </c>
      <c r="C102" s="14" t="s">
        <v>364</v>
      </c>
      <c r="D102" s="15" t="s">
        <v>365</v>
      </c>
      <c r="E102" s="13" t="s">
        <v>42</v>
      </c>
      <c r="F102" s="14" t="s">
        <v>43</v>
      </c>
      <c r="G102" s="14">
        <v>10</v>
      </c>
      <c r="H102" s="14" t="s">
        <v>366</v>
      </c>
      <c r="I102" s="14">
        <v>30</v>
      </c>
      <c r="J102" s="14" t="s">
        <v>44</v>
      </c>
      <c r="K102" s="14">
        <v>0</v>
      </c>
      <c r="L102" s="14">
        <v>0</v>
      </c>
      <c r="M102" s="14">
        <v>0</v>
      </c>
      <c r="N102" s="14">
        <v>0</v>
      </c>
      <c r="O102" s="14"/>
      <c r="P102" s="14">
        <v>150</v>
      </c>
    </row>
    <row r="103" s="13" customFormat="1" ht="51" spans="2:16">
      <c r="B103" s="14" t="s">
        <v>367</v>
      </c>
      <c r="C103" s="14" t="s">
        <v>368</v>
      </c>
      <c r="D103" s="15" t="s">
        <v>369</v>
      </c>
      <c r="E103" s="13" t="s">
        <v>67</v>
      </c>
      <c r="F103" s="14" t="s">
        <v>43</v>
      </c>
      <c r="G103" s="14">
        <v>0.1</v>
      </c>
      <c r="H103" s="14"/>
      <c r="I103" s="14">
        <v>100</v>
      </c>
      <c r="J103" s="14" t="s">
        <v>61</v>
      </c>
      <c r="K103" s="14">
        <v>0</v>
      </c>
      <c r="L103" s="14">
        <v>0</v>
      </c>
      <c r="M103" s="14">
        <v>0</v>
      </c>
      <c r="N103" s="14">
        <v>0</v>
      </c>
      <c r="O103" s="14"/>
      <c r="P103" s="14">
        <v>80</v>
      </c>
    </row>
    <row r="104" s="1" customFormat="1" ht="51" spans="2:18">
      <c r="B104" s="13" t="s">
        <v>370</v>
      </c>
      <c r="C104" s="13" t="s">
        <v>371</v>
      </c>
      <c r="D104" s="15" t="s">
        <v>372</v>
      </c>
      <c r="E104" s="13" t="s">
        <v>48</v>
      </c>
      <c r="F104" s="13" t="s">
        <v>43</v>
      </c>
      <c r="G104" s="13">
        <v>10</v>
      </c>
      <c r="H104" s="13"/>
      <c r="I104" s="13">
        <v>300</v>
      </c>
      <c r="J104" s="13" t="s">
        <v>50</v>
      </c>
      <c r="K104" s="13">
        <v>0</v>
      </c>
      <c r="L104" s="13">
        <v>0</v>
      </c>
      <c r="M104" s="13">
        <v>0</v>
      </c>
      <c r="N104" s="13">
        <v>0</v>
      </c>
      <c r="O104" s="13"/>
      <c r="P104" s="13">
        <v>40</v>
      </c>
      <c r="Q104" s="13"/>
      <c r="R104" s="13"/>
    </row>
    <row r="105" ht="34" spans="2:16">
      <c r="B105" s="14" t="s">
        <v>373</v>
      </c>
      <c r="C105" s="14" t="s">
        <v>374</v>
      </c>
      <c r="D105" s="10" t="s">
        <v>375</v>
      </c>
      <c r="E105" s="13" t="s">
        <v>67</v>
      </c>
      <c r="F105" s="14" t="s">
        <v>43</v>
      </c>
      <c r="G105" s="14">
        <v>10</v>
      </c>
      <c r="H105" s="14" t="s">
        <v>376</v>
      </c>
      <c r="I105" s="14">
        <v>100</v>
      </c>
      <c r="J105" s="14" t="s">
        <v>61</v>
      </c>
      <c r="K105" s="14">
        <v>0</v>
      </c>
      <c r="L105" s="14">
        <v>0</v>
      </c>
      <c r="M105" s="14">
        <v>0</v>
      </c>
      <c r="N105" s="14">
        <v>0</v>
      </c>
      <c r="O105" s="14"/>
      <c r="P105" s="14">
        <v>80</v>
      </c>
    </row>
    <row r="106" ht="34" spans="2:16">
      <c r="B106" s="14" t="s">
        <v>377</v>
      </c>
      <c r="C106" s="14" t="s">
        <v>378</v>
      </c>
      <c r="D106" s="10" t="s">
        <v>379</v>
      </c>
      <c r="E106" s="13" t="s">
        <v>67</v>
      </c>
      <c r="F106" s="14" t="s">
        <v>43</v>
      </c>
      <c r="G106" s="14">
        <v>10</v>
      </c>
      <c r="H106" s="14" t="s">
        <v>380</v>
      </c>
      <c r="I106" s="14">
        <v>100</v>
      </c>
      <c r="J106" s="14" t="s">
        <v>61</v>
      </c>
      <c r="K106" s="14">
        <v>0</v>
      </c>
      <c r="L106" s="14">
        <v>0</v>
      </c>
      <c r="M106" s="14">
        <v>0</v>
      </c>
      <c r="N106" s="14">
        <v>0</v>
      </c>
      <c r="O106" s="14"/>
      <c r="P106" s="14">
        <v>80</v>
      </c>
    </row>
    <row r="107" ht="51" spans="2:16">
      <c r="B107" s="14" t="s">
        <v>381</v>
      </c>
      <c r="C107" s="14" t="s">
        <v>382</v>
      </c>
      <c r="D107" s="10" t="s">
        <v>383</v>
      </c>
      <c r="E107" s="1" t="s">
        <v>42</v>
      </c>
      <c r="F107" s="14" t="s">
        <v>43</v>
      </c>
      <c r="G107" s="14">
        <v>1</v>
      </c>
      <c r="H107" s="14"/>
      <c r="I107" s="14">
        <v>30</v>
      </c>
      <c r="J107" s="14" t="s">
        <v>44</v>
      </c>
      <c r="K107" s="14">
        <v>0</v>
      </c>
      <c r="L107" s="14">
        <v>0</v>
      </c>
      <c r="M107" s="14">
        <v>0</v>
      </c>
      <c r="N107" s="14">
        <v>0</v>
      </c>
      <c r="O107" s="14"/>
      <c r="P107" s="14">
        <v>150</v>
      </c>
    </row>
    <row r="108" ht="34" spans="2:16">
      <c r="B108" s="14" t="s">
        <v>384</v>
      </c>
      <c r="C108" s="14" t="s">
        <v>385</v>
      </c>
      <c r="D108" s="10" t="s">
        <v>386</v>
      </c>
      <c r="E108" s="1" t="s">
        <v>200</v>
      </c>
      <c r="F108" s="14" t="s">
        <v>43</v>
      </c>
      <c r="G108" s="14">
        <v>0</v>
      </c>
      <c r="H108" s="14" t="s">
        <v>387</v>
      </c>
      <c r="I108" s="14">
        <v>10</v>
      </c>
      <c r="J108" s="14" t="s">
        <v>201</v>
      </c>
      <c r="K108" s="14">
        <v>0</v>
      </c>
      <c r="L108" s="14">
        <v>0</v>
      </c>
      <c r="M108" s="14">
        <v>0</v>
      </c>
      <c r="N108" s="14">
        <v>0</v>
      </c>
      <c r="O108" s="14" t="s">
        <v>319</v>
      </c>
      <c r="P108" s="14">
        <v>240</v>
      </c>
    </row>
    <row r="109" ht="34" spans="2:16">
      <c r="B109" s="14" t="s">
        <v>388</v>
      </c>
      <c r="C109" s="14" t="s">
        <v>389</v>
      </c>
      <c r="D109" s="10" t="s">
        <v>390</v>
      </c>
      <c r="E109" s="1" t="s">
        <v>200</v>
      </c>
      <c r="F109" s="14" t="s">
        <v>43</v>
      </c>
      <c r="G109" s="14">
        <v>1</v>
      </c>
      <c r="H109" s="14" t="s">
        <v>391</v>
      </c>
      <c r="I109" s="14">
        <v>10</v>
      </c>
      <c r="J109" s="14" t="s">
        <v>201</v>
      </c>
      <c r="K109" s="14">
        <v>0</v>
      </c>
      <c r="L109" s="14">
        <v>0</v>
      </c>
      <c r="M109" s="14">
        <v>0</v>
      </c>
      <c r="N109" s="14">
        <v>0</v>
      </c>
      <c r="O109" s="14"/>
      <c r="P109" s="14">
        <v>240</v>
      </c>
    </row>
    <row r="110" ht="34" spans="2:16">
      <c r="B110" s="14" t="s">
        <v>392</v>
      </c>
      <c r="C110" s="14" t="s">
        <v>393</v>
      </c>
      <c r="D110" s="10" t="s">
        <v>394</v>
      </c>
      <c r="E110" s="1" t="s">
        <v>200</v>
      </c>
      <c r="F110" s="14" t="s">
        <v>43</v>
      </c>
      <c r="G110" s="14">
        <v>3</v>
      </c>
      <c r="H110" s="14"/>
      <c r="I110" s="14">
        <v>10</v>
      </c>
      <c r="J110" s="14" t="s">
        <v>201</v>
      </c>
      <c r="K110" s="14">
        <v>0</v>
      </c>
      <c r="L110" s="14">
        <v>0</v>
      </c>
      <c r="M110" s="14">
        <v>0</v>
      </c>
      <c r="N110" s="14">
        <v>0</v>
      </c>
      <c r="O110" s="14"/>
      <c r="P110" s="14">
        <v>240</v>
      </c>
    </row>
    <row r="111" ht="34" spans="2:16">
      <c r="B111" s="14" t="s">
        <v>395</v>
      </c>
      <c r="C111" s="14" t="s">
        <v>396</v>
      </c>
      <c r="D111" s="10" t="s">
        <v>397</v>
      </c>
      <c r="E111" s="1" t="s">
        <v>48</v>
      </c>
      <c r="F111" s="14" t="s">
        <v>43</v>
      </c>
      <c r="G111" s="14">
        <v>0.5</v>
      </c>
      <c r="H111" s="14" t="s">
        <v>398</v>
      </c>
      <c r="I111" s="14">
        <v>300</v>
      </c>
      <c r="J111" s="14" t="s">
        <v>50</v>
      </c>
      <c r="K111" s="14">
        <v>0</v>
      </c>
      <c r="L111" s="14">
        <v>0</v>
      </c>
      <c r="M111" s="14">
        <v>0</v>
      </c>
      <c r="N111" s="14">
        <v>0</v>
      </c>
      <c r="O111" s="14"/>
      <c r="P111" s="14">
        <v>40</v>
      </c>
    </row>
    <row r="112" spans="2:16">
      <c r="B112" s="14" t="s">
        <v>399</v>
      </c>
      <c r="C112" s="14" t="s">
        <v>400</v>
      </c>
      <c r="D112" s="1" t="s">
        <v>401</v>
      </c>
      <c r="E112" s="13" t="s">
        <v>67</v>
      </c>
      <c r="F112" s="14" t="s">
        <v>43</v>
      </c>
      <c r="G112" s="14">
        <v>2</v>
      </c>
      <c r="H112" s="14"/>
      <c r="I112" s="14">
        <v>100</v>
      </c>
      <c r="J112" s="14" t="s">
        <v>61</v>
      </c>
      <c r="K112" s="14">
        <v>0</v>
      </c>
      <c r="L112" s="14">
        <v>0</v>
      </c>
      <c r="M112" s="14">
        <v>0</v>
      </c>
      <c r="N112" s="14">
        <v>0</v>
      </c>
      <c r="O112" s="14"/>
      <c r="P112" s="14">
        <v>80</v>
      </c>
    </row>
    <row r="113" spans="2:16">
      <c r="B113" s="14" t="s">
        <v>402</v>
      </c>
      <c r="C113" s="14" t="s">
        <v>403</v>
      </c>
      <c r="D113" s="1" t="s">
        <v>404</v>
      </c>
      <c r="E113" s="1" t="s">
        <v>200</v>
      </c>
      <c r="F113" s="14" t="s">
        <v>43</v>
      </c>
      <c r="G113" s="14">
        <v>0</v>
      </c>
      <c r="H113" s="14"/>
      <c r="I113" s="14">
        <v>10</v>
      </c>
      <c r="J113" s="14" t="s">
        <v>201</v>
      </c>
      <c r="K113" s="14">
        <v>0</v>
      </c>
      <c r="L113" s="14">
        <v>0</v>
      </c>
      <c r="M113" s="14">
        <v>0</v>
      </c>
      <c r="N113" s="14">
        <v>0</v>
      </c>
      <c r="O113" s="14"/>
      <c r="P113" s="14">
        <v>240</v>
      </c>
    </row>
    <row r="114" spans="2:16">
      <c r="B114" s="14" t="s">
        <v>405</v>
      </c>
      <c r="C114" s="14" t="s">
        <v>406</v>
      </c>
      <c r="D114" s="1" t="s">
        <v>407</v>
      </c>
      <c r="E114" s="1" t="s">
        <v>42</v>
      </c>
      <c r="F114" s="14" t="s">
        <v>43</v>
      </c>
      <c r="G114" s="14">
        <v>0</v>
      </c>
      <c r="H114" s="14"/>
      <c r="I114" s="14">
        <v>30</v>
      </c>
      <c r="J114" s="14" t="s">
        <v>44</v>
      </c>
      <c r="K114" s="14">
        <v>0</v>
      </c>
      <c r="L114" s="14">
        <v>0</v>
      </c>
      <c r="M114" s="14">
        <v>0</v>
      </c>
      <c r="N114" s="14">
        <v>0</v>
      </c>
      <c r="O114" s="14"/>
      <c r="P114" s="14">
        <v>150</v>
      </c>
    </row>
    <row r="115" spans="2:16">
      <c r="B115" s="14" t="s">
        <v>408</v>
      </c>
      <c r="C115" s="14" t="s">
        <v>409</v>
      </c>
      <c r="D115" s="1" t="s">
        <v>410</v>
      </c>
      <c r="E115" s="13" t="s">
        <v>48</v>
      </c>
      <c r="F115" s="14" t="s">
        <v>43</v>
      </c>
      <c r="G115" s="14">
        <v>15</v>
      </c>
      <c r="H115" s="14"/>
      <c r="I115" s="14">
        <v>300</v>
      </c>
      <c r="J115" s="14" t="s">
        <v>50</v>
      </c>
      <c r="K115" s="14">
        <v>0</v>
      </c>
      <c r="L115" s="14">
        <v>0</v>
      </c>
      <c r="M115" s="14">
        <v>0</v>
      </c>
      <c r="N115" s="14">
        <v>0</v>
      </c>
      <c r="O115" s="14"/>
      <c r="P115" s="14">
        <v>40</v>
      </c>
    </row>
    <row r="116" spans="2:16">
      <c r="B116" s="14" t="s">
        <v>411</v>
      </c>
      <c r="C116" s="14" t="s">
        <v>412</v>
      </c>
      <c r="D116" s="1" t="s">
        <v>413</v>
      </c>
      <c r="E116" s="13" t="s">
        <v>48</v>
      </c>
      <c r="F116" s="14" t="s">
        <v>43</v>
      </c>
      <c r="G116" s="14">
        <v>1</v>
      </c>
      <c r="H116" s="14"/>
      <c r="I116" s="14">
        <v>300</v>
      </c>
      <c r="J116" s="14" t="s">
        <v>50</v>
      </c>
      <c r="K116" s="14">
        <v>0</v>
      </c>
      <c r="L116" s="14">
        <v>0</v>
      </c>
      <c r="M116" s="14">
        <v>0</v>
      </c>
      <c r="N116" s="14">
        <v>0</v>
      </c>
      <c r="O116" s="14"/>
      <c r="P116" s="14">
        <v>40</v>
      </c>
    </row>
    <row r="117" spans="2:16">
      <c r="B117" s="14" t="s">
        <v>414</v>
      </c>
      <c r="C117" s="14" t="s">
        <v>415</v>
      </c>
      <c r="D117" s="1" t="s">
        <v>413</v>
      </c>
      <c r="E117" s="13" t="s">
        <v>67</v>
      </c>
      <c r="F117" s="14" t="s">
        <v>43</v>
      </c>
      <c r="G117" s="14">
        <v>1</v>
      </c>
      <c r="H117" s="14"/>
      <c r="I117" s="14">
        <v>100</v>
      </c>
      <c r="J117" s="14" t="s">
        <v>61</v>
      </c>
      <c r="K117" s="14">
        <v>0</v>
      </c>
      <c r="L117" s="14">
        <v>0</v>
      </c>
      <c r="M117" s="14">
        <v>0</v>
      </c>
      <c r="N117" s="14">
        <v>0</v>
      </c>
      <c r="O117" s="14"/>
      <c r="P117" s="14">
        <v>80</v>
      </c>
    </row>
    <row r="118" spans="2:16">
      <c r="B118" s="14" t="s">
        <v>416</v>
      </c>
      <c r="C118" s="14" t="s">
        <v>417</v>
      </c>
      <c r="D118" s="1" t="s">
        <v>418</v>
      </c>
      <c r="E118" s="1" t="s">
        <v>48</v>
      </c>
      <c r="F118" s="14" t="s">
        <v>43</v>
      </c>
      <c r="G118" s="14">
        <v>1</v>
      </c>
      <c r="H118" s="14"/>
      <c r="I118" s="14">
        <v>300</v>
      </c>
      <c r="J118" s="14" t="s">
        <v>50</v>
      </c>
      <c r="K118" s="14">
        <v>0</v>
      </c>
      <c r="L118" s="14">
        <v>0</v>
      </c>
      <c r="M118" s="14">
        <v>0</v>
      </c>
      <c r="N118" s="14">
        <v>0</v>
      </c>
      <c r="O118" s="14"/>
      <c r="P118" s="14">
        <v>40</v>
      </c>
    </row>
    <row r="119" spans="2:16">
      <c r="B119" s="14" t="s">
        <v>419</v>
      </c>
      <c r="C119" s="14" t="s">
        <v>420</v>
      </c>
      <c r="D119" s="1" t="s">
        <v>421</v>
      </c>
      <c r="E119" s="13" t="s">
        <v>67</v>
      </c>
      <c r="F119" s="14" t="s">
        <v>43</v>
      </c>
      <c r="G119" s="14">
        <v>2</v>
      </c>
      <c r="H119" s="14"/>
      <c r="I119" s="14">
        <v>100</v>
      </c>
      <c r="J119" s="14" t="s">
        <v>61</v>
      </c>
      <c r="K119" s="14">
        <v>0</v>
      </c>
      <c r="L119" s="14">
        <v>0</v>
      </c>
      <c r="M119" s="14">
        <v>0</v>
      </c>
      <c r="N119" s="14">
        <v>0</v>
      </c>
      <c r="O119" s="14"/>
      <c r="P119" s="14">
        <v>80</v>
      </c>
    </row>
    <row r="120" spans="2:16">
      <c r="B120" s="14" t="s">
        <v>422</v>
      </c>
      <c r="C120" s="14" t="s">
        <v>423</v>
      </c>
      <c r="D120" s="1" t="s">
        <v>424</v>
      </c>
      <c r="E120" s="13" t="s">
        <v>67</v>
      </c>
      <c r="F120" s="14" t="s">
        <v>43</v>
      </c>
      <c r="G120" s="14">
        <v>0.25</v>
      </c>
      <c r="H120" s="14"/>
      <c r="I120" s="14">
        <v>100</v>
      </c>
      <c r="J120" s="14" t="s">
        <v>61</v>
      </c>
      <c r="K120" s="14">
        <v>0</v>
      </c>
      <c r="L120" s="14">
        <v>0</v>
      </c>
      <c r="M120" s="14">
        <v>0</v>
      </c>
      <c r="N120" s="14">
        <v>0</v>
      </c>
      <c r="O120" s="14"/>
      <c r="P120" s="14">
        <v>80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425</v>
      </c>
      <c r="G1" s="7" t="s">
        <v>6</v>
      </c>
      <c r="H1" s="7" t="s">
        <v>7</v>
      </c>
      <c r="I1" s="7" t="s">
        <v>8</v>
      </c>
      <c r="J1" s="7" t="s">
        <v>426</v>
      </c>
      <c r="K1" s="7" t="s">
        <v>427</v>
      </c>
      <c r="L1" s="7" t="s">
        <v>14</v>
      </c>
      <c r="M1" s="1" t="s">
        <v>15</v>
      </c>
      <c r="N1" s="1" t="s">
        <v>428</v>
      </c>
    </row>
    <row r="2" ht="16.5" customHeight="1" spans="1:14">
      <c r="A2" s="7" t="s">
        <v>16</v>
      </c>
      <c r="B2" s="1" t="s">
        <v>429</v>
      </c>
      <c r="C2" s="1" t="s">
        <v>430</v>
      </c>
      <c r="D2" s="1" t="s">
        <v>431</v>
      </c>
      <c r="E2" s="1" t="s">
        <v>21</v>
      </c>
      <c r="F2" s="1" t="s">
        <v>432</v>
      </c>
      <c r="G2" s="1" t="s">
        <v>22</v>
      </c>
      <c r="H2" s="1" t="s">
        <v>23</v>
      </c>
      <c r="I2" s="1" t="s">
        <v>24</v>
      </c>
      <c r="J2" s="1" t="s">
        <v>433</v>
      </c>
      <c r="K2" s="1" t="s">
        <v>434</v>
      </c>
      <c r="L2" s="1" t="s">
        <v>435</v>
      </c>
      <c r="M2" s="1" t="s">
        <v>31</v>
      </c>
      <c r="N2" s="1" t="s">
        <v>436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437</v>
      </c>
      <c r="K3" s="7" t="s">
        <v>38</v>
      </c>
      <c r="L3" s="7" t="s">
        <v>33</v>
      </c>
      <c r="M3" s="1" t="s">
        <v>38</v>
      </c>
      <c r="N3" s="1" t="s">
        <v>438</v>
      </c>
    </row>
    <row r="4" ht="33.75" customHeight="1" spans="2:14">
      <c r="B4" s="7" t="s">
        <v>439</v>
      </c>
      <c r="C4" s="1" t="s">
        <v>440</v>
      </c>
      <c r="D4" s="10" t="s">
        <v>441</v>
      </c>
      <c r="F4" s="7" t="s">
        <v>442</v>
      </c>
      <c r="G4" s="1">
        <v>0</v>
      </c>
      <c r="H4" s="7" t="s">
        <v>443</v>
      </c>
      <c r="I4" s="1">
        <v>1</v>
      </c>
      <c r="J4" s="7" t="s">
        <v>444</v>
      </c>
      <c r="K4" s="1">
        <v>1</v>
      </c>
      <c r="L4" s="7" t="s">
        <v>443</v>
      </c>
      <c r="M4" s="1">
        <v>50</v>
      </c>
      <c r="N4" s="1" t="s">
        <v>445</v>
      </c>
    </row>
    <row r="5" ht="33.75" customHeight="1" spans="2:14">
      <c r="B5" s="7" t="s">
        <v>446</v>
      </c>
      <c r="C5" s="1" t="s">
        <v>447</v>
      </c>
      <c r="D5" s="10" t="s">
        <v>448</v>
      </c>
      <c r="F5" s="7" t="s">
        <v>442</v>
      </c>
      <c r="G5" s="1">
        <v>0</v>
      </c>
      <c r="H5" s="7" t="s">
        <v>449</v>
      </c>
      <c r="I5" s="1">
        <v>1</v>
      </c>
      <c r="J5" s="7" t="s">
        <v>444</v>
      </c>
      <c r="K5" s="1">
        <v>1</v>
      </c>
      <c r="L5" s="7" t="s">
        <v>449</v>
      </c>
      <c r="M5" s="1">
        <v>50</v>
      </c>
      <c r="N5" s="1" t="s">
        <v>445</v>
      </c>
    </row>
    <row r="6" ht="33.75" customHeight="1" spans="2:14">
      <c r="B6" s="7" t="s">
        <v>450</v>
      </c>
      <c r="C6" s="1" t="s">
        <v>451</v>
      </c>
      <c r="D6" s="10" t="s">
        <v>452</v>
      </c>
      <c r="F6" s="7" t="s">
        <v>442</v>
      </c>
      <c r="G6" s="1">
        <v>0</v>
      </c>
      <c r="H6" s="7" t="s">
        <v>453</v>
      </c>
      <c r="I6" s="1">
        <v>1</v>
      </c>
      <c r="J6" s="7" t="s">
        <v>444</v>
      </c>
      <c r="K6" s="1">
        <v>1</v>
      </c>
      <c r="L6" s="7" t="s">
        <v>453</v>
      </c>
      <c r="M6" s="1">
        <v>50</v>
      </c>
      <c r="N6" s="1" t="s">
        <v>445</v>
      </c>
    </row>
    <row r="7" ht="33.75" customHeight="1" spans="2:14">
      <c r="B7" s="7" t="s">
        <v>454</v>
      </c>
      <c r="C7" s="1" t="s">
        <v>455</v>
      </c>
      <c r="D7" s="10" t="s">
        <v>456</v>
      </c>
      <c r="F7" s="7" t="s">
        <v>442</v>
      </c>
      <c r="G7" s="1">
        <v>0</v>
      </c>
      <c r="H7" s="7" t="s">
        <v>457</v>
      </c>
      <c r="I7" s="1">
        <v>1</v>
      </c>
      <c r="J7" s="7" t="s">
        <v>444</v>
      </c>
      <c r="K7" s="1">
        <v>1</v>
      </c>
      <c r="L7" s="7" t="s">
        <v>457</v>
      </c>
      <c r="M7" s="1">
        <v>50</v>
      </c>
      <c r="N7" s="1" t="s">
        <v>445</v>
      </c>
    </row>
    <row r="8" ht="33.75" customHeight="1" spans="2:14">
      <c r="B8" s="7" t="s">
        <v>458</v>
      </c>
      <c r="C8" s="1" t="s">
        <v>459</v>
      </c>
      <c r="D8" s="10" t="s">
        <v>460</v>
      </c>
      <c r="F8" s="7" t="s">
        <v>442</v>
      </c>
      <c r="G8" s="1">
        <v>0</v>
      </c>
      <c r="H8" s="7" t="s">
        <v>461</v>
      </c>
      <c r="I8" s="1">
        <v>1</v>
      </c>
      <c r="J8" s="7" t="s">
        <v>444</v>
      </c>
      <c r="K8" s="1">
        <v>1</v>
      </c>
      <c r="L8" s="7" t="s">
        <v>461</v>
      </c>
      <c r="M8" s="1">
        <v>50</v>
      </c>
      <c r="N8" s="1" t="s">
        <v>445</v>
      </c>
    </row>
    <row r="9" ht="33.75" customHeight="1" spans="2:14">
      <c r="B9" s="7" t="s">
        <v>462</v>
      </c>
      <c r="C9" s="1" t="s">
        <v>463</v>
      </c>
      <c r="D9" s="10" t="s">
        <v>464</v>
      </c>
      <c r="F9" s="7" t="s">
        <v>442</v>
      </c>
      <c r="G9" s="1">
        <v>0</v>
      </c>
      <c r="H9" s="7" t="s">
        <v>465</v>
      </c>
      <c r="I9" s="1">
        <v>1</v>
      </c>
      <c r="J9" s="7" t="s">
        <v>444</v>
      </c>
      <c r="K9" s="1">
        <v>1</v>
      </c>
      <c r="L9" s="7" t="s">
        <v>465</v>
      </c>
      <c r="M9" s="1">
        <v>50</v>
      </c>
      <c r="N9" s="1" t="s">
        <v>445</v>
      </c>
    </row>
    <row r="10" ht="33.75" customHeight="1" spans="2:14">
      <c r="B10" s="7" t="s">
        <v>466</v>
      </c>
      <c r="C10" s="1" t="s">
        <v>467</v>
      </c>
      <c r="D10" s="10" t="s">
        <v>468</v>
      </c>
      <c r="E10" t="s">
        <v>469</v>
      </c>
      <c r="F10" s="7" t="s">
        <v>470</v>
      </c>
      <c r="G10" s="1">
        <v>0</v>
      </c>
      <c r="H10" s="7" t="s">
        <v>471</v>
      </c>
      <c r="I10" s="1">
        <v>1</v>
      </c>
      <c r="J10" s="7" t="s">
        <v>472</v>
      </c>
      <c r="K10" s="1">
        <v>1</v>
      </c>
      <c r="L10" s="7" t="s">
        <v>471</v>
      </c>
      <c r="M10" s="1">
        <v>50</v>
      </c>
      <c r="N10" s="1" t="s">
        <v>445</v>
      </c>
    </row>
    <row r="11" ht="33.75" customHeight="1" spans="2:14">
      <c r="B11" s="7" t="s">
        <v>473</v>
      </c>
      <c r="C11" s="1" t="s">
        <v>474</v>
      </c>
      <c r="D11" s="10" t="s">
        <v>475</v>
      </c>
      <c r="E11" t="s">
        <v>469</v>
      </c>
      <c r="F11" s="7" t="s">
        <v>470</v>
      </c>
      <c r="G11" s="1">
        <v>0</v>
      </c>
      <c r="H11" s="7" t="s">
        <v>476</v>
      </c>
      <c r="I11" s="1">
        <v>1</v>
      </c>
      <c r="J11" s="7" t="s">
        <v>472</v>
      </c>
      <c r="K11" s="1">
        <v>1</v>
      </c>
      <c r="L11" s="7" t="s">
        <v>476</v>
      </c>
      <c r="M11" s="1">
        <v>50</v>
      </c>
      <c r="N11" s="1" t="s">
        <v>445</v>
      </c>
    </row>
    <row r="12" ht="33.75" customHeight="1" spans="2:14">
      <c r="B12" s="7" t="s">
        <v>477</v>
      </c>
      <c r="C12" s="1" t="s">
        <v>478</v>
      </c>
      <c r="D12" s="10" t="s">
        <v>479</v>
      </c>
      <c r="E12" t="s">
        <v>480</v>
      </c>
      <c r="F12" s="7" t="s">
        <v>470</v>
      </c>
      <c r="G12" s="1">
        <v>0</v>
      </c>
      <c r="H12" s="7" t="s">
        <v>481</v>
      </c>
      <c r="I12" s="1">
        <v>1</v>
      </c>
      <c r="J12" s="7" t="s">
        <v>472</v>
      </c>
      <c r="K12" s="1">
        <v>1</v>
      </c>
      <c r="L12" s="7" t="s">
        <v>481</v>
      </c>
      <c r="M12" s="1">
        <v>50</v>
      </c>
      <c r="N12" s="1" t="s">
        <v>445</v>
      </c>
    </row>
    <row r="13" ht="33.75" customHeight="1" spans="2:14">
      <c r="B13" s="7" t="s">
        <v>482</v>
      </c>
      <c r="C13" s="1" t="s">
        <v>483</v>
      </c>
      <c r="D13" s="10" t="s">
        <v>484</v>
      </c>
      <c r="E13" t="s">
        <v>480</v>
      </c>
      <c r="F13" s="7" t="s">
        <v>470</v>
      </c>
      <c r="G13" s="1">
        <v>0</v>
      </c>
      <c r="H13" s="7" t="s">
        <v>485</v>
      </c>
      <c r="I13" s="1">
        <v>1</v>
      </c>
      <c r="J13" s="7" t="s">
        <v>472</v>
      </c>
      <c r="K13" s="1">
        <v>1</v>
      </c>
      <c r="L13" s="7" t="s">
        <v>485</v>
      </c>
      <c r="M13" s="1">
        <v>50</v>
      </c>
      <c r="N13" s="1" t="s">
        <v>445</v>
      </c>
    </row>
    <row r="14" ht="33.75" customHeight="1" spans="2:14">
      <c r="B14" s="7" t="s">
        <v>486</v>
      </c>
      <c r="C14" s="1" t="s">
        <v>487</v>
      </c>
      <c r="D14" s="10" t="s">
        <v>488</v>
      </c>
      <c r="E14" t="s">
        <v>480</v>
      </c>
      <c r="F14" s="7" t="s">
        <v>470</v>
      </c>
      <c r="G14" s="1">
        <v>0</v>
      </c>
      <c r="H14" s="7" t="s">
        <v>489</v>
      </c>
      <c r="I14" s="1">
        <v>1</v>
      </c>
      <c r="J14" s="7" t="s">
        <v>472</v>
      </c>
      <c r="K14" s="1">
        <v>1</v>
      </c>
      <c r="L14" s="7" t="s">
        <v>489</v>
      </c>
      <c r="M14" s="1">
        <v>50</v>
      </c>
      <c r="N14" s="1" t="s">
        <v>445</v>
      </c>
    </row>
    <row r="15" ht="33.75" customHeight="1" spans="2:14">
      <c r="B15" s="7" t="s">
        <v>490</v>
      </c>
      <c r="C15" s="1" t="s">
        <v>491</v>
      </c>
      <c r="D15" s="10" t="s">
        <v>492</v>
      </c>
      <c r="E15" t="s">
        <v>493</v>
      </c>
      <c r="F15" s="7" t="s">
        <v>470</v>
      </c>
      <c r="G15" s="1">
        <v>0</v>
      </c>
      <c r="H15" s="7" t="s">
        <v>494</v>
      </c>
      <c r="I15" s="1">
        <v>1</v>
      </c>
      <c r="J15" s="7" t="s">
        <v>472</v>
      </c>
      <c r="K15" s="1">
        <v>1</v>
      </c>
      <c r="L15" s="7" t="s">
        <v>494</v>
      </c>
      <c r="M15" s="1">
        <v>50</v>
      </c>
      <c r="N15" s="1" t="s">
        <v>445</v>
      </c>
    </row>
    <row r="16" ht="33.75" customHeight="1" spans="2:14">
      <c r="B16" s="7" t="s">
        <v>495</v>
      </c>
      <c r="C16" s="1" t="s">
        <v>496</v>
      </c>
      <c r="D16" s="10" t="s">
        <v>497</v>
      </c>
      <c r="E16" t="s">
        <v>493</v>
      </c>
      <c r="F16" s="7" t="s">
        <v>470</v>
      </c>
      <c r="G16" s="1">
        <v>0</v>
      </c>
      <c r="H16" s="7" t="s">
        <v>498</v>
      </c>
      <c r="I16" s="1">
        <v>1</v>
      </c>
      <c r="J16" s="7" t="s">
        <v>472</v>
      </c>
      <c r="K16" s="1">
        <v>1</v>
      </c>
      <c r="L16" s="7" t="s">
        <v>498</v>
      </c>
      <c r="M16" s="1">
        <v>50</v>
      </c>
      <c r="N16" s="1" t="s">
        <v>445</v>
      </c>
    </row>
    <row r="17" s="9" customFormat="1" ht="17" spans="2:14">
      <c r="B17" s="11" t="s">
        <v>499</v>
      </c>
      <c r="C17" s="9" t="s">
        <v>500</v>
      </c>
      <c r="D17" s="12" t="s">
        <v>501</v>
      </c>
      <c r="F17" s="9" t="s">
        <v>502</v>
      </c>
      <c r="G17" s="9">
        <v>0</v>
      </c>
      <c r="I17" s="9">
        <v>1</v>
      </c>
      <c r="J17" s="9" t="s">
        <v>503</v>
      </c>
      <c r="K17" s="9">
        <v>0</v>
      </c>
      <c r="L17" s="1"/>
      <c r="M17" s="9">
        <v>50</v>
      </c>
      <c r="N17" s="1" t="s">
        <v>504</v>
      </c>
    </row>
    <row r="18" s="9" customFormat="1" ht="16.5" customHeight="1" spans="2:14">
      <c r="B18" s="11" t="s">
        <v>505</v>
      </c>
      <c r="C18" s="9" t="s">
        <v>506</v>
      </c>
      <c r="D18" s="9" t="s">
        <v>507</v>
      </c>
      <c r="F18" s="9" t="s">
        <v>508</v>
      </c>
      <c r="G18" s="9">
        <v>0.5</v>
      </c>
      <c r="I18" s="9">
        <v>1</v>
      </c>
      <c r="J18" s="9" t="s">
        <v>503</v>
      </c>
      <c r="K18" s="9">
        <v>0</v>
      </c>
      <c r="L18" s="1"/>
      <c r="M18" s="9">
        <v>50</v>
      </c>
      <c r="N18" s="1" t="s">
        <v>504</v>
      </c>
    </row>
    <row r="19" s="9" customFormat="1" ht="16.5" customHeight="1" spans="2:14">
      <c r="B19" s="11" t="s">
        <v>509</v>
      </c>
      <c r="C19" s="9" t="s">
        <v>510</v>
      </c>
      <c r="D19" s="9" t="s">
        <v>511</v>
      </c>
      <c r="F19" s="9" t="s">
        <v>512</v>
      </c>
      <c r="G19" s="9">
        <v>0</v>
      </c>
      <c r="I19" s="9">
        <v>1</v>
      </c>
      <c r="J19" s="9" t="s">
        <v>503</v>
      </c>
      <c r="K19" s="9">
        <v>0</v>
      </c>
      <c r="L19" s="1"/>
      <c r="M19" s="9">
        <v>50</v>
      </c>
      <c r="N19" s="1" t="s">
        <v>504</v>
      </c>
    </row>
    <row r="20" s="9" customFormat="1" ht="16.5" customHeight="1" spans="2:14">
      <c r="B20" s="11" t="s">
        <v>513</v>
      </c>
      <c r="C20" s="9" t="s">
        <v>514</v>
      </c>
      <c r="D20" s="9" t="s">
        <v>515</v>
      </c>
      <c r="F20" s="9" t="s">
        <v>516</v>
      </c>
      <c r="G20" s="9">
        <v>0</v>
      </c>
      <c r="H20" s="9" t="s">
        <v>517</v>
      </c>
      <c r="I20" s="9">
        <v>1</v>
      </c>
      <c r="J20" s="9" t="s">
        <v>503</v>
      </c>
      <c r="K20" s="9">
        <v>1</v>
      </c>
      <c r="L20" s="1"/>
      <c r="M20" s="9">
        <v>50</v>
      </c>
      <c r="N20" s="1" t="s">
        <v>504</v>
      </c>
    </row>
    <row r="21" s="9" customFormat="1" spans="2:14">
      <c r="B21" s="9" t="s">
        <v>518</v>
      </c>
      <c r="C21" s="9" t="s">
        <v>519</v>
      </c>
      <c r="D21" s="9" t="s">
        <v>520</v>
      </c>
      <c r="F21" s="9" t="s">
        <v>521</v>
      </c>
      <c r="G21" s="9">
        <v>0</v>
      </c>
      <c r="H21" s="9" t="s">
        <v>522</v>
      </c>
      <c r="I21" s="9">
        <v>1</v>
      </c>
      <c r="J21" s="9" t="s">
        <v>503</v>
      </c>
      <c r="K21" s="9">
        <v>1</v>
      </c>
      <c r="L21" s="1"/>
      <c r="M21" s="1">
        <v>50</v>
      </c>
      <c r="N21" s="1" t="s">
        <v>504</v>
      </c>
    </row>
    <row r="22" s="9" customFormat="1" spans="2:14">
      <c r="B22" s="9" t="s">
        <v>523</v>
      </c>
      <c r="C22" s="9" t="s">
        <v>524</v>
      </c>
      <c r="D22" s="9" t="s">
        <v>525</v>
      </c>
      <c r="F22" s="9" t="s">
        <v>526</v>
      </c>
      <c r="G22" s="9">
        <v>0</v>
      </c>
      <c r="H22" s="9" t="s">
        <v>527</v>
      </c>
      <c r="I22" s="9">
        <v>1</v>
      </c>
      <c r="J22" s="9" t="s">
        <v>503</v>
      </c>
      <c r="K22" s="9">
        <v>1</v>
      </c>
      <c r="L22" s="1"/>
      <c r="M22" s="1">
        <v>50</v>
      </c>
      <c r="N22" s="1" t="s">
        <v>504</v>
      </c>
    </row>
    <row r="23" s="9" customFormat="1" spans="2:14">
      <c r="B23" s="9" t="s">
        <v>528</v>
      </c>
      <c r="C23" s="9" t="s">
        <v>529</v>
      </c>
      <c r="D23" s="9" t="s">
        <v>530</v>
      </c>
      <c r="F23" s="9" t="s">
        <v>531</v>
      </c>
      <c r="G23" s="9">
        <v>0</v>
      </c>
      <c r="H23" t="s">
        <v>532</v>
      </c>
      <c r="I23" s="9">
        <v>1</v>
      </c>
      <c r="J23" s="9" t="s">
        <v>503</v>
      </c>
      <c r="K23" s="9">
        <v>1</v>
      </c>
      <c r="L23" s="1"/>
      <c r="M23" s="1">
        <v>50</v>
      </c>
      <c r="N23" s="1" t="s">
        <v>504</v>
      </c>
    </row>
    <row r="24" s="9" customFormat="1" spans="2:14">
      <c r="B24" s="9" t="s">
        <v>533</v>
      </c>
      <c r="C24" s="9" t="s">
        <v>534</v>
      </c>
      <c r="D24" s="9" t="s">
        <v>535</v>
      </c>
      <c r="F24" s="9" t="s">
        <v>536</v>
      </c>
      <c r="G24" s="9">
        <v>0</v>
      </c>
      <c r="I24" s="9">
        <v>1</v>
      </c>
      <c r="J24" s="9" t="s">
        <v>503</v>
      </c>
      <c r="K24" s="9">
        <v>1</v>
      </c>
      <c r="L24" s="1"/>
      <c r="M24" s="1">
        <v>50</v>
      </c>
      <c r="N24" s="1" t="s">
        <v>504</v>
      </c>
    </row>
    <row r="25" s="9" customFormat="1" ht="34" spans="2:14">
      <c r="B25" s="9" t="s">
        <v>537</v>
      </c>
      <c r="C25" s="9" t="s">
        <v>538</v>
      </c>
      <c r="D25" s="12" t="s">
        <v>539</v>
      </c>
      <c r="F25" s="9" t="s">
        <v>540</v>
      </c>
      <c r="G25" s="9">
        <v>0</v>
      </c>
      <c r="I25" s="9">
        <v>1</v>
      </c>
      <c r="J25" s="9" t="s">
        <v>503</v>
      </c>
      <c r="K25" s="9">
        <v>1</v>
      </c>
      <c r="L25" s="1"/>
      <c r="M25" s="1">
        <v>50</v>
      </c>
      <c r="N25" s="1" t="s">
        <v>504</v>
      </c>
    </row>
    <row r="26" s="9" customFormat="1" ht="34" spans="2:14">
      <c r="B26" s="9" t="s">
        <v>541</v>
      </c>
      <c r="C26" s="9" t="s">
        <v>542</v>
      </c>
      <c r="D26" s="12" t="s">
        <v>543</v>
      </c>
      <c r="F26" s="9" t="s">
        <v>544</v>
      </c>
      <c r="G26" s="9">
        <v>0</v>
      </c>
      <c r="I26" s="9">
        <v>1</v>
      </c>
      <c r="J26" s="9" t="s">
        <v>503</v>
      </c>
      <c r="K26" s="9">
        <v>1</v>
      </c>
      <c r="L26" s="1"/>
      <c r="M26" s="1">
        <v>50</v>
      </c>
      <c r="N26" s="1" t="s">
        <v>504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545</v>
      </c>
      <c r="C1" s="3" t="s">
        <v>546</v>
      </c>
      <c r="D1" s="3" t="s">
        <v>547</v>
      </c>
      <c r="E1" s="3" t="s">
        <v>548</v>
      </c>
      <c r="H1" s="7" t="s">
        <v>1</v>
      </c>
      <c r="I1" s="2" t="s">
        <v>549</v>
      </c>
      <c r="L1" t="s">
        <v>550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551</v>
      </c>
      <c r="C2" s="3" t="s">
        <v>552</v>
      </c>
      <c r="D2" s="3" t="s">
        <v>553</v>
      </c>
      <c r="E2" s="3" t="s">
        <v>554</v>
      </c>
      <c r="H2" s="1">
        <v>1</v>
      </c>
      <c r="I2" s="2" t="str">
        <f t="shared" ref="I2:I65" si="0">E2</f>
        <v>获得时，获得两个随机（xx品质）的装饰品</v>
      </c>
      <c r="L2" t="s">
        <v>555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556</v>
      </c>
      <c r="E3" s="3" t="s">
        <v>557</v>
      </c>
      <c r="H3" s="1">
        <v>2</v>
      </c>
      <c r="I3" s="2" t="str">
        <f t="shared" si="0"/>
        <v>获得时，从多个装饰品中选择一个获得</v>
      </c>
      <c r="L3" t="s">
        <v>558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559</v>
      </c>
      <c r="E4" s="3" t="s">
        <v>560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556</v>
      </c>
      <c r="E5" s="3" t="s">
        <v>561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562</v>
      </c>
      <c r="E6" s="3" t="s">
        <v>563</v>
      </c>
      <c r="H6" s="1">
        <v>5</v>
      </c>
      <c r="I6" s="2" t="str">
        <f t="shared" si="0"/>
        <v>获得时，从多个食物中选择一个获得</v>
      </c>
      <c r="Q6" t="s">
        <v>564</v>
      </c>
    </row>
    <row r="7" ht="17.25" customHeight="1" spans="2:21">
      <c r="B7" s="4"/>
      <c r="C7" s="4"/>
      <c r="D7" s="3" t="s">
        <v>565</v>
      </c>
      <c r="E7" s="3" t="s">
        <v>566</v>
      </c>
      <c r="H7" s="1">
        <v>6</v>
      </c>
      <c r="I7" s="2" t="str">
        <f t="shared" si="0"/>
        <v>获得时，从多个餐桌格中选择一个获得</v>
      </c>
      <c r="K7" t="s">
        <v>567</v>
      </c>
      <c r="M7">
        <v>300</v>
      </c>
      <c r="O7" t="s">
        <v>50</v>
      </c>
      <c r="Q7">
        <f>COUNTIF(装饰品!$E$4:$E$93,K7)</f>
        <v>35</v>
      </c>
      <c r="S7">
        <v>40</v>
      </c>
      <c r="U7">
        <f>Q7/SUM($Q$7:$Q$10)</f>
        <v>0.4375</v>
      </c>
    </row>
    <row r="8" ht="17.25" customHeight="1" spans="2:21">
      <c r="B8" s="4"/>
      <c r="C8" s="4"/>
      <c r="D8" s="3" t="s">
        <v>568</v>
      </c>
      <c r="E8" s="3" t="s">
        <v>569</v>
      </c>
      <c r="H8" s="1">
        <v>7</v>
      </c>
      <c r="I8" s="2" t="str">
        <f t="shared" si="0"/>
        <v>获得时，获得一个随机装饰品、随机食物、50金币</v>
      </c>
      <c r="K8" t="s">
        <v>570</v>
      </c>
      <c r="M8">
        <v>100</v>
      </c>
      <c r="O8" t="s">
        <v>61</v>
      </c>
      <c r="Q8">
        <f>COUNTIF(装饰品!$E$4:$E$93,K8)</f>
        <v>29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571</v>
      </c>
      <c r="E9" s="3" t="s">
        <v>572</v>
      </c>
      <c r="H9" s="1">
        <v>8</v>
      </c>
      <c r="I9" s="2" t="str">
        <f t="shared" si="0"/>
        <v>所有装饰品和消耗品替换为随机装饰品和消耗品</v>
      </c>
      <c r="K9" t="s">
        <v>573</v>
      </c>
      <c r="M9">
        <v>30</v>
      </c>
      <c r="O9" t="s">
        <v>44</v>
      </c>
      <c r="Q9">
        <f>COUNTIF(装饰品!$E$4:$E$93,K9)</f>
        <v>14</v>
      </c>
      <c r="S9">
        <v>150</v>
      </c>
      <c r="U9">
        <v>0.120879120879121</v>
      </c>
    </row>
    <row r="10" ht="17.25" customHeight="1" spans="2:21">
      <c r="B10" s="4"/>
      <c r="C10" s="4" t="s">
        <v>574</v>
      </c>
      <c r="D10" s="3" t="s">
        <v>575</v>
      </c>
      <c r="E10" s="3" t="s">
        <v>576</v>
      </c>
      <c r="H10" s="1">
        <v>9</v>
      </c>
      <c r="I10" s="2" t="str">
        <f t="shared" si="0"/>
        <v>获得1～100个金币</v>
      </c>
      <c r="K10" t="s">
        <v>577</v>
      </c>
      <c r="M10">
        <v>10</v>
      </c>
      <c r="O10" t="s">
        <v>201</v>
      </c>
      <c r="Q10">
        <f>COUNTIF(装饰品!$E$4:$E$93,K10)</f>
        <v>2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578</v>
      </c>
      <c r="E11" s="3" t="s">
        <v>579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580</v>
      </c>
      <c r="E12" s="3" t="s">
        <v>581</v>
      </c>
      <c r="H12" s="1">
        <v>11</v>
      </c>
      <c r="I12" s="2" t="str">
        <f t="shared" si="0"/>
        <v>完成本次星级评鉴后，额外获得100金币</v>
      </c>
      <c r="P12" t="s">
        <v>582</v>
      </c>
      <c r="Q12" t="s">
        <v>583</v>
      </c>
      <c r="R12" t="s">
        <v>584</v>
      </c>
    </row>
    <row r="13" ht="17.25" customHeight="1" spans="2:14">
      <c r="B13" s="4"/>
      <c r="C13" s="4"/>
      <c r="D13" s="5" t="s">
        <v>585</v>
      </c>
      <c r="E13" s="3" t="s">
        <v>586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587</v>
      </c>
      <c r="N13">
        <v>240</v>
      </c>
    </row>
    <row r="14" ht="17.25" customHeight="1" spans="2:16">
      <c r="B14" s="4"/>
      <c r="C14" s="4" t="s">
        <v>588</v>
      </c>
      <c r="D14" s="3" t="s">
        <v>589</v>
      </c>
      <c r="E14" s="3" t="s">
        <v>590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591</v>
      </c>
      <c r="N14">
        <v>150</v>
      </c>
      <c r="P14">
        <v>250</v>
      </c>
    </row>
    <row r="15" ht="17.25" customHeight="1" spans="2:17">
      <c r="B15" s="4"/>
      <c r="C15" s="3"/>
      <c r="D15" s="3" t="s">
        <v>592</v>
      </c>
      <c r="E15" s="3" t="s">
        <v>593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594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595</v>
      </c>
      <c r="E16" s="3" t="s">
        <v>596</v>
      </c>
      <c r="H16" s="1">
        <v>15</v>
      </c>
      <c r="I16" s="2" t="str">
        <f t="shared" si="0"/>
        <v>买消耗品打折20%</v>
      </c>
      <c r="M16" t="s">
        <v>597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598</v>
      </c>
      <c r="E17" s="3" t="s">
        <v>599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600</v>
      </c>
      <c r="E18" s="3" t="s">
        <v>601</v>
      </c>
      <c r="H18" s="1">
        <v>17</v>
      </c>
      <c r="I18" s="2" t="str">
        <f t="shared" si="0"/>
        <v>移除食物价格打折20%</v>
      </c>
      <c r="M18" t="s">
        <v>602</v>
      </c>
      <c r="N18">
        <v>1.4</v>
      </c>
    </row>
    <row r="19" ht="17.25" customHeight="1" spans="2:9">
      <c r="B19" s="4"/>
      <c r="C19" s="4"/>
      <c r="D19" s="3" t="s">
        <v>600</v>
      </c>
      <c r="E19" s="3" t="s">
        <v>603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604</v>
      </c>
      <c r="D20" s="3" t="s">
        <v>605</v>
      </c>
      <c r="E20" s="3" t="s">
        <v>606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607</v>
      </c>
      <c r="D21" s="3" t="s">
        <v>608</v>
      </c>
      <c r="E21" s="3" t="s">
        <v>609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610</v>
      </c>
      <c r="E22" s="3" t="s">
        <v>611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612</v>
      </c>
      <c r="E23" s="3" t="s">
        <v>613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614</v>
      </c>
      <c r="E24" s="3" t="s">
        <v>615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616</v>
      </c>
      <c r="D25" s="3" t="s">
        <v>617</v>
      </c>
      <c r="E25" s="3" t="s">
        <v>618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617</v>
      </c>
      <c r="E26" s="3" t="s">
        <v>619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620</v>
      </c>
      <c r="D27" s="3" t="s">
        <v>621</v>
      </c>
      <c r="E27" s="3" t="s">
        <v>622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623</v>
      </c>
      <c r="D28" s="3" t="s">
        <v>624</v>
      </c>
      <c r="E28" s="3" t="s">
        <v>625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626</v>
      </c>
      <c r="D29" s="3" t="s">
        <v>624</v>
      </c>
      <c r="E29" s="3" t="s">
        <v>627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628</v>
      </c>
      <c r="D30" s="3" t="s">
        <v>629</v>
      </c>
      <c r="E30" s="3" t="s">
        <v>630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629</v>
      </c>
      <c r="E31" s="3" t="s">
        <v>631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632</v>
      </c>
      <c r="D32" s="3" t="s">
        <v>632</v>
      </c>
      <c r="E32" s="3" t="s">
        <v>633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634</v>
      </c>
      <c r="E33" s="3" t="s">
        <v>635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636</v>
      </c>
      <c r="E34" s="3" t="s">
        <v>637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638</v>
      </c>
      <c r="E35" s="3" t="s">
        <v>639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640</v>
      </c>
      <c r="E36" s="3" t="s">
        <v>641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642</v>
      </c>
      <c r="E37" s="3" t="s">
        <v>643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644</v>
      </c>
      <c r="D38" s="3" t="s">
        <v>571</v>
      </c>
      <c r="E38" s="3" t="s">
        <v>645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646</v>
      </c>
      <c r="E39" s="3" t="s">
        <v>647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648</v>
      </c>
      <c r="E40" s="3" t="s">
        <v>648</v>
      </c>
      <c r="H40" s="1">
        <v>39</v>
      </c>
      <c r="I40" s="2" t="str">
        <f t="shared" si="0"/>
        <v>周数-1</v>
      </c>
      <c r="K40" t="s">
        <v>649</v>
      </c>
    </row>
    <row r="41" ht="17.25" customHeight="1" spans="2:9">
      <c r="B41" s="4"/>
      <c r="C41" s="4"/>
      <c r="D41" s="3" t="s">
        <v>650</v>
      </c>
      <c r="E41" s="3" t="s">
        <v>651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652</v>
      </c>
      <c r="E42" s="3" t="s">
        <v>653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654</v>
      </c>
      <c r="D43" s="3" t="s">
        <v>655</v>
      </c>
      <c r="E43" s="3" t="s">
        <v>656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657</v>
      </c>
      <c r="E44" s="3" t="s">
        <v>658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659</v>
      </c>
      <c r="E45" s="3" t="s">
        <v>660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661</v>
      </c>
      <c r="D46" s="3" t="s">
        <v>662</v>
      </c>
      <c r="E46" s="3" t="s">
        <v>663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574</v>
      </c>
      <c r="E47" s="3" t="s">
        <v>664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665</v>
      </c>
      <c r="E48" s="3" t="s">
        <v>666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667</v>
      </c>
      <c r="D49" s="3" t="s">
        <v>668</v>
      </c>
      <c r="E49" s="3" t="s">
        <v>669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670</v>
      </c>
      <c r="E50" s="3" t="s">
        <v>671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672</v>
      </c>
      <c r="E51" s="3" t="s">
        <v>673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674</v>
      </c>
      <c r="E52" s="3" t="s">
        <v>675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676</v>
      </c>
      <c r="E53" s="3" t="s">
        <v>677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678</v>
      </c>
      <c r="E54" s="3" t="s">
        <v>679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680</v>
      </c>
      <c r="D55" s="3" t="s">
        <v>681</v>
      </c>
      <c r="E55" s="3" t="s">
        <v>682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683</v>
      </c>
      <c r="E56" s="3" t="s">
        <v>684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685</v>
      </c>
      <c r="D57" s="3" t="s">
        <v>686</v>
      </c>
      <c r="E57" s="3" t="s">
        <v>687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686</v>
      </c>
      <c r="E58" s="3" t="s">
        <v>688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689</v>
      </c>
      <c r="E59" s="3" t="s">
        <v>690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691</v>
      </c>
      <c r="E60" s="3" t="s">
        <v>692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693</v>
      </c>
      <c r="E61" s="3" t="s">
        <v>694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695</v>
      </c>
      <c r="D62" s="3" t="s">
        <v>696</v>
      </c>
      <c r="E62" s="3" t="s">
        <v>697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698</v>
      </c>
      <c r="D63" s="3" t="s">
        <v>699</v>
      </c>
      <c r="E63" s="3" t="s">
        <v>700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701</v>
      </c>
      <c r="E64" s="3" t="s">
        <v>702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703</v>
      </c>
      <c r="E65" s="3" t="s">
        <v>704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705</v>
      </c>
      <c r="E66" s="3" t="s">
        <v>706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707</v>
      </c>
      <c r="E67" s="3" t="s">
        <v>708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709</v>
      </c>
      <c r="D68" s="3" t="s">
        <v>710</v>
      </c>
      <c r="E68" s="3" t="s">
        <v>711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712</v>
      </c>
      <c r="E69" s="3" t="s">
        <v>713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714</v>
      </c>
      <c r="C70" s="4" t="s">
        <v>715</v>
      </c>
      <c r="D70" s="3" t="s">
        <v>716</v>
      </c>
      <c r="E70" s="3" t="s">
        <v>717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718</v>
      </c>
      <c r="E71" s="3" t="s">
        <v>719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720</v>
      </c>
      <c r="E72" s="3" t="s">
        <v>721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722</v>
      </c>
      <c r="E73" s="3" t="s">
        <v>723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724</v>
      </c>
      <c r="E74" s="3" t="s">
        <v>725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726</v>
      </c>
      <c r="E75" s="3" t="s">
        <v>727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728</v>
      </c>
      <c r="E76" s="3" t="s">
        <v>729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730</v>
      </c>
      <c r="E77" s="3" t="s">
        <v>731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732</v>
      </c>
      <c r="E78" s="3" t="s">
        <v>733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734</v>
      </c>
      <c r="C79" s="4" t="s">
        <v>735</v>
      </c>
      <c r="D79" s="3" t="s">
        <v>736</v>
      </c>
      <c r="E79" s="3" t="s">
        <v>737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738</v>
      </c>
      <c r="D80" s="3" t="s">
        <v>739</v>
      </c>
      <c r="E80" s="3" t="s">
        <v>740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739</v>
      </c>
      <c r="E81" s="3" t="s">
        <v>741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742</v>
      </c>
      <c r="E82" s="3" t="s">
        <v>743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744</v>
      </c>
      <c r="E83" s="3" t="s">
        <v>745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746</v>
      </c>
      <c r="D84" s="3" t="s">
        <v>747</v>
      </c>
      <c r="E84" s="3" t="s">
        <v>748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749</v>
      </c>
      <c r="E85" s="3" t="s">
        <v>750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751</v>
      </c>
      <c r="E86" s="3" t="s">
        <v>752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753</v>
      </c>
      <c r="E87" s="3" t="s">
        <v>754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755</v>
      </c>
      <c r="E88" s="3" t="s">
        <v>756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8"/>
    </row>
    <row r="125" spans="5:5">
      <c r="E125" s="8" t="s">
        <v>757</v>
      </c>
    </row>
    <row r="126" spans="5:5">
      <c r="E126" s="8" t="s">
        <v>758</v>
      </c>
    </row>
    <row r="127" spans="5:5">
      <c r="E127" s="8" t="s">
        <v>759</v>
      </c>
    </row>
    <row r="128" spans="5:5">
      <c r="E128" s="8" t="s">
        <v>760</v>
      </c>
    </row>
    <row r="129" spans="5:5">
      <c r="E129" s="8" t="s">
        <v>761</v>
      </c>
    </row>
    <row r="130" spans="5:5">
      <c r="E130" s="8" t="s">
        <v>762</v>
      </c>
    </row>
    <row r="131" spans="5:5">
      <c r="E131" s="8" t="s">
        <v>763</v>
      </c>
    </row>
    <row r="132" spans="5:5">
      <c r="E132" s="8" t="s">
        <v>764</v>
      </c>
    </row>
    <row r="133" spans="5:5">
      <c r="E133" s="8" t="s">
        <v>765</v>
      </c>
    </row>
    <row r="134" spans="5:5">
      <c r="E134" s="8" t="s">
        <v>766</v>
      </c>
    </row>
    <row r="135" spans="5:5">
      <c r="E135" s="8" t="s">
        <v>767</v>
      </c>
    </row>
    <row r="136" spans="5:5">
      <c r="E136" s="8" t="s">
        <v>768</v>
      </c>
    </row>
    <row r="137" spans="5:5">
      <c r="E137" s="8" t="s">
        <v>769</v>
      </c>
    </row>
    <row r="138" spans="5:5">
      <c r="E138" s="8" t="s">
        <v>770</v>
      </c>
    </row>
    <row r="139" spans="5:5">
      <c r="E139" s="8" t="s">
        <v>771</v>
      </c>
    </row>
    <row r="140" spans="5:5">
      <c r="E140" s="8" t="s">
        <v>772</v>
      </c>
    </row>
    <row r="141" spans="5:5">
      <c r="E141" s="8" t="s">
        <v>773</v>
      </c>
    </row>
    <row r="142" spans="5:5">
      <c r="E142" s="8" t="s">
        <v>774</v>
      </c>
    </row>
    <row r="143" spans="5:5">
      <c r="E143" s="8" t="s">
        <v>775</v>
      </c>
    </row>
    <row r="144" spans="5:5">
      <c r="E144" s="8" t="s">
        <v>776</v>
      </c>
    </row>
    <row r="145" spans="5:5">
      <c r="E145" s="8" t="s">
        <v>777</v>
      </c>
    </row>
    <row r="146" spans="5:5">
      <c r="E146" s="8" t="s">
        <v>778</v>
      </c>
    </row>
    <row r="147" spans="5:5">
      <c r="E147" s="8" t="s">
        <v>779</v>
      </c>
    </row>
    <row r="148" spans="5:5">
      <c r="E148" s="8"/>
    </row>
    <row r="149" spans="5:5">
      <c r="E149" s="8"/>
    </row>
    <row r="150" spans="5:5">
      <c r="E150" s="8"/>
    </row>
    <row r="151" spans="5:5">
      <c r="E151" s="8"/>
    </row>
    <row r="152" spans="5:5">
      <c r="E152" s="8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2026-08-11T17:18:58Z</dcterms:created>
  <dcterms:modified xsi:type="dcterms:W3CDTF">2026-08-11T17:19:15Z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A95856AE3820A5AC13E97A6A86DB994E_42</vt:lpwstr>
  </property>
  <property fmtid="{D5CDD505-2E9C-101B-9397-08002B2CF9AE}" pid="3" name="KSOProductBuildVer">
    <vt:lpwstr>2052-6.1.0.8274</vt:lpwstr>
  </property>
</Properties>
</file>