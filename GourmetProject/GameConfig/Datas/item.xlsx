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00"/>
  </bookViews>
  <sheets>
    <sheet name="被动道具" sheetId="1" r:id="rId1"/>
    <sheet name="主动道具" sheetId="2" r:id="rId2"/>
    <sheet name="道具设计" sheetId="3" r:id="rId3"/>
  </sheets>
  <calcPr calcId="144525"/>
</workbook>
</file>

<file path=xl/sharedStrings.xml><?xml version="1.0" encoding="utf-8"?>
<sst xmlns="http://schemas.openxmlformats.org/spreadsheetml/2006/main" count="909" uniqueCount="569">
  <si>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</si>
  <si>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</si>
  <si>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</si>
  <si>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</si>
  <si>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</si>
  <si>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</si>
  <si>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</si>
  <si>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</si>
  <si>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</si>
  <si>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</si>
  <si>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targetScoreHiddenOffset</t>
  </si>
  <si>
    <t>dishHiddenOffset</t>
  </si>
  <si>
    <t>passiveItemHiddenOffset</t>
  </si>
  <si>
    <t>activeItemHiddenOffset</t>
  </si>
  <si>
    <t>fragmentHiddenOffset</t>
  </si>
  <si>
    <t>goldHiddenOffset</t>
  </si>
  <si>
    <t>termId</t>
  </si>
  <si>
    <t>price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</si>
  <si>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</si>
  <si>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</si>
  <si>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</si>
  <si>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</si>
  <si>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</si>
  <si>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</si>
  <si>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</si>
  <si>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</si>
  <si>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</si>
  <si>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</si>
  <si>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目标分隐藏分修正</t>
  </si>
  <si>
    <t>食物隐藏分修正</t>
  </si>
  <si>
    <t>被动道具隐藏分修正</t>
  </si>
  <si>
    <t>主动道具隐藏分修正</t>
  </si>
  <si>
    <t>餐桌格子隐藏分修正</t>
  </si>
  <si>
    <t>金币隐藏分修正</t>
  </si>
  <si>
    <t>关联术语ID(可空,| 分隔)</t>
  </si>
  <si>
    <t>商店基础价格</t>
  </si>
  <si>
    <t>2周</t>
  </si>
  <si>
    <t>##type</t>
  </si>
  <si>
    <t>string</t>
  </si>
  <si>
    <t>ItemQuality</t>
  </si>
  <si>
    <t>ItemSpecialTag</t>
  </si>
  <si>
    <t>float</t>
  </si>
  <si>
    <t>HiddenRange</t>
  </si>
  <si>
    <t>int</t>
  </si>
  <si>
    <t>3周</t>
  </si>
  <si>
    <t>item_grant_two_passive</t>
  </si>
  <si>
    <t>随机被动包</t>
  </si>
  <si>
    <t>随机获得2个被动道具</t>
  </si>
  <si>
    <t>Uncommon</t>
  </si>
  <si>
    <t>None</t>
  </si>
  <si>
    <t>passive_grant_2</t>
  </si>
  <si>
    <t>20,80</t>
  </si>
  <si>
    <t>4周</t>
  </si>
  <si>
    <t>item_grant_two_active</t>
  </si>
  <si>
    <t>随机主动包</t>
  </si>
  <si>
    <t>随机获得2个主动道具</t>
  </si>
  <si>
    <t>Common</t>
  </si>
  <si>
    <t>active_grant_2</t>
  </si>
  <si>
    <t>10,80</t>
  </si>
  <si>
    <t>item_family_pack</t>
  </si>
  <si>
    <t>全家福</t>
  </si>
  <si>
    <t>获得1个被动道具、食物和50金币</t>
  </si>
  <si>
    <t>Rare</t>
  </si>
  <si>
    <t>passive_choice_1|dish_grant_1</t>
  </si>
  <si>
    <t>30,80</t>
  </si>
  <si>
    <t>item_randomize_items</t>
  </si>
  <si>
    <t>混沌重置</t>
  </si>
  <si>
    <t>所有道具替换为随机道具</t>
  </si>
  <si>
    <t>item_gold_random</t>
  </si>
  <si>
    <t>随机金币</t>
  </si>
  <si>
    <t>获得 50~150金币</t>
  </si>
  <si>
    <t>range:50,150</t>
  </si>
  <si>
    <t>item_gold_meal_bonus</t>
  </si>
  <si>
    <t>美食分红</t>
  </si>
  <si>
    <t>接下来10局美食
额外获得20金币</t>
  </si>
  <si>
    <t>meals:10</t>
  </si>
  <si>
    <t>统计</t>
  </si>
  <si>
    <t>item_gold_boss</t>
  </si>
  <si>
    <t>Boss赏金</t>
  </si>
  <si>
    <t>完成下次盛宴
额外+100金币</t>
  </si>
  <si>
    <t>common</t>
  </si>
  <si>
    <t>item_gold_percent</t>
  </si>
  <si>
    <t>利润提成</t>
  </si>
  <si>
    <t>美食结束获得的金币
额外+20%</t>
  </si>
  <si>
    <t>uncommon</t>
  </si>
  <si>
    <t>垃圾桶强化</t>
  </si>
  <si>
    <t>丢弃次数+1</t>
  </si>
  <si>
    <t>垃圾桶扩容</t>
  </si>
  <si>
    <t>垃圾桶进化</t>
  </si>
  <si>
    <t>丢弃次数+2</t>
  </si>
  <si>
    <t>垃圾桶突变</t>
  </si>
  <si>
    <t>item_discount_food</t>
  </si>
  <si>
    <t>食材优惠券</t>
  </si>
  <si>
    <t>食物价格-15%</t>
  </si>
  <si>
    <t>rare</t>
  </si>
  <si>
    <t>item_discount_fragment</t>
  </si>
  <si>
    <t>碎片优惠券</t>
  </si>
  <si>
    <t>餐桌格子包价格-20%</t>
  </si>
  <si>
    <t>epic</t>
  </si>
  <si>
    <t>40,80</t>
  </si>
  <si>
    <t>item_discount_active</t>
  </si>
  <si>
    <t>主动道具券</t>
  </si>
  <si>
    <t>主动道具价格-15%</t>
  </si>
  <si>
    <t>item_discount_passive</t>
  </si>
  <si>
    <t>被动道具券</t>
  </si>
  <si>
    <t>被动道具价格-15%</t>
  </si>
  <si>
    <t>item_discount_remove</t>
  </si>
  <si>
    <t>删牌优惠</t>
  </si>
  <si>
    <t>删牌价格-30%</t>
  </si>
  <si>
    <t>item_remove_fixed_30</t>
  </si>
  <si>
    <t>固定删牌价</t>
  </si>
  <si>
    <t>删牌价格固定为30金币</t>
  </si>
  <si>
    <t>item_famous_knife</t>
  </si>
  <si>
    <t>名刀</t>
  </si>
  <si>
    <t>分数未达标时不失败
但会失去此道具</t>
  </si>
  <si>
    <t>item_score_to_one</t>
  </si>
  <si>
    <t>免检通行证</t>
  </si>
  <si>
    <t>接下来3局非盛宴美食
分数要求为1</t>
  </si>
  <si>
    <t>meals:3</t>
  </si>
  <si>
    <t>item_req_normal_down</t>
  </si>
  <si>
    <t>家常减负</t>
  </si>
  <si>
    <t>普通美食要求分数-20%</t>
  </si>
  <si>
    <t>item_req_super_down</t>
  </si>
  <si>
    <t>超级减负</t>
  </si>
  <si>
    <t>超级美食要求分数-20%</t>
  </si>
  <si>
    <t>item_req_feast_down</t>
  </si>
  <si>
    <t>盛宴减负</t>
  </si>
  <si>
    <t>盛宴美食要求分数-15%</t>
  </si>
  <si>
    <t>item_count_le_mult</t>
  </si>
  <si>
    <t>精致料理</t>
  </si>
  <si>
    <t>结算开始
若食物个数&lt;=20
所有美食倍率×1.2</t>
  </si>
  <si>
    <t>lte:20</t>
  </si>
  <si>
    <t>item_count_ge_mult</t>
  </si>
  <si>
    <t>丰盛大餐</t>
  </si>
  <si>
    <t>结算开始
若食物数量&gt;=20
所有美食倍率×1.2</t>
  </si>
  <si>
    <t>gte:20</t>
  </si>
  <si>
    <t>item_perma_flat_all</t>
  </si>
  <si>
    <t>增鲜剂</t>
  </si>
  <si>
    <t>所有食物分数永久+15</t>
  </si>
  <si>
    <t>item_gold_on_shop</t>
  </si>
  <si>
    <t>商会返利</t>
  </si>
  <si>
    <t>进入商店时
获得15金币</t>
  </si>
  <si>
    <t>item_extra_interest</t>
  </si>
  <si>
    <t>复利账户</t>
  </si>
  <si>
    <t>每周结束时
额外执行1次利息结算</t>
  </si>
  <si>
    <t>item_interest_cap</t>
  </si>
  <si>
    <t>高息账户</t>
  </si>
  <si>
    <t>利息上限扩展到50金币</t>
  </si>
  <si>
    <t>item_loan</t>
  </si>
  <si>
    <t>高利贷</t>
  </si>
  <si>
    <t>临时获得200金币
下一周开始失去400金币</t>
  </si>
  <si>
    <t>repay:400</t>
  </si>
  <si>
    <t>item_timeline_random</t>
  </si>
  <si>
    <t>命运骰子</t>
  </si>
  <si>
    <t>打乱时间轴的节点事件</t>
  </si>
  <si>
    <t>item_extra_day</t>
  </si>
  <si>
    <t>加班一天</t>
  </si>
  <si>
    <t>盛宴延后一天</t>
  </si>
  <si>
    <t>item_week_minus</t>
  </si>
  <si>
    <t>时光倒流</t>
  </si>
  <si>
    <t>周数-1</t>
  </si>
  <si>
    <t>Epic</t>
  </si>
  <si>
    <t>item_add_reward_node</t>
  </si>
  <si>
    <t>额外奖励</t>
  </si>
  <si>
    <t>增加一个奖励节点到
未来时间轴上</t>
  </si>
  <si>
    <t>item_add_interest_node</t>
  </si>
  <si>
    <t>额外利息节点</t>
  </si>
  <si>
    <t>增加一个利息节点
到未来时间轴上</t>
  </si>
  <si>
    <t>item_every3_next_mult</t>
  </si>
  <si>
    <t>节奏大师</t>
  </si>
  <si>
    <t>每上菜3个食物后
下个食物倍率+1</t>
  </si>
  <si>
    <t>every:3</t>
  </si>
  <si>
    <t>item_first_+2</t>
  </si>
  <si>
    <t>开门红</t>
  </si>
  <si>
    <t>首个上菜的食物
倍率+2</t>
  </si>
  <si>
    <t>index:1</t>
  </si>
  <si>
    <t>item_last_+2</t>
  </si>
  <si>
    <t>压轴好戏</t>
  </si>
  <si>
    <t>最后上的食物
倍率+2</t>
  </si>
  <si>
    <t>index:-1</t>
  </si>
  <si>
    <t>item_extra_active_slots</t>
  </si>
  <si>
    <t>工具箱</t>
  </si>
  <si>
    <t>增加2个主动道具栏</t>
  </si>
  <si>
    <t>item_gold_on_active</t>
  </si>
  <si>
    <t>以用换钱</t>
  </si>
  <si>
    <t>使用主动道具时
获得5金币</t>
  </si>
  <si>
    <t>item_block_active</t>
  </si>
  <si>
    <t>极简主义</t>
  </si>
  <si>
    <t>无法再获得主动道具
立即获得600金币</t>
  </si>
  <si>
    <t>item_flavor_enhance</t>
  </si>
  <si>
    <t>风味喷雾</t>
  </si>
  <si>
    <t>为2个食物添加随机风味</t>
  </si>
  <si>
    <t>item_flavor_remove_gold</t>
  </si>
  <si>
    <t>风味回收</t>
  </si>
  <si>
    <t>移除1个食物的风味
获得200金币</t>
  </si>
  <si>
    <t>item_flavor_remove_double</t>
  </si>
  <si>
    <t>风味浓缩</t>
  </si>
  <si>
    <t>移除1个食物的风味
其分数翻倍</t>
  </si>
  <si>
    <t>item_flavor_double_slot</t>
  </si>
  <si>
    <t>双重风味</t>
  </si>
  <si>
    <t>食物风味上限变为2</t>
  </si>
  <si>
    <t>item_flavor_contagion</t>
  </si>
  <si>
    <t>风味传染</t>
  </si>
  <si>
    <t>使1个食物
拥有菜谱中另1个食物的风味</t>
  </si>
  <si>
    <t>item_celltag_enhance</t>
  </si>
  <si>
    <t>标签强化</t>
  </si>
  <si>
    <t>为2个餐桌格子
强化随机材质</t>
  </si>
  <si>
    <t>item_celltag_contagion</t>
  </si>
  <si>
    <t>标签传染</t>
  </si>
  <si>
    <t>使1个格子
拥有另1个格子的材质</t>
  </si>
  <si>
    <t>item_lucky_guarantee</t>
  </si>
  <si>
    <t>好运连连</t>
  </si>
  <si>
    <t>经历4个事件后
下个事件一定为奖励</t>
  </si>
  <si>
    <t>item_lucky_chance</t>
  </si>
  <si>
    <t>幸运符</t>
  </si>
  <si>
    <t>更容易在事件中遇到奖励</t>
  </si>
  <si>
    <t>item_more_events</t>
  </si>
  <si>
    <t>热闹街区</t>
  </si>
  <si>
    <t>更容易遇到事件</t>
  </si>
  <si>
    <t>item_gold_on_event</t>
  </si>
  <si>
    <t>事件红包</t>
  </si>
  <si>
    <t>经历1个事件
获得10金币</t>
  </si>
  <si>
    <t>item_shop_restock</t>
  </si>
  <si>
    <t>自动补货</t>
  </si>
  <si>
    <t>商店会自动补货</t>
  </si>
  <si>
    <t>item_choice_count_plus1</t>
  </si>
  <si>
    <t>琳琅满目</t>
  </si>
  <si>
    <t>选择食物时
可选数量+1</t>
  </si>
  <si>
    <t>item_extra_food_choice</t>
  </si>
  <si>
    <t>加餐</t>
  </si>
  <si>
    <t>每6次普通美食
额外获得3选一美食</t>
  </si>
  <si>
    <t>every:6</t>
  </si>
  <si>
    <t>item_extra_item_choice</t>
  </si>
  <si>
    <t>加料</t>
  </si>
  <si>
    <t>每4次超级美食
额外获得多选一道具</t>
  </si>
  <si>
    <t>every:4</t>
  </si>
  <si>
    <t>item_copy_food</t>
  </si>
  <si>
    <t>复制美食</t>
  </si>
  <si>
    <t>随机复制一个食物</t>
  </si>
  <si>
    <t>item_discard_negative</t>
  </si>
  <si>
    <t>断舍离</t>
  </si>
  <si>
    <t>丢弃两个负面道具</t>
  </si>
  <si>
    <t>item_discard_negative_gold</t>
  </si>
  <si>
    <t>变废为宝</t>
  </si>
  <si>
    <t>丢弃所有负面道具
每丢弃一个获得100金币</t>
  </si>
  <si>
    <t>item_gold_meal_penalty</t>
  </si>
  <si>
    <t>克扣工钱</t>
  </si>
  <si>
    <t>美食获得的金币-20%</t>
  </si>
  <si>
    <t>Negative</t>
  </si>
  <si>
    <t>item_shop_price_up</t>
  </si>
  <si>
    <t>涨价</t>
  </si>
  <si>
    <t>商店的价格+20%</t>
  </si>
  <si>
    <t>item_no_remove</t>
  </si>
  <si>
    <t>囤积癖</t>
  </si>
  <si>
    <t>无法再删除食物</t>
  </si>
  <si>
    <t>item_skip_node</t>
  </si>
  <si>
    <t>停业整顿</t>
  </si>
  <si>
    <t>跳过下一个商店或利息节点</t>
  </si>
  <si>
    <t>item_choice_minus1</t>
  </si>
  <si>
    <t>选择困难</t>
  </si>
  <si>
    <t>多选一食物时
可选数量-1</t>
  </si>
  <si>
    <t>item_req_normal_up</t>
  </si>
  <si>
    <t>家常加码</t>
  </si>
  <si>
    <t>普通美食要求分数+20%</t>
  </si>
  <si>
    <t>item_req_super_up</t>
  </si>
  <si>
    <t>超级加码</t>
  </si>
  <si>
    <t>超级美食要求分数+15%</t>
  </si>
  <si>
    <t>item_req_feast_up</t>
  </si>
  <si>
    <t>盛宴加码</t>
  </si>
  <si>
    <t>盛宴美食要求分数+15%</t>
  </si>
  <si>
    <t>item_gold_week_clear</t>
  </si>
  <si>
    <t>月光族</t>
  </si>
  <si>
    <t>本周结束时金币清空</t>
  </si>
  <si>
    <t>item_count_as_all</t>
  </si>
  <si>
    <t>小份主义</t>
  </si>
  <si>
    <t>所有食物额外被视为2个食物</t>
  </si>
  <si>
    <t>item_transfer_target_mult</t>
  </si>
  <si>
    <t>传递受益</t>
  </si>
  <si>
    <t>甜蜜传递时
被传递方倍率×1.2</t>
  </si>
  <si>
    <t>term_sweet_transfer</t>
  </si>
  <si>
    <t>item_transfer_source_mult</t>
  </si>
  <si>
    <t>传递奉献</t>
  </si>
  <si>
    <t>甜蜜传递时
传递方倍率×1.2</t>
  </si>
  <si>
    <t>item_skill_count_mult</t>
  </si>
  <si>
    <t>技法大师</t>
  </si>
  <si>
    <t>结算时每有1个技能
倍率+0.2</t>
  </si>
  <si>
    <t>item_gold_on_transfer</t>
  </si>
  <si>
    <t>传递分红</t>
  </si>
  <si>
    <t>甜蜜传递10次后
+10金币</t>
  </si>
  <si>
    <t>count:10</t>
  </si>
  <si>
    <t>item_cake_retain</t>
  </si>
  <si>
    <t>蛋糕保鲜</t>
  </si>
  <si>
    <t>保留20%的蛋糕层数
至下一次美食</t>
  </si>
  <si>
    <t>clb</t>
  </si>
  <si>
    <t>item_cake_init_bonus</t>
  </si>
  <si>
    <t>蛋糕打底</t>
  </si>
  <si>
    <t>蛋糕层数
初始额外获得10层</t>
  </si>
  <si>
    <t>item_cake_accel</t>
  </si>
  <si>
    <t>蛋糕膨胀</t>
  </si>
  <si>
    <t>蛋糕层数增加时
额外加1层</t>
  </si>
  <si>
    <t>item_cake_to_gold</t>
  </si>
  <si>
    <t>蛋糕变现</t>
  </si>
  <si>
    <t>蛋糕层数大于100层时
获得10金币</t>
  </si>
  <si>
    <t>threshold:100</t>
  </si>
  <si>
    <t>item_cake_req_minus</t>
  </si>
  <si>
    <t>蛋糕捷径</t>
  </si>
  <si>
    <t>蛋糕效果需求的层数-10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</si>
  <si>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</si>
  <si>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</si>
  <si>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</si>
  <si>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</si>
  <si>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</si>
  <si>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</si>
  <si>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</si>
  <si>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>item_active_season_sweet</t>
  </si>
  <si>
    <t>加甜单</t>
  </si>
  <si>
    <t>选择1个食物
添加「甜」风味</t>
  </si>
  <si>
    <t>AddFlavor</t>
  </si>
  <si>
    <t>t_sweet</t>
  </si>
  <si>
    <t>RecipeDish</t>
  </si>
  <si>
    <t>item_active_season_bitter</t>
  </si>
  <si>
    <t>加苦单</t>
  </si>
  <si>
    <t>选择1个食物
添加「苦」风味</t>
  </si>
  <si>
    <t>t_bitter</t>
  </si>
  <si>
    <t>item_active_season_umami</t>
  </si>
  <si>
    <t>加鲜单</t>
  </si>
  <si>
    <t>选择1个食物
添加「鲜」风味</t>
  </si>
  <si>
    <t>t_rust</t>
  </si>
  <si>
    <t>item_active_season_numb</t>
  </si>
  <si>
    <t>加麻单</t>
  </si>
  <si>
    <t>选择1个食物
添加「麻」风味</t>
  </si>
  <si>
    <t>t_numb</t>
  </si>
  <si>
    <t>item_active_season_sour</t>
  </si>
  <si>
    <t>加酸单</t>
  </si>
  <si>
    <t>选择1个食物
添加「酸」风味</t>
  </si>
  <si>
    <t>t_sour</t>
  </si>
  <si>
    <t>item_active_season_salty</t>
  </si>
  <si>
    <t>加咸单</t>
  </si>
  <si>
    <t>选择1个食物
添加「咸」风味</t>
  </si>
  <si>
    <t>t_salty</t>
  </si>
  <si>
    <t>item_active_lay_cherry</t>
  </si>
  <si>
    <t>樱桃木采购单</t>
  </si>
  <si>
    <t>选择1个餐桌格子
强化「樱桃木」材质</t>
  </si>
  <si>
    <t>AddMaterial</t>
  </si>
  <si>
    <t>m_cherry</t>
  </si>
  <si>
    <t>DiningTableCell</t>
  </si>
  <si>
    <t>item_active_lay_walnut</t>
  </si>
  <si>
    <t>胡桃木采购单</t>
  </si>
  <si>
    <t>选择1个餐桌格子
强化「胡桃木」材质</t>
  </si>
  <si>
    <t>m_walnut</t>
  </si>
  <si>
    <t>item_active_lay_marble</t>
  </si>
  <si>
    <t>大理石采购单</t>
  </si>
  <si>
    <t>选择1个餐桌格子
强化「大理石」材质</t>
  </si>
  <si>
    <t>m_marble</t>
  </si>
  <si>
    <t>item_active_lay_obsidian</t>
  </si>
  <si>
    <t>黑曜石采购单</t>
  </si>
  <si>
    <t>选择1个餐桌格子
强化「黑曜石」材质</t>
  </si>
  <si>
    <t>m_obsidian</t>
  </si>
  <si>
    <t>item_active_lay_emerald</t>
  </si>
  <si>
    <t>翡翠采购单</t>
  </si>
  <si>
    <t>选择1个餐桌格子
强化「翡翠」材质</t>
  </si>
  <si>
    <t>m_emerald</t>
  </si>
  <si>
    <t>item_active_lay_gold</t>
  </si>
  <si>
    <t>金采购单</t>
  </si>
  <si>
    <t>选择1个餐桌格子
强化「金」材质</t>
  </si>
  <si>
    <t>m_gold</t>
  </si>
  <si>
    <t>item_active_lay_silver</t>
  </si>
  <si>
    <t>银采购单</t>
  </si>
  <si>
    <t>选择1个餐桌格子
强化「银」材质</t>
  </si>
  <si>
    <t>m_silver</t>
  </si>
  <si>
    <t>item_active_sched_reroll</t>
  </si>
  <si>
    <t>行动调整单</t>
  </si>
  <si>
    <t>重掷一次当前行动选项
Boss 行动除外</t>
  </si>
  <si>
    <t>RerollAction</t>
  </si>
  <si>
    <t>Global</t>
  </si>
  <si>
    <t>item_active_sched_feast</t>
  </si>
  <si>
    <t>盛宴调整单</t>
  </si>
  <si>
    <t>重置本周 Boss 类型</t>
  </si>
  <si>
    <t>ResetBossDebuff</t>
  </si>
  <si>
    <t>item_active_sched_rush</t>
  </si>
  <si>
    <t>加急单</t>
  </si>
  <si>
    <t>立即执行下一个节点事件</t>
  </si>
  <si>
    <t>TimelineExecuteNext</t>
  </si>
  <si>
    <t>item_active_sched_reward</t>
  </si>
  <si>
    <t>奖励单</t>
  </si>
  <si>
    <t>在时间轴上添加一个奖励节点</t>
  </si>
  <si>
    <t>TimelineAddRewardNode</t>
  </si>
  <si>
    <t>act_event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</si>
  <si>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</si>
  <si>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</si>
  <si>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</si>
  <si>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</si>
  <si>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</si>
  <si>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</si>
  <si>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</si>
  <si>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</si>
  <si>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</si>
  <si>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</si>
  <si>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</si>
  <si>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</si>
  <si>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</si>
  <si>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</si>
  <si>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</si>
  <si>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</si>
  <si>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</si>
  <si>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</si>
  <si>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获得时，获得一个随机被动道具、随机食物、50金币</t>
  </si>
  <si>
    <t>随机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</si>
  <si>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</si>
  <si>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</si>
  <si>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</si>
  <si>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</si>
  <si>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</si>
  <si>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</si>
  <si>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</si>
  <si>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</si>
  <si>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</si>
  <si>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</si>
  <si>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</si>
  <si>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</si>
  <si>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</si>
  <si>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</si>
  <si>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</si>
  <si>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</si>
  <si>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</si>
  <si>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</si>
  <si>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</si>
  <si>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不死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</si>
  <si>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</si>
  <si>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</si>
  <si>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</si>
  <si>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</si>
  <si>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</si>
  <si>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</si>
  <si>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</si>
  <si>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</si>
  <si>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</si>
  <si>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</si>
  <si>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</si>
  <si>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</si>
  <si>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</si>
  <si>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</si>
  <si>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</si>
  <si>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</si>
  <si>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</si>
  <si>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</si>
  <si>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</si>
  <si>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</si>
  <si>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</si>
  <si>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</si>
  <si>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</si>
  <si>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</si>
  <si>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</si>
  <si>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</si>
  <si>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食物转换</t>
  </si>
  <si>
    <t>随机将5个食物，变为至少同品质的食物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</si>
  <si>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</si>
  <si>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</si>
  <si>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</si>
  <si>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</si>
  <si>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</si>
  <si>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</si>
  <si>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</si>
  <si>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</si>
  <si>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</si>
  <si>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</si>
  <si>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</si>
  <si>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随机化时间轴的节点事件。</t>
  </si>
  <si>
    <t>增加第八天</t>
  </si>
  <si>
    <t>延后所有Boss一天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</si>
  <si>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</si>
  <si>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</si>
  <si>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</si>
  <si>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</si>
  <si>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</si>
  <si>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</si>
  <si>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</si>
  <si>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</si>
  <si>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</si>
  <si>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</si>
  <si>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</si>
  <si>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</si>
  <si>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</si>
  <si>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</si>
  <si>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</si>
  <si>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</si>
  <si>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</si>
  <si>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</si>
  <si>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</si>
  <si>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</si>
  <si>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</si>
  <si>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</si>
  <si>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</si>
  <si>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</si>
  <si>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</si>
  <si>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</si>
  <si>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</si>
  <si>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</si>
  <si>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</si>
  <si>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</si>
  <si>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</si>
  <si>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</si>
  <si>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</si>
  <si>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</si>
  <si>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</si>
  <si>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</si>
  <si>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</si>
  <si>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</si>
  <si>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</si>
  <si>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</si>
  <si>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</si>
  <si>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</si>
  <si>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</si>
  <si>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</si>
  <si>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</si>
  <si>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</si>
  <si>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</si>
  <si>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</si>
  <si>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</si>
  <si>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</si>
  <si>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</si>
  <si>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</si>
  <si>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</si>
  <si>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</si>
  <si>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</si>
  <si>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</si>
  <si>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</si>
  <si>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转化</t>
  </si>
  <si>
    <t>丢弃所有负面道具，每丢弃一个获得100金币</t>
  </si>
  <si>
    <t>通用负面</t>
  </si>
  <si>
    <t>运营</t>
  </si>
  <si>
    <t>金币减少</t>
  </si>
  <si>
    <t>美食获得的金币减少25%</t>
  </si>
  <si>
    <t>价格变高</t>
  </si>
  <si>
    <t>商店的价格变高25%</t>
  </si>
  <si>
    <t>无法删菜</t>
  </si>
  <si>
    <t>节点失效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</si>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</sst>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Linux Libertine G"/>
      <charset val="134"/>
    </font>
    <font>
      <sz val="10"/>
      <color theme="1"/>
      <name val="Linux Libertine G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sz val="10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/>
    <xf numFmtId="44" fontId="4" fillId="0" borderId="0"/>
    <xf numFmtId="9" fontId="4" fillId="0" borderId="0"/>
    <xf numFmtId="41" fontId="4" fillId="0" borderId="0"/>
    <xf numFmtId="42" fontId="4" fillId="0" borderId="0"/>
    <xf numFmtId="0" fontId="5" fillId="0" borderId="0">
      <alignment vertical="center"/>
    </xf>
    <xf numFmtId="0" fontId="6" fillId="0" borderId="0">
      <alignment vertical="center"/>
    </xf>
    <xf numFmtId="0" fontId="7" fillId="3" borderId="3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4">
      <alignment vertical="center"/>
    </xf>
    <xf numFmtId="0" fontId="12" fillId="0" borderId="4">
      <alignment vertical="center"/>
    </xf>
    <xf numFmtId="0" fontId="13" fillId="0" borderId="5">
      <alignment vertical="center"/>
    </xf>
    <xf numFmtId="0" fontId="13" fillId="0" borderId="0">
      <alignment vertical="center"/>
    </xf>
    <xf numFmtId="0" fontId="14" fillId="4" borderId="6">
      <alignment vertical="center"/>
    </xf>
    <xf numFmtId="0" fontId="15" fillId="5" borderId="7">
      <alignment vertical="center"/>
    </xf>
    <xf numFmtId="0" fontId="16" fillId="5" borderId="6">
      <alignment vertical="center"/>
    </xf>
    <xf numFmtId="0" fontId="17" fillId="6" borderId="8">
      <alignment vertical="center"/>
    </xf>
    <xf numFmtId="0" fontId="18" fillId="0" borderId="9">
      <alignment vertical="center"/>
    </xf>
    <xf numFmtId="0" fontId="19" fillId="0" borderId="10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7" fillId="11" borderId="0">
      <alignment vertical="center"/>
    </xf>
    <xf numFmtId="0" fontId="7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7" fillId="15" borderId="0">
      <alignment vertical="center"/>
    </xf>
    <xf numFmtId="0" fontId="7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7" fillId="19" borderId="0">
      <alignment vertical="center"/>
    </xf>
    <xf numFmtId="0" fontId="7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7" fillId="23" borderId="0">
      <alignment vertical="center"/>
    </xf>
    <xf numFmtId="0" fontId="7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7" fillId="27" borderId="0">
      <alignment vertical="center"/>
    </xf>
    <xf numFmtId="0" fontId="7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7" fillId="31" borderId="0">
      <alignment vertical="center"/>
    </xf>
    <xf numFmtId="0" fontId="7" fillId="32" borderId="0">
      <alignment vertical="center"/>
    </xf>
    <xf numFmtId="0" fontId="23" fillId="33" borderId="0">
      <alignment vertical="center"/>
    </xf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3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3" fillId="0" borderId="0" xfId="0"/>
    <xf numFmtId="0" fontId="0" fillId="2" borderId="0" xfId="0" applyFill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EE0E3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87"/>
  <sheetViews>
    <sheetView tabSelected="1" zoomScale="55" zoomScaleNormal="55" topLeftCell="A58" workbookViewId="0">
      <selection activeCell="E25" sqref="E25"/>
    </sheetView>
  </sheetViews>
  <sheetFormatPr defaultColWidth="9.00735294117647" defaultRowHeight="16.8"/>
  <cols>
    <col min="1" max="1" width="13.0808823529412" style="1" customWidth="1"/>
    <col min="2" max="2" width="30.3823529411765" style="1" customWidth="1"/>
    <col min="3" max="3" width="15.1617647058824" style="1" customWidth="1"/>
    <col min="4" max="4" width="35.4632352941176" style="1" customWidth="1"/>
    <col min="5" max="5" width="12.8382352941176" style="1" customWidth="1"/>
    <col min="6" max="6" width="15.1617647058824" style="1" customWidth="1"/>
    <col min="7" max="7" width="11.9191176470588" style="1" customWidth="1"/>
    <col min="8" max="8" width="25.5294117647059" style="1" customWidth="1"/>
    <col min="9" max="9" width="15.1617647058824" style="1" customWidth="1"/>
    <col min="10" max="10" width="36" style="1" customWidth="1"/>
    <col min="11" max="11" width="25.0808823529412" style="1" customWidth="1"/>
    <col min="12" max="12" width="18.0808823529412" style="1" customWidth="1"/>
    <col min="13" max="13" width="25.6985294117647" style="1" customWidth="1"/>
    <col min="14" max="14" width="24.5367647058824" style="1" customWidth="1"/>
    <col min="15" max="15" width="23" style="1" customWidth="1"/>
    <col min="16" max="16" width="18.3014705882353" style="1" customWidth="1"/>
    <col min="17" max="17" width="26.4632352941176" customWidth="1"/>
    <col min="20" max="20" width="11.7720588235294" customWidth="1"/>
    <col min="21" max="21" width="13.7058823529412"/>
  </cols>
  <sheetData>
    <row r="1" ht="16.5" customHeight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</row>
    <row r="2" ht="16.5" customHeight="1" spans="1:29">
      <c r="A2" s="1" t="s">
        <v>18</v>
      </c>
      <c r="B2" s="1" t="s">
        <v>19</v>
      </c>
      <c r="C2" s="1" t="s">
        <v>20</v>
      </c>
      <c r="D2" s="1" t="s">
        <v>21</v>
      </c>
      <c r="E2" s="1" t="s">
        <v>22</v>
      </c>
      <c r="F2" s="1" t="s">
        <v>23</v>
      </c>
      <c r="G2" s="1" t="s">
        <v>24</v>
      </c>
      <c r="H2" s="1" t="s">
        <v>25</v>
      </c>
      <c r="I2" s="1" t="s">
        <v>26</v>
      </c>
      <c r="J2" s="1" t="s">
        <v>27</v>
      </c>
      <c r="K2" s="1" t="s">
        <v>28</v>
      </c>
      <c r="L2" s="1" t="s">
        <v>29</v>
      </c>
      <c r="M2" s="1" t="s">
        <v>30</v>
      </c>
      <c r="N2" s="1" t="s">
        <v>31</v>
      </c>
      <c r="O2" s="1" t="s">
        <v>32</v>
      </c>
      <c r="P2" s="1" t="s">
        <v>33</v>
      </c>
      <c r="Q2" t="s">
        <v>34</v>
      </c>
      <c r="R2" t="s">
        <v>35</v>
      </c>
      <c r="U2" s="1" t="s">
        <v>36</v>
      </c>
      <c r="V2" s="1">
        <v>30</v>
      </c>
      <c r="W2" s="1">
        <v>31</v>
      </c>
      <c r="X2" s="1">
        <v>32</v>
      </c>
      <c r="Y2" s="1">
        <v>33</v>
      </c>
      <c r="Z2" s="1">
        <v>34</v>
      </c>
      <c r="AA2" s="1">
        <v>35</v>
      </c>
      <c r="AB2" s="1">
        <v>36</v>
      </c>
      <c r="AC2" s="1">
        <v>37</v>
      </c>
    </row>
    <row r="3" ht="16.5" customHeight="1" spans="1:29">
      <c r="A3" s="1" t="s">
        <v>37</v>
      </c>
      <c r="B3" s="1" t="s">
        <v>38</v>
      </c>
      <c r="C3" s="1" t="s">
        <v>38</v>
      </c>
      <c r="D3" s="1" t="s">
        <v>38</v>
      </c>
      <c r="E3" s="1" t="s">
        <v>39</v>
      </c>
      <c r="F3" s="1" t="s">
        <v>40</v>
      </c>
      <c r="G3" s="1" t="s">
        <v>41</v>
      </c>
      <c r="H3" s="1" t="s">
        <v>38</v>
      </c>
      <c r="I3" s="1" t="s">
        <v>41</v>
      </c>
      <c r="J3" s="1" t="s">
        <v>42</v>
      </c>
      <c r="K3" s="1" t="s">
        <v>43</v>
      </c>
      <c r="L3" s="1" t="s">
        <v>43</v>
      </c>
      <c r="M3" s="1" t="s">
        <v>43</v>
      </c>
      <c r="N3" s="1" t="s">
        <v>43</v>
      </c>
      <c r="O3" s="1" t="s">
        <v>43</v>
      </c>
      <c r="P3" s="1" t="s">
        <v>43</v>
      </c>
      <c r="Q3" t="s">
        <v>38</v>
      </c>
      <c r="R3" t="s">
        <v>43</v>
      </c>
      <c r="U3" s="1" t="s">
        <v>44</v>
      </c>
      <c r="V3" s="1">
        <v>40</v>
      </c>
      <c r="W3" s="1">
        <v>41</v>
      </c>
      <c r="X3" s="1">
        <v>42</v>
      </c>
      <c r="Y3" s="1">
        <v>43</v>
      </c>
      <c r="Z3" s="1">
        <v>44</v>
      </c>
      <c r="AA3" s="1">
        <v>45</v>
      </c>
      <c r="AB3" s="1">
        <v>46</v>
      </c>
      <c r="AC3" s="1">
        <v>47</v>
      </c>
    </row>
    <row r="4" spans="2:29">
      <c r="B4" s="1" t="s">
        <v>45</v>
      </c>
      <c r="C4" s="1" t="s">
        <v>46</v>
      </c>
      <c r="D4" s="1" t="s">
        <v>47</v>
      </c>
      <c r="E4" s="1" t="s">
        <v>48</v>
      </c>
      <c r="F4" s="1" t="s">
        <v>49</v>
      </c>
      <c r="H4" s="1" t="s">
        <v>50</v>
      </c>
      <c r="I4" s="1">
        <v>100</v>
      </c>
      <c r="J4" s="1" t="s">
        <v>51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R4">
        <v>80</v>
      </c>
      <c r="U4" s="1" t="s">
        <v>52</v>
      </c>
      <c r="V4" s="1">
        <v>50</v>
      </c>
      <c r="W4" s="1">
        <v>51</v>
      </c>
      <c r="X4" s="1">
        <v>52</v>
      </c>
      <c r="Y4" s="1">
        <v>53</v>
      </c>
      <c r="Z4" s="1">
        <v>54</v>
      </c>
      <c r="AA4" s="1">
        <v>55</v>
      </c>
      <c r="AB4" s="1">
        <v>56</v>
      </c>
      <c r="AC4" s="1">
        <v>57</v>
      </c>
    </row>
    <row r="5" spans="2:18">
      <c r="B5" s="1" t="s">
        <v>53</v>
      </c>
      <c r="C5" s="1" t="s">
        <v>54</v>
      </c>
      <c r="D5" s="1" t="s">
        <v>55</v>
      </c>
      <c r="E5" s="1" t="s">
        <v>56</v>
      </c>
      <c r="F5" s="1" t="s">
        <v>49</v>
      </c>
      <c r="H5" s="13" t="s">
        <v>57</v>
      </c>
      <c r="I5" s="1">
        <v>300</v>
      </c>
      <c r="J5" s="1" t="s">
        <v>58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R5">
        <f>VLOOKUP(E5,$T$10:$AB$17,9,FALSE)</f>
        <v>50</v>
      </c>
    </row>
    <row r="6" spans="1:18">
      <c r="A6"/>
      <c r="B6" s="1" t="s">
        <v>59</v>
      </c>
      <c r="C6" s="1" t="s">
        <v>60</v>
      </c>
      <c r="D6" s="1" t="s">
        <v>61</v>
      </c>
      <c r="E6" s="1" t="s">
        <v>62</v>
      </c>
      <c r="F6" s="1" t="s">
        <v>49</v>
      </c>
      <c r="G6" s="1">
        <v>50</v>
      </c>
      <c r="H6" t="s">
        <v>63</v>
      </c>
      <c r="I6" s="1">
        <v>30</v>
      </c>
      <c r="J6" s="1" t="s">
        <v>64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R6">
        <f>VLOOKUP(E6,$T$10:$AB$17,9,FALSE)</f>
        <v>120</v>
      </c>
    </row>
    <row r="7" spans="1:18">
      <c r="A7"/>
      <c r="B7" s="1" t="s">
        <v>65</v>
      </c>
      <c r="C7" s="1" t="s">
        <v>66</v>
      </c>
      <c r="D7" s="1" t="s">
        <v>67</v>
      </c>
      <c r="E7" s="1" t="s">
        <v>62</v>
      </c>
      <c r="F7" s="1" t="s">
        <v>49</v>
      </c>
      <c r="G7" s="1">
        <v>0</v>
      </c>
      <c r="I7" s="1">
        <v>30</v>
      </c>
      <c r="J7" s="1" t="s">
        <v>64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R7">
        <f>VLOOKUP(E7,$T$10:$AB$17,9,FALSE)</f>
        <v>120</v>
      </c>
    </row>
    <row r="8" spans="1:18">
      <c r="A8"/>
      <c r="B8" s="1" t="s">
        <v>68</v>
      </c>
      <c r="C8" s="1" t="s">
        <v>69</v>
      </c>
      <c r="D8" s="1" t="s">
        <v>70</v>
      </c>
      <c r="E8" s="1" t="s">
        <v>56</v>
      </c>
      <c r="F8" s="1" t="s">
        <v>49</v>
      </c>
      <c r="G8" s="1">
        <v>0</v>
      </c>
      <c r="H8" t="s">
        <v>71</v>
      </c>
      <c r="I8" s="1">
        <v>300</v>
      </c>
      <c r="J8" s="1" t="s">
        <v>58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R8">
        <f>VLOOKUP(E8,$T$10:$AB$17,9,FALSE)</f>
        <v>50</v>
      </c>
    </row>
    <row r="9" spans="1:26">
      <c r="A9"/>
      <c r="B9" s="1" t="s">
        <v>72</v>
      </c>
      <c r="C9" s="1" t="s">
        <v>73</v>
      </c>
      <c r="D9" s="1" t="s">
        <v>74</v>
      </c>
      <c r="E9" s="1" t="s">
        <v>56</v>
      </c>
      <c r="F9" s="1" t="s">
        <v>49</v>
      </c>
      <c r="G9" s="1">
        <v>20</v>
      </c>
      <c r="H9" s="1" t="s">
        <v>75</v>
      </c>
      <c r="I9" s="1">
        <v>300</v>
      </c>
      <c r="J9" s="1" t="s">
        <v>58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R9">
        <f>VLOOKUP(E9,$T$10:$AB$17,9,FALSE)</f>
        <v>50</v>
      </c>
      <c r="Z9" t="s">
        <v>76</v>
      </c>
    </row>
    <row r="10" ht="34" spans="1:28">
      <c r="A10"/>
      <c r="B10" s="1" t="s">
        <v>77</v>
      </c>
      <c r="C10" s="1" t="s">
        <v>78</v>
      </c>
      <c r="D10" s="8" t="s">
        <v>79</v>
      </c>
      <c r="E10" s="1" t="s">
        <v>56</v>
      </c>
      <c r="F10" s="1" t="s">
        <v>49</v>
      </c>
      <c r="G10" s="1">
        <v>100</v>
      </c>
      <c r="I10" s="1">
        <v>300</v>
      </c>
      <c r="J10" s="1" t="s">
        <v>58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R10">
        <f>VLOOKUP(E10,$T$10:$AB$17,9,FALSE)</f>
        <v>50</v>
      </c>
      <c r="T10" t="s">
        <v>80</v>
      </c>
      <c r="V10">
        <v>300</v>
      </c>
      <c r="X10" t="s">
        <v>58</v>
      </c>
      <c r="Z10">
        <f>COUNTIF($E$4:$E$87,T10)</f>
        <v>27</v>
      </c>
      <c r="AB10">
        <v>50</v>
      </c>
    </row>
    <row r="11" ht="34" spans="1:28">
      <c r="A11"/>
      <c r="B11" s="1" t="s">
        <v>81</v>
      </c>
      <c r="C11" s="1" t="s">
        <v>82</v>
      </c>
      <c r="D11" s="8" t="s">
        <v>83</v>
      </c>
      <c r="E11" s="1" t="s">
        <v>48</v>
      </c>
      <c r="F11" s="1" t="s">
        <v>49</v>
      </c>
      <c r="G11" s="1">
        <v>0.2</v>
      </c>
      <c r="H11"/>
      <c r="I11" s="1">
        <v>100</v>
      </c>
      <c r="J11" s="1" t="s">
        <v>51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R11">
        <f>VLOOKUP(E11,$T$10:$AB$17,9,FALSE)</f>
        <v>80</v>
      </c>
      <c r="T11" t="s">
        <v>84</v>
      </c>
      <c r="V11">
        <v>100</v>
      </c>
      <c r="X11" t="s">
        <v>51</v>
      </c>
      <c r="Z11">
        <f>COUNTIF($E$4:$E$87,T11)</f>
        <v>34</v>
      </c>
      <c r="AB11">
        <v>80</v>
      </c>
    </row>
    <row r="12" s="10" customFormat="1" ht="17" spans="2:16">
      <c r="B12" s="11"/>
      <c r="C12" s="11" t="s">
        <v>85</v>
      </c>
      <c r="D12" s="12" t="s">
        <v>86</v>
      </c>
      <c r="E12" s="11" t="s">
        <v>56</v>
      </c>
      <c r="F12" s="11" t="s">
        <v>49</v>
      </c>
      <c r="G12" s="11"/>
      <c r="H12" s="10"/>
      <c r="I12" s="11"/>
      <c r="J12" s="11"/>
      <c r="K12" s="11"/>
      <c r="L12" s="11"/>
      <c r="M12" s="11"/>
      <c r="N12" s="11"/>
      <c r="O12" s="11"/>
      <c r="P12" s="11"/>
    </row>
    <row r="13" s="10" customFormat="1" ht="17" spans="2:16">
      <c r="B13" s="11"/>
      <c r="C13" s="11" t="s">
        <v>87</v>
      </c>
      <c r="D13" s="12" t="s">
        <v>86</v>
      </c>
      <c r="E13" s="11" t="s">
        <v>56</v>
      </c>
      <c r="F13" s="11" t="s">
        <v>49</v>
      </c>
      <c r="G13" s="11"/>
      <c r="H13" s="10"/>
      <c r="I13" s="11"/>
      <c r="J13" s="11"/>
      <c r="K13" s="11"/>
      <c r="L13" s="11"/>
      <c r="M13" s="11"/>
      <c r="N13" s="11"/>
      <c r="O13" s="11"/>
      <c r="P13" s="11"/>
    </row>
    <row r="14" s="10" customFormat="1" ht="17" spans="2:16">
      <c r="B14" s="11"/>
      <c r="C14" s="11" t="s">
        <v>88</v>
      </c>
      <c r="D14" s="12" t="s">
        <v>89</v>
      </c>
      <c r="E14" s="11" t="s">
        <v>48</v>
      </c>
      <c r="F14" s="11" t="s">
        <v>49</v>
      </c>
      <c r="G14" s="11"/>
      <c r="H14" s="10"/>
      <c r="I14" s="11"/>
      <c r="J14" s="11"/>
      <c r="K14" s="11"/>
      <c r="L14" s="11"/>
      <c r="M14" s="11"/>
      <c r="N14" s="11"/>
      <c r="O14" s="11"/>
      <c r="P14" s="11"/>
    </row>
    <row r="15" s="10" customFormat="1" ht="17" spans="2:16">
      <c r="B15" s="11"/>
      <c r="C15" s="11" t="s">
        <v>90</v>
      </c>
      <c r="D15" s="12" t="s">
        <v>89</v>
      </c>
      <c r="E15" s="11" t="s">
        <v>62</v>
      </c>
      <c r="F15" s="11" t="s">
        <v>49</v>
      </c>
      <c r="G15" s="11"/>
      <c r="H15" s="10"/>
      <c r="I15" s="11"/>
      <c r="J15" s="11"/>
      <c r="K15" s="11"/>
      <c r="L15" s="11"/>
      <c r="M15" s="11"/>
      <c r="N15" s="11"/>
      <c r="O15" s="11"/>
      <c r="P15" s="11"/>
    </row>
    <row r="16" ht="17" spans="1:28">
      <c r="A16"/>
      <c r="B16" s="1" t="s">
        <v>91</v>
      </c>
      <c r="C16" s="1" t="s">
        <v>92</v>
      </c>
      <c r="D16" s="8" t="s">
        <v>93</v>
      </c>
      <c r="E16" s="1" t="s">
        <v>48</v>
      </c>
      <c r="F16" s="1" t="s">
        <v>49</v>
      </c>
      <c r="G16" s="1">
        <v>0.15</v>
      </c>
      <c r="H16"/>
      <c r="I16" s="1">
        <v>100</v>
      </c>
      <c r="J16" s="1" t="s">
        <v>51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R16">
        <f t="shared" ref="R16:R40" si="0">VLOOKUP(E16,$T$10:$AB$17,9,FALSE)</f>
        <v>80</v>
      </c>
      <c r="T16" t="s">
        <v>94</v>
      </c>
      <c r="V16">
        <v>30</v>
      </c>
      <c r="X16" t="s">
        <v>64</v>
      </c>
      <c r="Z16">
        <f>COUNTIF($E$4:$E$87,T16)</f>
        <v>11</v>
      </c>
      <c r="AB16">
        <v>120</v>
      </c>
    </row>
    <row r="17" spans="1:28">
      <c r="A17"/>
      <c r="B17" s="1" t="s">
        <v>95</v>
      </c>
      <c r="C17" s="1" t="s">
        <v>96</v>
      </c>
      <c r="D17" s="1" t="s">
        <v>97</v>
      </c>
      <c r="E17" s="1" t="s">
        <v>56</v>
      </c>
      <c r="F17" s="1" t="s">
        <v>49</v>
      </c>
      <c r="G17" s="1">
        <v>0.2</v>
      </c>
      <c r="H17"/>
      <c r="I17" s="1">
        <v>300</v>
      </c>
      <c r="J17" s="1" t="s">
        <v>58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R17">
        <f t="shared" si="0"/>
        <v>50</v>
      </c>
      <c r="T17" t="s">
        <v>98</v>
      </c>
      <c r="V17">
        <v>10</v>
      </c>
      <c r="X17" t="s">
        <v>99</v>
      </c>
      <c r="Z17">
        <f>COUNTIF($E$4:$E$87,T17)</f>
        <v>6</v>
      </c>
      <c r="AB17">
        <v>200</v>
      </c>
    </row>
    <row r="18" spans="2:18">
      <c r="B18" s="1" t="s">
        <v>100</v>
      </c>
      <c r="C18" s="1" t="s">
        <v>101</v>
      </c>
      <c r="D18" s="1" t="s">
        <v>102</v>
      </c>
      <c r="E18" s="1" t="s">
        <v>48</v>
      </c>
      <c r="F18" s="1" t="s">
        <v>49</v>
      </c>
      <c r="G18" s="1">
        <v>0.15</v>
      </c>
      <c r="I18" s="1">
        <v>100</v>
      </c>
      <c r="J18" s="1" t="s">
        <v>51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R18">
        <f t="shared" si="0"/>
        <v>80</v>
      </c>
    </row>
    <row r="19" spans="2:18">
      <c r="B19" s="1" t="s">
        <v>103</v>
      </c>
      <c r="C19" s="1" t="s">
        <v>104</v>
      </c>
      <c r="D19" s="1" t="s">
        <v>105</v>
      </c>
      <c r="E19" s="1" t="s">
        <v>48</v>
      </c>
      <c r="F19" s="1" t="s">
        <v>49</v>
      </c>
      <c r="G19" s="1">
        <v>0.15</v>
      </c>
      <c r="I19" s="1">
        <v>100</v>
      </c>
      <c r="J19" s="1" t="s">
        <v>51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R19">
        <f t="shared" si="0"/>
        <v>80</v>
      </c>
    </row>
    <row r="20" spans="2:18">
      <c r="B20" s="1" t="s">
        <v>106</v>
      </c>
      <c r="C20" s="1" t="s">
        <v>107</v>
      </c>
      <c r="D20" s="1" t="s">
        <v>108</v>
      </c>
      <c r="E20" s="1" t="s">
        <v>56</v>
      </c>
      <c r="F20" s="1" t="s">
        <v>49</v>
      </c>
      <c r="G20" s="1">
        <v>0.3</v>
      </c>
      <c r="I20" s="1">
        <v>300</v>
      </c>
      <c r="J20" s="1" t="s">
        <v>58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R20">
        <f t="shared" si="0"/>
        <v>50</v>
      </c>
    </row>
    <row r="21" spans="2:18">
      <c r="B21" s="1" t="s">
        <v>109</v>
      </c>
      <c r="C21" s="1" t="s">
        <v>110</v>
      </c>
      <c r="D21" s="1" t="s">
        <v>111</v>
      </c>
      <c r="E21" s="1" t="s">
        <v>62</v>
      </c>
      <c r="F21" s="1" t="s">
        <v>49</v>
      </c>
      <c r="G21" s="1">
        <v>30</v>
      </c>
      <c r="I21" s="1">
        <v>30</v>
      </c>
      <c r="J21" s="1" t="s">
        <v>64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R21">
        <f t="shared" si="0"/>
        <v>120</v>
      </c>
    </row>
    <row r="22" spans="2:18">
      <c r="B22" s="1" t="s">
        <v>112</v>
      </c>
      <c r="C22" s="1" t="s">
        <v>113</v>
      </c>
      <c r="D22" s="1" t="s">
        <v>114</v>
      </c>
      <c r="E22" s="1" t="s">
        <v>62</v>
      </c>
      <c r="F22" s="1" t="s">
        <v>49</v>
      </c>
      <c r="G22" s="1">
        <v>0</v>
      </c>
      <c r="I22" s="1">
        <v>30</v>
      </c>
      <c r="J22" s="1" t="s">
        <v>64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R22">
        <f t="shared" si="0"/>
        <v>120</v>
      </c>
    </row>
    <row r="23" spans="2:18">
      <c r="B23" s="1" t="s">
        <v>115</v>
      </c>
      <c r="C23" s="1" t="s">
        <v>116</v>
      </c>
      <c r="D23" s="1" t="s">
        <v>117</v>
      </c>
      <c r="E23" s="1" t="s">
        <v>56</v>
      </c>
      <c r="F23" s="1" t="s">
        <v>49</v>
      </c>
      <c r="G23" s="1">
        <v>0</v>
      </c>
      <c r="H23" s="1" t="s">
        <v>118</v>
      </c>
      <c r="I23" s="1">
        <v>300</v>
      </c>
      <c r="J23" s="1" t="s">
        <v>58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R23">
        <f t="shared" si="0"/>
        <v>50</v>
      </c>
    </row>
    <row r="24" ht="17" spans="2:18">
      <c r="B24" s="1" t="s">
        <v>119</v>
      </c>
      <c r="C24" s="1" t="s">
        <v>120</v>
      </c>
      <c r="D24" s="8" t="s">
        <v>121</v>
      </c>
      <c r="E24" s="1" t="s">
        <v>56</v>
      </c>
      <c r="F24" s="1" t="s">
        <v>49</v>
      </c>
      <c r="G24" s="1">
        <v>-0.2</v>
      </c>
      <c r="I24" s="1">
        <v>300</v>
      </c>
      <c r="J24" s="1" t="s">
        <v>58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R24">
        <f t="shared" si="0"/>
        <v>50</v>
      </c>
    </row>
    <row r="25" ht="17" spans="2:18">
      <c r="B25" s="1" t="s">
        <v>122</v>
      </c>
      <c r="C25" s="1" t="s">
        <v>123</v>
      </c>
      <c r="D25" s="8" t="s">
        <v>124</v>
      </c>
      <c r="E25" s="1" t="s">
        <v>48</v>
      </c>
      <c r="F25" s="1" t="s">
        <v>49</v>
      </c>
      <c r="G25" s="1">
        <v>-0.2</v>
      </c>
      <c r="I25" s="1">
        <v>100</v>
      </c>
      <c r="J25" s="1" t="s">
        <v>51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R25">
        <f t="shared" si="0"/>
        <v>80</v>
      </c>
    </row>
    <row r="26" spans="2:18">
      <c r="B26" s="1" t="s">
        <v>125</v>
      </c>
      <c r="C26" s="1" t="s">
        <v>126</v>
      </c>
      <c r="D26" s="1" t="s">
        <v>127</v>
      </c>
      <c r="E26" s="1" t="s">
        <v>62</v>
      </c>
      <c r="F26" s="1" t="s">
        <v>49</v>
      </c>
      <c r="G26" s="1">
        <v>-0.15</v>
      </c>
      <c r="I26" s="1">
        <v>30</v>
      </c>
      <c r="J26" s="1" t="s">
        <v>64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R26">
        <f t="shared" si="0"/>
        <v>120</v>
      </c>
    </row>
    <row r="27" ht="51" spans="2:18">
      <c r="B27" s="1" t="s">
        <v>128</v>
      </c>
      <c r="C27" s="1" t="s">
        <v>129</v>
      </c>
      <c r="D27" s="8" t="s">
        <v>130</v>
      </c>
      <c r="E27" s="1" t="s">
        <v>48</v>
      </c>
      <c r="F27" s="1" t="s">
        <v>49</v>
      </c>
      <c r="G27" s="1">
        <v>1.2</v>
      </c>
      <c r="H27" s="1" t="s">
        <v>131</v>
      </c>
      <c r="I27" s="1">
        <v>100</v>
      </c>
      <c r="J27" s="1" t="s">
        <v>51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R27">
        <f t="shared" si="0"/>
        <v>80</v>
      </c>
    </row>
    <row r="28" ht="51" spans="2:18">
      <c r="B28" s="1" t="s">
        <v>132</v>
      </c>
      <c r="C28" s="1" t="s">
        <v>133</v>
      </c>
      <c r="D28" s="8" t="s">
        <v>134</v>
      </c>
      <c r="E28" s="1" t="s">
        <v>48</v>
      </c>
      <c r="F28" s="1" t="s">
        <v>49</v>
      </c>
      <c r="G28" s="1">
        <v>1.2</v>
      </c>
      <c r="H28" s="1" t="s">
        <v>135</v>
      </c>
      <c r="I28" s="1">
        <v>30</v>
      </c>
      <c r="J28" s="1" t="s">
        <v>64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R28">
        <f t="shared" si="0"/>
        <v>80</v>
      </c>
    </row>
    <row r="29" ht="17" spans="2:18">
      <c r="B29" s="1" t="s">
        <v>136</v>
      </c>
      <c r="C29" s="1" t="s">
        <v>137</v>
      </c>
      <c r="D29" s="8" t="s">
        <v>138</v>
      </c>
      <c r="E29" s="1" t="s">
        <v>56</v>
      </c>
      <c r="F29" s="1" t="s">
        <v>49</v>
      </c>
      <c r="G29" s="1">
        <v>15</v>
      </c>
      <c r="I29" s="1">
        <v>100</v>
      </c>
      <c r="J29" s="1" t="s">
        <v>51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R29">
        <f t="shared" si="0"/>
        <v>50</v>
      </c>
    </row>
    <row r="30" ht="34" spans="2:18">
      <c r="B30" s="1" t="s">
        <v>139</v>
      </c>
      <c r="C30" s="1" t="s">
        <v>140</v>
      </c>
      <c r="D30" s="8" t="s">
        <v>141</v>
      </c>
      <c r="E30" s="1" t="s">
        <v>56</v>
      </c>
      <c r="F30" s="1" t="s">
        <v>49</v>
      </c>
      <c r="G30" s="1">
        <v>10</v>
      </c>
      <c r="I30" s="1">
        <v>100</v>
      </c>
      <c r="J30" s="1" t="s">
        <v>51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R30">
        <f>VLOOKUP(E30,$T$10:$AB$17,9,FALSE)</f>
        <v>50</v>
      </c>
    </row>
    <row r="31" ht="34" spans="2:18">
      <c r="B31" s="1" t="s">
        <v>142</v>
      </c>
      <c r="C31" s="1" t="s">
        <v>143</v>
      </c>
      <c r="D31" s="8" t="s">
        <v>144</v>
      </c>
      <c r="E31" s="1" t="s">
        <v>48</v>
      </c>
      <c r="F31" s="1" t="s">
        <v>49</v>
      </c>
      <c r="G31" s="1">
        <v>1</v>
      </c>
      <c r="I31" s="1">
        <v>100</v>
      </c>
      <c r="J31" s="1" t="s">
        <v>51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R31">
        <f>VLOOKUP(E31,$T$10:$AB$17,9,FALSE)</f>
        <v>80</v>
      </c>
    </row>
    <row r="32" ht="17" spans="2:18">
      <c r="B32" s="1" t="s">
        <v>145</v>
      </c>
      <c r="C32" s="1" t="s">
        <v>146</v>
      </c>
      <c r="D32" s="8" t="s">
        <v>147</v>
      </c>
      <c r="E32" s="1" t="s">
        <v>62</v>
      </c>
      <c r="F32" s="1" t="s">
        <v>49</v>
      </c>
      <c r="G32" s="1">
        <v>50</v>
      </c>
      <c r="I32" s="1">
        <v>30</v>
      </c>
      <c r="J32" s="1" t="s">
        <v>64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R32">
        <f>VLOOKUP(E32,$T$10:$AB$17,9,FALSE)</f>
        <v>120</v>
      </c>
    </row>
    <row r="33" spans="2:18">
      <c r="B33" s="1" t="s">
        <v>148</v>
      </c>
      <c r="C33" s="1" t="s">
        <v>149</v>
      </c>
      <c r="D33" s="1" t="s">
        <v>150</v>
      </c>
      <c r="E33" s="1" t="s">
        <v>48</v>
      </c>
      <c r="F33" s="1" t="s">
        <v>49</v>
      </c>
      <c r="G33" s="1">
        <v>200</v>
      </c>
      <c r="H33" s="1" t="s">
        <v>151</v>
      </c>
      <c r="I33" s="1">
        <v>100</v>
      </c>
      <c r="J33" s="1" t="s">
        <v>51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R33">
        <f>VLOOKUP(E33,$T$10:$AB$17,9,FALSE)</f>
        <v>80</v>
      </c>
    </row>
    <row r="34" ht="17" spans="2:18">
      <c r="B34" s="1" t="s">
        <v>152</v>
      </c>
      <c r="C34" s="1" t="s">
        <v>153</v>
      </c>
      <c r="D34" s="8" t="s">
        <v>154</v>
      </c>
      <c r="E34" s="1" t="s">
        <v>48</v>
      </c>
      <c r="F34" s="1" t="s">
        <v>49</v>
      </c>
      <c r="G34" s="1">
        <v>0</v>
      </c>
      <c r="I34" s="1">
        <v>100</v>
      </c>
      <c r="J34" s="1" t="s">
        <v>51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R34">
        <f>VLOOKUP(E34,$T$10:$AB$17,9,FALSE)</f>
        <v>80</v>
      </c>
    </row>
    <row r="35" ht="17" spans="2:18">
      <c r="B35" s="1" t="s">
        <v>155</v>
      </c>
      <c r="C35" s="1" t="s">
        <v>156</v>
      </c>
      <c r="D35" s="8" t="s">
        <v>157</v>
      </c>
      <c r="E35" s="1" t="s">
        <v>48</v>
      </c>
      <c r="F35" s="1" t="s">
        <v>49</v>
      </c>
      <c r="G35" s="1">
        <v>1</v>
      </c>
      <c r="I35" s="1">
        <v>100</v>
      </c>
      <c r="J35" s="1" t="s">
        <v>51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R35">
        <f>VLOOKUP(E35,$T$10:$AB$17,9,FALSE)</f>
        <v>80</v>
      </c>
    </row>
    <row r="36" ht="17" spans="2:18">
      <c r="B36" s="1" t="s">
        <v>158</v>
      </c>
      <c r="C36" s="1" t="s">
        <v>159</v>
      </c>
      <c r="D36" s="8" t="s">
        <v>160</v>
      </c>
      <c r="E36" s="1" t="s">
        <v>161</v>
      </c>
      <c r="F36" s="1" t="s">
        <v>49</v>
      </c>
      <c r="G36" s="1">
        <v>1</v>
      </c>
      <c r="I36" s="1">
        <v>10</v>
      </c>
      <c r="J36" s="1" t="s">
        <v>99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R36">
        <f>VLOOKUP(E36,$T$10:$AB$17,9,FALSE)</f>
        <v>200</v>
      </c>
    </row>
    <row r="37" ht="34" spans="2:18">
      <c r="B37" s="1" t="s">
        <v>162</v>
      </c>
      <c r="C37" s="1" t="s">
        <v>163</v>
      </c>
      <c r="D37" s="8" t="s">
        <v>164</v>
      </c>
      <c r="E37" s="1" t="s">
        <v>48</v>
      </c>
      <c r="F37" s="1" t="s">
        <v>49</v>
      </c>
      <c r="G37" s="1">
        <v>1</v>
      </c>
      <c r="I37" s="1">
        <v>100</v>
      </c>
      <c r="J37" s="1" t="s">
        <v>51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R37">
        <f>VLOOKUP(E37,$T$10:$AB$17,9,FALSE)</f>
        <v>80</v>
      </c>
    </row>
    <row r="38" spans="2:18">
      <c r="B38" s="1" t="s">
        <v>165</v>
      </c>
      <c r="C38" s="1" t="s">
        <v>166</v>
      </c>
      <c r="D38" s="1" t="s">
        <v>167</v>
      </c>
      <c r="E38" s="1" t="s">
        <v>48</v>
      </c>
      <c r="F38" s="1" t="s">
        <v>49</v>
      </c>
      <c r="G38" s="1">
        <v>1</v>
      </c>
      <c r="I38" s="1">
        <v>100</v>
      </c>
      <c r="J38" s="1" t="s">
        <v>51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R38">
        <f>VLOOKUP(E38,$T$10:$AB$17,9,FALSE)</f>
        <v>80</v>
      </c>
    </row>
    <row r="39" s="10" customFormat="1" ht="34" spans="1:18">
      <c r="A39" s="11"/>
      <c r="B39" s="11" t="s">
        <v>168</v>
      </c>
      <c r="C39" s="11" t="s">
        <v>169</v>
      </c>
      <c r="D39" s="12" t="s">
        <v>170</v>
      </c>
      <c r="E39" s="11" t="s">
        <v>48</v>
      </c>
      <c r="F39" s="11" t="s">
        <v>49</v>
      </c>
      <c r="G39" s="11">
        <v>1</v>
      </c>
      <c r="H39" s="11" t="s">
        <v>171</v>
      </c>
      <c r="I39" s="11">
        <v>100</v>
      </c>
      <c r="J39" s="11" t="s">
        <v>51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R39" s="10">
        <f t="shared" ref="R39:R70" si="1">VLOOKUP(E39,$T$10:$AB$17,9,FALSE)</f>
        <v>80</v>
      </c>
    </row>
    <row r="40" ht="34" spans="2:18">
      <c r="B40" s="1" t="s">
        <v>172</v>
      </c>
      <c r="C40" s="1" t="s">
        <v>173</v>
      </c>
      <c r="D40" s="8" t="s">
        <v>174</v>
      </c>
      <c r="E40" s="1" t="s">
        <v>56</v>
      </c>
      <c r="F40" s="1" t="s">
        <v>49</v>
      </c>
      <c r="G40" s="1">
        <v>2</v>
      </c>
      <c r="H40" s="1" t="s">
        <v>175</v>
      </c>
      <c r="I40" s="1">
        <v>300</v>
      </c>
      <c r="J40" s="1" t="s">
        <v>58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R40">
        <f t="shared" si="1"/>
        <v>50</v>
      </c>
    </row>
    <row r="41" ht="34" spans="2:18">
      <c r="B41" s="1" t="s">
        <v>176</v>
      </c>
      <c r="C41" s="1" t="s">
        <v>177</v>
      </c>
      <c r="D41" s="8" t="s">
        <v>178</v>
      </c>
      <c r="E41" s="1" t="s">
        <v>56</v>
      </c>
      <c r="F41" s="1" t="s">
        <v>49</v>
      </c>
      <c r="G41" s="1">
        <v>2</v>
      </c>
      <c r="H41" s="1" t="s">
        <v>179</v>
      </c>
      <c r="I41" s="1">
        <v>300</v>
      </c>
      <c r="J41" s="1" t="s">
        <v>58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R41">
        <f t="shared" si="1"/>
        <v>50</v>
      </c>
    </row>
    <row r="42" spans="2:18">
      <c r="B42" s="1" t="s">
        <v>180</v>
      </c>
      <c r="C42" s="1" t="s">
        <v>181</v>
      </c>
      <c r="D42" s="1" t="s">
        <v>182</v>
      </c>
      <c r="E42" s="1" t="s">
        <v>48</v>
      </c>
      <c r="F42" s="1" t="s">
        <v>49</v>
      </c>
      <c r="G42" s="1">
        <v>2</v>
      </c>
      <c r="I42" s="1">
        <v>100</v>
      </c>
      <c r="J42" s="1" t="s">
        <v>51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R42">
        <f t="shared" si="1"/>
        <v>80</v>
      </c>
    </row>
    <row r="43" ht="34" spans="2:18">
      <c r="B43" s="1" t="s">
        <v>183</v>
      </c>
      <c r="C43" s="1" t="s">
        <v>184</v>
      </c>
      <c r="D43" s="8" t="s">
        <v>185</v>
      </c>
      <c r="E43" s="1" t="s">
        <v>48</v>
      </c>
      <c r="F43" s="1" t="s">
        <v>49</v>
      </c>
      <c r="G43" s="1">
        <v>5</v>
      </c>
      <c r="I43" s="1">
        <v>100</v>
      </c>
      <c r="J43" s="1" t="s">
        <v>51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R43">
        <f t="shared" si="1"/>
        <v>80</v>
      </c>
    </row>
    <row r="44" ht="34" spans="2:18">
      <c r="B44" s="1" t="s">
        <v>186</v>
      </c>
      <c r="C44" s="1" t="s">
        <v>187</v>
      </c>
      <c r="D44" s="8" t="s">
        <v>188</v>
      </c>
      <c r="E44" s="1" t="s">
        <v>48</v>
      </c>
      <c r="F44" s="1" t="s">
        <v>49</v>
      </c>
      <c r="G44" s="1">
        <v>600</v>
      </c>
      <c r="I44" s="1">
        <v>100</v>
      </c>
      <c r="J44" s="1" t="s">
        <v>51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R44">
        <f t="shared" si="1"/>
        <v>80</v>
      </c>
    </row>
    <row r="45" ht="17" spans="2:18">
      <c r="B45" s="1" t="s">
        <v>189</v>
      </c>
      <c r="C45" s="1" t="s">
        <v>190</v>
      </c>
      <c r="D45" s="8" t="s">
        <v>191</v>
      </c>
      <c r="E45" s="1" t="s">
        <v>48</v>
      </c>
      <c r="F45" s="1" t="s">
        <v>49</v>
      </c>
      <c r="G45" s="1">
        <v>2</v>
      </c>
      <c r="I45" s="1">
        <v>100</v>
      </c>
      <c r="J45" s="1" t="s">
        <v>51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R45">
        <f t="shared" si="1"/>
        <v>80</v>
      </c>
    </row>
    <row r="46" ht="34" spans="2:18">
      <c r="B46" s="1" t="s">
        <v>192</v>
      </c>
      <c r="C46" s="1" t="s">
        <v>193</v>
      </c>
      <c r="D46" s="8" t="s">
        <v>194</v>
      </c>
      <c r="E46" s="1" t="s">
        <v>48</v>
      </c>
      <c r="F46" s="1" t="s">
        <v>49</v>
      </c>
      <c r="G46" s="1">
        <v>200</v>
      </c>
      <c r="I46" s="1">
        <v>100</v>
      </c>
      <c r="J46" s="1" t="s">
        <v>51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R46">
        <f t="shared" si="1"/>
        <v>80</v>
      </c>
    </row>
    <row r="47" ht="34" spans="2:18">
      <c r="B47" s="1" t="s">
        <v>195</v>
      </c>
      <c r="C47" s="1" t="s">
        <v>196</v>
      </c>
      <c r="D47" s="8" t="s">
        <v>197</v>
      </c>
      <c r="E47" s="1" t="s">
        <v>48</v>
      </c>
      <c r="F47" s="1" t="s">
        <v>49</v>
      </c>
      <c r="G47" s="1">
        <v>2</v>
      </c>
      <c r="I47" s="1">
        <v>100</v>
      </c>
      <c r="J47" s="1" t="s">
        <v>51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R47">
        <f t="shared" si="1"/>
        <v>80</v>
      </c>
    </row>
    <row r="48" spans="2:18">
      <c r="B48" s="1" t="s">
        <v>198</v>
      </c>
      <c r="C48" s="1" t="s">
        <v>199</v>
      </c>
      <c r="D48" s="1" t="s">
        <v>200</v>
      </c>
      <c r="E48" s="1" t="s">
        <v>161</v>
      </c>
      <c r="F48" s="1" t="s">
        <v>49</v>
      </c>
      <c r="G48" s="1">
        <v>1</v>
      </c>
      <c r="I48" s="1">
        <v>10</v>
      </c>
      <c r="J48" s="1" t="s">
        <v>99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R48">
        <f t="shared" si="1"/>
        <v>200</v>
      </c>
    </row>
    <row r="49" ht="34" spans="2:18">
      <c r="B49" s="1" t="s">
        <v>201</v>
      </c>
      <c r="C49" s="1" t="s">
        <v>202</v>
      </c>
      <c r="D49" s="8" t="s">
        <v>203</v>
      </c>
      <c r="E49" s="1" t="s">
        <v>48</v>
      </c>
      <c r="F49" s="1" t="s">
        <v>49</v>
      </c>
      <c r="G49" s="1">
        <v>1</v>
      </c>
      <c r="I49" s="1">
        <v>100</v>
      </c>
      <c r="J49" s="1" t="s">
        <v>51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R49">
        <f t="shared" si="1"/>
        <v>80</v>
      </c>
    </row>
    <row r="50" ht="34" spans="2:18">
      <c r="B50" s="1" t="s">
        <v>204</v>
      </c>
      <c r="C50" s="1" t="s">
        <v>205</v>
      </c>
      <c r="D50" s="8" t="s">
        <v>206</v>
      </c>
      <c r="E50" s="1" t="s">
        <v>48</v>
      </c>
      <c r="F50" s="1" t="s">
        <v>49</v>
      </c>
      <c r="G50" s="1">
        <v>2</v>
      </c>
      <c r="I50" s="1">
        <v>100</v>
      </c>
      <c r="J50" s="1" t="s">
        <v>51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R50">
        <f t="shared" si="1"/>
        <v>80</v>
      </c>
    </row>
    <row r="51" spans="2:18">
      <c r="B51" s="1" t="s">
        <v>207</v>
      </c>
      <c r="C51" s="1" t="s">
        <v>208</v>
      </c>
      <c r="D51" s="1" t="s">
        <v>209</v>
      </c>
      <c r="E51" s="1" t="s">
        <v>48</v>
      </c>
      <c r="F51" s="1" t="s">
        <v>49</v>
      </c>
      <c r="G51" s="1">
        <v>1</v>
      </c>
      <c r="I51" s="1">
        <v>100</v>
      </c>
      <c r="J51" s="1" t="s">
        <v>51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R51">
        <f t="shared" si="1"/>
        <v>80</v>
      </c>
    </row>
    <row r="52" ht="34" spans="2:18">
      <c r="B52" s="1" t="s">
        <v>210</v>
      </c>
      <c r="C52" s="1" t="s">
        <v>211</v>
      </c>
      <c r="D52" s="8" t="s">
        <v>212</v>
      </c>
      <c r="E52" s="1" t="s">
        <v>62</v>
      </c>
      <c r="F52" s="1" t="s">
        <v>49</v>
      </c>
      <c r="G52" s="1">
        <v>4</v>
      </c>
      <c r="I52" s="1">
        <v>30</v>
      </c>
      <c r="J52" s="1" t="s">
        <v>64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R52">
        <f t="shared" si="1"/>
        <v>120</v>
      </c>
    </row>
    <row r="53" ht="17" spans="2:18">
      <c r="B53" s="1" t="s">
        <v>213</v>
      </c>
      <c r="C53" s="1" t="s">
        <v>214</v>
      </c>
      <c r="D53" s="8" t="s">
        <v>215</v>
      </c>
      <c r="E53" s="1" t="s">
        <v>62</v>
      </c>
      <c r="F53" s="1" t="s">
        <v>49</v>
      </c>
      <c r="G53" s="1">
        <v>0.2</v>
      </c>
      <c r="I53" s="1">
        <v>30</v>
      </c>
      <c r="J53" s="1" t="s">
        <v>64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R53">
        <f t="shared" si="1"/>
        <v>120</v>
      </c>
    </row>
    <row r="54" spans="2:18">
      <c r="B54" s="1" t="s">
        <v>216</v>
      </c>
      <c r="C54" s="1" t="s">
        <v>217</v>
      </c>
      <c r="D54" s="1" t="s">
        <v>218</v>
      </c>
      <c r="E54" s="1" t="s">
        <v>56</v>
      </c>
      <c r="F54" s="1" t="s">
        <v>49</v>
      </c>
      <c r="G54" s="1">
        <v>0.2</v>
      </c>
      <c r="I54" s="1">
        <v>300</v>
      </c>
      <c r="J54" s="1" t="s">
        <v>58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R54">
        <f t="shared" si="1"/>
        <v>50</v>
      </c>
    </row>
    <row r="55" ht="34" spans="2:18">
      <c r="B55" s="1" t="s">
        <v>219</v>
      </c>
      <c r="C55" s="1" t="s">
        <v>220</v>
      </c>
      <c r="D55" s="8" t="s">
        <v>221</v>
      </c>
      <c r="E55" s="1" t="s">
        <v>56</v>
      </c>
      <c r="F55" s="1" t="s">
        <v>49</v>
      </c>
      <c r="G55" s="1">
        <v>10</v>
      </c>
      <c r="I55" s="1">
        <v>300</v>
      </c>
      <c r="J55" s="1" t="s">
        <v>58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R55">
        <f t="shared" si="1"/>
        <v>50</v>
      </c>
    </row>
    <row r="56" ht="17" spans="2:18">
      <c r="B56" s="1" t="s">
        <v>222</v>
      </c>
      <c r="C56" s="1" t="s">
        <v>223</v>
      </c>
      <c r="D56" s="8" t="s">
        <v>224</v>
      </c>
      <c r="E56" s="1" t="s">
        <v>62</v>
      </c>
      <c r="F56" s="1" t="s">
        <v>49</v>
      </c>
      <c r="G56" s="1">
        <v>0</v>
      </c>
      <c r="I56" s="1">
        <v>30</v>
      </c>
      <c r="J56" s="1" t="s">
        <v>64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R56">
        <f t="shared" si="1"/>
        <v>120</v>
      </c>
    </row>
    <row r="57" ht="34" spans="2:18">
      <c r="B57" s="1" t="s">
        <v>225</v>
      </c>
      <c r="C57" s="1" t="s">
        <v>226</v>
      </c>
      <c r="D57" s="8" t="s">
        <v>227</v>
      </c>
      <c r="E57" s="1" t="s">
        <v>48</v>
      </c>
      <c r="F57" s="1" t="s">
        <v>49</v>
      </c>
      <c r="G57" s="1">
        <v>1</v>
      </c>
      <c r="I57" s="1">
        <v>100</v>
      </c>
      <c r="J57" s="1" t="s">
        <v>51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R57">
        <f t="shared" si="1"/>
        <v>80</v>
      </c>
    </row>
    <row r="58" ht="34" spans="2:18">
      <c r="B58" s="1" t="s">
        <v>228</v>
      </c>
      <c r="C58" s="1" t="s">
        <v>229</v>
      </c>
      <c r="D58" s="8" t="s">
        <v>230</v>
      </c>
      <c r="E58" s="1" t="s">
        <v>48</v>
      </c>
      <c r="F58" s="1" t="s">
        <v>49</v>
      </c>
      <c r="G58" s="1">
        <v>0</v>
      </c>
      <c r="H58" s="1" t="s">
        <v>231</v>
      </c>
      <c r="I58" s="1">
        <v>100</v>
      </c>
      <c r="J58" s="1" t="s">
        <v>51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R58">
        <f>VLOOKUP(E58,$T$10:$AB$17,9,FALSE)</f>
        <v>80</v>
      </c>
    </row>
    <row r="59" ht="34" spans="2:18">
      <c r="B59" s="1" t="s">
        <v>232</v>
      </c>
      <c r="C59" s="1" t="s">
        <v>233</v>
      </c>
      <c r="D59" s="8" t="s">
        <v>234</v>
      </c>
      <c r="E59" s="1" t="s">
        <v>48</v>
      </c>
      <c r="F59" s="1" t="s">
        <v>49</v>
      </c>
      <c r="G59" s="1">
        <v>0</v>
      </c>
      <c r="H59" s="1" t="s">
        <v>235</v>
      </c>
      <c r="I59" s="1">
        <v>100</v>
      </c>
      <c r="J59" s="1" t="s">
        <v>51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R59">
        <f>VLOOKUP(E59,$T$10:$AB$17,9,FALSE)</f>
        <v>80</v>
      </c>
    </row>
    <row r="60" ht="17" spans="2:18">
      <c r="B60" s="1" t="s">
        <v>236</v>
      </c>
      <c r="C60" s="1" t="s">
        <v>237</v>
      </c>
      <c r="D60" s="8" t="s">
        <v>238</v>
      </c>
      <c r="E60" s="1" t="s">
        <v>56</v>
      </c>
      <c r="F60" s="1" t="s">
        <v>49</v>
      </c>
      <c r="G60" s="1">
        <v>1</v>
      </c>
      <c r="I60" s="1">
        <v>100</v>
      </c>
      <c r="J60" s="1" t="s">
        <v>51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R60">
        <f>VLOOKUP(E60,$T$10:$AB$17,9,FALSE)</f>
        <v>50</v>
      </c>
    </row>
    <row r="61" spans="2:18">
      <c r="B61" s="1" t="s">
        <v>239</v>
      </c>
      <c r="C61" s="1" t="s">
        <v>240</v>
      </c>
      <c r="D61" s="1" t="s">
        <v>241</v>
      </c>
      <c r="E61" s="1" t="s">
        <v>56</v>
      </c>
      <c r="F61" s="1" t="s">
        <v>49</v>
      </c>
      <c r="G61" s="1">
        <v>2</v>
      </c>
      <c r="I61" s="1">
        <v>300</v>
      </c>
      <c r="J61" s="1" t="s">
        <v>58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R61">
        <f>VLOOKUP(E61,$T$10:$AB$17,9,FALSE)</f>
        <v>50</v>
      </c>
    </row>
    <row r="62" ht="34" spans="2:18">
      <c r="B62" s="1" t="s">
        <v>242</v>
      </c>
      <c r="C62" s="1" t="s">
        <v>243</v>
      </c>
      <c r="D62" s="8" t="s">
        <v>244</v>
      </c>
      <c r="E62" s="1" t="s">
        <v>48</v>
      </c>
      <c r="F62" s="1" t="s">
        <v>49</v>
      </c>
      <c r="G62" s="1">
        <v>100</v>
      </c>
      <c r="I62" s="1">
        <v>100</v>
      </c>
      <c r="J62" s="1" t="s">
        <v>51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R62">
        <f>VLOOKUP(E62,$T$10:$AB$17,9,FALSE)</f>
        <v>80</v>
      </c>
    </row>
    <row r="63" ht="17" spans="2:18">
      <c r="B63" s="1" t="s">
        <v>245</v>
      </c>
      <c r="C63" s="1" t="s">
        <v>246</v>
      </c>
      <c r="D63" s="8" t="s">
        <v>247</v>
      </c>
      <c r="E63" s="1" t="s">
        <v>56</v>
      </c>
      <c r="F63" s="1" t="s">
        <v>248</v>
      </c>
      <c r="G63" s="1">
        <v>-0.2</v>
      </c>
      <c r="I63" s="1">
        <v>300</v>
      </c>
      <c r="J63" s="1" t="s">
        <v>58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R63">
        <f>VLOOKUP(E63,$T$10:$AB$17,9,FALSE)</f>
        <v>50</v>
      </c>
    </row>
    <row r="64" ht="17" spans="2:18">
      <c r="B64" s="1" t="s">
        <v>249</v>
      </c>
      <c r="C64" s="1" t="s">
        <v>250</v>
      </c>
      <c r="D64" s="8" t="s">
        <v>251</v>
      </c>
      <c r="E64" s="1" t="s">
        <v>56</v>
      </c>
      <c r="F64" s="1" t="s">
        <v>248</v>
      </c>
      <c r="G64" s="1">
        <v>0.2</v>
      </c>
      <c r="I64" s="1">
        <v>300</v>
      </c>
      <c r="J64" s="1" t="s">
        <v>58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R64">
        <f>VLOOKUP(E64,$T$10:$AB$17,9,FALSE)</f>
        <v>50</v>
      </c>
    </row>
    <row r="65" ht="17" spans="2:18">
      <c r="B65" s="1" t="s">
        <v>252</v>
      </c>
      <c r="C65" s="1" t="s">
        <v>253</v>
      </c>
      <c r="D65" s="8" t="s">
        <v>254</v>
      </c>
      <c r="E65" s="1" t="s">
        <v>56</v>
      </c>
      <c r="F65" s="1" t="s">
        <v>248</v>
      </c>
      <c r="G65" s="1">
        <v>0</v>
      </c>
      <c r="I65" s="1">
        <v>300</v>
      </c>
      <c r="J65" s="1" t="s">
        <v>58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R65">
        <f>VLOOKUP(E65,$T$10:$AB$17,9,FALSE)</f>
        <v>50</v>
      </c>
    </row>
    <row r="66" spans="2:18">
      <c r="B66" s="1" t="s">
        <v>255</v>
      </c>
      <c r="C66" s="1" t="s">
        <v>256</v>
      </c>
      <c r="D66" s="1" t="s">
        <v>257</v>
      </c>
      <c r="E66" s="1" t="s">
        <v>56</v>
      </c>
      <c r="F66" s="1" t="s">
        <v>248</v>
      </c>
      <c r="G66" s="1">
        <v>1</v>
      </c>
      <c r="I66" s="1">
        <v>300</v>
      </c>
      <c r="J66" s="1" t="s">
        <v>58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R66">
        <f>VLOOKUP(E66,$T$10:$AB$17,9,FALSE)</f>
        <v>50</v>
      </c>
    </row>
    <row r="67" spans="2:18">
      <c r="B67" s="1" t="s">
        <v>258</v>
      </c>
      <c r="C67" s="1" t="s">
        <v>259</v>
      </c>
      <c r="D67" s="1" t="s">
        <v>260</v>
      </c>
      <c r="E67" s="1" t="s">
        <v>56</v>
      </c>
      <c r="F67" s="1" t="s">
        <v>248</v>
      </c>
      <c r="G67" s="1">
        <v>-1</v>
      </c>
      <c r="I67" s="1">
        <v>300</v>
      </c>
      <c r="J67" s="1" t="s">
        <v>58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R67">
        <f>VLOOKUP(E67,$T$10:$AB$17,9,FALSE)</f>
        <v>50</v>
      </c>
    </row>
    <row r="68" ht="17" spans="2:18">
      <c r="B68" s="1" t="s">
        <v>261</v>
      </c>
      <c r="C68" s="1" t="s">
        <v>262</v>
      </c>
      <c r="D68" s="8" t="s">
        <v>263</v>
      </c>
      <c r="E68" s="1" t="s">
        <v>56</v>
      </c>
      <c r="F68" s="1" t="s">
        <v>248</v>
      </c>
      <c r="G68" s="1">
        <v>0.2</v>
      </c>
      <c r="I68" s="1">
        <v>300</v>
      </c>
      <c r="J68" s="1" t="s">
        <v>58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R68">
        <f>VLOOKUP(E68,$T$10:$AB$17,9,FALSE)</f>
        <v>50</v>
      </c>
    </row>
    <row r="69" spans="2:18">
      <c r="B69" s="1" t="s">
        <v>264</v>
      </c>
      <c r="C69" s="1" t="s">
        <v>265</v>
      </c>
      <c r="D69" s="1" t="s">
        <v>266</v>
      </c>
      <c r="E69" s="1" t="s">
        <v>56</v>
      </c>
      <c r="F69" s="1" t="s">
        <v>248</v>
      </c>
      <c r="G69" s="1">
        <v>0.15</v>
      </c>
      <c r="I69" s="1">
        <v>300</v>
      </c>
      <c r="J69" s="1" t="s">
        <v>58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R69">
        <f>VLOOKUP(E69,$T$10:$AB$17,9,FALSE)</f>
        <v>50</v>
      </c>
    </row>
    <row r="70" spans="2:18">
      <c r="B70" s="1" t="s">
        <v>267</v>
      </c>
      <c r="C70" s="1" t="s">
        <v>268</v>
      </c>
      <c r="D70" s="1" t="s">
        <v>269</v>
      </c>
      <c r="E70" s="1" t="s">
        <v>56</v>
      </c>
      <c r="F70" s="1" t="s">
        <v>248</v>
      </c>
      <c r="G70" s="1">
        <v>0.15</v>
      </c>
      <c r="I70" s="1">
        <v>300</v>
      </c>
      <c r="J70" s="1" t="s">
        <v>58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R70">
        <f t="shared" ref="R70:R87" si="2">VLOOKUP(E70,$T$10:$AB$17,9,FALSE)</f>
        <v>50</v>
      </c>
    </row>
    <row r="71" spans="2:18">
      <c r="B71" s="1" t="s">
        <v>270</v>
      </c>
      <c r="C71" s="1" t="s">
        <v>271</v>
      </c>
      <c r="D71" s="1" t="s">
        <v>272</v>
      </c>
      <c r="E71" s="1" t="s">
        <v>56</v>
      </c>
      <c r="F71" s="1" t="s">
        <v>248</v>
      </c>
      <c r="G71" s="1">
        <v>0</v>
      </c>
      <c r="I71" s="1">
        <v>300</v>
      </c>
      <c r="J71" s="1" t="s">
        <v>58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R71">
        <f t="shared" si="2"/>
        <v>50</v>
      </c>
    </row>
    <row r="72" spans="2:18">
      <c r="B72" s="1" t="s">
        <v>273</v>
      </c>
      <c r="C72" s="1" t="s">
        <v>274</v>
      </c>
      <c r="D72" s="1" t="s">
        <v>275</v>
      </c>
      <c r="E72" s="1" t="s">
        <v>161</v>
      </c>
      <c r="F72" s="1" t="s">
        <v>49</v>
      </c>
      <c r="G72" s="1">
        <v>2</v>
      </c>
      <c r="I72" s="1">
        <v>10</v>
      </c>
      <c r="J72" s="1" t="s">
        <v>99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R72">
        <f t="shared" si="2"/>
        <v>200</v>
      </c>
    </row>
    <row r="73" ht="34" spans="2:18">
      <c r="B73" s="1" t="s">
        <v>276</v>
      </c>
      <c r="C73" s="1" t="s">
        <v>277</v>
      </c>
      <c r="D73" s="8" t="s">
        <v>278</v>
      </c>
      <c r="E73" s="1" t="s">
        <v>161</v>
      </c>
      <c r="F73" s="1" t="s">
        <v>49</v>
      </c>
      <c r="G73" s="1">
        <v>1.2</v>
      </c>
      <c r="I73" s="1">
        <v>10</v>
      </c>
      <c r="J73" s="1" t="s">
        <v>99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t="s">
        <v>279</v>
      </c>
      <c r="R73">
        <f t="shared" si="2"/>
        <v>200</v>
      </c>
    </row>
    <row r="74" ht="34" spans="2:18">
      <c r="B74" s="1" t="s">
        <v>280</v>
      </c>
      <c r="C74" s="1" t="s">
        <v>281</v>
      </c>
      <c r="D74" s="8" t="s">
        <v>282</v>
      </c>
      <c r="E74" s="1" t="s">
        <v>161</v>
      </c>
      <c r="F74" s="1" t="s">
        <v>49</v>
      </c>
      <c r="G74" s="1">
        <v>1.2</v>
      </c>
      <c r="I74" s="1">
        <v>10</v>
      </c>
      <c r="J74" s="1" t="s">
        <v>99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t="s">
        <v>279</v>
      </c>
      <c r="R74">
        <f t="shared" si="2"/>
        <v>200</v>
      </c>
    </row>
    <row r="75" ht="34" spans="2:18">
      <c r="B75" s="1" t="s">
        <v>283</v>
      </c>
      <c r="C75" s="1" t="s">
        <v>284</v>
      </c>
      <c r="D75" s="8" t="s">
        <v>285</v>
      </c>
      <c r="E75" s="1" t="s">
        <v>48</v>
      </c>
      <c r="F75" s="1" t="s">
        <v>49</v>
      </c>
      <c r="G75" s="1">
        <v>0.2</v>
      </c>
      <c r="I75" s="1">
        <v>100</v>
      </c>
      <c r="J75" s="1" t="s">
        <v>51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t="s">
        <v>279</v>
      </c>
      <c r="R75">
        <f t="shared" si="2"/>
        <v>80</v>
      </c>
    </row>
    <row r="76" ht="34" spans="2:18">
      <c r="B76" s="1" t="s">
        <v>286</v>
      </c>
      <c r="C76" s="1" t="s">
        <v>287</v>
      </c>
      <c r="D76" s="8" t="s">
        <v>288</v>
      </c>
      <c r="E76" s="1" t="s">
        <v>48</v>
      </c>
      <c r="F76" s="1" t="s">
        <v>49</v>
      </c>
      <c r="G76" s="1">
        <v>10</v>
      </c>
      <c r="H76" s="1" t="s">
        <v>289</v>
      </c>
      <c r="I76" s="1">
        <v>100</v>
      </c>
      <c r="J76" s="1" t="s">
        <v>51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t="s">
        <v>279</v>
      </c>
      <c r="R76">
        <f t="shared" si="2"/>
        <v>80</v>
      </c>
    </row>
    <row r="77" ht="34" spans="2:18">
      <c r="B77" s="1" t="s">
        <v>290</v>
      </c>
      <c r="C77" s="1" t="s">
        <v>291</v>
      </c>
      <c r="D77" s="8" t="s">
        <v>292</v>
      </c>
      <c r="E77" s="1" t="s">
        <v>161</v>
      </c>
      <c r="F77" s="1" t="s">
        <v>49</v>
      </c>
      <c r="G77" s="1">
        <v>0.2</v>
      </c>
      <c r="I77" s="1">
        <v>10</v>
      </c>
      <c r="J77" s="1" t="s">
        <v>99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t="s">
        <v>293</v>
      </c>
      <c r="R77">
        <f t="shared" si="2"/>
        <v>200</v>
      </c>
    </row>
    <row r="78" ht="34" spans="2:18">
      <c r="B78" s="1" t="s">
        <v>294</v>
      </c>
      <c r="C78" s="1" t="s">
        <v>295</v>
      </c>
      <c r="D78" s="8" t="s">
        <v>296</v>
      </c>
      <c r="E78" s="1" t="s">
        <v>48</v>
      </c>
      <c r="F78" s="1" t="s">
        <v>49</v>
      </c>
      <c r="G78" s="1">
        <v>10</v>
      </c>
      <c r="I78" s="1">
        <v>100</v>
      </c>
      <c r="J78" s="1" t="s">
        <v>51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t="s">
        <v>293</v>
      </c>
      <c r="R78">
        <f t="shared" si="2"/>
        <v>80</v>
      </c>
    </row>
    <row r="79" ht="34" spans="2:18">
      <c r="B79" s="1" t="s">
        <v>297</v>
      </c>
      <c r="C79" s="1" t="s">
        <v>298</v>
      </c>
      <c r="D79" s="8" t="s">
        <v>299</v>
      </c>
      <c r="E79" s="1" t="s">
        <v>62</v>
      </c>
      <c r="F79" s="1" t="s">
        <v>49</v>
      </c>
      <c r="G79" s="1">
        <v>1</v>
      </c>
      <c r="I79" s="1">
        <v>30</v>
      </c>
      <c r="J79" s="1" t="s">
        <v>64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 t="s">
        <v>293</v>
      </c>
      <c r="R79">
        <f t="shared" si="2"/>
        <v>120</v>
      </c>
    </row>
    <row r="80" ht="34" spans="2:18">
      <c r="B80" s="1" t="s">
        <v>300</v>
      </c>
      <c r="C80" s="1" t="s">
        <v>301</v>
      </c>
      <c r="D80" s="8" t="s">
        <v>302</v>
      </c>
      <c r="E80" s="1" t="s">
        <v>48</v>
      </c>
      <c r="F80" s="1" t="s">
        <v>49</v>
      </c>
      <c r="G80" s="1">
        <v>10</v>
      </c>
      <c r="H80" s="1" t="s">
        <v>303</v>
      </c>
      <c r="I80" s="1">
        <v>100</v>
      </c>
      <c r="J80" s="1" t="s">
        <v>51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 t="s">
        <v>293</v>
      </c>
      <c r="R80">
        <f t="shared" si="2"/>
        <v>80</v>
      </c>
    </row>
    <row r="81" ht="17" spans="2:18">
      <c r="B81" s="1" t="s">
        <v>304</v>
      </c>
      <c r="C81" s="1" t="s">
        <v>305</v>
      </c>
      <c r="D81" s="8" t="s">
        <v>306</v>
      </c>
      <c r="E81" s="1" t="s">
        <v>48</v>
      </c>
      <c r="F81" s="1" t="s">
        <v>49</v>
      </c>
      <c r="G81" s="1">
        <v>10</v>
      </c>
      <c r="I81" s="1">
        <v>100</v>
      </c>
      <c r="J81" s="1" t="s">
        <v>51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 t="s">
        <v>293</v>
      </c>
      <c r="R81">
        <f t="shared" si="2"/>
        <v>80</v>
      </c>
    </row>
    <row r="82" ht="33.75" customHeight="1" spans="4:18">
      <c r="D82" s="8"/>
      <c r="Q82" s="1"/>
      <c r="R82" t="e">
        <f t="shared" si="2"/>
        <v>#N/A</v>
      </c>
    </row>
    <row r="83" ht="33.75" customHeight="1" spans="4:18">
      <c r="D83" s="8"/>
      <c r="Q83" s="1"/>
      <c r="R83" t="e">
        <f t="shared" si="2"/>
        <v>#N/A</v>
      </c>
    </row>
    <row r="84" ht="33.75" customHeight="1" spans="4:18">
      <c r="D84" s="8"/>
      <c r="Q84" s="1"/>
      <c r="R84" t="e">
        <f t="shared" si="2"/>
        <v>#N/A</v>
      </c>
    </row>
    <row r="85" ht="33.75" customHeight="1" spans="4:18">
      <c r="D85" s="8"/>
      <c r="Q85" s="1"/>
      <c r="R85" t="e">
        <f t="shared" si="2"/>
        <v>#N/A</v>
      </c>
    </row>
    <row r="86" ht="33.75" customHeight="1" spans="4:18">
      <c r="D86" s="8"/>
      <c r="Q86" s="1"/>
      <c r="R86" t="e">
        <f t="shared" si="2"/>
        <v>#N/A</v>
      </c>
    </row>
    <row r="87" ht="16.5" customHeight="1" spans="17:18">
      <c r="Q87" s="1"/>
      <c r="R87" t="e">
        <f t="shared" si="2"/>
        <v>#N/A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0"/>
  <sheetViews>
    <sheetView workbookViewId="0">
      <selection activeCell="A1" sqref="A1"/>
    </sheetView>
  </sheetViews>
  <sheetFormatPr defaultColWidth="9.00735294117647" defaultRowHeight="16.8"/>
  <cols>
    <col min="1" max="1" width="13.0808823529412" style="1" customWidth="1"/>
    <col min="2" max="2" width="28.0808823529412" style="1" customWidth="1"/>
    <col min="3" max="3" width="15.1617647058824" style="1" customWidth="1"/>
    <col min="4" max="4" width="53.9191176470588" style="1" customWidth="1"/>
    <col min="5" max="5" width="15.1617647058824" style="1" customWidth="1"/>
    <col min="6" max="6" width="26.3823529411765" style="1" customWidth="1"/>
    <col min="7" max="7" width="11.9191176470588" style="1" customWidth="1"/>
    <col min="8" max="8" width="12.6176470588235" style="1" customWidth="1"/>
    <col min="9" max="9" width="15.1617647058824" style="1" customWidth="1"/>
    <col min="10" max="10" width="46.1470588235294" style="1" customWidth="1"/>
    <col min="11" max="11" width="36.1617647058824" style="1" customWidth="1"/>
    <col min="12" max="12" width="26.4632352941176" customWidth="1"/>
  </cols>
  <sheetData>
    <row r="1" ht="16.5" customHeight="1" spans="1:13">
      <c r="A1" s="7" t="s">
        <v>0</v>
      </c>
      <c r="B1" s="7" t="s">
        <v>1</v>
      </c>
      <c r="C1" s="7" t="s">
        <v>2</v>
      </c>
      <c r="D1" s="7" t="s">
        <v>3</v>
      </c>
      <c r="E1" s="7" t="s">
        <v>5</v>
      </c>
      <c r="F1" s="7" t="s">
        <v>307</v>
      </c>
      <c r="G1" s="7" t="s">
        <v>6</v>
      </c>
      <c r="H1" s="7" t="s">
        <v>7</v>
      </c>
      <c r="I1" s="7" t="s">
        <v>8</v>
      </c>
      <c r="J1" s="7" t="s">
        <v>308</v>
      </c>
      <c r="K1" s="7" t="s">
        <v>309</v>
      </c>
      <c r="L1" s="9" t="s">
        <v>16</v>
      </c>
      <c r="M1" t="s">
        <v>17</v>
      </c>
    </row>
    <row r="2" ht="16.5" customHeight="1" spans="1:13">
      <c r="A2" s="7" t="s">
        <v>18</v>
      </c>
      <c r="B2" s="1" t="s">
        <v>19</v>
      </c>
      <c r="C2" s="1" t="s">
        <v>20</v>
      </c>
      <c r="D2" s="1" t="s">
        <v>21</v>
      </c>
      <c r="E2" s="1" t="s">
        <v>23</v>
      </c>
      <c r="F2" s="1" t="s">
        <v>310</v>
      </c>
      <c r="G2" s="1" t="s">
        <v>24</v>
      </c>
      <c r="H2" s="1" t="s">
        <v>25</v>
      </c>
      <c r="I2" s="1" t="s">
        <v>26</v>
      </c>
      <c r="J2" s="1" t="s">
        <v>311</v>
      </c>
      <c r="K2" s="1" t="s">
        <v>312</v>
      </c>
      <c r="L2" t="s">
        <v>34</v>
      </c>
      <c r="M2" t="s">
        <v>35</v>
      </c>
    </row>
    <row r="3" ht="16.5" customHeight="1" spans="1:13">
      <c r="A3" s="7" t="s">
        <v>37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  <c r="G3" s="7" t="s">
        <v>41</v>
      </c>
      <c r="H3" s="7" t="s">
        <v>38</v>
      </c>
      <c r="I3" s="7" t="s">
        <v>41</v>
      </c>
      <c r="J3" s="7" t="s">
        <v>313</v>
      </c>
      <c r="K3" s="7" t="s">
        <v>43</v>
      </c>
      <c r="L3" s="9" t="s">
        <v>38</v>
      </c>
      <c r="M3" t="s">
        <v>43</v>
      </c>
    </row>
    <row r="4" ht="33.75" customHeight="1" spans="2:13">
      <c r="B4" s="7" t="s">
        <v>314</v>
      </c>
      <c r="C4" s="1" t="s">
        <v>315</v>
      </c>
      <c r="D4" s="8" t="s">
        <v>316</v>
      </c>
      <c r="F4" s="7" t="s">
        <v>317</v>
      </c>
      <c r="G4" s="1">
        <v>0</v>
      </c>
      <c r="H4" s="7" t="s">
        <v>318</v>
      </c>
      <c r="I4" s="1">
        <v>1</v>
      </c>
      <c r="J4" s="7" t="s">
        <v>319</v>
      </c>
      <c r="K4" s="1">
        <v>1</v>
      </c>
      <c r="L4" s="7" t="s">
        <v>318</v>
      </c>
      <c r="M4">
        <v>35</v>
      </c>
    </row>
    <row r="5" ht="33.75" customHeight="1" spans="2:13">
      <c r="B5" s="7" t="s">
        <v>320</v>
      </c>
      <c r="C5" s="1" t="s">
        <v>321</v>
      </c>
      <c r="D5" s="8" t="s">
        <v>322</v>
      </c>
      <c r="F5" s="7" t="s">
        <v>317</v>
      </c>
      <c r="G5" s="1">
        <v>0</v>
      </c>
      <c r="H5" s="7" t="s">
        <v>323</v>
      </c>
      <c r="I5" s="1">
        <v>1</v>
      </c>
      <c r="J5" s="7" t="s">
        <v>319</v>
      </c>
      <c r="K5" s="1">
        <v>1</v>
      </c>
      <c r="L5" s="7" t="s">
        <v>323</v>
      </c>
      <c r="M5">
        <v>35</v>
      </c>
    </row>
    <row r="6" ht="33.75" customHeight="1" spans="2:13">
      <c r="B6" s="7" t="s">
        <v>324</v>
      </c>
      <c r="C6" s="1" t="s">
        <v>325</v>
      </c>
      <c r="D6" s="8" t="s">
        <v>326</v>
      </c>
      <c r="F6" s="7" t="s">
        <v>317</v>
      </c>
      <c r="G6" s="1">
        <v>0</v>
      </c>
      <c r="H6" s="7" t="s">
        <v>327</v>
      </c>
      <c r="I6" s="1">
        <v>1</v>
      </c>
      <c r="J6" s="7" t="s">
        <v>319</v>
      </c>
      <c r="K6" s="1">
        <v>1</v>
      </c>
      <c r="L6" s="7" t="s">
        <v>327</v>
      </c>
      <c r="M6">
        <v>35</v>
      </c>
    </row>
    <row r="7" ht="33.75" customHeight="1" spans="2:13">
      <c r="B7" s="7" t="s">
        <v>328</v>
      </c>
      <c r="C7" s="1" t="s">
        <v>329</v>
      </c>
      <c r="D7" s="8" t="s">
        <v>330</v>
      </c>
      <c r="F7" s="7" t="s">
        <v>317</v>
      </c>
      <c r="G7" s="1">
        <v>0</v>
      </c>
      <c r="H7" s="7" t="s">
        <v>331</v>
      </c>
      <c r="I7" s="1">
        <v>1</v>
      </c>
      <c r="J7" s="7" t="s">
        <v>319</v>
      </c>
      <c r="K7" s="1">
        <v>1</v>
      </c>
      <c r="L7" s="7" t="s">
        <v>331</v>
      </c>
      <c r="M7">
        <v>35</v>
      </c>
    </row>
    <row r="8" ht="33.75" customHeight="1" spans="2:13">
      <c r="B8" s="7" t="s">
        <v>332</v>
      </c>
      <c r="C8" s="1" t="s">
        <v>333</v>
      </c>
      <c r="D8" s="8" t="s">
        <v>334</v>
      </c>
      <c r="F8" s="7" t="s">
        <v>317</v>
      </c>
      <c r="G8" s="1">
        <v>0</v>
      </c>
      <c r="H8" s="7" t="s">
        <v>335</v>
      </c>
      <c r="I8" s="1">
        <v>1</v>
      </c>
      <c r="J8" s="7" t="s">
        <v>319</v>
      </c>
      <c r="K8" s="1">
        <v>1</v>
      </c>
      <c r="L8" s="7" t="s">
        <v>335</v>
      </c>
      <c r="M8">
        <v>35</v>
      </c>
    </row>
    <row r="9" ht="33.75" customHeight="1" spans="2:13">
      <c r="B9" s="7" t="s">
        <v>336</v>
      </c>
      <c r="C9" s="1" t="s">
        <v>337</v>
      </c>
      <c r="D9" s="8" t="s">
        <v>338</v>
      </c>
      <c r="F9" s="7" t="s">
        <v>317</v>
      </c>
      <c r="G9" s="1">
        <v>0</v>
      </c>
      <c r="H9" s="7" t="s">
        <v>339</v>
      </c>
      <c r="I9" s="1">
        <v>1</v>
      </c>
      <c r="J9" s="7" t="s">
        <v>319</v>
      </c>
      <c r="K9" s="1">
        <v>1</v>
      </c>
      <c r="L9" s="7" t="s">
        <v>339</v>
      </c>
      <c r="M9">
        <v>35</v>
      </c>
    </row>
    <row r="10" ht="33.75" customHeight="1" spans="2:13">
      <c r="B10" s="7" t="s">
        <v>340</v>
      </c>
      <c r="C10" s="1" t="s">
        <v>341</v>
      </c>
      <c r="D10" s="8" t="s">
        <v>342</v>
      </c>
      <c r="F10" s="7" t="s">
        <v>343</v>
      </c>
      <c r="G10" s="1">
        <v>0</v>
      </c>
      <c r="H10" s="7" t="s">
        <v>344</v>
      </c>
      <c r="I10" s="1">
        <v>1</v>
      </c>
      <c r="J10" s="7" t="s">
        <v>345</v>
      </c>
      <c r="K10" s="1">
        <v>1</v>
      </c>
      <c r="L10" s="7" t="s">
        <v>344</v>
      </c>
      <c r="M10">
        <v>35</v>
      </c>
    </row>
    <row r="11" ht="33.75" customHeight="1" spans="2:13">
      <c r="B11" s="7" t="s">
        <v>346</v>
      </c>
      <c r="C11" s="1" t="s">
        <v>347</v>
      </c>
      <c r="D11" s="8" t="s">
        <v>348</v>
      </c>
      <c r="F11" s="7" t="s">
        <v>343</v>
      </c>
      <c r="G11" s="1">
        <v>0</v>
      </c>
      <c r="H11" s="7" t="s">
        <v>349</v>
      </c>
      <c r="I11" s="1">
        <v>1</v>
      </c>
      <c r="J11" s="7" t="s">
        <v>345</v>
      </c>
      <c r="K11" s="1">
        <v>1</v>
      </c>
      <c r="L11" s="7" t="s">
        <v>349</v>
      </c>
      <c r="M11">
        <v>35</v>
      </c>
    </row>
    <row r="12" ht="33.75" customHeight="1" spans="2:13">
      <c r="B12" s="7" t="s">
        <v>350</v>
      </c>
      <c r="C12" s="1" t="s">
        <v>351</v>
      </c>
      <c r="D12" s="8" t="s">
        <v>352</v>
      </c>
      <c r="F12" s="7" t="s">
        <v>343</v>
      </c>
      <c r="G12" s="1">
        <v>0</v>
      </c>
      <c r="H12" s="7" t="s">
        <v>353</v>
      </c>
      <c r="I12" s="1">
        <v>1</v>
      </c>
      <c r="J12" s="7" t="s">
        <v>345</v>
      </c>
      <c r="K12" s="1">
        <v>1</v>
      </c>
      <c r="L12" s="7" t="s">
        <v>353</v>
      </c>
      <c r="M12">
        <v>35</v>
      </c>
    </row>
    <row r="13" ht="33.75" customHeight="1" spans="2:13">
      <c r="B13" s="7" t="s">
        <v>354</v>
      </c>
      <c r="C13" s="1" t="s">
        <v>355</v>
      </c>
      <c r="D13" s="8" t="s">
        <v>356</v>
      </c>
      <c r="F13" s="7" t="s">
        <v>343</v>
      </c>
      <c r="G13" s="1">
        <v>0</v>
      </c>
      <c r="H13" s="7" t="s">
        <v>357</v>
      </c>
      <c r="I13" s="1">
        <v>1</v>
      </c>
      <c r="J13" s="7" t="s">
        <v>345</v>
      </c>
      <c r="K13" s="1">
        <v>1</v>
      </c>
      <c r="L13" s="7" t="s">
        <v>357</v>
      </c>
      <c r="M13">
        <v>35</v>
      </c>
    </row>
    <row r="14" ht="33.75" customHeight="1" spans="2:13">
      <c r="B14" s="7" t="s">
        <v>358</v>
      </c>
      <c r="C14" s="1" t="s">
        <v>359</v>
      </c>
      <c r="D14" s="8" t="s">
        <v>360</v>
      </c>
      <c r="F14" s="7" t="s">
        <v>343</v>
      </c>
      <c r="G14" s="1">
        <v>0</v>
      </c>
      <c r="H14" s="7" t="s">
        <v>361</v>
      </c>
      <c r="I14" s="1">
        <v>1</v>
      </c>
      <c r="J14" s="7" t="s">
        <v>345</v>
      </c>
      <c r="K14" s="1">
        <v>1</v>
      </c>
      <c r="L14" s="7" t="s">
        <v>361</v>
      </c>
      <c r="M14">
        <v>35</v>
      </c>
    </row>
    <row r="15" ht="33.75" customHeight="1" spans="2:13">
      <c r="B15" s="7" t="s">
        <v>362</v>
      </c>
      <c r="C15" s="1" t="s">
        <v>363</v>
      </c>
      <c r="D15" s="8" t="s">
        <v>364</v>
      </c>
      <c r="F15" s="7" t="s">
        <v>343</v>
      </c>
      <c r="G15" s="1">
        <v>0</v>
      </c>
      <c r="H15" s="7" t="s">
        <v>365</v>
      </c>
      <c r="I15" s="1">
        <v>1</v>
      </c>
      <c r="J15" s="7" t="s">
        <v>345</v>
      </c>
      <c r="K15" s="1">
        <v>1</v>
      </c>
      <c r="L15" s="7" t="s">
        <v>365</v>
      </c>
      <c r="M15">
        <v>35</v>
      </c>
    </row>
    <row r="16" ht="33.75" customHeight="1" spans="2:13">
      <c r="B16" s="7" t="s">
        <v>366</v>
      </c>
      <c r="C16" s="1" t="s">
        <v>367</v>
      </c>
      <c r="D16" s="8" t="s">
        <v>368</v>
      </c>
      <c r="F16" s="7" t="s">
        <v>343</v>
      </c>
      <c r="G16" s="1">
        <v>0</v>
      </c>
      <c r="H16" s="7" t="s">
        <v>369</v>
      </c>
      <c r="I16" s="1">
        <v>1</v>
      </c>
      <c r="J16" s="7" t="s">
        <v>345</v>
      </c>
      <c r="K16" s="1">
        <v>1</v>
      </c>
      <c r="L16" s="7" t="s">
        <v>369</v>
      </c>
      <c r="M16">
        <v>35</v>
      </c>
    </row>
    <row r="17" ht="33.75" customHeight="1" spans="2:13">
      <c r="B17" s="7" t="s">
        <v>370</v>
      </c>
      <c r="C17" s="1" t="s">
        <v>371</v>
      </c>
      <c r="D17" s="8" t="s">
        <v>372</v>
      </c>
      <c r="F17" s="7" t="s">
        <v>373</v>
      </c>
      <c r="G17" s="1">
        <v>0</v>
      </c>
      <c r="I17" s="1">
        <v>1</v>
      </c>
      <c r="J17" s="7" t="s">
        <v>374</v>
      </c>
      <c r="K17" s="1">
        <v>0</v>
      </c>
      <c r="M17">
        <v>35</v>
      </c>
    </row>
    <row r="18" ht="16.5" customHeight="1" spans="2:13">
      <c r="B18" s="7" t="s">
        <v>375</v>
      </c>
      <c r="C18" s="1" t="s">
        <v>376</v>
      </c>
      <c r="D18" s="1" t="s">
        <v>377</v>
      </c>
      <c r="F18" s="7" t="s">
        <v>378</v>
      </c>
      <c r="G18" s="1">
        <v>0</v>
      </c>
      <c r="I18" s="1">
        <v>1</v>
      </c>
      <c r="J18" s="7" t="s">
        <v>374</v>
      </c>
      <c r="K18" s="1">
        <v>0</v>
      </c>
      <c r="M18">
        <v>35</v>
      </c>
    </row>
    <row r="19" ht="16.5" customHeight="1" spans="2:13">
      <c r="B19" s="7" t="s">
        <v>379</v>
      </c>
      <c r="C19" s="1" t="s">
        <v>380</v>
      </c>
      <c r="D19" s="1" t="s">
        <v>381</v>
      </c>
      <c r="F19" s="7" t="s">
        <v>382</v>
      </c>
      <c r="G19" s="1">
        <v>0</v>
      </c>
      <c r="I19" s="1">
        <v>1</v>
      </c>
      <c r="J19" s="7" t="s">
        <v>374</v>
      </c>
      <c r="K19" s="1">
        <v>0</v>
      </c>
      <c r="M19">
        <v>35</v>
      </c>
    </row>
    <row r="20" ht="16.5" customHeight="1" spans="2:13">
      <c r="B20" s="7" t="s">
        <v>383</v>
      </c>
      <c r="C20" s="1" t="s">
        <v>384</v>
      </c>
      <c r="D20" s="1" t="s">
        <v>385</v>
      </c>
      <c r="F20" s="7" t="s">
        <v>386</v>
      </c>
      <c r="G20" s="1">
        <v>0</v>
      </c>
      <c r="H20" s="7" t="s">
        <v>387</v>
      </c>
      <c r="I20" s="1">
        <v>1</v>
      </c>
      <c r="J20" s="7" t="s">
        <v>374</v>
      </c>
      <c r="K20" s="1">
        <v>0</v>
      </c>
      <c r="M20">
        <v>35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66" workbookViewId="0">
      <selection activeCell="A1" sqref="A1"/>
    </sheetView>
  </sheetViews>
  <sheetFormatPr defaultColWidth="9.23529411764706" defaultRowHeight="16.8"/>
  <cols>
    <col min="2" max="3" width="8.46323529411765" customWidth="1"/>
    <col min="4" max="4" width="16.1617647058824" customWidth="1"/>
    <col min="5" max="5" width="47.3235294117647" customWidth="1"/>
    <col min="8" max="8" width="9.24264705882353" style="1" customWidth="1"/>
    <col min="9" max="9" width="79.6470588235294" style="2" customWidth="1"/>
  </cols>
  <sheetData>
    <row r="1" ht="17.25" customHeight="1" spans="2:9">
      <c r="B1" s="3" t="s">
        <v>388</v>
      </c>
      <c r="C1" s="3" t="s">
        <v>389</v>
      </c>
      <c r="D1" s="3" t="s">
        <v>390</v>
      </c>
      <c r="E1" s="3" t="s">
        <v>391</v>
      </c>
      <c r="H1" s="7" t="s">
        <v>1</v>
      </c>
      <c r="I1" s="2" t="s">
        <v>392</v>
      </c>
    </row>
    <row r="2" ht="17.25" customHeight="1" spans="2:9">
      <c r="B2" s="3" t="s">
        <v>393</v>
      </c>
      <c r="C2" s="3" t="s">
        <v>394</v>
      </c>
      <c r="D2" s="3" t="s">
        <v>395</v>
      </c>
      <c r="E2" s="3" t="s">
        <v>396</v>
      </c>
      <c r="H2" s="1">
        <v>1</v>
      </c>
      <c r="I2" s="2" t="str">
        <f t="shared" ref="I2:I65" si="0">E2</f>
        <v>获得时，获得两个随机（xx品质）的被动道具</v>
      </c>
    </row>
    <row r="3" ht="17.25" customHeight="1" spans="2:9">
      <c r="B3" s="4"/>
      <c r="C3" s="4"/>
      <c r="D3" s="3" t="s">
        <v>397</v>
      </c>
      <c r="E3" s="3" t="s">
        <v>398</v>
      </c>
      <c r="H3" s="1">
        <v>2</v>
      </c>
      <c r="I3" s="2" t="str">
        <f t="shared" si="0"/>
        <v>获得时，从多个被动道具中选择一个获得</v>
      </c>
    </row>
    <row r="4" ht="17.25" customHeight="1" spans="2:9">
      <c r="B4" s="4"/>
      <c r="C4" s="4"/>
      <c r="D4" s="3" t="s">
        <v>399</v>
      </c>
      <c r="E4" s="3" t="s">
        <v>400</v>
      </c>
      <c r="H4" s="1">
        <v>3</v>
      </c>
      <c r="I4" s="2" t="str">
        <f t="shared" si="0"/>
        <v>获得时，获得两个随机（xx品质）的主动道具</v>
      </c>
    </row>
    <row r="5" ht="17.25" customHeight="1" spans="2:9">
      <c r="B5" s="4"/>
      <c r="C5" s="4"/>
      <c r="D5" s="3" t="s">
        <v>397</v>
      </c>
      <c r="E5" s="3" t="s">
        <v>401</v>
      </c>
      <c r="H5" s="1">
        <v>4</v>
      </c>
      <c r="I5" s="2" t="str">
        <f t="shared" si="0"/>
        <v>获得时，从多个主动道具中选择一个获得</v>
      </c>
    </row>
    <row r="6" ht="17.25" customHeight="1" spans="2:9">
      <c r="B6" s="4"/>
      <c r="C6" s="4"/>
      <c r="D6" s="3" t="s">
        <v>402</v>
      </c>
      <c r="E6" s="3" t="s">
        <v>403</v>
      </c>
      <c r="H6" s="1">
        <v>5</v>
      </c>
      <c r="I6" s="2" t="str">
        <f t="shared" si="0"/>
        <v>获得时，从多个食物中选择一个获得</v>
      </c>
    </row>
    <row r="7" ht="17.25" customHeight="1" spans="2:9">
      <c r="B7" s="4"/>
      <c r="C7" s="4"/>
      <c r="D7" s="3" t="s">
        <v>404</v>
      </c>
      <c r="E7" s="3" t="s">
        <v>405</v>
      </c>
      <c r="H7" s="1">
        <v>6</v>
      </c>
      <c r="I7" s="2" t="str">
        <f t="shared" si="0"/>
        <v>获得时，从多个胃部碎片中选择一个获得</v>
      </c>
    </row>
    <row r="8" ht="17.25" customHeight="1" spans="2:9">
      <c r="B8" s="4"/>
      <c r="C8" s="4"/>
      <c r="D8" s="3" t="s">
        <v>60</v>
      </c>
      <c r="E8" s="3" t="s">
        <v>406</v>
      </c>
      <c r="H8" s="1">
        <v>7</v>
      </c>
      <c r="I8" s="2" t="str">
        <f t="shared" si="0"/>
        <v>获得时，获得一个随机被动道具、随机食物、50金币</v>
      </c>
    </row>
    <row r="9" ht="17.25" customHeight="1" spans="2:9">
      <c r="B9" s="4"/>
      <c r="C9" s="4"/>
      <c r="D9" s="3" t="s">
        <v>407</v>
      </c>
      <c r="E9" s="3" t="s">
        <v>67</v>
      </c>
      <c r="H9" s="1">
        <v>8</v>
      </c>
      <c r="I9" s="2" t="str">
        <f t="shared" si="0"/>
        <v>所有道具替换为随机道具</v>
      </c>
    </row>
    <row r="10" ht="17.25" customHeight="1" spans="2:9">
      <c r="B10" s="4"/>
      <c r="C10" s="4" t="s">
        <v>408</v>
      </c>
      <c r="D10" s="3" t="s">
        <v>69</v>
      </c>
      <c r="E10" s="3" t="s">
        <v>409</v>
      </c>
      <c r="H10" s="1">
        <v>9</v>
      </c>
      <c r="I10" s="2" t="str">
        <f t="shared" si="0"/>
        <v>获得1～100个金币</v>
      </c>
    </row>
    <row r="11" ht="17.25" customHeight="1" spans="2:9">
      <c r="B11" s="4"/>
      <c r="C11" s="3"/>
      <c r="D11" s="3" t="s">
        <v>410</v>
      </c>
      <c r="E11" s="3" t="s">
        <v>411</v>
      </c>
      <c r="H11" s="1">
        <v>10</v>
      </c>
      <c r="I11" s="2" t="str">
        <f t="shared" si="0"/>
        <v>接下来10局美食，额外获得15金币</v>
      </c>
    </row>
    <row r="12" ht="17.25" customHeight="1" spans="2:9">
      <c r="B12" s="4"/>
      <c r="C12" s="4"/>
      <c r="D12" s="3" t="s">
        <v>412</v>
      </c>
      <c r="E12" s="3" t="s">
        <v>413</v>
      </c>
      <c r="H12" s="1">
        <v>11</v>
      </c>
      <c r="I12" s="2" t="str">
        <f t="shared" si="0"/>
        <v>完成本次boss后，额外获得100金币</v>
      </c>
    </row>
    <row r="13" ht="17.25" customHeight="1" spans="2:9">
      <c r="B13" s="4"/>
      <c r="C13" s="4"/>
      <c r="D13" s="5" t="s">
        <v>414</v>
      </c>
      <c r="E13" s="3" t="s">
        <v>415</v>
      </c>
      <c r="H13" s="1">
        <v>12</v>
      </c>
      <c r="I13" s="2" t="str">
        <f t="shared" si="0"/>
        <v>美食结束获得的金币，额外获得20%</v>
      </c>
    </row>
    <row r="14" ht="17.25" customHeight="1" spans="2:9">
      <c r="B14" s="4"/>
      <c r="C14" s="4" t="s">
        <v>416</v>
      </c>
      <c r="D14" s="3" t="s">
        <v>417</v>
      </c>
      <c r="E14" s="3" t="s">
        <v>418</v>
      </c>
      <c r="H14" s="1">
        <v>13</v>
      </c>
      <c r="I14" s="2" t="str">
        <f t="shared" si="0"/>
        <v>购买食物打折20%</v>
      </c>
    </row>
    <row r="15" ht="17.25" customHeight="1" spans="2:9">
      <c r="B15" s="4"/>
      <c r="C15" s="3"/>
      <c r="D15" s="3" t="s">
        <v>419</v>
      </c>
      <c r="E15" s="3" t="s">
        <v>420</v>
      </c>
      <c r="H15" s="1">
        <v>14</v>
      </c>
      <c r="I15" s="2" t="str">
        <f t="shared" si="0"/>
        <v>购买碎片打折20%</v>
      </c>
    </row>
    <row r="16" ht="17.25" customHeight="1" spans="2:9">
      <c r="B16" s="4"/>
      <c r="C16" s="4"/>
      <c r="D16" s="3" t="s">
        <v>421</v>
      </c>
      <c r="E16" s="3" t="s">
        <v>422</v>
      </c>
      <c r="H16" s="1">
        <v>15</v>
      </c>
      <c r="I16" s="2" t="str">
        <f t="shared" si="0"/>
        <v>买主动道具打折20%</v>
      </c>
    </row>
    <row r="17" ht="17.25" customHeight="1" spans="2:9">
      <c r="B17" s="4"/>
      <c r="C17" s="4"/>
      <c r="D17" s="3" t="s">
        <v>423</v>
      </c>
      <c r="E17" s="3" t="s">
        <v>424</v>
      </c>
      <c r="H17" s="1">
        <v>16</v>
      </c>
      <c r="I17" s="2" t="str">
        <f t="shared" si="0"/>
        <v>买被动道具打折20%</v>
      </c>
    </row>
    <row r="18" ht="17.25" customHeight="1" spans="2:9">
      <c r="B18" s="4"/>
      <c r="C18" s="4"/>
      <c r="D18" s="3" t="s">
        <v>425</v>
      </c>
      <c r="E18" s="3" t="s">
        <v>426</v>
      </c>
      <c r="H18" s="1">
        <v>17</v>
      </c>
      <c r="I18" s="2" t="str">
        <f t="shared" si="0"/>
        <v>删牌价格打折20%</v>
      </c>
    </row>
    <row r="19" ht="17.25" customHeight="1" spans="2:9">
      <c r="B19" s="4"/>
      <c r="C19" s="4"/>
      <c r="D19" s="3" t="s">
        <v>425</v>
      </c>
      <c r="E19" s="3" t="s">
        <v>111</v>
      </c>
      <c r="H19" s="1">
        <v>18</v>
      </c>
      <c r="I19" s="2" t="str">
        <f t="shared" si="0"/>
        <v>删牌价格固定为30金币</v>
      </c>
    </row>
    <row r="20" ht="17.25" customHeight="1" spans="2:9">
      <c r="B20" s="4"/>
      <c r="C20" s="4" t="s">
        <v>427</v>
      </c>
      <c r="D20" s="3" t="s">
        <v>113</v>
      </c>
      <c r="E20" s="3" t="s">
        <v>428</v>
      </c>
      <c r="H20" s="1">
        <v>19</v>
      </c>
      <c r="I20" s="2" t="str">
        <f t="shared" si="0"/>
        <v>分数未达标时，不失败，失去此道具</v>
      </c>
    </row>
    <row r="21" ht="17.25" customHeight="1" spans="2:9">
      <c r="B21" s="4"/>
      <c r="C21" s="4" t="s">
        <v>429</v>
      </c>
      <c r="D21" s="3" t="s">
        <v>430</v>
      </c>
      <c r="E21" s="3" t="s">
        <v>431</v>
      </c>
      <c r="H21" s="1">
        <v>20</v>
      </c>
      <c r="I21" s="2" t="str">
        <f t="shared" si="0"/>
        <v>接下来3局非盛宴（boss），分数要求为1</v>
      </c>
    </row>
    <row r="22" ht="17.25" customHeight="1" spans="2:9">
      <c r="B22" s="4"/>
      <c r="C22" s="3"/>
      <c r="D22" s="3" t="s">
        <v>432</v>
      </c>
      <c r="E22" s="3" t="s">
        <v>433</v>
      </c>
      <c r="H22" s="1">
        <v>21</v>
      </c>
      <c r="I22" s="2" t="str">
        <f t="shared" si="0"/>
        <v>普通美食要求分数-10%</v>
      </c>
    </row>
    <row r="23" ht="17.25" customHeight="1" spans="2:9">
      <c r="B23" s="4"/>
      <c r="C23" s="3"/>
      <c r="D23" s="3" t="s">
        <v>434</v>
      </c>
      <c r="E23" s="3" t="s">
        <v>435</v>
      </c>
      <c r="H23" s="1">
        <v>22</v>
      </c>
      <c r="I23" s="2" t="str">
        <f t="shared" si="0"/>
        <v>超级美食要求分数-10%</v>
      </c>
    </row>
    <row r="24" ht="17.25" customHeight="1" spans="2:9">
      <c r="B24" s="4"/>
      <c r="C24" s="4"/>
      <c r="D24" s="3" t="s">
        <v>436</v>
      </c>
      <c r="E24" s="3" t="s">
        <v>437</v>
      </c>
      <c r="H24" s="1">
        <v>23</v>
      </c>
      <c r="I24" s="2" t="str">
        <f t="shared" si="0"/>
        <v>盛宴美食要求分数-10%</v>
      </c>
    </row>
    <row r="25" ht="17.25" customHeight="1" spans="2:9">
      <c r="B25" s="4"/>
      <c r="C25" s="4" t="s">
        <v>438</v>
      </c>
      <c r="D25" s="3" t="s">
        <v>439</v>
      </c>
      <c r="E25" s="3" t="s">
        <v>440</v>
      </c>
      <c r="H25" s="1">
        <v>24</v>
      </c>
      <c r="I25" s="2" t="str">
        <f t="shared" si="0"/>
        <v>结算时，食物数量小于等于10，所有美食倍率x1.1</v>
      </c>
    </row>
    <row r="26" ht="17.25" customHeight="1" spans="2:9">
      <c r="B26" s="4"/>
      <c r="C26" s="4"/>
      <c r="D26" s="3" t="s">
        <v>439</v>
      </c>
      <c r="E26" s="3" t="s">
        <v>441</v>
      </c>
      <c r="H26" s="1">
        <v>25</v>
      </c>
      <c r="I26" s="2" t="str">
        <f t="shared" si="0"/>
        <v>结算时，食物数量大于等于10，所有美食倍率x1.1</v>
      </c>
    </row>
    <row r="27" ht="17.25" customHeight="1" spans="2:9">
      <c r="B27" s="4"/>
      <c r="C27" s="3" t="s">
        <v>442</v>
      </c>
      <c r="D27" s="3" t="s">
        <v>443</v>
      </c>
      <c r="E27" s="3" t="s">
        <v>444</v>
      </c>
      <c r="H27" s="1">
        <v>26</v>
      </c>
      <c r="I27" s="2" t="str">
        <f t="shared" si="0"/>
        <v>结算时，食物倍率+0倍（每结算1个食物+0.1倍）</v>
      </c>
    </row>
    <row r="28" ht="17.25" customHeight="1" spans="2:9">
      <c r="B28" s="4"/>
      <c r="C28" s="4" t="s">
        <v>445</v>
      </c>
      <c r="D28" s="3" t="s">
        <v>446</v>
      </c>
      <c r="E28" s="3" t="s">
        <v>447</v>
      </c>
      <c r="H28" s="1">
        <v>27</v>
      </c>
      <c r="I28" s="2" t="str">
        <f t="shared" si="0"/>
        <v>所有食物基础分数永久+10</v>
      </c>
    </row>
    <row r="29" ht="17.25" customHeight="1" spans="2:9">
      <c r="B29" s="4"/>
      <c r="C29" s="3" t="s">
        <v>448</v>
      </c>
      <c r="D29" s="3" t="s">
        <v>446</v>
      </c>
      <c r="E29" s="3" t="s">
        <v>449</v>
      </c>
      <c r="H29" s="1">
        <v>28</v>
      </c>
      <c r="I29" s="2" t="str">
        <f t="shared" si="0"/>
        <v>所有食物基础倍率永久+0.2</v>
      </c>
    </row>
    <row r="30" ht="17.25" customHeight="1" spans="2:9">
      <c r="B30" s="4"/>
      <c r="C30" s="3" t="s">
        <v>450</v>
      </c>
      <c r="D30" s="3" t="s">
        <v>451</v>
      </c>
      <c r="E30" s="3" t="s">
        <v>452</v>
      </c>
      <c r="H30" s="1">
        <v>29</v>
      </c>
      <c r="I30" s="2" t="str">
        <f t="shared" si="0"/>
        <v>每5次上菜后，下一次上菜，可以看见食物是什么</v>
      </c>
    </row>
    <row r="31" ht="17.25" customHeight="1" spans="2:9">
      <c r="B31" s="4"/>
      <c r="C31" s="3"/>
      <c r="D31" s="3" t="s">
        <v>451</v>
      </c>
      <c r="E31" s="3" t="s">
        <v>453</v>
      </c>
      <c r="H31" s="1">
        <v>30</v>
      </c>
      <c r="I31" s="2" t="str">
        <f t="shared" si="0"/>
        <v>每局前三次上菜，可以看见食物</v>
      </c>
    </row>
    <row r="32" ht="17.25" customHeight="1" spans="2:9">
      <c r="B32" s="4"/>
      <c r="C32" s="3" t="s">
        <v>454</v>
      </c>
      <c r="D32" s="3" t="s">
        <v>454</v>
      </c>
      <c r="E32" s="3" t="s">
        <v>455</v>
      </c>
      <c r="H32" s="1">
        <v>31</v>
      </c>
      <c r="I32" s="2" t="str">
        <f t="shared" si="0"/>
        <v>随机将5个食物，变为至少同品质的食物</v>
      </c>
    </row>
    <row r="33" ht="17.25" customHeight="1" spans="2:9">
      <c r="B33" s="4"/>
      <c r="C33" s="4"/>
      <c r="D33" s="3" t="s">
        <v>456</v>
      </c>
      <c r="E33" s="3" t="s">
        <v>457</v>
      </c>
      <c r="H33" s="1">
        <v>32</v>
      </c>
      <c r="I33" s="2" t="str">
        <f t="shared" si="0"/>
        <v>进入商店时，获得10金币</v>
      </c>
    </row>
    <row r="34" ht="17.25" customHeight="1" spans="2:9">
      <c r="B34" s="4"/>
      <c r="C34" s="4"/>
      <c r="D34" s="3" t="s">
        <v>458</v>
      </c>
      <c r="E34" s="3" t="s">
        <v>459</v>
      </c>
      <c r="H34" s="1">
        <v>33</v>
      </c>
      <c r="I34" s="2" t="str">
        <f t="shared" si="0"/>
        <v>每周结束，额外执行一次利息</v>
      </c>
    </row>
    <row r="35" ht="17.25" customHeight="1" spans="2:9">
      <c r="B35" s="4"/>
      <c r="C35" s="3"/>
      <c r="D35" s="3" t="s">
        <v>460</v>
      </c>
      <c r="E35" s="3" t="s">
        <v>461</v>
      </c>
      <c r="H35" s="1">
        <v>34</v>
      </c>
      <c r="I35" s="2" t="str">
        <f t="shared" si="0"/>
        <v>回合结束金币小于10时，获得10金币</v>
      </c>
    </row>
    <row r="36" ht="17.25" customHeight="1" spans="2:9">
      <c r="B36" s="4"/>
      <c r="C36" s="3"/>
      <c r="D36" s="6" t="s">
        <v>462</v>
      </c>
      <c r="E36" s="3" t="s">
        <v>463</v>
      </c>
      <c r="H36" s="1">
        <v>35</v>
      </c>
      <c r="I36" s="2" t="str">
        <f t="shared" si="0"/>
        <v>利息上限扩展到10金币</v>
      </c>
    </row>
    <row r="37" ht="17.25" customHeight="1" spans="2:9">
      <c r="B37" s="4"/>
      <c r="C37" s="3"/>
      <c r="D37" s="3" t="s">
        <v>464</v>
      </c>
      <c r="E37" s="3" t="s">
        <v>465</v>
      </c>
      <c r="H37" s="1">
        <v>36</v>
      </c>
      <c r="I37" s="2" t="str">
        <f t="shared" si="0"/>
        <v>临时获得300金币，下一周失去600金币</v>
      </c>
    </row>
    <row r="38" ht="17.25" customHeight="1" spans="2:9">
      <c r="B38" s="4"/>
      <c r="C38" s="3" t="s">
        <v>466</v>
      </c>
      <c r="D38" s="3" t="s">
        <v>407</v>
      </c>
      <c r="E38" s="3" t="s">
        <v>467</v>
      </c>
      <c r="H38" s="1">
        <v>37</v>
      </c>
      <c r="I38" s="2" t="str">
        <f t="shared" si="0"/>
        <v>随机化时间轴的节点事件。</v>
      </c>
    </row>
    <row r="39" ht="17.25" customHeight="1" spans="2:9">
      <c r="B39" s="4"/>
      <c r="C39" s="4"/>
      <c r="D39" s="3" t="s">
        <v>468</v>
      </c>
      <c r="E39" s="3" t="s">
        <v>469</v>
      </c>
      <c r="H39" s="1">
        <v>38</v>
      </c>
      <c r="I39" s="2" t="str">
        <f t="shared" si="0"/>
        <v>延后所有Boss一天</v>
      </c>
    </row>
    <row r="40" ht="17.25" customHeight="1" spans="2:9">
      <c r="B40" s="4"/>
      <c r="C40" s="4"/>
      <c r="D40" s="3" t="s">
        <v>160</v>
      </c>
      <c r="E40" s="3" t="s">
        <v>160</v>
      </c>
      <c r="H40" s="1">
        <v>39</v>
      </c>
      <c r="I40" s="2" t="str">
        <f t="shared" si="0"/>
        <v>周数-1</v>
      </c>
    </row>
    <row r="41" ht="17.25" customHeight="1" spans="2:9">
      <c r="B41" s="4"/>
      <c r="C41" s="4"/>
      <c r="D41" s="3" t="s">
        <v>470</v>
      </c>
      <c r="E41" s="3" t="s">
        <v>471</v>
      </c>
      <c r="H41" s="1">
        <v>40</v>
      </c>
      <c r="I41" s="2" t="str">
        <f t="shared" si="0"/>
        <v>增加一个奖励节点到时间轴上</v>
      </c>
    </row>
    <row r="42" ht="17.25" customHeight="1" spans="2:9">
      <c r="B42" s="4"/>
      <c r="C42" s="4"/>
      <c r="D42" s="3" t="s">
        <v>472</v>
      </c>
      <c r="E42" s="3" t="s">
        <v>473</v>
      </c>
      <c r="H42" s="1">
        <v>41</v>
      </c>
      <c r="I42" s="2" t="str">
        <f t="shared" si="0"/>
        <v>增加一个利息节点到时间轴上</v>
      </c>
    </row>
    <row r="43" ht="17.25" customHeight="1" spans="2:9">
      <c r="B43" s="4"/>
      <c r="C43" s="4" t="s">
        <v>474</v>
      </c>
      <c r="D43" s="3" t="s">
        <v>475</v>
      </c>
      <c r="E43" s="3" t="s">
        <v>476</v>
      </c>
      <c r="H43" s="1">
        <v>42</v>
      </c>
      <c r="I43" s="2" t="str">
        <f t="shared" si="0"/>
        <v>每上3个食物后，下一个食物倍率+2</v>
      </c>
    </row>
    <row r="44" ht="17.25" customHeight="1" spans="2:9">
      <c r="B44" s="4"/>
      <c r="C44" s="3"/>
      <c r="D44" s="3" t="s">
        <v>477</v>
      </c>
      <c r="E44" s="3" t="s">
        <v>478</v>
      </c>
      <c r="H44" s="1">
        <v>43</v>
      </c>
      <c r="I44" s="2" t="str">
        <f t="shared" si="0"/>
        <v>第一个上的食物，倍率x2</v>
      </c>
    </row>
    <row r="45" ht="17.25" customHeight="1" spans="2:9">
      <c r="B45" s="4"/>
      <c r="C45" s="4"/>
      <c r="D45" s="3" t="s">
        <v>479</v>
      </c>
      <c r="E45" s="3" t="s">
        <v>480</v>
      </c>
      <c r="H45" s="1">
        <v>44</v>
      </c>
      <c r="I45" s="2" t="str">
        <f t="shared" si="0"/>
        <v>最后一个上的食物，倍率x2</v>
      </c>
    </row>
    <row r="46" ht="17.25" customHeight="1" spans="2:9">
      <c r="B46" s="4"/>
      <c r="C46" s="4" t="s">
        <v>481</v>
      </c>
      <c r="D46" s="3" t="s">
        <v>482</v>
      </c>
      <c r="E46" s="3" t="s">
        <v>483</v>
      </c>
      <c r="H46" s="1">
        <v>45</v>
      </c>
      <c r="I46" s="2" t="str">
        <f t="shared" si="0"/>
        <v>增加2个额外主动道具栏</v>
      </c>
    </row>
    <row r="47" ht="17.25" customHeight="1" spans="2:9">
      <c r="B47" s="4"/>
      <c r="C47" s="4"/>
      <c r="D47" s="3" t="s">
        <v>408</v>
      </c>
      <c r="E47" s="3" t="s">
        <v>484</v>
      </c>
      <c r="H47" s="1">
        <v>46</v>
      </c>
      <c r="I47" s="2" t="str">
        <f t="shared" si="0"/>
        <v>使用主动道具时，获得20金币</v>
      </c>
    </row>
    <row r="48" ht="17.25" customHeight="1" spans="2:9">
      <c r="B48" s="4"/>
      <c r="C48" s="4"/>
      <c r="D48" s="3" t="s">
        <v>485</v>
      </c>
      <c r="E48" s="3" t="s">
        <v>486</v>
      </c>
      <c r="H48" s="1">
        <v>47</v>
      </c>
      <c r="I48" s="2" t="str">
        <f t="shared" si="0"/>
        <v>无法获得主动道具，获得1000金币</v>
      </c>
    </row>
    <row r="49" ht="17.25" customHeight="1" spans="2:9">
      <c r="B49" s="4"/>
      <c r="C49" s="3" t="s">
        <v>487</v>
      </c>
      <c r="D49" s="3" t="s">
        <v>488</v>
      </c>
      <c r="E49" s="3" t="s">
        <v>489</v>
      </c>
      <c r="H49" s="1">
        <v>48</v>
      </c>
      <c r="I49" s="2" t="str">
        <f t="shared" si="0"/>
        <v>强化两个随机风味到无风味食物上</v>
      </c>
    </row>
    <row r="50" ht="17.25" customHeight="1" spans="2:9">
      <c r="B50" s="4"/>
      <c r="C50" s="4"/>
      <c r="D50" s="3" t="s">
        <v>490</v>
      </c>
      <c r="E50" s="3" t="s">
        <v>491</v>
      </c>
      <c r="H50" s="1">
        <v>49</v>
      </c>
      <c r="I50" s="2" t="str">
        <f t="shared" si="0"/>
        <v>移除一个食物的风味，获得200金币</v>
      </c>
    </row>
    <row r="51" ht="17.25" customHeight="1" spans="2:9">
      <c r="B51" s="4"/>
      <c r="C51" s="4"/>
      <c r="D51" s="3" t="s">
        <v>492</v>
      </c>
      <c r="E51" s="3" t="s">
        <v>493</v>
      </c>
      <c r="H51" s="1">
        <v>50</v>
      </c>
      <c r="I51" s="2" t="str">
        <f t="shared" si="0"/>
        <v>移除一个食物的风味，其技能复制</v>
      </c>
    </row>
    <row r="52" ht="17.25" customHeight="1" spans="2:9">
      <c r="B52" s="4"/>
      <c r="C52" s="3"/>
      <c r="D52" s="3" t="s">
        <v>494</v>
      </c>
      <c r="E52" s="3" t="s">
        <v>495</v>
      </c>
      <c r="H52" s="1">
        <v>51</v>
      </c>
      <c r="I52" s="2" t="str">
        <f t="shared" si="0"/>
        <v>移除一个食物的风味，其分数翻倍</v>
      </c>
    </row>
    <row r="53" ht="17.25" customHeight="1" spans="2:9">
      <c r="B53" s="4"/>
      <c r="C53" s="4"/>
      <c r="D53" s="3" t="s">
        <v>496</v>
      </c>
      <c r="E53" s="3" t="s">
        <v>497</v>
      </c>
      <c r="H53" s="1">
        <v>52</v>
      </c>
      <c r="I53" s="2" t="str">
        <f t="shared" si="0"/>
        <v>允许一个食物拥有两个风味</v>
      </c>
    </row>
    <row r="54" ht="17.25" customHeight="1" spans="2:9">
      <c r="B54" s="4"/>
      <c r="C54" s="4"/>
      <c r="D54" s="3" t="s">
        <v>202</v>
      </c>
      <c r="E54" s="3" t="s">
        <v>498</v>
      </c>
      <c r="H54" s="1">
        <v>53</v>
      </c>
      <c r="I54" s="2" t="str">
        <f t="shared" si="0"/>
        <v>将一个食物的风味强化到无风味食物上</v>
      </c>
    </row>
    <row r="55" ht="17.25" customHeight="1" spans="2:9">
      <c r="B55" s="4"/>
      <c r="C55" s="3" t="s">
        <v>499</v>
      </c>
      <c r="D55" s="3" t="s">
        <v>500</v>
      </c>
      <c r="E55" s="3" t="s">
        <v>501</v>
      </c>
      <c r="H55" s="1">
        <v>54</v>
      </c>
      <c r="I55" s="2" t="str">
        <f t="shared" si="0"/>
        <v>强化两个随机标签到胃部格子上</v>
      </c>
    </row>
    <row r="56" ht="17.25" customHeight="1" spans="2:9">
      <c r="B56" s="4"/>
      <c r="C56" s="4"/>
      <c r="D56" s="3" t="s">
        <v>208</v>
      </c>
      <c r="E56" s="3" t="s">
        <v>502</v>
      </c>
      <c r="H56" s="1">
        <v>55</v>
      </c>
      <c r="I56" s="2" t="str">
        <f t="shared" si="0"/>
        <v>将一个格子的标签强化到其他格子上</v>
      </c>
    </row>
    <row r="57" ht="17.25" customHeight="1" spans="2:9">
      <c r="B57" s="4"/>
      <c r="C57" s="4" t="s">
        <v>503</v>
      </c>
      <c r="D57" s="3" t="s">
        <v>504</v>
      </c>
      <c r="E57" s="3" t="s">
        <v>505</v>
      </c>
      <c r="H57" s="1">
        <v>56</v>
      </c>
      <c r="I57" s="2" t="str">
        <f t="shared" si="0"/>
        <v>每4个事件的最后一个是奖励事件</v>
      </c>
    </row>
    <row r="58" ht="17.25" customHeight="1" spans="2:9">
      <c r="B58" s="4"/>
      <c r="C58" s="4"/>
      <c r="D58" s="3" t="s">
        <v>504</v>
      </c>
      <c r="E58" s="3" t="s">
        <v>506</v>
      </c>
      <c r="H58" s="1">
        <v>57</v>
      </c>
      <c r="I58" s="2" t="str">
        <f t="shared" si="0"/>
        <v>事件中遇到奖励的概率提高</v>
      </c>
    </row>
    <row r="59" ht="17.25" customHeight="1" spans="2:9">
      <c r="B59" s="4"/>
      <c r="C59" s="4"/>
      <c r="D59" s="3" t="s">
        <v>507</v>
      </c>
      <c r="E59" s="3" t="s">
        <v>508</v>
      </c>
      <c r="H59" s="1">
        <v>58</v>
      </c>
      <c r="I59" s="2" t="str">
        <f t="shared" si="0"/>
        <v>遇到事件的概率提高</v>
      </c>
    </row>
    <row r="60" ht="17.25" customHeight="1" spans="2:9">
      <c r="B60" s="4"/>
      <c r="C60" s="4"/>
      <c r="D60" s="3" t="s">
        <v>509</v>
      </c>
      <c r="E60" s="3" t="s">
        <v>510</v>
      </c>
      <c r="H60" s="1">
        <v>59</v>
      </c>
      <c r="I60" s="2" t="str">
        <f t="shared" si="0"/>
        <v>完成一个事件，获得10金币</v>
      </c>
    </row>
    <row r="61" ht="17.25" customHeight="1" spans="2:9">
      <c r="B61" s="4"/>
      <c r="C61" s="3"/>
      <c r="D61" s="3" t="s">
        <v>511</v>
      </c>
      <c r="E61" s="3" t="s">
        <v>512</v>
      </c>
      <c r="H61" s="1">
        <v>60</v>
      </c>
      <c r="I61" s="2" t="str">
        <f t="shared" si="0"/>
        <v>获得2次重新随机行动的</v>
      </c>
    </row>
    <row r="62" ht="17.25" customHeight="1" spans="2:9">
      <c r="B62" s="4"/>
      <c r="C62" s="4" t="s">
        <v>513</v>
      </c>
      <c r="D62" s="3" t="s">
        <v>514</v>
      </c>
      <c r="E62" s="3" t="s">
        <v>224</v>
      </c>
      <c r="H62" s="1">
        <v>61</v>
      </c>
      <c r="I62" s="2" t="str">
        <f t="shared" si="0"/>
        <v>商店会自动补货</v>
      </c>
    </row>
    <row r="63" ht="17.25" customHeight="1" spans="2:9">
      <c r="B63" s="4"/>
      <c r="C63" s="3" t="s">
        <v>515</v>
      </c>
      <c r="D63" s="3" t="s">
        <v>516</v>
      </c>
      <c r="E63" s="3" t="s">
        <v>517</v>
      </c>
      <c r="H63" s="1">
        <v>62</v>
      </c>
      <c r="I63" s="2" t="str">
        <f t="shared" si="0"/>
        <v>多选一食物时，可选数量+1</v>
      </c>
    </row>
    <row r="64" ht="17.25" customHeight="1" spans="2:9">
      <c r="B64" s="4"/>
      <c r="C64" s="4"/>
      <c r="D64" s="3" t="s">
        <v>518</v>
      </c>
      <c r="E64" s="3" t="s">
        <v>519</v>
      </c>
      <c r="H64" s="1">
        <v>63</v>
      </c>
      <c r="I64" s="2" t="str">
        <f t="shared" si="0"/>
        <v>多选一食物时，可选次数+1，可选数量-1</v>
      </c>
    </row>
    <row r="65" ht="17.25" customHeight="1" spans="2:9">
      <c r="B65" s="4"/>
      <c r="C65" s="4"/>
      <c r="D65" s="3" t="s">
        <v>520</v>
      </c>
      <c r="E65" s="3" t="s">
        <v>521</v>
      </c>
      <c r="H65" s="1">
        <v>64</v>
      </c>
      <c r="I65" s="2" t="str">
        <f t="shared" si="0"/>
        <v>每3次普通美食，额外获得一个多选一美食</v>
      </c>
    </row>
    <row r="66" ht="17.25" customHeight="1" spans="2:9">
      <c r="B66" s="4"/>
      <c r="C66" s="4"/>
      <c r="D66" s="3" t="s">
        <v>522</v>
      </c>
      <c r="E66" s="3" t="s">
        <v>523</v>
      </c>
      <c r="H66" s="1">
        <v>65</v>
      </c>
      <c r="I66" s="2" t="str">
        <f t="shared" ref="I66:I94" si="1">E66</f>
        <v>每3次超级美食，额外获得一个多选一物品</v>
      </c>
    </row>
    <row r="67" ht="17.25" customHeight="1" spans="2:9">
      <c r="B67" s="4"/>
      <c r="C67" s="4"/>
      <c r="D67" s="3" t="s">
        <v>237</v>
      </c>
      <c r="E67" s="3" t="s">
        <v>524</v>
      </c>
      <c r="H67" s="1">
        <v>66</v>
      </c>
      <c r="I67" s="2" t="str">
        <f t="shared" si="1"/>
        <v>随机复制一个美食</v>
      </c>
    </row>
    <row r="68" ht="17.25" customHeight="1" spans="2:9">
      <c r="B68" s="4"/>
      <c r="C68" s="3" t="s">
        <v>525</v>
      </c>
      <c r="D68" s="3" t="s">
        <v>526</v>
      </c>
      <c r="E68" s="3" t="s">
        <v>241</v>
      </c>
      <c r="H68" s="1">
        <v>67</v>
      </c>
      <c r="I68" s="2" t="str">
        <f t="shared" si="1"/>
        <v>丢弃两个负面道具</v>
      </c>
    </row>
    <row r="69" ht="17.25" customHeight="1" spans="2:9">
      <c r="B69" s="4"/>
      <c r="C69" s="3"/>
      <c r="D69" s="3" t="s">
        <v>527</v>
      </c>
      <c r="E69" s="3" t="s">
        <v>528</v>
      </c>
      <c r="H69" s="1">
        <v>68</v>
      </c>
      <c r="I69" s="2" t="str">
        <f t="shared" si="1"/>
        <v>丢弃所有负面道具，每丢弃一个获得100金币</v>
      </c>
    </row>
    <row r="70" ht="17.25" customHeight="1" spans="2:9">
      <c r="B70" s="4" t="s">
        <v>529</v>
      </c>
      <c r="C70" s="4" t="s">
        <v>530</v>
      </c>
      <c r="D70" s="3" t="s">
        <v>531</v>
      </c>
      <c r="E70" s="3" t="s">
        <v>532</v>
      </c>
      <c r="H70" s="1">
        <v>69</v>
      </c>
      <c r="I70" s="2" t="str">
        <f t="shared" si="1"/>
        <v>美食获得的金币减少25%</v>
      </c>
    </row>
    <row r="71" ht="17.25" customHeight="1" spans="2:9">
      <c r="B71" s="4"/>
      <c r="C71" s="4"/>
      <c r="D71" s="3" t="s">
        <v>533</v>
      </c>
      <c r="E71" s="3" t="s">
        <v>534</v>
      </c>
      <c r="H71" s="1">
        <v>70</v>
      </c>
      <c r="I71" s="2" t="str">
        <f t="shared" si="1"/>
        <v>商店的价格变高25%</v>
      </c>
    </row>
    <row r="72" ht="17.25" customHeight="1" spans="2:9">
      <c r="B72" s="4"/>
      <c r="C72" s="4"/>
      <c r="D72" s="3" t="s">
        <v>535</v>
      </c>
      <c r="E72" s="3" t="s">
        <v>254</v>
      </c>
      <c r="H72" s="1">
        <v>71</v>
      </c>
      <c r="I72" s="2" t="str">
        <f t="shared" si="1"/>
        <v>无法再删除食物</v>
      </c>
    </row>
    <row r="73" ht="17.25" customHeight="1" spans="2:9">
      <c r="B73" s="4"/>
      <c r="C73" s="4"/>
      <c r="D73" s="3" t="s">
        <v>536</v>
      </c>
      <c r="E73" s="3" t="s">
        <v>257</v>
      </c>
      <c r="H73" s="1">
        <v>72</v>
      </c>
      <c r="I73" s="2" t="str">
        <f t="shared" si="1"/>
        <v>跳过下一个商店或利息节点</v>
      </c>
    </row>
    <row r="74" ht="17.25" customHeight="1" spans="2:9">
      <c r="B74" s="4"/>
      <c r="C74" s="3"/>
      <c r="D74" s="3" t="s">
        <v>537</v>
      </c>
      <c r="E74" s="3" t="s">
        <v>538</v>
      </c>
      <c r="H74" s="1">
        <v>73</v>
      </c>
      <c r="I74" s="2" t="str">
        <f t="shared" si="1"/>
        <v>多选一食物时，可选数量-1</v>
      </c>
    </row>
    <row r="75" ht="17.25" customHeight="1" spans="2:9">
      <c r="B75" s="4"/>
      <c r="C75" s="3"/>
      <c r="D75" s="3" t="s">
        <v>539</v>
      </c>
      <c r="E75" s="3" t="s">
        <v>540</v>
      </c>
      <c r="H75" s="1">
        <v>74</v>
      </c>
      <c r="I75" s="2" t="str">
        <f t="shared" si="1"/>
        <v>普通美食要求分数+10%</v>
      </c>
    </row>
    <row r="76" ht="17.25" customHeight="1" spans="2:9">
      <c r="B76" s="3"/>
      <c r="C76" s="3"/>
      <c r="D76" s="3" t="s">
        <v>541</v>
      </c>
      <c r="E76" s="3" t="s">
        <v>542</v>
      </c>
      <c r="H76" s="1">
        <v>75</v>
      </c>
      <c r="I76" s="2" t="str">
        <f t="shared" si="1"/>
        <v>超级美食要求分数+10%</v>
      </c>
    </row>
    <row r="77" ht="17.25" customHeight="1" spans="2:9">
      <c r="B77" s="4"/>
      <c r="C77" s="4"/>
      <c r="D77" s="3" t="s">
        <v>543</v>
      </c>
      <c r="E77" s="3" t="s">
        <v>544</v>
      </c>
      <c r="H77" s="1">
        <v>76</v>
      </c>
      <c r="I77" s="2" t="str">
        <f t="shared" si="1"/>
        <v>盛宴美食要求分数+10%</v>
      </c>
    </row>
    <row r="78" ht="17.25" customHeight="1" spans="2:9">
      <c r="B78" s="4"/>
      <c r="C78" s="4"/>
      <c r="D78" s="3" t="s">
        <v>545</v>
      </c>
      <c r="E78" s="3" t="s">
        <v>546</v>
      </c>
      <c r="H78" s="1">
        <v>77</v>
      </c>
      <c r="I78" s="2" t="str">
        <f t="shared" si="1"/>
        <v>本周结束时，金币清空</v>
      </c>
    </row>
    <row r="79" ht="17.25" customHeight="1" spans="2:9">
      <c r="B79" s="4" t="s">
        <v>547</v>
      </c>
      <c r="C79" s="4" t="s">
        <v>548</v>
      </c>
      <c r="D79" s="3" t="s">
        <v>549</v>
      </c>
      <c r="E79" s="3" t="s">
        <v>550</v>
      </c>
      <c r="H79" s="1">
        <v>78</v>
      </c>
      <c r="I79" s="2" t="str">
        <f t="shared" si="1"/>
        <v>所有食物额外被视为1个食物</v>
      </c>
    </row>
    <row r="80" ht="17.25" customHeight="1" spans="2:9">
      <c r="B80" s="4"/>
      <c r="C80" s="4" t="s">
        <v>551</v>
      </c>
      <c r="D80" s="3" t="s">
        <v>552</v>
      </c>
      <c r="E80" s="3" t="s">
        <v>553</v>
      </c>
      <c r="H80" s="1">
        <v>79</v>
      </c>
      <c r="I80" s="2" t="str">
        <f t="shared" si="1"/>
        <v>传递时，被传递方倍率x1.1</v>
      </c>
    </row>
    <row r="81" ht="17.25" customHeight="1" spans="2:9">
      <c r="B81" s="4"/>
      <c r="C81" s="4"/>
      <c r="D81" s="3" t="s">
        <v>552</v>
      </c>
      <c r="E81" s="3" t="s">
        <v>554</v>
      </c>
      <c r="H81" s="1">
        <v>80</v>
      </c>
      <c r="I81" s="2" t="str">
        <f t="shared" si="1"/>
        <v>传递时，传递方倍率x1.1</v>
      </c>
    </row>
    <row r="82" ht="17.25" customHeight="1" spans="2:9">
      <c r="B82" s="4"/>
      <c r="C82" s="4"/>
      <c r="D82" s="3" t="s">
        <v>555</v>
      </c>
      <c r="E82" s="3" t="s">
        <v>556</v>
      </c>
      <c r="H82" s="1">
        <v>81</v>
      </c>
      <c r="I82" s="2" t="str">
        <f t="shared" si="1"/>
        <v>结算时，倍率x1（每一个技能+0.1倍）</v>
      </c>
    </row>
    <row r="83" ht="17.25" customHeight="1" spans="2:9">
      <c r="B83" s="4"/>
      <c r="C83" s="4"/>
      <c r="D83" s="3" t="s">
        <v>557</v>
      </c>
      <c r="E83" s="3" t="s">
        <v>558</v>
      </c>
      <c r="H83" s="1">
        <v>82</v>
      </c>
      <c r="I83" s="2" t="str">
        <f t="shared" si="1"/>
        <v>传递10次后，获得10金币</v>
      </c>
    </row>
    <row r="84" ht="17.25" customHeight="1" spans="2:9">
      <c r="B84" s="4"/>
      <c r="C84" s="4" t="s">
        <v>559</v>
      </c>
      <c r="D84" s="3" t="s">
        <v>560</v>
      </c>
      <c r="E84" s="3" t="s">
        <v>561</v>
      </c>
      <c r="H84" s="1">
        <v>83</v>
      </c>
      <c r="I84" s="2" t="str">
        <f t="shared" si="1"/>
        <v>每次保留10%的蛋糕层数至下一次美食</v>
      </c>
    </row>
    <row r="85" ht="17.25" customHeight="1" spans="2:9">
      <c r="B85" s="3"/>
      <c r="C85" s="3"/>
      <c r="D85" s="3" t="s">
        <v>562</v>
      </c>
      <c r="E85" s="3" t="s">
        <v>563</v>
      </c>
      <c r="H85" s="1">
        <v>84</v>
      </c>
      <c r="I85" s="2" t="str">
        <f t="shared" si="1"/>
        <v>蛋糕层数初始额外获得10层</v>
      </c>
    </row>
    <row r="86" ht="17.25" customHeight="1" spans="2:9">
      <c r="B86" s="4"/>
      <c r="C86" s="3"/>
      <c r="D86" s="3" t="s">
        <v>564</v>
      </c>
      <c r="E86" s="3" t="s">
        <v>565</v>
      </c>
      <c r="H86" s="1">
        <v>85</v>
      </c>
      <c r="I86" s="2" t="str">
        <f t="shared" si="1"/>
        <v>蛋糕层数增加时，额外加1层</v>
      </c>
    </row>
    <row r="87" ht="17.25" customHeight="1" spans="2:9">
      <c r="B87" s="4"/>
      <c r="C87" s="4"/>
      <c r="D87" s="3" t="s">
        <v>566</v>
      </c>
      <c r="E87" s="3" t="s">
        <v>567</v>
      </c>
      <c r="H87" s="1">
        <v>86</v>
      </c>
      <c r="I87" s="2" t="str">
        <f t="shared" si="1"/>
        <v>蛋糕层数大于100层时，获得10金币</v>
      </c>
    </row>
    <row r="88" ht="17.25" customHeight="1" spans="2:9">
      <c r="B88" s="4"/>
      <c r="C88" s="4"/>
      <c r="D88" s="3" t="s">
        <v>568</v>
      </c>
      <c r="E88" s="3" t="s">
        <v>306</v>
      </c>
      <c r="H88" s="1">
        <v>87</v>
      </c>
      <c r="I88" s="2" t="str">
        <f t="shared" si="1"/>
        <v>蛋糕效果需求的层数-10</v>
      </c>
    </row>
    <row r="89" ht="17.25" customHeight="1" spans="2:9">
      <c r="B89" s="4"/>
      <c r="C89" s="4"/>
      <c r="D89" s="3"/>
      <c r="E89" s="3"/>
      <c r="H89" s="1">
        <v>88</v>
      </c>
      <c r="I89" s="2">
        <f t="shared" si="1"/>
        <v>0</v>
      </c>
    </row>
    <row r="90" ht="17.25" customHeight="1" spans="3:9">
      <c r="C90" s="3"/>
      <c r="D90" s="3"/>
      <c r="E90" s="3"/>
      <c r="I90" s="2">
        <f t="shared" si="1"/>
        <v>0</v>
      </c>
    </row>
    <row r="91" ht="17.25" customHeight="1" spans="2:9">
      <c r="B91" s="4"/>
      <c r="C91" s="4"/>
      <c r="D91" s="3"/>
      <c r="E91" s="3"/>
      <c r="I91" s="2">
        <f t="shared" si="1"/>
        <v>0</v>
      </c>
    </row>
    <row r="92" ht="17.25" customHeight="1" spans="2:9">
      <c r="B92" s="4"/>
      <c r="C92" s="4"/>
      <c r="D92" s="3"/>
      <c r="E92" s="3"/>
      <c r="I92" s="2">
        <f t="shared" si="1"/>
        <v>0</v>
      </c>
    </row>
    <row r="93" ht="17.25" customHeight="1" spans="2:9">
      <c r="B93" s="4"/>
      <c r="C93" s="4"/>
      <c r="D93" s="3"/>
      <c r="E93" s="3"/>
      <c r="I93" s="2">
        <f t="shared" si="1"/>
        <v>0</v>
      </c>
    </row>
    <row r="94" ht="17.25" customHeight="1" spans="2:9">
      <c r="B94" s="4"/>
      <c r="C94" s="4"/>
      <c r="D94" s="3"/>
      <c r="E94" s="3"/>
      <c r="I94" s="2">
        <f t="shared" si="1"/>
        <v>0</v>
      </c>
    </row>
    <row r="95" ht="17.25" customHeight="1" spans="2:5">
      <c r="B95" s="4"/>
      <c r="C95" s="4"/>
      <c r="D95" s="3"/>
      <c r="E95" s="3"/>
    </row>
    <row r="96" ht="17.25" customHeight="1" spans="2:2">
      <c r="B96" s="4"/>
    </row>
    <row r="97" ht="17.25" customHeight="1" spans="2:2">
      <c r="B97" s="4"/>
    </row>
    <row r="98" ht="17.25" customHeight="1" spans="2:2">
      <c r="B98" s="4"/>
    </row>
    <row r="99" ht="17.25" customHeight="1" spans="2:2">
      <c r="B99" s="4"/>
    </row>
    <row r="100" ht="17.25" customHeight="1" spans="2:2">
      <c r="B100" s="4"/>
    </row>
    <row r="101" ht="17.25" customHeight="1" spans="2:2">
      <c r="B101" s="4"/>
    </row>
    <row r="102" ht="17.25" customHeight="1" spans="2:2">
      <c r="B102" s="4"/>
    </row>
    <row r="103" ht="17.25" customHeight="1" spans="2:2">
      <c r="B103" s="4"/>
    </row>
    <row r="104" ht="17.25" customHeight="1" spans="2:2">
      <c r="B104" s="4"/>
    </row>
    <row r="105" ht="17.25" customHeight="1" spans="2:5">
      <c r="B105" s="4"/>
      <c r="C105" s="4"/>
      <c r="D105" s="3"/>
      <c r="E105" s="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2026-07-24T11:05:06Z</dcterms:created>
  <dcterms:modified xsi:type="dcterms:W3CDTF">2026-07-24T11:48:45Z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4BDBB3A743B1AC129DE0626AAC79E722_42</vt:lpwstr>
  </property>
</Properties>
</file>