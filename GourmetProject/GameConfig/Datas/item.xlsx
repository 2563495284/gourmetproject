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<sst xmlns="http://schemas.openxmlformats.org/spreadsheetml/2006/main" count="1146" uniqueCount="772">
  <si>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</si>
  <si>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</si>
  <si>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</si>
  <si>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</si>
  <si>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</si>
  <si>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</si>
  <si>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</si>
  <si>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</si>
  <si>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</si>
  <si>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</si>
  <si>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</si>
  <si>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</si>
  <si>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</si>
  <si>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</si>
  <si>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</si>
  <si>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</si>
  <si>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</si>
  <si>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</si>
  <si>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</si>
  <si>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</si>
  <si>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</si>
  <si>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</si>
  <si>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</si>
  <si>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</si>
  <si>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</si>
  <si>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</si>
  <si>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</si>
  <si>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</si>
  <si>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</si>
  <si>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</si>
  <si>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</si>
  <si>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</si>
  <si>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</si>
  <si>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</si>
  <si>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</si>
  <si>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</si>
  <si>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</si>
  <si>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</si>
  <si>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</si>
  <si>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</si>
  <si>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</si>
  <si>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</si>
  <si>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</si>
  <si>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</si>
  <si>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</si>
  <si>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</si>
  <si>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</si>
  <si>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</si>
  <si>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</si>
  <si>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</si>
  <si>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</si>
  <si>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</si>
  <si>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</si>
  <si>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</si>
  <si>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</si>
  <si>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</si>
  <si>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</si>
  <si>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</si>
  <si>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</si>
  <si>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</si>
  <si>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</si>
  <si>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</si>
  <si>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</si>
  <si>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</si>
  <si>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</si>
  <si>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</si>
  <si>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</si>
  <si>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</si>
  <si>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</si>
  <si>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</si>
  <si>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</si>
  <si>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</si>
  <si>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</si>
  <si>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</si>
  <si>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</si>
  <si>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</si>
  <si>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</si>
  <si>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</si>
  <si>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</si>
  <si>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</si>
  <si>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</si>
  <si>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</si>
  <si>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</si>
  <si>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</si>
  <si>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</si>
  <si>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</si>
  <si>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</si>
  <si>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</si>
  <si>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</si>
  <si>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</si>
  <si>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</si>
  <si>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</si>
  <si>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</si>
  <si>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</si>
  <si>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</si>
  <si>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</si>
  <si>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</si>
  <si>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</si>
  <si>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</si>
  <si>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</si>
  <si>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</si>
  <si>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</si>
  <si>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</si>
  <si>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</si>
  <si>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</si>
  <si>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</si>
  <si>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</si>
  <si>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</si>
  <si>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</si>
  <si>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</si>
  <si>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</si>
  <si>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</si>
  <si>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</si>
  <si>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</si>
  <si>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</si>
  <si>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</si>
  <si>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</si>
  <si>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</si>
  <si>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</si>
  <si>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</si>
  <si>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</si>
  <si>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</si>
  <si>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</si>
  <si>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</si>
  <si>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</si>
  <si>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</si>
  <si>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</si>
  <si>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</si>
  <si>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</si>
  <si>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</si>
  <si>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</si>
  <si>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</si>
  <si>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</si>
  <si>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</si>
  <si>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</si>
  <si>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</si>
  <si>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</si>
  <si>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</si>
  <si>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</si>
  <si>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</si>
  <si>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</si>
  <si>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</si>
  <si>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</si>
  <si>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</si>
  <si>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</si>
  <si>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</si>
  <si>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</si>
  <si>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</si>
  <si>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</si>
  <si>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</si>
  <si>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</si>
  <si>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</si>
  <si>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</si>
  <si>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</si>
  <si>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</si>
  <si>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</si>
  <si>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</si>
  <si>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</si>
  <si>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</si>
  <si>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</si>
  <si>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</si>
  <si>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</si>
  <si>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</si>
  <si>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</si>
  <si>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</si>
  <si>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</si>
  <si>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</si>
  <si>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</si>
  <si>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</si>
  <si>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</si>
  <si>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</si>
  <si>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</si>
  <si>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</si>
  <si>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</si>
  <si>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</si>
  <si>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</si>
  <si>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</si>
  <si>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</si>
  <si>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</si>
  <si>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</si>
  <si>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</si>
  <si>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</si>
  <si>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</si>
  <si>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</si>
  <si>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</si>
  <si>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</si>
  <si>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</si>
  <si>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</si>
  <si>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</si>
  <si>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</si>
  <si>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</si>
  <si>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</si>
  <si>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</si>
  <si>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</si>
  <si>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</si>
  <si>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</si>
  <si>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</si>
  <si>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</si>
  <si>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</si>
  <si>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</si>
  <si>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</si>
  <si>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</si>
  <si>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</si>
  <si>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</si>
  <si>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</si>
  <si>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</si>
  <si>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</si>
  <si>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</si>
  <si>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</si>
  <si>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</si>
  <si>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</si>
  <si>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</si>
  <si>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</si>
  <si>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</si>
  <si>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</si>
  <si>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</si>
  <si>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</si>
  <si>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</si>
  <si>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</si>
  <si>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</si>
  <si>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</si>
  <si>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</si>
  <si>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</si>
  <si>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</si>
  <si>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</si>
  <si>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</si>
  <si>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</si>
  <si>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</si>
  <si>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</si>
  <si>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</si>
  <si>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</si>
  <si>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</si>
  <si>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</si>
  <si>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</si>
  <si>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</si>
  <si>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</si>
  <si>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</si>
  <si>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</si>
  <si>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</si>
  <si>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</si>
  <si>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</si>
  <si>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</si>
  <si>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</si>
  <si>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</si>
  <si>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</si>
  <si>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</si>
  <si>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</si>
  <si>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</si>
  <si>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</si>
  <si>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</si>
  <si>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</si>
  <si>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</si>
  <si>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</si>
  <si>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</si>
  <si>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</si>
  <si>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</si>
  <si>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</si>
  <si>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</si>
  <si>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</si>
  <si>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</si>
  <si>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</si>
  <si>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</si>
  <si>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</si>
  <si>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</si>
  <si>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</si>
  <si>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</si>
  <si>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</si>
  <si>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</si>
  <si>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</si>
  <si>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</si>
  <si>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</si>
  <si>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</si>
  <si>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</si>
  <si>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</si>
  <si>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</si>
  <si>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</si>
  <si>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</si>
  <si>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</si>
  <si>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</si>
  <si>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</si>
  <si>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</si>
  <si>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</si>
  <si>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</si>
  <si>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</si>
  <si>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</si>
  <si>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</si>
  <si>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</si>
  <si>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</si>
  <si>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</si>
  <si>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</si>
  <si>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Count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</si>
  <si>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</si>
  <si>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</si>
  <si>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</si>
  <si>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</si>
  <si>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</si>
  <si>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</si>
  <si>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</si>
  <si>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</si>
  <si>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</si>
  <si>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</si>
  <si>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</si>
  <si>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</si>
  <si>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</si>
  <si>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</si>
  <si>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</si>
  <si>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</si>
  <si>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</si>
  <si>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</si>
  <si>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</si>
  <si>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</si>
  <si>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</si>
  <si>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term_food_count_as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</si>
  <si>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</si>
  <si>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</si>
  <si>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</si>
  <si>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</si>
  <si>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</si>
  <si>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</si>
  <si>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</si>
  <si>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</si>
  <si>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</si>
  <si>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</si>
  <si>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</si>
  <si>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</si>
  <si>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</si>
  <si>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累计[term]甜蜜传递[/term]10次后
获得[gold]15金币[/gold]</t>
  </si>
  <si>
    <t>count:10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</si>
  <si>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</si>
  <si>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</si>
  <si>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</si>
  <si>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</si>
  <si>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</si>
  <si>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被传递方[strong]分数[/strong]永久[score]+3[/score]</t>
  </si>
  <si>
    <t>item_transfer_source_flat</t>
  </si>
  <si>
    <t>传菜糖罐</t>
  </si>
  <si>
    <t>[term]甜蜜传递[/term]时
传递方[strong]分数[/strong]永久[score]+5[/score]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</si>
  <si>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</si>
  <si>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</si>
  <si>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</si>
  <si>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</si>
  <si>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</si>
  <si>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</si>
  <si>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</si>
  <si>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</si>
  <si>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</si>
  <si>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</si>
  <si>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</si>
  <si>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</si>
  <si>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</si>
  <si>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</si>
  <si>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</si>
  <si>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</si>
  <si>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</si>
  <si>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</si>
  <si>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</si>
  <si>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</si>
  <si>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</si>
  <si>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</si>
  <si>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</si>
  <si>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</si>
  <si>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</si>
  <si>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</si>
  <si>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</si>
  <si>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</si>
  <si>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</si>
  <si>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</si>
  <si>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</si>
  <si>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</si>
  <si>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</si>
  <si>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</si>
  <si>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</si>
  <si>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</si>
  <si>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</si>
  <si>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</si>
  <si>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</si>
  <si>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</si>
  <si>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</si>
  <si>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</si>
  <si>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</si>
  <si>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</si>
  <si>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</si>
  <si>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</si>
  <si>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</si>
  <si>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</si>
  <si>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</si>
  <si>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</si>
  <si>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</si>
  <si>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</si>
  <si>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</si>
  <si>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</si>
  <si>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</si>
  <si>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</si>
  <si>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</si>
  <si>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</si>
  <si>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</si>
  <si>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</si>
  <si>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</si>
  <si>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</si>
  <si>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</si>
  <si>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</si>
  <si>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</si>
  <si>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</si>
  <si>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</si>
  <si>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</si>
  <si>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</si>
  <si>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</si>
  <si>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</si>
  <si>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</si>
  <si>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</si>
  <si>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</si>
  <si>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</si>
  <si>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</si>
  <si>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</si>
  <si>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</si>
  <si>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</si>
  <si>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</si>
  <si>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</si>
  <si>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</si>
  <si>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</si>
  <si>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</si>
  <si>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</si>
  <si>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</si>
  <si>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</si>
  <si>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</si>
  <si>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</si>
  <si>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</si>
  <si>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</si>
  <si>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</si>
  <si>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</si>
  <si>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[strong]分数[/strong]永久[score]+20[/score]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</si>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</sst>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zoomScale="55" zoomScaleNormal="55" topLeftCell="A109" workbookViewId="0">
      <selection activeCell="N81" sqref="N81:N84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/>
      <c r="Q32" s="1">
        <f t="shared" si="1"/>
        <v>0</v>
      </c>
    </row>
    <row r="33" s="1" customFormat="1" ht="68" customHeight="1" spans="2:17">
      <c r="B33" s="1" t="s">
        <v>133</v>
      </c>
      <c r="C33" s="1" t="s">
        <v>134</v>
      </c>
      <c r="D33" s="9" t="s">
        <v>135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136</v>
      </c>
      <c r="C34" s="1" t="s">
        <v>137</v>
      </c>
      <c r="D34" s="9" t="s">
        <v>138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139</v>
      </c>
      <c r="C35" s="1" t="s">
        <v>140</v>
      </c>
      <c r="D35" s="9" t="s">
        <v>141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142</v>
      </c>
      <c r="C36" s="1" t="s">
        <v>143</v>
      </c>
      <c r="D36" s="9" t="s">
        <v>144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145</v>
      </c>
      <c r="C37" s="1" t="s">
        <v>146</v>
      </c>
      <c r="D37" s="9" t="s">
        <v>147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148</v>
      </c>
      <c r="C38" s="1" t="s">
        <v>149</v>
      </c>
      <c r="D38" s="9" t="s">
        <v>150</v>
      </c>
      <c r="E38" s="1" t="s">
        <v>47</v>
      </c>
      <c r="F38" s="1" t="s">
        <v>43</v>
      </c>
      <c r="G38" s="1">
        <v>150</v>
      </c>
      <c r="H38" s="1" t="s">
        <v>151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152</v>
      </c>
      <c r="C39" s="1" t="s">
        <v>153</v>
      </c>
      <c r="D39" s="9" t="s">
        <v>154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155</v>
      </c>
      <c r="C40" s="1" t="s">
        <v>156</v>
      </c>
      <c r="D40" s="9" t="s">
        <v>157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158</v>
      </c>
      <c r="C41" s="1" t="s">
        <v>159</v>
      </c>
      <c r="D41" s="9" t="s">
        <v>160</v>
      </c>
      <c r="E41" s="1" t="s">
        <v>53</v>
      </c>
      <c r="F41" s="1" t="s">
        <v>43</v>
      </c>
      <c r="G41" s="1">
        <v>1</v>
      </c>
      <c r="H41" s="1" t="s">
        <v>161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162</v>
      </c>
      <c r="C42" s="1" t="s">
        <v>163</v>
      </c>
      <c r="D42" s="9" t="s">
        <v>164</v>
      </c>
      <c r="E42" s="1" t="s">
        <v>47</v>
      </c>
      <c r="F42" s="1" t="s">
        <v>43</v>
      </c>
      <c r="G42" s="1">
        <v>3</v>
      </c>
      <c r="H42" s="1" t="s">
        <v>165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166</v>
      </c>
      <c r="C43" s="1" t="s">
        <v>167</v>
      </c>
      <c r="D43" s="9" t="s">
        <v>168</v>
      </c>
      <c r="E43" s="1" t="s">
        <v>47</v>
      </c>
      <c r="F43" s="1" t="s">
        <v>43</v>
      </c>
      <c r="G43" s="1">
        <v>3</v>
      </c>
      <c r="H43" s="1" t="s">
        <v>169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170</v>
      </c>
      <c r="C44" s="1" t="s">
        <v>171</v>
      </c>
      <c r="D44" s="9" t="s">
        <v>172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173</v>
      </c>
      <c r="C45" s="1" t="s">
        <v>174</v>
      </c>
      <c r="D45" s="9" t="s">
        <v>175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176</v>
      </c>
      <c r="C46" s="1" t="s">
        <v>177</v>
      </c>
      <c r="D46" s="9" t="s">
        <v>178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179</v>
      </c>
      <c r="C47" s="1" t="s">
        <v>180</v>
      </c>
      <c r="D47" s="9" t="s">
        <v>181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182</v>
      </c>
      <c r="C48" s="1" t="s">
        <v>183</v>
      </c>
      <c r="D48" s="9" t="s">
        <v>184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185</v>
      </c>
      <c r="C49" s="1" t="s">
        <v>186</v>
      </c>
      <c r="D49" s="9" t="s">
        <v>187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188</v>
      </c>
      <c r="C50" s="1" t="s">
        <v>189</v>
      </c>
      <c r="D50" s="9" t="s">
        <v>190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191</v>
      </c>
      <c r="C51" s="1" t="s">
        <v>192</v>
      </c>
      <c r="D51" s="9" t="s">
        <v>193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194</v>
      </c>
      <c r="C52" s="1" t="s">
        <v>195</v>
      </c>
      <c r="D52" s="9" t="s">
        <v>196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197</v>
      </c>
      <c r="C53" s="1" t="s">
        <v>198</v>
      </c>
      <c r="D53" s="9" t="s">
        <v>199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200</v>
      </c>
      <c r="C54" s="1" t="s">
        <v>201</v>
      </c>
      <c r="D54" s="9" t="s">
        <v>202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203</v>
      </c>
      <c r="C55" s="1" t="s">
        <v>204</v>
      </c>
      <c r="D55" s="9" t="s">
        <v>205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206</v>
      </c>
      <c r="C56" s="1" t="s">
        <v>207</v>
      </c>
      <c r="D56" s="9" t="s">
        <v>208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209</v>
      </c>
      <c r="C57" s="1" t="s">
        <v>210</v>
      </c>
      <c r="D57" s="9" t="s">
        <v>211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212</v>
      </c>
      <c r="C58" s="1" t="s">
        <v>213</v>
      </c>
      <c r="D58" s="9" t="s">
        <v>214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215</v>
      </c>
      <c r="C59" s="1" t="s">
        <v>216</v>
      </c>
      <c r="D59" s="9" t="s">
        <v>217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218</v>
      </c>
      <c r="C60" s="1" t="s">
        <v>219</v>
      </c>
      <c r="D60" s="9" t="s">
        <v>220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221</v>
      </c>
      <c r="C61" s="1" t="s">
        <v>222</v>
      </c>
      <c r="D61" s="9" t="s">
        <v>223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224</v>
      </c>
      <c r="C62" s="1" t="s">
        <v>225</v>
      </c>
      <c r="D62" s="9" t="s">
        <v>226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227</v>
      </c>
      <c r="C63" s="1" t="s">
        <v>228</v>
      </c>
      <c r="D63" s="9" t="s">
        <v>229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230</v>
      </c>
      <c r="C64" s="1" t="s">
        <v>231</v>
      </c>
      <c r="D64" s="9" t="s">
        <v>232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233</v>
      </c>
      <c r="C65" s="1" t="s">
        <v>234</v>
      </c>
      <c r="D65" s="9" t="s">
        <v>235</v>
      </c>
      <c r="E65" s="1" t="s">
        <v>53</v>
      </c>
      <c r="F65" s="1" t="s">
        <v>43</v>
      </c>
      <c r="G65" s="1">
        <v>0</v>
      </c>
      <c r="H65" s="1" t="s">
        <v>236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237</v>
      </c>
      <c r="C66" s="1" t="s">
        <v>238</v>
      </c>
      <c r="D66" s="9" t="s">
        <v>239</v>
      </c>
      <c r="E66" s="1" t="s">
        <v>42</v>
      </c>
      <c r="F66" s="1" t="s">
        <v>43</v>
      </c>
      <c r="G66" s="1">
        <v>0</v>
      </c>
      <c r="H66" s="1" t="s">
        <v>161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240</v>
      </c>
      <c r="C67" s="1" t="s">
        <v>241</v>
      </c>
      <c r="D67" s="9" t="s">
        <v>242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243</v>
      </c>
      <c r="C68" s="1" t="s">
        <v>244</v>
      </c>
      <c r="D68" s="9" t="s">
        <v>245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246</v>
      </c>
      <c r="C69" s="1" t="s">
        <v>247</v>
      </c>
      <c r="D69" s="9" t="s">
        <v>248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249</v>
      </c>
      <c r="C70" s="1" t="s">
        <v>250</v>
      </c>
      <c r="D70" s="9" t="s">
        <v>251</v>
      </c>
      <c r="E70" s="1" t="s">
        <v>252</v>
      </c>
      <c r="F70" s="1" t="s">
        <v>252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253</v>
      </c>
      <c r="C71" s="1" t="s">
        <v>254</v>
      </c>
      <c r="D71" s="9" t="s">
        <v>255</v>
      </c>
      <c r="E71" s="1" t="s">
        <v>252</v>
      </c>
      <c r="F71" s="1" t="s">
        <v>252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256</v>
      </c>
      <c r="C72" s="1" t="s">
        <v>257</v>
      </c>
      <c r="D72" s="9" t="s">
        <v>258</v>
      </c>
      <c r="E72" s="1" t="s">
        <v>252</v>
      </c>
      <c r="F72" s="1" t="s">
        <v>252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259</v>
      </c>
      <c r="C73" s="1" t="s">
        <v>260</v>
      </c>
      <c r="D73" s="9" t="s">
        <v>261</v>
      </c>
      <c r="E73" s="1" t="s">
        <v>252</v>
      </c>
      <c r="F73" s="1" t="s">
        <v>252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262</v>
      </c>
      <c r="C74" s="1" t="s">
        <v>263</v>
      </c>
      <c r="D74" s="9" t="s">
        <v>264</v>
      </c>
      <c r="E74" s="1" t="s">
        <v>252</v>
      </c>
      <c r="F74" s="1" t="s">
        <v>252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265</v>
      </c>
      <c r="C75" s="1" t="s">
        <v>266</v>
      </c>
      <c r="D75" s="9" t="s">
        <v>267</v>
      </c>
      <c r="E75" s="1" t="s">
        <v>252</v>
      </c>
      <c r="F75" s="1" t="s">
        <v>252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268</v>
      </c>
      <c r="C76" s="1" t="s">
        <v>269</v>
      </c>
      <c r="D76" s="9" t="s">
        <v>270</v>
      </c>
      <c r="E76" s="1" t="s">
        <v>252</v>
      </c>
      <c r="F76" s="1" t="s">
        <v>252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271</v>
      </c>
      <c r="C77" s="1" t="s">
        <v>272</v>
      </c>
      <c r="D77" s="9" t="s">
        <v>273</v>
      </c>
      <c r="E77" s="1" t="s">
        <v>252</v>
      </c>
      <c r="F77" s="1" t="s">
        <v>252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274</v>
      </c>
      <c r="C78" s="1" t="s">
        <v>275</v>
      </c>
      <c r="D78" s="9" t="s">
        <v>276</v>
      </c>
      <c r="E78" s="1" t="s">
        <v>252</v>
      </c>
      <c r="F78" s="1" t="s">
        <v>252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277</v>
      </c>
      <c r="C79" s="1" t="s">
        <v>278</v>
      </c>
      <c r="D79" s="9" t="s">
        <v>279</v>
      </c>
      <c r="E79" s="1" t="s">
        <v>252</v>
      </c>
      <c r="F79" s="1" t="s">
        <v>252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280</v>
      </c>
      <c r="C80" s="1" t="s">
        <v>281</v>
      </c>
      <c r="D80" s="9" t="s">
        <v>282</v>
      </c>
      <c r="E80" s="1" t="s">
        <v>42</v>
      </c>
      <c r="F80" s="1" t="s">
        <v>43</v>
      </c>
      <c r="G80" s="1">
        <v>1.5</v>
      </c>
      <c r="H80" s="1" t="s">
        <v>283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284</v>
      </c>
      <c r="C81" s="1" t="s">
        <v>285</v>
      </c>
      <c r="D81" s="9" t="s">
        <v>286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287</v>
      </c>
      <c r="C82" s="12" t="s">
        <v>288</v>
      </c>
      <c r="D82" s="9" t="s">
        <v>289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N82" s="1"/>
      <c r="O82" s="1">
        <f t="shared" si="6"/>
        <v>360</v>
      </c>
      <c r="P82" t="s">
        <v>290</v>
      </c>
      <c r="Q82" s="1">
        <f>IFERROR(VLOOKUP(E89,$T$7:$AB$12,9,FALSE),0)</f>
        <v>0</v>
      </c>
    </row>
    <row r="83" s="1" customFormat="1" ht="34" customHeight="1" spans="2:16">
      <c r="B83" s="1" t="s">
        <v>291</v>
      </c>
      <c r="C83" s="12" t="s">
        <v>292</v>
      </c>
      <c r="D83" s="9" t="s">
        <v>293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N83" s="1"/>
      <c r="O83" s="1">
        <f t="shared" si="6"/>
        <v>200</v>
      </c>
      <c r="P83" t="s">
        <v>290</v>
      </c>
    </row>
    <row r="84" s="1" customFormat="1" ht="68" customHeight="1" spans="2:16">
      <c r="B84" s="1" t="s">
        <v>294</v>
      </c>
      <c r="C84" s="12" t="s">
        <v>295</v>
      </c>
      <c r="D84" s="9" t="s">
        <v>296</v>
      </c>
      <c r="E84" s="1" t="s">
        <v>53</v>
      </c>
      <c r="F84" s="1" t="s">
        <v>43</v>
      </c>
      <c r="G84" s="1">
        <v>1</v>
      </c>
      <c r="H84" s="1" t="s">
        <v>297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N84" s="1"/>
      <c r="O84" s="1">
        <f t="shared" si="6"/>
        <v>100</v>
      </c>
      <c r="P84" t="s">
        <v>290</v>
      </c>
    </row>
    <row r="85" s="1" customFormat="1" ht="51" customHeight="1" spans="2:17">
      <c r="B85" s="1" t="s">
        <v>298</v>
      </c>
      <c r="C85" s="12" t="s">
        <v>299</v>
      </c>
      <c r="D85" s="9" t="s">
        <v>300</v>
      </c>
      <c r="E85" s="1" t="s">
        <v>53</v>
      </c>
      <c r="F85" s="1" t="s">
        <v>43</v>
      </c>
      <c r="G85" s="1">
        <v>0.5</v>
      </c>
      <c r="H85" s="1" t="s">
        <v>301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290</v>
      </c>
      <c r="Q85" s="1">
        <f>IFERROR(VLOOKUP(E85,$T$7:$AB$12,9,FALSE),0)</f>
        <v>0</v>
      </c>
    </row>
    <row r="86" s="1" customFormat="1" ht="51" customHeight="1" spans="2:16">
      <c r="B86" s="1" t="s">
        <v>302</v>
      </c>
      <c r="C86" s="12" t="s">
        <v>303</v>
      </c>
      <c r="D86" s="9" t="s">
        <v>304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290</v>
      </c>
    </row>
    <row r="87" s="1" customFormat="1" ht="51" customHeight="1" spans="2:16">
      <c r="B87" s="1" t="s">
        <v>305</v>
      </c>
      <c r="C87" s="12" t="s">
        <v>306</v>
      </c>
      <c r="D87" s="9" t="s">
        <v>307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290</v>
      </c>
    </row>
    <row r="88" s="1" customFormat="1" ht="51" customHeight="1" spans="2:16">
      <c r="B88" s="1" t="s">
        <v>308</v>
      </c>
      <c r="C88" s="12" t="s">
        <v>309</v>
      </c>
      <c r="D88" s="9" t="s">
        <v>310</v>
      </c>
      <c r="E88" s="1" t="s">
        <v>53</v>
      </c>
      <c r="F88" s="1" t="s">
        <v>43</v>
      </c>
      <c r="G88" s="1">
        <v>1</v>
      </c>
      <c r="H88" s="1" t="s">
        <v>311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312</v>
      </c>
      <c r="O88" s="1">
        <f t="shared" si="6"/>
        <v>100</v>
      </c>
      <c r="P88" t="s">
        <v>290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P91" t="s">
        <v>317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15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3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5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297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311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3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425</v>
      </c>
      <c r="C121" s="1" t="s">
        <v>426</v>
      </c>
      <c r="D121" s="9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2026-08-26T00:51:00Z</dcterms:created>
  <dcterms:modified xsi:type="dcterms:W3CDTF">2026-08-25T13:54:02Z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C80714DEA10A75A926068C6A4EDD9C77_42</vt:lpwstr>
  </property>
  <property fmtid="{D5CDD505-2E9C-101B-9397-08002B2CF9AE}" pid="3" name="KSOProductBuildVer">
    <vt:lpwstr>2052-6.1.0.8274</vt:lpwstr>
  </property>
</Properties>
</file>