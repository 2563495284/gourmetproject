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<sst xmlns="http://schemas.openxmlformats.org/spreadsheetml/2006/main" count="1149" uniqueCount="772">
  <si>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</si>
  <si>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</si>
  <si>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</si>
  <si>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</si>
  <si>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</si>
  <si>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</si>
  <si>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</si>
  <si>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</si>
  <si>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</si>
  <si>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</si>
  <si>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</si>
  <si>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</si>
  <si>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</si>
  <si>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</si>
  <si>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</si>
  <si>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</si>
  <si>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</si>
  <si>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</si>
  <si>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</si>
  <si>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</si>
  <si>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</si>
  <si>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</si>
  <si>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</si>
  <si>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</si>
  <si>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</si>
  <si>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</si>
  <si>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</si>
  <si>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</si>
  <si>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</si>
  <si>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</si>
  <si>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</si>
  <si>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</si>
  <si>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</si>
  <si>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</si>
  <si>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</si>
  <si>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</si>
  <si>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</si>
  <si>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</si>
  <si>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</si>
  <si>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</si>
  <si>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</si>
  <si>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</si>
  <si>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</si>
  <si>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</si>
  <si>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</si>
  <si>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</si>
  <si>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</si>
  <si>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</si>
  <si>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</si>
  <si>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</si>
  <si>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</si>
  <si>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</si>
  <si>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</si>
  <si>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</si>
  <si>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</si>
  <si>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</si>
  <si>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</si>
  <si>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</si>
  <si>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</si>
  <si>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</si>
  <si>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</si>
  <si>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</si>
  <si>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</si>
  <si>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</si>
  <si>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</si>
  <si>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</si>
  <si>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</si>
  <si>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</si>
  <si>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</si>
  <si>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</si>
  <si>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</si>
  <si>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</si>
  <si>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</si>
  <si>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</si>
  <si>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</si>
  <si>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</si>
  <si>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</si>
  <si>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</si>
  <si>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</si>
  <si>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</si>
  <si>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</si>
  <si>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</si>
  <si>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</si>
  <si>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</si>
  <si>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</si>
  <si>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</si>
  <si>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</si>
  <si>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</si>
  <si>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</si>
  <si>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</si>
  <si>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</si>
  <si>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</si>
  <si>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</si>
  <si>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</si>
  <si>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</si>
  <si>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</si>
  <si>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</si>
  <si>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</si>
  <si>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</si>
  <si>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</si>
  <si>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</si>
  <si>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</si>
  <si>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</si>
  <si>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</si>
  <si>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</si>
  <si>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</si>
  <si>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</si>
  <si>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</si>
  <si>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</si>
  <si>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</si>
  <si>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</si>
  <si>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</si>
  <si>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</si>
  <si>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</si>
  <si>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</si>
  <si>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</si>
  <si>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</si>
  <si>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</si>
  <si>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</si>
  <si>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</si>
  <si>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</si>
  <si>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</si>
  <si>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</si>
  <si>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</si>
  <si>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</si>
  <si>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</si>
  <si>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</si>
  <si>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</si>
  <si>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</si>
  <si>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</si>
  <si>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</si>
  <si>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</si>
  <si>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</si>
  <si>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Count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</si>
  <si>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</si>
  <si>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</si>
  <si>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</si>
  <si>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</si>
  <si>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</si>
  <si>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</si>
  <si>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</si>
  <si>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</si>
  <si>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</si>
  <si>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</si>
  <si>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</si>
  <si>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</si>
  <si>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</si>
  <si>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</si>
  <si>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</si>
  <si>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</si>
  <si>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</si>
  <si>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</si>
  <si>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</si>
  <si>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</si>
  <si>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</si>
  <si>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</si>
  <si>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</si>
  <si>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</si>
  <si>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</si>
  <si>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</si>
  <si>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</si>
  <si>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</si>
  <si>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</si>
  <si>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</si>
  <si>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</si>
  <si>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</si>
  <si>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</si>
  <si>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</si>
  <si>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</si>
  <si>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</si>
  <si>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</si>
  <si>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</si>
  <si>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</si>
  <si>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</si>
  <si>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</si>
  <si>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</si>
  <si>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</si>
  <si>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</si>
  <si>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</si>
  <si>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</si>
  <si>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</si>
  <si>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</si>
  <si>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</si>
  <si>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</si>
  <si>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</si>
  <si>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</si>
  <si>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</si>
  <si>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</si>
  <si>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移除1个食物的风味
获得[gold]100金币[/gold]</t>
  </si>
  <si>
    <t>item_flavor_remove_double</t>
  </si>
  <si>
    <t>小石磨</t>
  </si>
  <si>
    <t>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</si>
  <si>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</si>
  <si>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</si>
  <si>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</si>
  <si>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</si>
  <si>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</si>
  <si>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</si>
  <si>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</si>
  <si>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</si>
  <si>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</si>
  <si>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</si>
  <si>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</si>
  <si>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</si>
  <si>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</si>
  <si>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</si>
  <si>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</si>
  <si>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</si>
  <si>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</si>
  <si>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</si>
  <si>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</si>
  <si>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</si>
  <si>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</si>
  <si>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</si>
  <si>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</si>
  <si>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</si>
  <si>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</si>
  <si>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</si>
  <si>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</si>
  <si>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</si>
  <si>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</si>
  <si>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</si>
  <si>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</si>
  <si>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</si>
  <si>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</si>
  <si>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</si>
  <si>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</si>
  <si>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</si>
  <si>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</si>
  <si>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</si>
  <si>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</si>
  <si>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</si>
  <si>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</si>
  <si>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</si>
  <si>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</si>
  <si>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</si>
  <si>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</si>
  <si>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</si>
  <si>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</si>
  <si>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</si>
  <si>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</si>
  <si>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</si>
  <si>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</si>
  <si>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</si>
  <si>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</si>
  <si>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</si>
  <si>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</si>
  <si>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</si>
  <si>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</si>
  <si>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</si>
  <si>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</si>
  <si>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</si>
  <si>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</si>
  <si>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</si>
  <si>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</si>
  <si>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</si>
  <si>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</si>
  <si>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</si>
  <si>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</si>
  <si>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</si>
  <si>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</si>
  <si>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</si>
  <si>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</si>
  <si>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</si>
  <si>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</si>
  <si>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</si>
  <si>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</si>
  <si>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</si>
  <si>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</si>
  <si>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</si>
  <si>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</si>
  <si>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</si>
  <si>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</si>
  <si>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</si>
  <si>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</si>
  <si>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</si>
  <si>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</si>
  <si>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</si>
  <si>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</si>
  <si>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</si>
  <si>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</si>
  <si>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</si>
  <si>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</si>
  <si>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</si>
  <si>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</si>
  <si>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</si>
  <si>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</si>
  <si>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</si>
  <si>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</si>
  <si>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</si>
  <si>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</si>
  <si>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term_food_count_as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</si>
  <si>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</si>
  <si>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</si>
  <si>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</si>
  <si>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</si>
  <si>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</si>
  <si>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</si>
  <si>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</si>
  <si>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</si>
  <si>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</si>
  <si>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</si>
  <si>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</si>
  <si>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</si>
  <si>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</si>
  <si>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</si>
  <si>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</si>
  <si>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</si>
  <si>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</si>
  <si>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</si>
  <si>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</si>
  <si>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</si>
  <si>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</si>
  <si>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item_transfer_target_mult</t>
  </si>
  <si>
    <t>大号糖果盘</t>
  </si>
  <si>
    <t>[term]甜蜜传递[/term]时
被传递方[strong]倍率[/strong][multadd]+0.4[/multadd]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</si>
  <si>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</si>
  <si>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</si>
  <si>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</si>
  <si>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</si>
  <si>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</si>
  <si>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</si>
  <si>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</si>
  <si>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</si>
  <si>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</si>
  <si>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</si>
  <si>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累计[term]甜蜜传递[/term]10次后
获得[gold]15金币[/gold]</t>
  </si>
  <si>
    <t>count:10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</si>
  <si>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</si>
  <si>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</si>
  <si>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</si>
  <si>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</si>
  <si>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</si>
  <si>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被传递方[strong]分数[/strong]永久[score]+1[/score]</t>
  </si>
  <si>
    <t>item_transfer_source_flat</t>
  </si>
  <si>
    <t>传菜糖罐</t>
  </si>
  <si>
    <t>[term]甜蜜传递[/term]时
传递方[strong]分数[/strong]永久[score]+2[/score]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</si>
  <si>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</si>
  <si>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</si>
  <si>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</si>
  <si>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</si>
  <si>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</si>
  <si>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</si>
  <si>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</si>
  <si>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</si>
  <si>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</si>
  <si>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</si>
  <si>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</si>
  <si>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</si>
  <si>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</si>
  <si>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</si>
  <si>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</si>
  <si>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</si>
  <si>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</si>
  <si>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</si>
  <si>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</si>
  <si>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</si>
  <si>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</si>
  <si>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</si>
  <si>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</si>
  <si>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</si>
  <si>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</si>
  <si>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</si>
  <si>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</si>
  <si>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</si>
  <si>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</si>
  <si>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</si>
  <si>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</si>
  <si>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</si>
  <si>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</si>
  <si>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</si>
  <si>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</si>
  <si>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</si>
  <si>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</si>
  <si>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</si>
  <si>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</si>
  <si>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</si>
  <si>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</si>
  <si>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</si>
  <si>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</si>
  <si>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</si>
  <si>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</si>
  <si>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</si>
  <si>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</si>
  <si>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</si>
  <si>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</si>
  <si>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</si>
  <si>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</si>
  <si>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</si>
  <si>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</si>
  <si>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</si>
  <si>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</si>
  <si>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</si>
  <si>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</si>
  <si>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</si>
  <si>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</si>
  <si>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</si>
  <si>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</si>
  <si>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</si>
  <si>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</si>
  <si>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</si>
  <si>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</si>
  <si>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</si>
  <si>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</si>
  <si>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</si>
  <si>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</si>
  <si>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</si>
  <si>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</si>
  <si>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</si>
  <si>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</si>
  <si>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</si>
  <si>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fragment_choice_3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</si>
  <si>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</si>
  <si>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</si>
  <si>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</si>
  <si>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</si>
  <si>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</si>
  <si>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</si>
  <si>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</si>
  <si>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</si>
  <si>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</si>
  <si>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</si>
  <si>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</si>
  <si>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</si>
  <si>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删除食谱中所有箭头饼干</t>
  </si>
  <si>
    <t>item_randomize_recipe_dishes</t>
  </si>
  <si>
    <t>万花筒菜单板</t>
  </si>
  <si>
    <t>将[context]所有[/context]食物随机为新的食物</t>
  </si>
  <si>
    <t>item_discard_dish_flat</t>
  </si>
  <si>
    <t>退菜改良簿</t>
  </si>
  <si>
    <t>[term]丢弃[/term]的食物
[strong]分数[/strong]永久[score]+15[/score]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</si>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</sst>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zoomScale="70" zoomScaleNormal="70" topLeftCell="B1" workbookViewId="0">
      <selection activeCell="D6" sqref="D6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2:17"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44</v>
      </c>
      <c r="C5" s="1" t="s">
        <v>45</v>
      </c>
      <c r="D5" s="1" t="s">
        <v>46</v>
      </c>
      <c r="E5" s="1" t="s">
        <v>47</v>
      </c>
      <c r="F5" s="1" t="s">
        <v>43</v>
      </c>
      <c r="G5" s="1">
        <v>0</v>
      </c>
      <c r="H5" s="1" t="s">
        <v>48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47</v>
      </c>
      <c r="U5" s="1">
        <v>60</v>
      </c>
    </row>
    <row r="6" s="1" customFormat="1" ht="51" customHeight="1" spans="2:21">
      <c r="B6" s="1" t="s">
        <v>49</v>
      </c>
      <c r="C6" s="1" t="s">
        <v>50</v>
      </c>
      <c r="D6" s="9" t="s">
        <v>51</v>
      </c>
      <c r="E6" s="1" t="s">
        <v>47</v>
      </c>
      <c r="F6" s="1" t="s">
        <v>43</v>
      </c>
      <c r="G6" s="1">
        <v>15</v>
      </c>
      <c r="H6" s="1" t="s">
        <v>52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53</v>
      </c>
      <c r="U6" s="1">
        <v>100</v>
      </c>
    </row>
    <row r="7" s="1" customFormat="1" ht="51" customHeight="1" spans="2:29">
      <c r="B7" s="1" t="s">
        <v>54</v>
      </c>
      <c r="C7" s="1" t="s">
        <v>55</v>
      </c>
      <c r="D7" s="9" t="s">
        <v>56</v>
      </c>
      <c r="E7" s="1" t="s">
        <v>47</v>
      </c>
      <c r="F7" s="1" t="s">
        <v>43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42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57</v>
      </c>
      <c r="C8" s="1" t="s">
        <v>58</v>
      </c>
      <c r="D8" s="9" t="s">
        <v>59</v>
      </c>
      <c r="E8" s="1" t="s">
        <v>47</v>
      </c>
      <c r="F8" s="1" t="s">
        <v>43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60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61</v>
      </c>
      <c r="C9" s="1" t="s">
        <v>62</v>
      </c>
      <c r="D9" s="9" t="s">
        <v>63</v>
      </c>
      <c r="E9" s="1" t="s">
        <v>47</v>
      </c>
      <c r="F9" s="1" t="s">
        <v>43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64</v>
      </c>
      <c r="C10" s="1" t="s">
        <v>65</v>
      </c>
      <c r="D10" s="9" t="s">
        <v>63</v>
      </c>
      <c r="E10" s="1" t="s">
        <v>53</v>
      </c>
      <c r="F10" s="1" t="s">
        <v>43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66</v>
      </c>
      <c r="C11" s="1" t="s">
        <v>67</v>
      </c>
      <c r="D11" s="9" t="s">
        <v>68</v>
      </c>
      <c r="E11" s="1" t="s">
        <v>42</v>
      </c>
      <c r="F11" s="1" t="s">
        <v>43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69</v>
      </c>
      <c r="C12" s="1" t="s">
        <v>70</v>
      </c>
      <c r="D12" s="9" t="s">
        <v>68</v>
      </c>
      <c r="E12" s="1" t="s">
        <v>42</v>
      </c>
      <c r="F12" s="1" t="s">
        <v>43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71</v>
      </c>
      <c r="C13" s="1" t="s">
        <v>72</v>
      </c>
      <c r="D13" s="9" t="s">
        <v>73</v>
      </c>
      <c r="E13" s="1" t="s">
        <v>47</v>
      </c>
      <c r="F13" s="1" t="s">
        <v>43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74</v>
      </c>
      <c r="C14" s="1" t="s">
        <v>75</v>
      </c>
      <c r="D14" s="1" t="s">
        <v>76</v>
      </c>
      <c r="E14" s="1" t="s">
        <v>47</v>
      </c>
      <c r="F14" s="1" t="s">
        <v>43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77</v>
      </c>
      <c r="C15" s="1" t="s">
        <v>78</v>
      </c>
      <c r="D15" s="9" t="s">
        <v>79</v>
      </c>
      <c r="E15" s="1" t="s">
        <v>47</v>
      </c>
      <c r="F15" s="1" t="s">
        <v>43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80</v>
      </c>
      <c r="C16" s="1" t="s">
        <v>81</v>
      </c>
      <c r="D16" s="9" t="s">
        <v>82</v>
      </c>
      <c r="E16" s="1" t="s">
        <v>47</v>
      </c>
      <c r="F16" s="1" t="s">
        <v>43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83</v>
      </c>
      <c r="C17" s="1" t="s">
        <v>84</v>
      </c>
      <c r="D17" s="9" t="s">
        <v>85</v>
      </c>
      <c r="E17" s="1" t="s">
        <v>47</v>
      </c>
      <c r="F17" s="1" t="s">
        <v>43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86</v>
      </c>
      <c r="C18" s="1" t="s">
        <v>87</v>
      </c>
      <c r="D18" s="9" t="s">
        <v>88</v>
      </c>
      <c r="E18" s="1" t="s">
        <v>47</v>
      </c>
      <c r="F18" s="1" t="s">
        <v>43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89</v>
      </c>
      <c r="C19" s="1" t="s">
        <v>90</v>
      </c>
      <c r="D19" s="9" t="s">
        <v>91</v>
      </c>
      <c r="E19" s="1" t="s">
        <v>53</v>
      </c>
      <c r="F19" s="1" t="s">
        <v>43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92</v>
      </c>
      <c r="C20" s="1" t="s">
        <v>93</v>
      </c>
      <c r="D20" s="9" t="s">
        <v>94</v>
      </c>
      <c r="E20" s="1" t="s">
        <v>53</v>
      </c>
      <c r="F20" s="1" t="s">
        <v>43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95</v>
      </c>
      <c r="C21" s="1" t="s">
        <v>96</v>
      </c>
      <c r="D21" s="9" t="s">
        <v>97</v>
      </c>
      <c r="E21" s="1" t="s">
        <v>53</v>
      </c>
      <c r="F21" s="1" t="s">
        <v>43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98</v>
      </c>
      <c r="C22" s="1" t="s">
        <v>99</v>
      </c>
      <c r="D22" s="9" t="s">
        <v>100</v>
      </c>
      <c r="E22" s="1" t="s">
        <v>53</v>
      </c>
      <c r="F22" s="1" t="s">
        <v>43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101</v>
      </c>
      <c r="C23" s="1" t="s">
        <v>102</v>
      </c>
      <c r="D23" s="9" t="s">
        <v>103</v>
      </c>
      <c r="E23" s="1" t="s">
        <v>53</v>
      </c>
      <c r="F23" s="1" t="s">
        <v>43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104</v>
      </c>
      <c r="C24" s="1" t="s">
        <v>105</v>
      </c>
      <c r="D24" s="9" t="s">
        <v>106</v>
      </c>
      <c r="E24" s="1" t="s">
        <v>53</v>
      </c>
      <c r="F24" s="1" t="s">
        <v>43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107</v>
      </c>
      <c r="C25" s="1" t="s">
        <v>108</v>
      </c>
      <c r="D25" s="9" t="s">
        <v>109</v>
      </c>
      <c r="E25" s="1" t="s">
        <v>42</v>
      </c>
      <c r="F25" s="1" t="s">
        <v>43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110</v>
      </c>
      <c r="C26" s="1" t="s">
        <v>111</v>
      </c>
      <c r="D26" s="9" t="s">
        <v>112</v>
      </c>
      <c r="E26" s="1" t="s">
        <v>53</v>
      </c>
      <c r="F26" s="1" t="s">
        <v>43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113</v>
      </c>
      <c r="C27" s="1" t="s">
        <v>114</v>
      </c>
      <c r="D27" s="9" t="s">
        <v>115</v>
      </c>
      <c r="E27" s="1" t="s">
        <v>53</v>
      </c>
      <c r="F27" s="1" t="s">
        <v>43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116</v>
      </c>
      <c r="C28" s="1" t="s">
        <v>117</v>
      </c>
      <c r="D28" s="9" t="s">
        <v>118</v>
      </c>
      <c r="E28" s="1" t="s">
        <v>53</v>
      </c>
      <c r="F28" s="1" t="s">
        <v>43</v>
      </c>
      <c r="G28" s="1">
        <v>0</v>
      </c>
      <c r="H28" s="1" t="s">
        <v>119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120</v>
      </c>
      <c r="C29" s="1" t="s">
        <v>121</v>
      </c>
      <c r="D29" s="9" t="s">
        <v>122</v>
      </c>
      <c r="E29" s="1" t="s">
        <v>47</v>
      </c>
      <c r="F29" s="1" t="s">
        <v>43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123</v>
      </c>
      <c r="C30" s="1" t="s">
        <v>124</v>
      </c>
      <c r="D30" s="9" t="s">
        <v>125</v>
      </c>
      <c r="E30" s="1" t="s">
        <v>47</v>
      </c>
      <c r="F30" s="1" t="s">
        <v>43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126</v>
      </c>
      <c r="C31" s="1" t="s">
        <v>127</v>
      </c>
      <c r="D31" s="9" t="s">
        <v>128</v>
      </c>
      <c r="E31" s="1" t="s">
        <v>53</v>
      </c>
      <c r="F31" s="1" t="s">
        <v>43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129</v>
      </c>
      <c r="C32" s="1" t="s">
        <v>130</v>
      </c>
      <c r="D32" s="9" t="s">
        <v>131</v>
      </c>
      <c r="E32" s="1" t="s">
        <v>53</v>
      </c>
      <c r="F32" s="1" t="s">
        <v>43</v>
      </c>
      <c r="G32" s="1">
        <v>0.5</v>
      </c>
      <c r="H32" s="1" t="s">
        <v>132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 t="s">
        <v>133</v>
      </c>
      <c r="Q32" s="1">
        <f t="shared" si="1"/>
        <v>0</v>
      </c>
    </row>
    <row r="33" s="1" customFormat="1" ht="68" customHeight="1" spans="2:17">
      <c r="B33" s="1" t="s">
        <v>134</v>
      </c>
      <c r="C33" s="1" t="s">
        <v>135</v>
      </c>
      <c r="D33" s="9" t="s">
        <v>136</v>
      </c>
      <c r="E33" s="1" t="s">
        <v>47</v>
      </c>
      <c r="F33" s="1" t="s">
        <v>43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137</v>
      </c>
      <c r="C34" s="1" t="s">
        <v>138</v>
      </c>
      <c r="D34" s="9" t="s">
        <v>139</v>
      </c>
      <c r="E34" s="1" t="s">
        <v>53</v>
      </c>
      <c r="F34" s="1" t="s">
        <v>43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140</v>
      </c>
      <c r="C35" s="1" t="s">
        <v>141</v>
      </c>
      <c r="D35" s="9" t="s">
        <v>142</v>
      </c>
      <c r="E35" s="1" t="s">
        <v>47</v>
      </c>
      <c r="F35" s="1" t="s">
        <v>43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143</v>
      </c>
      <c r="C36" s="1" t="s">
        <v>144</v>
      </c>
      <c r="D36" s="9" t="s">
        <v>145</v>
      </c>
      <c r="E36" s="1" t="s">
        <v>53</v>
      </c>
      <c r="F36" s="1" t="s">
        <v>43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146</v>
      </c>
      <c r="C37" s="1" t="s">
        <v>147</v>
      </c>
      <c r="D37" s="9" t="s">
        <v>148</v>
      </c>
      <c r="E37" s="1" t="s">
        <v>53</v>
      </c>
      <c r="F37" s="1" t="s">
        <v>43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149</v>
      </c>
      <c r="C38" s="1" t="s">
        <v>150</v>
      </c>
      <c r="D38" s="9" t="s">
        <v>151</v>
      </c>
      <c r="E38" s="1" t="s">
        <v>47</v>
      </c>
      <c r="F38" s="1" t="s">
        <v>43</v>
      </c>
      <c r="G38" s="1">
        <v>150</v>
      </c>
      <c r="H38" s="1" t="s">
        <v>152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153</v>
      </c>
      <c r="C39" s="1" t="s">
        <v>154</v>
      </c>
      <c r="D39" s="9" t="s">
        <v>155</v>
      </c>
      <c r="E39" s="1" t="s">
        <v>47</v>
      </c>
      <c r="F39" s="1" t="s">
        <v>43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156</v>
      </c>
      <c r="C40" s="1" t="s">
        <v>157</v>
      </c>
      <c r="D40" s="9" t="s">
        <v>158</v>
      </c>
      <c r="E40" s="1" t="s">
        <v>53</v>
      </c>
      <c r="F40" s="1" t="s">
        <v>43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159</v>
      </c>
      <c r="C41" s="1" t="s">
        <v>160</v>
      </c>
      <c r="D41" s="9" t="s">
        <v>161</v>
      </c>
      <c r="E41" s="1" t="s">
        <v>53</v>
      </c>
      <c r="F41" s="1" t="s">
        <v>43</v>
      </c>
      <c r="G41" s="1">
        <v>1</v>
      </c>
      <c r="H41" s="1" t="s">
        <v>162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163</v>
      </c>
      <c r="C42" s="1" t="s">
        <v>164</v>
      </c>
      <c r="D42" s="9" t="s">
        <v>165</v>
      </c>
      <c r="E42" s="1" t="s">
        <v>47</v>
      </c>
      <c r="F42" s="1" t="s">
        <v>43</v>
      </c>
      <c r="G42" s="1">
        <v>3</v>
      </c>
      <c r="H42" s="1" t="s">
        <v>166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167</v>
      </c>
      <c r="C43" s="1" t="s">
        <v>168</v>
      </c>
      <c r="D43" s="9" t="s">
        <v>169</v>
      </c>
      <c r="E43" s="1" t="s">
        <v>47</v>
      </c>
      <c r="F43" s="1" t="s">
        <v>43</v>
      </c>
      <c r="G43" s="1">
        <v>3</v>
      </c>
      <c r="H43" s="1" t="s">
        <v>170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171</v>
      </c>
      <c r="C44" s="1" t="s">
        <v>172</v>
      </c>
      <c r="D44" s="9" t="s">
        <v>173</v>
      </c>
      <c r="E44" s="1" t="s">
        <v>47</v>
      </c>
      <c r="F44" s="1" t="s">
        <v>43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174</v>
      </c>
      <c r="C45" s="1" t="s">
        <v>175</v>
      </c>
      <c r="D45" s="9" t="s">
        <v>176</v>
      </c>
      <c r="E45" s="1" t="s">
        <v>53</v>
      </c>
      <c r="F45" s="1" t="s">
        <v>43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177</v>
      </c>
      <c r="C46" s="1" t="s">
        <v>178</v>
      </c>
      <c r="D46" s="9" t="s">
        <v>179</v>
      </c>
      <c r="E46" s="1" t="s">
        <v>47</v>
      </c>
      <c r="F46" s="1" t="s">
        <v>43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180</v>
      </c>
      <c r="C47" s="1" t="s">
        <v>181</v>
      </c>
      <c r="D47" s="9" t="s">
        <v>182</v>
      </c>
      <c r="E47" s="1" t="s">
        <v>53</v>
      </c>
      <c r="F47" s="1" t="s">
        <v>43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183</v>
      </c>
      <c r="C48" s="1" t="s">
        <v>184</v>
      </c>
      <c r="D48" s="9" t="s">
        <v>185</v>
      </c>
      <c r="E48" s="1" t="s">
        <v>47</v>
      </c>
      <c r="F48" s="1" t="s">
        <v>43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186</v>
      </c>
      <c r="C49" s="1" t="s">
        <v>187</v>
      </c>
      <c r="D49" s="9" t="s">
        <v>188</v>
      </c>
      <c r="E49" s="1" t="s">
        <v>47</v>
      </c>
      <c r="F49" s="1" t="s">
        <v>43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189</v>
      </c>
      <c r="C50" s="1" t="s">
        <v>190</v>
      </c>
      <c r="D50" s="9" t="s">
        <v>191</v>
      </c>
      <c r="E50" s="1" t="s">
        <v>47</v>
      </c>
      <c r="F50" s="1" t="s">
        <v>43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192</v>
      </c>
      <c r="C51" s="1" t="s">
        <v>193</v>
      </c>
      <c r="D51" s="9" t="s">
        <v>194</v>
      </c>
      <c r="E51" s="1" t="s">
        <v>60</v>
      </c>
      <c r="F51" s="1" t="s">
        <v>43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195</v>
      </c>
      <c r="C52" s="1" t="s">
        <v>196</v>
      </c>
      <c r="D52" s="9" t="s">
        <v>197</v>
      </c>
      <c r="E52" s="1" t="s">
        <v>42</v>
      </c>
      <c r="F52" s="1" t="s">
        <v>43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198</v>
      </c>
      <c r="C53" s="1" t="s">
        <v>199</v>
      </c>
      <c r="D53" s="9" t="s">
        <v>200</v>
      </c>
      <c r="E53" s="1" t="s">
        <v>42</v>
      </c>
      <c r="F53" s="1" t="s">
        <v>43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201</v>
      </c>
      <c r="C54" s="1" t="s">
        <v>202</v>
      </c>
      <c r="D54" s="9" t="s">
        <v>203</v>
      </c>
      <c r="E54" s="1" t="s">
        <v>47</v>
      </c>
      <c r="F54" s="1" t="s">
        <v>43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204</v>
      </c>
      <c r="C55" s="1" t="s">
        <v>205</v>
      </c>
      <c r="D55" s="9" t="s">
        <v>206</v>
      </c>
      <c r="E55" s="1" t="s">
        <v>47</v>
      </c>
      <c r="F55" s="1" t="s">
        <v>43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207</v>
      </c>
      <c r="C56" s="1" t="s">
        <v>208</v>
      </c>
      <c r="D56" s="9" t="s">
        <v>209</v>
      </c>
      <c r="E56" s="1" t="s">
        <v>53</v>
      </c>
      <c r="F56" s="1" t="s">
        <v>43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210</v>
      </c>
      <c r="C57" s="1" t="s">
        <v>211</v>
      </c>
      <c r="D57" s="9" t="s">
        <v>212</v>
      </c>
      <c r="E57" s="1" t="s">
        <v>53</v>
      </c>
      <c r="F57" s="1" t="s">
        <v>43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213</v>
      </c>
      <c r="C58" s="1" t="s">
        <v>214</v>
      </c>
      <c r="D58" s="9" t="s">
        <v>215</v>
      </c>
      <c r="E58" s="1" t="s">
        <v>53</v>
      </c>
      <c r="F58" s="1" t="s">
        <v>43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216</v>
      </c>
      <c r="C59" s="1" t="s">
        <v>217</v>
      </c>
      <c r="D59" s="9" t="s">
        <v>218</v>
      </c>
      <c r="E59" s="1" t="s">
        <v>53</v>
      </c>
      <c r="F59" s="1" t="s">
        <v>43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219</v>
      </c>
      <c r="C60" s="1" t="s">
        <v>220</v>
      </c>
      <c r="D60" s="9" t="s">
        <v>221</v>
      </c>
      <c r="E60" s="1" t="s">
        <v>47</v>
      </c>
      <c r="F60" s="1" t="s">
        <v>43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222</v>
      </c>
      <c r="C61" s="1" t="s">
        <v>223</v>
      </c>
      <c r="D61" s="9" t="s">
        <v>224</v>
      </c>
      <c r="E61" s="1" t="s">
        <v>47</v>
      </c>
      <c r="F61" s="1" t="s">
        <v>43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225</v>
      </c>
      <c r="C62" s="1" t="s">
        <v>226</v>
      </c>
      <c r="D62" s="9" t="s">
        <v>227</v>
      </c>
      <c r="E62" s="1" t="s">
        <v>47</v>
      </c>
      <c r="F62" s="1" t="s">
        <v>43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228</v>
      </c>
      <c r="C63" s="1" t="s">
        <v>229</v>
      </c>
      <c r="D63" s="9" t="s">
        <v>230</v>
      </c>
      <c r="E63" s="1" t="s">
        <v>47</v>
      </c>
      <c r="F63" s="1" t="s">
        <v>43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231</v>
      </c>
      <c r="C64" s="1" t="s">
        <v>232</v>
      </c>
      <c r="D64" s="9" t="s">
        <v>233</v>
      </c>
      <c r="E64" s="1" t="s">
        <v>53</v>
      </c>
      <c r="F64" s="1" t="s">
        <v>43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234</v>
      </c>
      <c r="C65" s="1" t="s">
        <v>235</v>
      </c>
      <c r="D65" s="9" t="s">
        <v>236</v>
      </c>
      <c r="E65" s="1" t="s">
        <v>53</v>
      </c>
      <c r="F65" s="1" t="s">
        <v>43</v>
      </c>
      <c r="G65" s="1">
        <v>0</v>
      </c>
      <c r="H65" s="1" t="s">
        <v>237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238</v>
      </c>
      <c r="C66" s="1" t="s">
        <v>239</v>
      </c>
      <c r="D66" s="9" t="s">
        <v>240</v>
      </c>
      <c r="E66" s="1" t="s">
        <v>42</v>
      </c>
      <c r="F66" s="1" t="s">
        <v>43</v>
      </c>
      <c r="G66" s="1">
        <v>0</v>
      </c>
      <c r="H66" s="1" t="s">
        <v>162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241</v>
      </c>
      <c r="C67" s="1" t="s">
        <v>242</v>
      </c>
      <c r="D67" s="9" t="s">
        <v>243</v>
      </c>
      <c r="E67" s="1" t="s">
        <v>47</v>
      </c>
      <c r="F67" s="1" t="s">
        <v>43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244</v>
      </c>
      <c r="C68" s="1" t="s">
        <v>245</v>
      </c>
      <c r="D68" s="9" t="s">
        <v>246</v>
      </c>
      <c r="E68" s="1" t="s">
        <v>47</v>
      </c>
      <c r="F68" s="1" t="s">
        <v>43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247</v>
      </c>
      <c r="C69" s="1" t="s">
        <v>248</v>
      </c>
      <c r="D69" s="9" t="s">
        <v>249</v>
      </c>
      <c r="E69" s="1" t="s">
        <v>53</v>
      </c>
      <c r="F69" s="1" t="s">
        <v>43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250</v>
      </c>
      <c r="C70" s="1" t="s">
        <v>251</v>
      </c>
      <c r="D70" s="9" t="s">
        <v>252</v>
      </c>
      <c r="E70" s="1" t="s">
        <v>253</v>
      </c>
      <c r="F70" s="1" t="s">
        <v>253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254</v>
      </c>
      <c r="C71" s="1" t="s">
        <v>255</v>
      </c>
      <c r="D71" s="9" t="s">
        <v>256</v>
      </c>
      <c r="E71" s="1" t="s">
        <v>253</v>
      </c>
      <c r="F71" s="1" t="s">
        <v>253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257</v>
      </c>
      <c r="C72" s="1" t="s">
        <v>258</v>
      </c>
      <c r="D72" s="9" t="s">
        <v>259</v>
      </c>
      <c r="E72" s="1" t="s">
        <v>253</v>
      </c>
      <c r="F72" s="1" t="s">
        <v>253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260</v>
      </c>
      <c r="C73" s="1" t="s">
        <v>261</v>
      </c>
      <c r="D73" s="9" t="s">
        <v>262</v>
      </c>
      <c r="E73" s="1" t="s">
        <v>253</v>
      </c>
      <c r="F73" s="1" t="s">
        <v>253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263</v>
      </c>
      <c r="C74" s="1" t="s">
        <v>264</v>
      </c>
      <c r="D74" s="9" t="s">
        <v>265</v>
      </c>
      <c r="E74" s="1" t="s">
        <v>253</v>
      </c>
      <c r="F74" s="1" t="s">
        <v>253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266</v>
      </c>
      <c r="C75" s="1" t="s">
        <v>267</v>
      </c>
      <c r="D75" s="9" t="s">
        <v>268</v>
      </c>
      <c r="E75" s="1" t="s">
        <v>253</v>
      </c>
      <c r="F75" s="1" t="s">
        <v>253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269</v>
      </c>
      <c r="C76" s="1" t="s">
        <v>270</v>
      </c>
      <c r="D76" s="9" t="s">
        <v>271</v>
      </c>
      <c r="E76" s="1" t="s">
        <v>253</v>
      </c>
      <c r="F76" s="1" t="s">
        <v>253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272</v>
      </c>
      <c r="C77" s="1" t="s">
        <v>273</v>
      </c>
      <c r="D77" s="9" t="s">
        <v>274</v>
      </c>
      <c r="E77" s="1" t="s">
        <v>253</v>
      </c>
      <c r="F77" s="1" t="s">
        <v>253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275</v>
      </c>
      <c r="C78" s="1" t="s">
        <v>276</v>
      </c>
      <c r="D78" s="9" t="s">
        <v>277</v>
      </c>
      <c r="E78" s="1" t="s">
        <v>253</v>
      </c>
      <c r="F78" s="1" t="s">
        <v>253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278</v>
      </c>
      <c r="C79" s="1" t="s">
        <v>279</v>
      </c>
      <c r="D79" s="9" t="s">
        <v>280</v>
      </c>
      <c r="E79" s="1" t="s">
        <v>253</v>
      </c>
      <c r="F79" s="1" t="s">
        <v>253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281</v>
      </c>
      <c r="C80" s="1" t="s">
        <v>282</v>
      </c>
      <c r="D80" s="9" t="s">
        <v>283</v>
      </c>
      <c r="E80" s="1" t="s">
        <v>42</v>
      </c>
      <c r="F80" s="1" t="s">
        <v>43</v>
      </c>
      <c r="G80" s="1">
        <v>1.5</v>
      </c>
      <c r="H80" s="1" t="s">
        <v>284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285</v>
      </c>
      <c r="C81" s="1" t="s">
        <v>286</v>
      </c>
      <c r="D81" s="9" t="s">
        <v>287</v>
      </c>
      <c r="E81" s="1" t="s">
        <v>42</v>
      </c>
      <c r="F81" s="1" t="s">
        <v>43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288</v>
      </c>
      <c r="C82" s="12" t="s">
        <v>289</v>
      </c>
      <c r="D82" s="9" t="s">
        <v>290</v>
      </c>
      <c r="E82" s="1" t="s">
        <v>60</v>
      </c>
      <c r="F82" s="1" t="s">
        <v>43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N82" s="1" t="s">
        <v>291</v>
      </c>
      <c r="O82" s="1">
        <f t="shared" si="6"/>
        <v>360</v>
      </c>
      <c r="P82" t="s">
        <v>133</v>
      </c>
      <c r="Q82" s="1">
        <f>IFERROR(VLOOKUP(E89,$T$7:$AB$12,9,FALSE),0)</f>
        <v>0</v>
      </c>
    </row>
    <row r="83" s="1" customFormat="1" ht="34" customHeight="1" spans="2:16">
      <c r="B83" s="1" t="s">
        <v>292</v>
      </c>
      <c r="C83" s="12" t="s">
        <v>293</v>
      </c>
      <c r="D83" s="9" t="s">
        <v>294</v>
      </c>
      <c r="E83" s="1" t="s">
        <v>42</v>
      </c>
      <c r="F83" s="1" t="s">
        <v>43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N83" s="1" t="s">
        <v>291</v>
      </c>
      <c r="O83" s="1">
        <f t="shared" si="6"/>
        <v>200</v>
      </c>
      <c r="P83" t="s">
        <v>133</v>
      </c>
    </row>
    <row r="84" s="1" customFormat="1" ht="68" customHeight="1" spans="2:16">
      <c r="B84" s="1" t="s">
        <v>295</v>
      </c>
      <c r="C84" s="12" t="s">
        <v>296</v>
      </c>
      <c r="D84" s="9" t="s">
        <v>297</v>
      </c>
      <c r="E84" s="1" t="s">
        <v>53</v>
      </c>
      <c r="F84" s="1" t="s">
        <v>43</v>
      </c>
      <c r="G84" s="1">
        <v>1</v>
      </c>
      <c r="H84" s="1" t="s">
        <v>298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N84" s="1" t="s">
        <v>291</v>
      </c>
      <c r="O84" s="1">
        <f t="shared" si="6"/>
        <v>100</v>
      </c>
      <c r="P84" t="s">
        <v>133</v>
      </c>
    </row>
    <row r="85" s="1" customFormat="1" ht="51" customHeight="1" spans="2:17">
      <c r="B85" s="1" t="s">
        <v>299</v>
      </c>
      <c r="C85" s="12" t="s">
        <v>300</v>
      </c>
      <c r="D85" s="9" t="s">
        <v>301</v>
      </c>
      <c r="E85" s="1" t="s">
        <v>53</v>
      </c>
      <c r="F85" s="1" t="s">
        <v>43</v>
      </c>
      <c r="G85" s="1">
        <v>0.5</v>
      </c>
      <c r="H85" s="1" t="s">
        <v>302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133</v>
      </c>
      <c r="Q85" s="1">
        <f>IFERROR(VLOOKUP(E85,$T$7:$AB$12,9,FALSE),0)</f>
        <v>0</v>
      </c>
    </row>
    <row r="86" s="1" customFormat="1" ht="51" customHeight="1" spans="2:16">
      <c r="B86" s="1" t="s">
        <v>303</v>
      </c>
      <c r="C86" s="12" t="s">
        <v>304</v>
      </c>
      <c r="D86" s="9" t="s">
        <v>305</v>
      </c>
      <c r="E86" s="1" t="s">
        <v>47</v>
      </c>
      <c r="F86" s="1" t="s">
        <v>43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133</v>
      </c>
    </row>
    <row r="87" s="1" customFormat="1" ht="51" customHeight="1" spans="2:16">
      <c r="B87" s="1" t="s">
        <v>306</v>
      </c>
      <c r="C87" s="12" t="s">
        <v>307</v>
      </c>
      <c r="D87" s="9" t="s">
        <v>308</v>
      </c>
      <c r="E87" s="1" t="s">
        <v>47</v>
      </c>
      <c r="F87" s="1" t="s">
        <v>43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133</v>
      </c>
    </row>
    <row r="88" s="1" customFormat="1" ht="51" customHeight="1" spans="2:16">
      <c r="B88" s="1" t="s">
        <v>309</v>
      </c>
      <c r="C88" s="12" t="s">
        <v>310</v>
      </c>
      <c r="D88" s="9" t="s">
        <v>311</v>
      </c>
      <c r="E88" s="1" t="s">
        <v>53</v>
      </c>
      <c r="F88" s="1" t="s">
        <v>43</v>
      </c>
      <c r="G88" s="1">
        <v>1</v>
      </c>
      <c r="H88" s="1" t="s">
        <v>312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N88" s="1" t="s">
        <v>291</v>
      </c>
      <c r="O88" s="1">
        <f t="shared" si="6"/>
        <v>100</v>
      </c>
      <c r="P88" t="s">
        <v>133</v>
      </c>
    </row>
    <row r="89" s="1" customFormat="1" ht="68" customHeight="1" spans="2:17">
      <c r="B89" s="1" t="s">
        <v>313</v>
      </c>
      <c r="C89" s="1" t="s">
        <v>314</v>
      </c>
      <c r="D89" s="9" t="s">
        <v>315</v>
      </c>
      <c r="E89" s="1" t="s">
        <v>42</v>
      </c>
      <c r="F89" s="1" t="s">
        <v>43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316</v>
      </c>
      <c r="O89" s="1">
        <f t="shared" si="6"/>
        <v>200</v>
      </c>
      <c r="P89" t="s">
        <v>317</v>
      </c>
      <c r="Q89" s="1">
        <f>IFERROR(VLOOKUP(E90,$T$7:$AB$12,9,FALSE),0)</f>
        <v>0</v>
      </c>
    </row>
    <row r="90" s="1" customFormat="1" ht="51" customHeight="1" spans="2:17">
      <c r="B90" s="1" t="s">
        <v>318</v>
      </c>
      <c r="C90" s="1" t="s">
        <v>319</v>
      </c>
      <c r="D90" s="9" t="s">
        <v>320</v>
      </c>
      <c r="E90" s="1" t="s">
        <v>42</v>
      </c>
      <c r="F90" s="1" t="s">
        <v>43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316</v>
      </c>
      <c r="O90" s="1">
        <f t="shared" si="6"/>
        <v>200</v>
      </c>
      <c r="P90" t="s">
        <v>317</v>
      </c>
      <c r="Q90" s="1">
        <f>IFERROR(VLOOKUP(E91,$T$7:$AB$12,9,FALSE),0)</f>
        <v>0</v>
      </c>
    </row>
    <row r="91" s="1" customFormat="1" ht="68" customHeight="1" spans="2:17">
      <c r="B91" s="1" t="s">
        <v>321</v>
      </c>
      <c r="C91" s="1" t="s">
        <v>322</v>
      </c>
      <c r="D91" s="9" t="s">
        <v>323</v>
      </c>
      <c r="E91" s="1" t="s">
        <v>53</v>
      </c>
      <c r="F91" s="1" t="s">
        <v>43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Q91" s="1">
        <f>IFERROR(VLOOKUP(E92,$T$7:$AB$12,9,FALSE),0)</f>
        <v>0</v>
      </c>
    </row>
    <row r="92" s="1" customFormat="1" ht="68" customHeight="1" spans="2:17">
      <c r="B92" s="1" t="s">
        <v>324</v>
      </c>
      <c r="C92" s="1" t="s">
        <v>325</v>
      </c>
      <c r="D92" s="9" t="s">
        <v>326</v>
      </c>
      <c r="E92" s="1" t="s">
        <v>47</v>
      </c>
      <c r="F92" s="1" t="s">
        <v>43</v>
      </c>
      <c r="G92" s="1">
        <v>15</v>
      </c>
      <c r="H92" s="1" t="s">
        <v>327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316</v>
      </c>
      <c r="O92" s="1">
        <f t="shared" si="6"/>
        <v>60</v>
      </c>
      <c r="P92" t="s">
        <v>317</v>
      </c>
      <c r="Q92" s="1">
        <f>IFERROR(VLOOKUP(E96,$T$7:$AB$12,9,FALSE),0)</f>
        <v>0</v>
      </c>
    </row>
    <row r="93" s="1" customFormat="1" ht="34" customHeight="1" spans="2:16">
      <c r="B93" s="1" t="s">
        <v>328</v>
      </c>
      <c r="C93" s="1" t="s">
        <v>329</v>
      </c>
      <c r="D93" s="9" t="s">
        <v>330</v>
      </c>
      <c r="E93" s="1" t="s">
        <v>60</v>
      </c>
      <c r="F93" s="1" t="s">
        <v>43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316</v>
      </c>
      <c r="O93" s="1">
        <f t="shared" si="6"/>
        <v>360</v>
      </c>
      <c r="P93" t="s">
        <v>317</v>
      </c>
    </row>
    <row r="94" s="1" customFormat="1" ht="68" customHeight="1" spans="2:16">
      <c r="B94" s="1" t="s">
        <v>331</v>
      </c>
      <c r="C94" s="1" t="s">
        <v>332</v>
      </c>
      <c r="D94" s="9" t="s">
        <v>333</v>
      </c>
      <c r="E94" s="1" t="s">
        <v>47</v>
      </c>
      <c r="F94" s="1" t="s">
        <v>43</v>
      </c>
      <c r="G94" s="1">
        <v>1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316</v>
      </c>
      <c r="O94" s="1">
        <f t="shared" si="6"/>
        <v>60</v>
      </c>
      <c r="P94" t="s">
        <v>317</v>
      </c>
    </row>
    <row r="95" s="1" customFormat="1" ht="68" customHeight="1" spans="2:16">
      <c r="B95" s="1" t="s">
        <v>334</v>
      </c>
      <c r="C95" s="1" t="s">
        <v>335</v>
      </c>
      <c r="D95" s="9" t="s">
        <v>336</v>
      </c>
      <c r="E95" s="1" t="s">
        <v>53</v>
      </c>
      <c r="F95" s="1" t="s">
        <v>43</v>
      </c>
      <c r="G95" s="1">
        <v>2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316</v>
      </c>
      <c r="O95" s="1">
        <f t="shared" si="6"/>
        <v>100</v>
      </c>
      <c r="P95" t="s">
        <v>317</v>
      </c>
    </row>
    <row r="96" s="1" customFormat="1" ht="34" customHeight="1" spans="2:17">
      <c r="B96" s="1" t="s">
        <v>337</v>
      </c>
      <c r="C96" s="12" t="s">
        <v>338</v>
      </c>
      <c r="D96" s="9" t="s">
        <v>339</v>
      </c>
      <c r="E96" s="1" t="s">
        <v>42</v>
      </c>
      <c r="F96" s="1" t="s">
        <v>43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340</v>
      </c>
      <c r="O96" s="1">
        <f t="shared" si="6"/>
        <v>200</v>
      </c>
      <c r="P96" t="s">
        <v>341</v>
      </c>
      <c r="Q96" s="1">
        <f>IFERROR(VLOOKUP(E97,$T$7:$AB$12,9,FALSE),0)</f>
        <v>0</v>
      </c>
    </row>
    <row r="97" s="1" customFormat="1" ht="34" customHeight="1" spans="2:17">
      <c r="B97" s="1" t="s">
        <v>342</v>
      </c>
      <c r="C97" s="12" t="s">
        <v>343</v>
      </c>
      <c r="D97" s="9" t="s">
        <v>344</v>
      </c>
      <c r="E97" s="1" t="s">
        <v>53</v>
      </c>
      <c r="F97" s="1" t="s">
        <v>43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340</v>
      </c>
      <c r="O97" s="1">
        <f t="shared" si="6"/>
        <v>100</v>
      </c>
      <c r="P97" t="s">
        <v>341</v>
      </c>
      <c r="Q97" s="1">
        <f>IFERROR(VLOOKUP(E98,$T$7:$AB$12,9,FALSE),0)</f>
        <v>0</v>
      </c>
    </row>
    <row r="98" s="1" customFormat="1" ht="34" customHeight="1" spans="2:17">
      <c r="B98" s="1" t="s">
        <v>345</v>
      </c>
      <c r="C98" s="12" t="s">
        <v>346</v>
      </c>
      <c r="D98" s="9" t="s">
        <v>347</v>
      </c>
      <c r="E98" s="1" t="s">
        <v>53</v>
      </c>
      <c r="F98" s="1" t="s">
        <v>43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340</v>
      </c>
      <c r="O98" s="1">
        <f t="shared" si="6"/>
        <v>100</v>
      </c>
      <c r="P98" t="s">
        <v>341</v>
      </c>
      <c r="Q98" s="1">
        <f>IFERROR(VLOOKUP(E99,$T$7:$AB$12,9,FALSE),0)</f>
        <v>0</v>
      </c>
    </row>
    <row r="99" s="1" customFormat="1" ht="34" customHeight="1" spans="2:17">
      <c r="B99" s="1" t="s">
        <v>348</v>
      </c>
      <c r="C99" s="12" t="s">
        <v>349</v>
      </c>
      <c r="D99" s="9" t="s">
        <v>350</v>
      </c>
      <c r="E99" s="1" t="s">
        <v>47</v>
      </c>
      <c r="F99" s="1" t="s">
        <v>43</v>
      </c>
      <c r="G99" s="1">
        <v>10</v>
      </c>
      <c r="H99" s="1" t="s">
        <v>351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340</v>
      </c>
      <c r="O99" s="1">
        <f t="shared" si="6"/>
        <v>60</v>
      </c>
      <c r="P99" t="s">
        <v>341</v>
      </c>
      <c r="Q99" s="1">
        <f>IFERROR(VLOOKUP(E100,$T$7:$AB$12,9,FALSE),0)</f>
        <v>0</v>
      </c>
    </row>
    <row r="100" s="1" customFormat="1" ht="34" customHeight="1" spans="2:17">
      <c r="B100" s="1" t="s">
        <v>352</v>
      </c>
      <c r="C100" s="12" t="s">
        <v>353</v>
      </c>
      <c r="D100" s="9" t="s">
        <v>354</v>
      </c>
      <c r="E100" s="1" t="s">
        <v>53</v>
      </c>
      <c r="F100" s="1" t="s">
        <v>43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340</v>
      </c>
      <c r="O100" s="1">
        <f t="shared" si="6"/>
        <v>100</v>
      </c>
      <c r="P100" t="s">
        <v>341</v>
      </c>
      <c r="Q100" s="1">
        <f>IFERROR(VLOOKUP(E93,$T$7:$AB$12,9,FALSE),0)</f>
        <v>0</v>
      </c>
    </row>
    <row r="101" s="1" customFormat="1" ht="34" customHeight="1" spans="2:16">
      <c r="B101" s="1" t="s">
        <v>355</v>
      </c>
      <c r="C101" s="12" t="s">
        <v>356</v>
      </c>
      <c r="D101" s="9" t="s">
        <v>357</v>
      </c>
      <c r="E101" s="1" t="s">
        <v>42</v>
      </c>
      <c r="F101" s="1" t="s">
        <v>43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340</v>
      </c>
      <c r="O101" s="1">
        <f t="shared" ref="O101:O127" si="7">VLOOKUP(E101,$T$5:$U$8,2,FALSE)</f>
        <v>200</v>
      </c>
      <c r="P101" t="s">
        <v>341</v>
      </c>
    </row>
    <row r="102" s="1" customFormat="1" ht="34" customHeight="1" spans="2:16">
      <c r="B102" s="1" t="s">
        <v>358</v>
      </c>
      <c r="C102" s="12" t="s">
        <v>359</v>
      </c>
      <c r="D102" s="9" t="s">
        <v>360</v>
      </c>
      <c r="E102" s="1" t="s">
        <v>53</v>
      </c>
      <c r="F102" s="1" t="s">
        <v>43</v>
      </c>
      <c r="G102" s="1">
        <v>2</v>
      </c>
      <c r="H102" s="1" t="s">
        <v>361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340</v>
      </c>
      <c r="O102" s="1">
        <f t="shared" si="7"/>
        <v>100</v>
      </c>
      <c r="P102" t="s">
        <v>341</v>
      </c>
    </row>
    <row r="103" s="1" customFormat="1" ht="34" customHeight="1" spans="2:16">
      <c r="B103" s="1" t="s">
        <v>362</v>
      </c>
      <c r="C103" s="12" t="s">
        <v>363</v>
      </c>
      <c r="D103" s="9" t="s">
        <v>364</v>
      </c>
      <c r="E103" s="1" t="s">
        <v>42</v>
      </c>
      <c r="F103" s="1" t="s">
        <v>43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340</v>
      </c>
      <c r="O103" s="1">
        <f t="shared" si="7"/>
        <v>200</v>
      </c>
      <c r="P103" t="s">
        <v>341</v>
      </c>
    </row>
    <row r="104" ht="51" customHeight="1" spans="2:16">
      <c r="B104" s="1" t="s">
        <v>365</v>
      </c>
      <c r="C104" s="12" t="s">
        <v>366</v>
      </c>
      <c r="D104" s="9" t="s">
        <v>367</v>
      </c>
      <c r="E104" s="1" t="s">
        <v>60</v>
      </c>
      <c r="F104" s="1" t="s">
        <v>43</v>
      </c>
      <c r="G104" s="1">
        <v>0</v>
      </c>
      <c r="H104" s="1" t="s">
        <v>361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340</v>
      </c>
      <c r="O104" s="1">
        <f t="shared" si="7"/>
        <v>360</v>
      </c>
      <c r="P104" t="s">
        <v>341</v>
      </c>
    </row>
    <row r="105" s="1" customFormat="1" ht="51" customHeight="1" spans="2:15">
      <c r="B105" s="1" t="s">
        <v>368</v>
      </c>
      <c r="C105" s="1" t="s">
        <v>369</v>
      </c>
      <c r="D105" s="9" t="s">
        <v>370</v>
      </c>
      <c r="E105" s="1" t="s">
        <v>47</v>
      </c>
      <c r="F105" s="1" t="s">
        <v>43</v>
      </c>
      <c r="G105" s="1">
        <v>30</v>
      </c>
      <c r="H105" s="1" t="s">
        <v>298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371</v>
      </c>
      <c r="C106" s="1" t="s">
        <v>372</v>
      </c>
      <c r="D106" s="9" t="s">
        <v>373</v>
      </c>
      <c r="E106" s="1" t="s">
        <v>53</v>
      </c>
      <c r="F106" s="1" t="s">
        <v>43</v>
      </c>
      <c r="G106" s="1">
        <v>10</v>
      </c>
      <c r="H106" s="1" t="s">
        <v>374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375</v>
      </c>
      <c r="C107" s="1" t="s">
        <v>376</v>
      </c>
      <c r="D107" s="9" t="s">
        <v>377</v>
      </c>
      <c r="E107" s="1" t="s">
        <v>42</v>
      </c>
      <c r="F107" s="1" t="s">
        <v>43</v>
      </c>
      <c r="G107" s="1">
        <v>0.1</v>
      </c>
      <c r="H107" s="1" t="s">
        <v>378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379</v>
      </c>
      <c r="C108" s="1" t="s">
        <v>380</v>
      </c>
      <c r="D108" s="9" t="s">
        <v>381</v>
      </c>
      <c r="E108" s="1" t="s">
        <v>53</v>
      </c>
      <c r="F108" s="1" t="s">
        <v>43</v>
      </c>
      <c r="G108" s="1">
        <v>50</v>
      </c>
      <c r="H108" s="1" t="s">
        <v>312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382</v>
      </c>
      <c r="C109" s="1" t="s">
        <v>383</v>
      </c>
      <c r="D109" s="9" t="s">
        <v>384</v>
      </c>
      <c r="E109" s="1" t="s">
        <v>53</v>
      </c>
      <c r="F109" s="1" t="s">
        <v>43</v>
      </c>
      <c r="G109" s="1">
        <v>0.5</v>
      </c>
      <c r="H109" s="1" t="s">
        <v>385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386</v>
      </c>
      <c r="C110" s="1" t="s">
        <v>387</v>
      </c>
      <c r="D110" s="9" t="s">
        <v>388</v>
      </c>
      <c r="E110" s="1" t="s">
        <v>42</v>
      </c>
      <c r="F110" s="1" t="s">
        <v>43</v>
      </c>
      <c r="G110" s="1">
        <v>1</v>
      </c>
      <c r="H110" s="1" t="s">
        <v>389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390</v>
      </c>
      <c r="C111" s="1" t="s">
        <v>391</v>
      </c>
      <c r="D111" s="9" t="s">
        <v>392</v>
      </c>
      <c r="E111" s="1" t="s">
        <v>42</v>
      </c>
      <c r="F111" s="1" t="s">
        <v>43</v>
      </c>
      <c r="G111" s="1">
        <v>10</v>
      </c>
      <c r="H111" s="1" t="s">
        <v>393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394</v>
      </c>
      <c r="C112" s="1" t="s">
        <v>395</v>
      </c>
      <c r="D112" s="9" t="s">
        <v>396</v>
      </c>
      <c r="E112" s="1" t="s">
        <v>53</v>
      </c>
      <c r="F112" s="1" t="s">
        <v>43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397</v>
      </c>
      <c r="C113" s="1" t="s">
        <v>398</v>
      </c>
      <c r="D113" s="9" t="s">
        <v>399</v>
      </c>
      <c r="E113" s="1" t="s">
        <v>47</v>
      </c>
      <c r="F113" s="1" t="s">
        <v>43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400</v>
      </c>
      <c r="C114" s="1" t="s">
        <v>401</v>
      </c>
      <c r="D114" s="9" t="s">
        <v>402</v>
      </c>
      <c r="E114" s="1" t="s">
        <v>53</v>
      </c>
      <c r="F114" s="1" t="s">
        <v>43</v>
      </c>
      <c r="G114" s="1">
        <v>10</v>
      </c>
      <c r="H114" s="1" t="s">
        <v>403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404</v>
      </c>
      <c r="C115" s="1" t="s">
        <v>405</v>
      </c>
      <c r="D115" s="9" t="s">
        <v>406</v>
      </c>
      <c r="E115" s="1" t="s">
        <v>53</v>
      </c>
      <c r="F115" s="1" t="s">
        <v>43</v>
      </c>
      <c r="G115" s="1">
        <v>3</v>
      </c>
      <c r="H115" s="1" t="s">
        <v>407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408</v>
      </c>
      <c r="C116" s="1" t="s">
        <v>409</v>
      </c>
      <c r="D116" s="9" t="s">
        <v>410</v>
      </c>
      <c r="E116" s="1" t="s">
        <v>60</v>
      </c>
      <c r="F116" s="1" t="s">
        <v>43</v>
      </c>
      <c r="G116" s="1">
        <v>1</v>
      </c>
      <c r="H116" s="1" t="s">
        <v>411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412</v>
      </c>
      <c r="C117" s="1" t="s">
        <v>413</v>
      </c>
      <c r="D117" s="9" t="s">
        <v>414</v>
      </c>
      <c r="E117" s="1" t="s">
        <v>42</v>
      </c>
      <c r="F117" s="1" t="s">
        <v>43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415</v>
      </c>
      <c r="C118" s="1" t="s">
        <v>416</v>
      </c>
      <c r="D118" s="9" t="s">
        <v>417</v>
      </c>
      <c r="E118" s="1" t="s">
        <v>47</v>
      </c>
      <c r="F118" s="1" t="s">
        <v>43</v>
      </c>
      <c r="G118" s="1">
        <v>0.5</v>
      </c>
      <c r="H118" s="1" t="s">
        <v>418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419</v>
      </c>
      <c r="C119" s="1" t="s">
        <v>420</v>
      </c>
      <c r="D119" s="1" t="s">
        <v>421</v>
      </c>
      <c r="E119" s="1" t="s">
        <v>53</v>
      </c>
      <c r="F119" s="1" t="s">
        <v>43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422</v>
      </c>
      <c r="C120" s="1" t="s">
        <v>423</v>
      </c>
      <c r="D120" s="1" t="s">
        <v>424</v>
      </c>
      <c r="E120" s="1" t="s">
        <v>60</v>
      </c>
      <c r="F120" s="1" t="s">
        <v>43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spans="2:15">
      <c r="B121" s="1" t="s">
        <v>425</v>
      </c>
      <c r="C121" s="1" t="s">
        <v>426</v>
      </c>
      <c r="D121" s="1" t="s">
        <v>427</v>
      </c>
      <c r="E121" s="1" t="s">
        <v>42</v>
      </c>
      <c r="F121" s="1" t="s">
        <v>43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428</v>
      </c>
      <c r="C122" s="1" t="s">
        <v>429</v>
      </c>
      <c r="D122" s="9" t="s">
        <v>430</v>
      </c>
      <c r="E122" s="1" t="s">
        <v>47</v>
      </c>
      <c r="F122" s="1" t="s">
        <v>43</v>
      </c>
      <c r="G122" s="1">
        <v>15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431</v>
      </c>
      <c r="C123" s="1" t="s">
        <v>432</v>
      </c>
      <c r="D123" s="1" t="s">
        <v>433</v>
      </c>
      <c r="E123" s="1" t="s">
        <v>47</v>
      </c>
      <c r="F123" s="1" t="s">
        <v>43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434</v>
      </c>
      <c r="C124" s="1" t="s">
        <v>435</v>
      </c>
      <c r="D124" s="1" t="s">
        <v>433</v>
      </c>
      <c r="E124" s="1" t="s">
        <v>53</v>
      </c>
      <c r="F124" s="1" t="s">
        <v>43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436</v>
      </c>
      <c r="C125" s="1" t="s">
        <v>437</v>
      </c>
      <c r="D125" s="1" t="s">
        <v>438</v>
      </c>
      <c r="E125" s="1" t="s">
        <v>47</v>
      </c>
      <c r="F125" s="1" t="s">
        <v>43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439</v>
      </c>
      <c r="C126" s="1" t="s">
        <v>440</v>
      </c>
      <c r="D126" s="1" t="s">
        <v>441</v>
      </c>
      <c r="E126" s="1" t="s">
        <v>53</v>
      </c>
      <c r="F126" s="1" t="s">
        <v>43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442</v>
      </c>
      <c r="C127" s="1" t="s">
        <v>443</v>
      </c>
      <c r="D127" s="1" t="s">
        <v>444</v>
      </c>
      <c r="E127" s="1" t="s">
        <v>53</v>
      </c>
      <c r="F127" s="1" t="s">
        <v>43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M5" sqref="M5:M19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445</v>
      </c>
      <c r="G1" s="7" t="s">
        <v>6</v>
      </c>
      <c r="H1" s="7" t="s">
        <v>7</v>
      </c>
      <c r="I1" s="7" t="s">
        <v>8</v>
      </c>
      <c r="J1" s="7" t="s">
        <v>446</v>
      </c>
      <c r="K1" s="7" t="s">
        <v>447</v>
      </c>
      <c r="L1" s="7" t="s">
        <v>13</v>
      </c>
      <c r="M1" s="1" t="s">
        <v>14</v>
      </c>
      <c r="N1" s="1" t="s">
        <v>448</v>
      </c>
    </row>
    <row r="2" ht="16.5" customHeight="1" spans="1:14">
      <c r="A2" s="7" t="s">
        <v>16</v>
      </c>
      <c r="B2" s="1" t="s">
        <v>449</v>
      </c>
      <c r="C2" s="1" t="s">
        <v>450</v>
      </c>
      <c r="D2" s="1" t="s">
        <v>451</v>
      </c>
      <c r="E2" s="1" t="s">
        <v>21</v>
      </c>
      <c r="F2" s="1" t="s">
        <v>452</v>
      </c>
      <c r="G2" s="1" t="s">
        <v>22</v>
      </c>
      <c r="H2" s="1" t="s">
        <v>23</v>
      </c>
      <c r="I2" s="1" t="s">
        <v>24</v>
      </c>
      <c r="J2" s="1" t="s">
        <v>453</v>
      </c>
      <c r="K2" s="1" t="s">
        <v>454</v>
      </c>
      <c r="L2" s="1" t="s">
        <v>455</v>
      </c>
      <c r="M2" s="1" t="s">
        <v>30</v>
      </c>
      <c r="N2" s="1" t="s">
        <v>456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457</v>
      </c>
      <c r="K3" s="7" t="s">
        <v>37</v>
      </c>
      <c r="L3" s="7" t="s">
        <v>33</v>
      </c>
      <c r="M3" s="1" t="s">
        <v>37</v>
      </c>
      <c r="N3" s="1" t="s">
        <v>458</v>
      </c>
    </row>
    <row r="4" ht="33.75" customHeight="1" spans="2:14">
      <c r="B4" s="7" t="s">
        <v>459</v>
      </c>
      <c r="C4" s="1" t="s">
        <v>460</v>
      </c>
      <c r="D4" s="9" t="s">
        <v>461</v>
      </c>
      <c r="F4" s="7" t="s">
        <v>462</v>
      </c>
      <c r="G4" s="1">
        <v>0</v>
      </c>
      <c r="H4" s="7" t="s">
        <v>463</v>
      </c>
      <c r="I4" s="1">
        <v>1</v>
      </c>
      <c r="J4" s="7" t="s">
        <v>464</v>
      </c>
      <c r="K4" s="1">
        <v>1</v>
      </c>
      <c r="L4" s="7" t="s">
        <v>463</v>
      </c>
      <c r="M4" s="1">
        <v>65</v>
      </c>
      <c r="N4" s="1" t="s">
        <v>465</v>
      </c>
    </row>
    <row r="5" ht="33.75" customHeight="1" spans="2:14">
      <c r="B5" s="7" t="s">
        <v>466</v>
      </c>
      <c r="C5" s="1" t="s">
        <v>467</v>
      </c>
      <c r="D5" s="9" t="s">
        <v>468</v>
      </c>
      <c r="F5" s="7" t="s">
        <v>462</v>
      </c>
      <c r="G5" s="1">
        <v>0</v>
      </c>
      <c r="H5" s="7" t="s">
        <v>469</v>
      </c>
      <c r="I5" s="1">
        <v>1</v>
      </c>
      <c r="J5" s="7" t="s">
        <v>464</v>
      </c>
      <c r="K5" s="1">
        <v>1</v>
      </c>
      <c r="L5" s="7" t="s">
        <v>469</v>
      </c>
      <c r="M5" s="1">
        <v>65</v>
      </c>
      <c r="N5" s="1" t="s">
        <v>465</v>
      </c>
    </row>
    <row r="6" ht="33.75" customHeight="1" spans="2:14">
      <c r="B6" s="7" t="s">
        <v>470</v>
      </c>
      <c r="C6" s="1" t="s">
        <v>471</v>
      </c>
      <c r="D6" s="9" t="s">
        <v>472</v>
      </c>
      <c r="F6" s="7" t="s">
        <v>462</v>
      </c>
      <c r="G6" s="1">
        <v>0</v>
      </c>
      <c r="H6" s="7" t="s">
        <v>473</v>
      </c>
      <c r="I6" s="1">
        <v>1</v>
      </c>
      <c r="J6" s="7" t="s">
        <v>464</v>
      </c>
      <c r="K6" s="1">
        <v>1</v>
      </c>
      <c r="L6" s="7" t="s">
        <v>473</v>
      </c>
      <c r="M6" s="1">
        <v>65</v>
      </c>
      <c r="N6" s="1" t="s">
        <v>465</v>
      </c>
    </row>
    <row r="7" ht="33.75" customHeight="1" spans="2:14">
      <c r="B7" s="7" t="s">
        <v>474</v>
      </c>
      <c r="C7" s="1" t="s">
        <v>475</v>
      </c>
      <c r="D7" s="9" t="s">
        <v>476</v>
      </c>
      <c r="F7" s="7" t="s">
        <v>462</v>
      </c>
      <c r="G7" s="1">
        <v>0</v>
      </c>
      <c r="H7" s="7" t="s">
        <v>477</v>
      </c>
      <c r="I7" s="1">
        <v>1</v>
      </c>
      <c r="J7" s="7" t="s">
        <v>464</v>
      </c>
      <c r="K7" s="1">
        <v>1</v>
      </c>
      <c r="L7" s="7" t="s">
        <v>477</v>
      </c>
      <c r="M7" s="1">
        <v>65</v>
      </c>
      <c r="N7" s="1" t="s">
        <v>465</v>
      </c>
    </row>
    <row r="8" ht="33.75" customHeight="1" spans="2:14">
      <c r="B8" s="7" t="s">
        <v>478</v>
      </c>
      <c r="C8" s="1" t="s">
        <v>479</v>
      </c>
      <c r="D8" s="9" t="s">
        <v>480</v>
      </c>
      <c r="F8" s="7" t="s">
        <v>462</v>
      </c>
      <c r="G8" s="1">
        <v>0</v>
      </c>
      <c r="H8" s="7" t="s">
        <v>481</v>
      </c>
      <c r="I8" s="1">
        <v>1</v>
      </c>
      <c r="J8" s="7" t="s">
        <v>464</v>
      </c>
      <c r="K8" s="1">
        <v>1</v>
      </c>
      <c r="L8" s="7" t="s">
        <v>481</v>
      </c>
      <c r="M8" s="1">
        <v>65</v>
      </c>
      <c r="N8" s="1" t="s">
        <v>465</v>
      </c>
    </row>
    <row r="9" ht="33.75" customHeight="1" spans="2:14">
      <c r="B9" s="7" t="s">
        <v>482</v>
      </c>
      <c r="C9" s="1" t="s">
        <v>483</v>
      </c>
      <c r="D9" s="9" t="s">
        <v>484</v>
      </c>
      <c r="F9" s="7" t="s">
        <v>462</v>
      </c>
      <c r="G9" s="1">
        <v>0</v>
      </c>
      <c r="H9" s="7" t="s">
        <v>485</v>
      </c>
      <c r="I9" s="1">
        <v>1</v>
      </c>
      <c r="J9" s="7" t="s">
        <v>464</v>
      </c>
      <c r="K9" s="1">
        <v>1</v>
      </c>
      <c r="L9" s="7" t="s">
        <v>485</v>
      </c>
      <c r="M9" s="1">
        <v>65</v>
      </c>
      <c r="N9" s="1" t="s">
        <v>465</v>
      </c>
    </row>
    <row r="10" ht="33.75" customHeight="1" spans="2:14">
      <c r="B10" s="10" t="s">
        <v>486</v>
      </c>
      <c r="C10" s="8" t="s">
        <v>487</v>
      </c>
      <c r="D10" s="11" t="s">
        <v>488</v>
      </c>
      <c r="F10" s="8" t="s">
        <v>489</v>
      </c>
      <c r="G10" s="8">
        <v>0</v>
      </c>
      <c r="I10" s="8">
        <v>1</v>
      </c>
      <c r="J10" s="8" t="s">
        <v>490</v>
      </c>
      <c r="K10" s="8">
        <v>0</v>
      </c>
      <c r="M10" s="1">
        <v>65</v>
      </c>
      <c r="N10" s="1" t="s">
        <v>491</v>
      </c>
    </row>
    <row r="11" ht="33.75" customHeight="1" spans="2:14">
      <c r="B11" s="10" t="s">
        <v>492</v>
      </c>
      <c r="C11" s="8" t="s">
        <v>493</v>
      </c>
      <c r="D11" s="11" t="s">
        <v>494</v>
      </c>
      <c r="F11" s="8" t="s">
        <v>495</v>
      </c>
      <c r="G11" s="8">
        <v>0.5</v>
      </c>
      <c r="I11" s="8">
        <v>1</v>
      </c>
      <c r="J11" s="8" t="s">
        <v>490</v>
      </c>
      <c r="K11" s="8">
        <v>0</v>
      </c>
      <c r="M11" s="1">
        <v>65</v>
      </c>
      <c r="N11" s="1" t="s">
        <v>491</v>
      </c>
    </row>
    <row r="12" ht="33.75" customHeight="1" spans="2:14">
      <c r="B12" s="10" t="s">
        <v>496</v>
      </c>
      <c r="C12" s="8" t="s">
        <v>497</v>
      </c>
      <c r="D12" s="8" t="s">
        <v>498</v>
      </c>
      <c r="F12" s="8" t="s">
        <v>499</v>
      </c>
      <c r="G12" s="8">
        <v>0</v>
      </c>
      <c r="I12" s="8">
        <v>1</v>
      </c>
      <c r="J12" s="8" t="s">
        <v>490</v>
      </c>
      <c r="K12" s="8">
        <v>0</v>
      </c>
      <c r="M12" s="1">
        <v>65</v>
      </c>
      <c r="N12" s="1" t="s">
        <v>491</v>
      </c>
    </row>
    <row r="13" ht="33.75" customHeight="1" spans="2:14">
      <c r="B13" s="10" t="s">
        <v>500</v>
      </c>
      <c r="C13" s="8" t="s">
        <v>501</v>
      </c>
      <c r="D13" s="11" t="s">
        <v>502</v>
      </c>
      <c r="F13" s="8" t="s">
        <v>503</v>
      </c>
      <c r="G13" s="8">
        <v>0</v>
      </c>
      <c r="H13" s="8" t="s">
        <v>504</v>
      </c>
      <c r="I13" s="8">
        <v>1</v>
      </c>
      <c r="J13" s="8" t="s">
        <v>490</v>
      </c>
      <c r="K13" s="8">
        <v>1</v>
      </c>
      <c r="M13" s="1">
        <v>65</v>
      </c>
      <c r="N13" s="1" t="s">
        <v>491</v>
      </c>
    </row>
    <row r="14" ht="33.75" customHeight="1" spans="2:14">
      <c r="B14" s="8" t="s">
        <v>505</v>
      </c>
      <c r="C14" s="8" t="s">
        <v>506</v>
      </c>
      <c r="D14" s="11" t="s">
        <v>507</v>
      </c>
      <c r="F14" s="8" t="s">
        <v>508</v>
      </c>
      <c r="G14" s="8">
        <v>0</v>
      </c>
      <c r="H14" s="8" t="s">
        <v>509</v>
      </c>
      <c r="I14" s="8">
        <v>1</v>
      </c>
      <c r="J14" s="8" t="s">
        <v>490</v>
      </c>
      <c r="K14" s="8">
        <v>1</v>
      </c>
      <c r="M14" s="1">
        <v>65</v>
      </c>
      <c r="N14" s="1" t="s">
        <v>491</v>
      </c>
    </row>
    <row r="15" ht="33.75" customHeight="1" spans="2:14">
      <c r="B15" s="8" t="s">
        <v>510</v>
      </c>
      <c r="C15" s="8" t="s">
        <v>511</v>
      </c>
      <c r="D15" s="11" t="s">
        <v>512</v>
      </c>
      <c r="F15" s="8" t="s">
        <v>513</v>
      </c>
      <c r="G15" s="8">
        <v>0</v>
      </c>
      <c r="H15" s="8" t="s">
        <v>514</v>
      </c>
      <c r="I15" s="8">
        <v>1</v>
      </c>
      <c r="J15" s="8" t="s">
        <v>490</v>
      </c>
      <c r="K15" s="8">
        <v>1</v>
      </c>
      <c r="M15" s="1">
        <v>65</v>
      </c>
      <c r="N15" s="1" t="s">
        <v>491</v>
      </c>
    </row>
    <row r="16" ht="33.75" customHeight="1" spans="2:14">
      <c r="B16" s="8" t="s">
        <v>515</v>
      </c>
      <c r="C16" s="8" t="s">
        <v>516</v>
      </c>
      <c r="D16" s="11" t="s">
        <v>517</v>
      </c>
      <c r="F16" s="8" t="s">
        <v>518</v>
      </c>
      <c r="G16" s="8">
        <v>0</v>
      </c>
      <c r="H16" t="s">
        <v>519</v>
      </c>
      <c r="I16" s="8">
        <v>1</v>
      </c>
      <c r="J16" s="8" t="s">
        <v>490</v>
      </c>
      <c r="K16" s="8">
        <v>1</v>
      </c>
      <c r="M16" s="1">
        <v>65</v>
      </c>
      <c r="N16" s="1" t="s">
        <v>491</v>
      </c>
    </row>
    <row r="17" ht="33.75" customHeight="1" spans="2:14">
      <c r="B17" s="8" t="s">
        <v>520</v>
      </c>
      <c r="C17" s="8" t="s">
        <v>521</v>
      </c>
      <c r="D17" s="11" t="s">
        <v>522</v>
      </c>
      <c r="F17" s="8" t="s">
        <v>523</v>
      </c>
      <c r="G17" s="8">
        <v>0</v>
      </c>
      <c r="H17" t="s">
        <v>524</v>
      </c>
      <c r="I17" s="8">
        <v>1</v>
      </c>
      <c r="J17" s="8" t="s">
        <v>490</v>
      </c>
      <c r="K17" s="8">
        <v>1</v>
      </c>
      <c r="M17" s="1">
        <v>65</v>
      </c>
      <c r="N17" s="1" t="s">
        <v>491</v>
      </c>
    </row>
    <row r="18" s="8" customFormat="1" ht="34" customHeight="1" spans="2:14">
      <c r="B18" s="8" t="s">
        <v>525</v>
      </c>
      <c r="C18" s="8" t="s">
        <v>526</v>
      </c>
      <c r="D18" s="8" t="s">
        <v>527</v>
      </c>
      <c r="F18" s="8" t="s">
        <v>528</v>
      </c>
      <c r="G18" s="8">
        <v>0</v>
      </c>
      <c r="I18" s="8">
        <v>1</v>
      </c>
      <c r="J18" s="8" t="s">
        <v>490</v>
      </c>
      <c r="K18" s="8">
        <v>1</v>
      </c>
      <c r="L18" s="1"/>
      <c r="M18" s="1">
        <v>65</v>
      </c>
      <c r="N18" s="1" t="s">
        <v>491</v>
      </c>
    </row>
    <row r="19" s="8" customFormat="1" ht="34" customHeight="1" spans="2:14">
      <c r="B19" s="8" t="s">
        <v>529</v>
      </c>
      <c r="C19" s="8" t="s">
        <v>530</v>
      </c>
      <c r="D19" s="11" t="s">
        <v>531</v>
      </c>
      <c r="F19" s="8" t="s">
        <v>532</v>
      </c>
      <c r="G19" s="8">
        <v>0</v>
      </c>
      <c r="I19" s="8">
        <v>1</v>
      </c>
      <c r="J19" s="8" t="s">
        <v>490</v>
      </c>
      <c r="K19" s="8">
        <v>1</v>
      </c>
      <c r="L19" s="1"/>
      <c r="M19" s="1">
        <v>65</v>
      </c>
      <c r="N19" s="1" t="s">
        <v>491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533</v>
      </c>
      <c r="C1" s="3" t="s">
        <v>534</v>
      </c>
      <c r="D1" s="3" t="s">
        <v>535</v>
      </c>
      <c r="E1" s="3" t="s">
        <v>536</v>
      </c>
      <c r="H1" s="7" t="s">
        <v>1</v>
      </c>
      <c r="I1" s="2" t="s">
        <v>537</v>
      </c>
      <c r="L1" t="s">
        <v>538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539</v>
      </c>
      <c r="C2" s="3" t="s">
        <v>540</v>
      </c>
      <c r="D2" s="3" t="s">
        <v>541</v>
      </c>
      <c r="E2" s="3" t="s">
        <v>542</v>
      </c>
      <c r="H2" s="1">
        <v>1</v>
      </c>
      <c r="I2" s="2" t="str">
        <f t="shared" ref="I2:I65" si="0">E2</f>
        <v>获得时，获得两个随机（xx品质）的装饰品</v>
      </c>
      <c r="L2" t="s">
        <v>543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544</v>
      </c>
      <c r="E3" s="3" t="s">
        <v>545</v>
      </c>
      <c r="H3" s="1">
        <v>2</v>
      </c>
      <c r="I3" s="2" t="str">
        <f t="shared" si="0"/>
        <v>获得时，从多个装饰品中选择一个获得</v>
      </c>
      <c r="L3" t="s">
        <v>546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547</v>
      </c>
      <c r="E4" s="3" t="s">
        <v>548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544</v>
      </c>
      <c r="E5" s="3" t="s">
        <v>549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550</v>
      </c>
      <c r="E6" s="3" t="s">
        <v>551</v>
      </c>
      <c r="H6" s="1">
        <v>5</v>
      </c>
      <c r="I6" s="2" t="str">
        <f t="shared" si="0"/>
        <v>获得时，从多个食物中选择一个获得</v>
      </c>
      <c r="Q6" t="s">
        <v>552</v>
      </c>
    </row>
    <row r="7" ht="17.25" customHeight="1" spans="2:21">
      <c r="B7" s="4"/>
      <c r="C7" s="4"/>
      <c r="D7" s="3" t="s">
        <v>553</v>
      </c>
      <c r="E7" s="3" t="s">
        <v>554</v>
      </c>
      <c r="H7" s="1">
        <v>6</v>
      </c>
      <c r="I7" s="2" t="str">
        <f t="shared" si="0"/>
        <v>获得时，从多个餐桌格中选择一个获得</v>
      </c>
      <c r="K7" t="s">
        <v>555</v>
      </c>
      <c r="M7">
        <v>300</v>
      </c>
      <c r="O7" t="s">
        <v>556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557</v>
      </c>
      <c r="E8" s="3" t="s">
        <v>558</v>
      </c>
      <c r="H8" s="1">
        <v>7</v>
      </c>
      <c r="I8" s="2" t="str">
        <f t="shared" si="0"/>
        <v>获得时，获得一个随机装饰品、随机食物、50金币</v>
      </c>
      <c r="K8" t="s">
        <v>559</v>
      </c>
      <c r="M8">
        <v>100</v>
      </c>
      <c r="O8" t="s">
        <v>560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561</v>
      </c>
      <c r="E9" s="3" t="s">
        <v>562</v>
      </c>
      <c r="H9" s="1">
        <v>8</v>
      </c>
      <c r="I9" s="2" t="str">
        <f t="shared" si="0"/>
        <v>所有装饰品和消耗品替换为随机装饰品和消耗品</v>
      </c>
      <c r="K9" t="s">
        <v>563</v>
      </c>
      <c r="M9">
        <v>30</v>
      </c>
      <c r="O9" t="s">
        <v>564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565</v>
      </c>
      <c r="D10" s="3" t="s">
        <v>566</v>
      </c>
      <c r="E10" s="3" t="s">
        <v>567</v>
      </c>
      <c r="H10" s="1">
        <v>9</v>
      </c>
      <c r="I10" s="2" t="str">
        <f t="shared" si="0"/>
        <v>获得1～100个金币</v>
      </c>
      <c r="K10" t="s">
        <v>568</v>
      </c>
      <c r="M10">
        <v>10</v>
      </c>
      <c r="O10" t="s">
        <v>569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570</v>
      </c>
      <c r="E11" s="3" t="s">
        <v>571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572</v>
      </c>
      <c r="E12" s="3" t="s">
        <v>573</v>
      </c>
      <c r="H12" s="1">
        <v>11</v>
      </c>
      <c r="I12" s="2" t="str">
        <f t="shared" si="0"/>
        <v>完成本次星级评鉴后，额外获得100金币</v>
      </c>
      <c r="P12" t="s">
        <v>574</v>
      </c>
      <c r="Q12" t="s">
        <v>575</v>
      </c>
      <c r="R12" t="s">
        <v>576</v>
      </c>
    </row>
    <row r="13" ht="17.25" customHeight="1" spans="2:14">
      <c r="B13" s="4"/>
      <c r="C13" s="4"/>
      <c r="D13" s="5" t="s">
        <v>577</v>
      </c>
      <c r="E13" s="3" t="s">
        <v>578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579</v>
      </c>
      <c r="N13">
        <v>240</v>
      </c>
    </row>
    <row r="14" ht="17.25" customHeight="1" spans="2:16">
      <c r="B14" s="4"/>
      <c r="C14" s="4" t="s">
        <v>580</v>
      </c>
      <c r="D14" s="3" t="s">
        <v>581</v>
      </c>
      <c r="E14" s="3" t="s">
        <v>582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583</v>
      </c>
      <c r="N14">
        <v>150</v>
      </c>
      <c r="P14">
        <v>250</v>
      </c>
    </row>
    <row r="15" ht="17.25" customHeight="1" spans="2:17">
      <c r="B15" s="4"/>
      <c r="C15" s="3"/>
      <c r="D15" s="3" t="s">
        <v>584</v>
      </c>
      <c r="E15" s="3" t="s">
        <v>585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587</v>
      </c>
      <c r="E16" s="3" t="s">
        <v>588</v>
      </c>
      <c r="H16" s="1">
        <v>15</v>
      </c>
      <c r="I16" s="2" t="str">
        <f t="shared" si="0"/>
        <v>买消耗品打折20%</v>
      </c>
      <c r="M16" t="s">
        <v>589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590</v>
      </c>
      <c r="E17" s="3" t="s">
        <v>591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592</v>
      </c>
      <c r="E18" s="3" t="s">
        <v>593</v>
      </c>
      <c r="H18" s="1">
        <v>17</v>
      </c>
      <c r="I18" s="2" t="str">
        <f t="shared" si="0"/>
        <v>移除食物价格打折20%</v>
      </c>
      <c r="M18" t="s">
        <v>594</v>
      </c>
      <c r="N18">
        <v>1.4</v>
      </c>
    </row>
    <row r="19" ht="17.25" customHeight="1" spans="2:9">
      <c r="B19" s="4"/>
      <c r="C19" s="4"/>
      <c r="D19" s="3" t="s">
        <v>592</v>
      </c>
      <c r="E19" s="3" t="s">
        <v>595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596</v>
      </c>
      <c r="D20" s="3" t="s">
        <v>597</v>
      </c>
      <c r="E20" s="3" t="s">
        <v>598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599</v>
      </c>
      <c r="D21" s="3" t="s">
        <v>600</v>
      </c>
      <c r="E21" s="3" t="s">
        <v>601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602</v>
      </c>
      <c r="E22" s="3" t="s">
        <v>603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604</v>
      </c>
      <c r="E23" s="3" t="s">
        <v>605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606</v>
      </c>
      <c r="E24" s="3" t="s">
        <v>607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608</v>
      </c>
      <c r="D25" s="3" t="s">
        <v>609</v>
      </c>
      <c r="E25" s="3" t="s">
        <v>610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609</v>
      </c>
      <c r="E26" s="3" t="s">
        <v>611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612</v>
      </c>
      <c r="D27" s="3" t="s">
        <v>613</v>
      </c>
      <c r="E27" s="3" t="s">
        <v>614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615</v>
      </c>
      <c r="D28" s="3" t="s">
        <v>616</v>
      </c>
      <c r="E28" s="3" t="s">
        <v>617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618</v>
      </c>
      <c r="D29" s="3" t="s">
        <v>616</v>
      </c>
      <c r="E29" s="3" t="s">
        <v>619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620</v>
      </c>
      <c r="D30" s="3" t="s">
        <v>621</v>
      </c>
      <c r="E30" s="3" t="s">
        <v>622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621</v>
      </c>
      <c r="E31" s="3" t="s">
        <v>623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624</v>
      </c>
      <c r="D32" s="3" t="s">
        <v>624</v>
      </c>
      <c r="E32" s="3" t="s">
        <v>625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626</v>
      </c>
      <c r="E33" s="3" t="s">
        <v>627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628</v>
      </c>
      <c r="E34" s="3" t="s">
        <v>629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630</v>
      </c>
      <c r="E35" s="3" t="s">
        <v>631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632</v>
      </c>
      <c r="E36" s="3" t="s">
        <v>633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634</v>
      </c>
      <c r="E37" s="3" t="s">
        <v>635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636</v>
      </c>
      <c r="D38" s="3" t="s">
        <v>561</v>
      </c>
      <c r="E38" s="3" t="s">
        <v>637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638</v>
      </c>
      <c r="E39" s="3" t="s">
        <v>639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640</v>
      </c>
      <c r="E40" s="3" t="s">
        <v>640</v>
      </c>
      <c r="H40" s="1">
        <v>39</v>
      </c>
      <c r="I40" s="2" t="str">
        <f t="shared" si="0"/>
        <v>周数-1</v>
      </c>
      <c r="K40" t="s">
        <v>641</v>
      </c>
    </row>
    <row r="41" ht="17.25" customHeight="1" spans="2:9">
      <c r="B41" s="4"/>
      <c r="C41" s="4"/>
      <c r="D41" s="3" t="s">
        <v>642</v>
      </c>
      <c r="E41" s="3" t="s">
        <v>643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644</v>
      </c>
      <c r="E42" s="3" t="s">
        <v>645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646</v>
      </c>
      <c r="D43" s="3" t="s">
        <v>647</v>
      </c>
      <c r="E43" s="3" t="s">
        <v>648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649</v>
      </c>
      <c r="E44" s="3" t="s">
        <v>650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651</v>
      </c>
      <c r="E45" s="3" t="s">
        <v>652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653</v>
      </c>
      <c r="D46" s="3" t="s">
        <v>654</v>
      </c>
      <c r="E46" s="3" t="s">
        <v>655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565</v>
      </c>
      <c r="E47" s="3" t="s">
        <v>656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657</v>
      </c>
      <c r="E48" s="3" t="s">
        <v>658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659</v>
      </c>
      <c r="D49" s="3" t="s">
        <v>660</v>
      </c>
      <c r="E49" s="3" t="s">
        <v>661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662</v>
      </c>
      <c r="E50" s="3" t="s">
        <v>663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664</v>
      </c>
      <c r="E51" s="3" t="s">
        <v>665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666</v>
      </c>
      <c r="E52" s="3" t="s">
        <v>667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668</v>
      </c>
      <c r="E53" s="3" t="s">
        <v>669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670</v>
      </c>
      <c r="E54" s="3" t="s">
        <v>671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672</v>
      </c>
      <c r="D55" s="3" t="s">
        <v>673</v>
      </c>
      <c r="E55" s="3" t="s">
        <v>674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675</v>
      </c>
      <c r="E56" s="3" t="s">
        <v>676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677</v>
      </c>
      <c r="D57" s="3" t="s">
        <v>678</v>
      </c>
      <c r="E57" s="3" t="s">
        <v>679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678</v>
      </c>
      <c r="E58" s="3" t="s">
        <v>680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681</v>
      </c>
      <c r="E59" s="3" t="s">
        <v>682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683</v>
      </c>
      <c r="E60" s="3" t="s">
        <v>684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685</v>
      </c>
      <c r="E61" s="3" t="s">
        <v>686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687</v>
      </c>
      <c r="D62" s="3" t="s">
        <v>688</v>
      </c>
      <c r="E62" s="3" t="s">
        <v>689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690</v>
      </c>
      <c r="D63" s="3" t="s">
        <v>691</v>
      </c>
      <c r="E63" s="3" t="s">
        <v>692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693</v>
      </c>
      <c r="E64" s="3" t="s">
        <v>694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695</v>
      </c>
      <c r="E65" s="3" t="s">
        <v>696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697</v>
      </c>
      <c r="E66" s="3" t="s">
        <v>698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699</v>
      </c>
      <c r="E67" s="3" t="s">
        <v>700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701</v>
      </c>
      <c r="D68" s="3" t="s">
        <v>702</v>
      </c>
      <c r="E68" s="3" t="s">
        <v>703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704</v>
      </c>
      <c r="E69" s="3" t="s">
        <v>705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706</v>
      </c>
      <c r="C70" s="4" t="s">
        <v>707</v>
      </c>
      <c r="D70" s="3" t="s">
        <v>708</v>
      </c>
      <c r="E70" s="3" t="s">
        <v>709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710</v>
      </c>
      <c r="E71" s="3" t="s">
        <v>711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712</v>
      </c>
      <c r="E72" s="3" t="s">
        <v>713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714</v>
      </c>
      <c r="E73" s="3" t="s">
        <v>715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716</v>
      </c>
      <c r="E74" s="3" t="s">
        <v>717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718</v>
      </c>
      <c r="E75" s="3" t="s">
        <v>719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720</v>
      </c>
      <c r="E76" s="3" t="s">
        <v>721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722</v>
      </c>
      <c r="E77" s="3" t="s">
        <v>723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724</v>
      </c>
      <c r="E78" s="3" t="s">
        <v>725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726</v>
      </c>
      <c r="C79" s="4" t="s">
        <v>727</v>
      </c>
      <c r="D79" s="3" t="s">
        <v>728</v>
      </c>
      <c r="E79" s="3" t="s">
        <v>729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730</v>
      </c>
      <c r="D80" s="3" t="s">
        <v>731</v>
      </c>
      <c r="E80" s="3" t="s">
        <v>732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731</v>
      </c>
      <c r="E81" s="3" t="s">
        <v>733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734</v>
      </c>
      <c r="E82" s="3" t="s">
        <v>735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736</v>
      </c>
      <c r="E83" s="3" t="s">
        <v>737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738</v>
      </c>
      <c r="D84" s="3" t="s">
        <v>739</v>
      </c>
      <c r="E84" s="3" t="s">
        <v>740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741</v>
      </c>
      <c r="E85" s="3" t="s">
        <v>742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743</v>
      </c>
      <c r="E86" s="3" t="s">
        <v>744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745</v>
      </c>
      <c r="E87" s="3" t="s">
        <v>746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747</v>
      </c>
      <c r="E88" s="3" t="s">
        <v>748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749</v>
      </c>
    </row>
    <row r="126" spans="5:5">
      <c r="E126" s="7" t="s">
        <v>750</v>
      </c>
    </row>
    <row r="127" spans="5:5">
      <c r="E127" s="7" t="s">
        <v>751</v>
      </c>
    </row>
    <row r="128" spans="5:5">
      <c r="E128" s="7" t="s">
        <v>752</v>
      </c>
    </row>
    <row r="129" spans="5:5">
      <c r="E129" s="7" t="s">
        <v>753</v>
      </c>
    </row>
    <row r="130" spans="5:5">
      <c r="E130" s="7" t="s">
        <v>754</v>
      </c>
    </row>
    <row r="131" spans="5:5">
      <c r="E131" s="7" t="s">
        <v>755</v>
      </c>
    </row>
    <row r="132" spans="5:5">
      <c r="E132" s="7" t="s">
        <v>756</v>
      </c>
    </row>
    <row r="133" spans="5:5">
      <c r="E133" s="7" t="s">
        <v>757</v>
      </c>
    </row>
    <row r="134" spans="5:5">
      <c r="E134" s="7" t="s">
        <v>758</v>
      </c>
    </row>
    <row r="135" spans="5:5">
      <c r="E135" s="7" t="s">
        <v>759</v>
      </c>
    </row>
    <row r="136" spans="5:5">
      <c r="E136" s="7" t="s">
        <v>760</v>
      </c>
    </row>
    <row r="137" spans="5:5">
      <c r="E137" s="7" t="s">
        <v>761</v>
      </c>
    </row>
    <row r="138" spans="5:5">
      <c r="E138" s="7" t="s">
        <v>762</v>
      </c>
    </row>
    <row r="139" spans="5:5">
      <c r="E139" s="7" t="s">
        <v>763</v>
      </c>
    </row>
    <row r="140" spans="5:5">
      <c r="E140" s="7" t="s">
        <v>764</v>
      </c>
    </row>
    <row r="141" spans="5:5">
      <c r="E141" s="7" t="s">
        <v>765</v>
      </c>
    </row>
    <row r="142" spans="5:5">
      <c r="E142" s="7" t="s">
        <v>766</v>
      </c>
    </row>
    <row r="143" spans="5:5">
      <c r="E143" s="7" t="s">
        <v>767</v>
      </c>
    </row>
    <row r="144" spans="5:5">
      <c r="E144" s="7" t="s">
        <v>768</v>
      </c>
    </row>
    <row r="145" spans="5:5">
      <c r="E145" s="7" t="s">
        <v>769</v>
      </c>
    </row>
    <row r="146" spans="5:5">
      <c r="E146" s="7" t="s">
        <v>770</v>
      </c>
    </row>
    <row r="147" spans="5:5">
      <c r="E147" s="7" t="s">
        <v>771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2026-08-19T11:48:00Z</dcterms:created>
  <dcterms:modified xsi:type="dcterms:W3CDTF">2026-08-20T17:12:05Z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98CB9E4CC4DEC2236FF5826A589131B7_42</vt:lpwstr>
  </property>
  <property fmtid="{D5CDD505-2E9C-101B-9397-08002B2CF9AE}" pid="3" name="KSOProductBuildVer">
    <vt:lpwstr>2052-6.1.0.8274</vt:lpwstr>
  </property>
</Properties>
</file>