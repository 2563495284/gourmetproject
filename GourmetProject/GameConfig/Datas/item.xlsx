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60" activeTab="1"/>
  </bookViews>
  <sheets>
    <sheet name="装饰品" sheetId="1" r:id="rId1"/>
    <sheet name="消耗品" sheetId="2" r:id="rId2"/>
    <sheet name="装饰品与消耗品设计" sheetId="3" r:id="rId3"/>
  </sheets>
  <calcPr calcId="144525"/>
</workbook>
</file>

<file path=xl/sharedStrings.xml><?xml version="1.0" encoding="utf-8"?>
<sst xmlns="http://schemas.openxmlformats.org/spreadsheetml/2006/main" count="1149" uniqueCount="772">
  <si>
    <t>##var</t>
  </si>
  <si>
    <t>id</t>
  </si>
  <si>
    <t>name</t>
  </si>
  <si>
    <t>desc</t>
  </si>
  <si>
    <t>quality</t>
  </si>
  <si>
    <t>specialTags</t>
  </si>
  <si>
    <t>effectValue</t>
  </si>
  <si>
    <t>effectParam</t>
  </si>
  <si>
    <t>baseWeight</t>
  </si>
  <si>
    <t>targetScoreHiddenOffset</t>
  </si>
  <si>
    <t>dishHiddenOffset</t>
  </si>
  <si>
    <t>itemLuckOffset</t>
  </si>
  <si>
    <t>fragmentHiddenOffset</t>
  </si>
  <si>
    <t>termId</t>
  </si>
  <si>
    <t>price</t>
  </si>
  <si>
    <t>archetypeTags</t>
  </si>
  <si>
    <t>##comment</t>
  </si>
  <si>
    <t>装饰品ID</t>
  </si>
  <si>
    <t>装饰品名称</t>
  </si>
  <si>
    <t>装饰品描述</t>
  </si>
  <si>
    <t>装饰品品质</t>
  </si>
  <si>
    <t>特殊标签标记</t>
  </si>
  <si>
    <t>效果数值</t>
  </si>
  <si>
    <t>效果参数</t>
  </si>
  <si>
    <t>随机基础权重</t>
  </si>
  <si>
    <t>目标美味值隐藏分修正</t>
  </si>
  <si>
    <t>食物隐藏分修正</t>
  </si>
  <si>
    <t>装饰品运气常驻修正</t>
  </si>
  <si>
    <t>餐桌格隐藏分修正</t>
  </si>
  <si>
    <t>关联术语ID(,|分隔)</t>
  </si>
  <si>
    <t>商店基础价格</t>
  </si>
  <si>
    <t>装饰品流派标签，多个用|分隔；空=无流派</t>
  </si>
  <si>
    <t>##type</t>
  </si>
  <si>
    <t>string</t>
  </si>
  <si>
    <t>ItemQuality</t>
  </si>
  <si>
    <t>ItemSpecialTag</t>
  </si>
  <si>
    <t>float</t>
  </si>
  <si>
    <t>int</t>
  </si>
  <si>
    <t>(list#sep=|),ItemArchetypeTag</t>
  </si>
  <si>
    <t>item_randomize_items</t>
  </si>
  <si>
    <t>洗好的扑克</t>
  </si>
  <si>
    <t>[context]所有[/context][term]装饰品[/term]
替换为随机的[term]装饰品[/term]</t>
  </si>
  <si>
    <t>Rare</t>
  </si>
  <si>
    <t>None</t>
  </si>
  <si>
    <t>item_gold_random</t>
  </si>
  <si>
    <t>陶瓷招财猫</t>
  </si>
  <si>
    <t>获得[gold]30～150金币[/gold]</t>
  </si>
  <si>
    <t>Common</t>
  </si>
  <si>
    <t>range:30,150</t>
  </si>
  <si>
    <t>item_gold_meal_bonus</t>
  </si>
  <si>
    <t>柜台小费罐</t>
  </si>
  <si>
    <t>接下来10次[context]日常营业[/context]
额外获得[gold]15金币[/gold]</t>
  </si>
  <si>
    <t>meals:10</t>
  </si>
  <si>
    <t>Uncommon</t>
  </si>
  <si>
    <t>item_gold_boss</t>
  </si>
  <si>
    <t>金边奖杯</t>
  </si>
  <si>
    <t>完成下次[context]星级评鉴[/context]
额外[gold]+100金币[/gold]</t>
  </si>
  <si>
    <t>item_gold_percent</t>
  </si>
  <si>
    <t>黄铜算盘</t>
  </si>
  <si>
    <t>营业获得的[gold]金币[/gold]
额外[gold]+20%[/gold]</t>
  </si>
  <si>
    <t>Epic</t>
  </si>
  <si>
    <t>item_trash_upgrade</t>
  </si>
  <si>
    <t>藤编纸篓</t>
  </si>
  <si>
    <t>[term]丢弃[/term]次数+1</t>
  </si>
  <si>
    <t>item_trash_expand</t>
  </si>
  <si>
    <t>壁挂废物桶</t>
  </si>
  <si>
    <t>item_trash_evolve</t>
  </si>
  <si>
    <t>脚踏垃圾桶</t>
  </si>
  <si>
    <t>[term]丢弃[/term]次数+2</t>
  </si>
  <si>
    <t>item_trash_mutate</t>
  </si>
  <si>
    <t>推盖垃圾桶</t>
  </si>
  <si>
    <t>item_discount_food</t>
  </si>
  <si>
    <t>香草盆栽</t>
  </si>
  <si>
    <t>食物价格-15%</t>
  </si>
  <si>
    <t>item_discount_fragment</t>
  </si>
  <si>
    <t>餐桌模型</t>
  </si>
  <si>
    <t>餐桌格价格-15%</t>
  </si>
  <si>
    <t>item_discount_active</t>
  </si>
  <si>
    <t>强化券匣</t>
  </si>
  <si>
    <t>强化箱价格-15%</t>
  </si>
  <si>
    <t>item_discount_adjust</t>
  </si>
  <si>
    <t>调整单夹</t>
  </si>
  <si>
    <t>调整单价格-15%</t>
  </si>
  <si>
    <t>item_discount_passive</t>
  </si>
  <si>
    <t>装饰样板墙</t>
  </si>
  <si>
    <t>[term]装饰品[/term]价格-15%</t>
  </si>
  <si>
    <t>item_discount_remove</t>
  </si>
  <si>
    <t>抽页食谱夹</t>
  </si>
  <si>
    <t>移除食物价格-15%</t>
  </si>
  <si>
    <t>item_discount_food_festival</t>
  </si>
  <si>
    <t>丰收菜篮</t>
  </si>
  <si>
    <t>食物价格-25%</t>
  </si>
  <si>
    <t>item_discount_fragment_festival</t>
  </si>
  <si>
    <t>宴会桌模型</t>
  </si>
  <si>
    <t>餐桌格价格-30%</t>
  </si>
  <si>
    <t>item_discount_active_festival</t>
  </si>
  <si>
    <t>金边强化券</t>
  </si>
  <si>
    <t>强化箱价格-30%</t>
  </si>
  <si>
    <t>item_discount_adjust_festival</t>
  </si>
  <si>
    <t>烫金调整单</t>
  </si>
  <si>
    <t>调整单价格-30%</t>
  </si>
  <si>
    <t>item_discount_passive_festival</t>
  </si>
  <si>
    <t>多层展柜</t>
  </si>
  <si>
    <t>[term]装饰品[/term]价格-30%</t>
  </si>
  <si>
    <t>item_discount_remove_festival</t>
  </si>
  <si>
    <t>可擦食谱板</t>
  </si>
  <si>
    <t>移除食物价格-30%</t>
  </si>
  <si>
    <t>item_famous_knife</t>
  </si>
  <si>
    <t>名刀展示架</t>
  </si>
  <si>
    <t>即将失败时
恢复至2颗红心
生效1次后失效</t>
  </si>
  <si>
    <t>item_heart_flat_all</t>
  </si>
  <si>
    <t>暖心壁灯</t>
  </si>
  <si>
    <t>[context]结算开始[/context]
每拥有1颗红心
[context]所有[/context]食物[strong]分数[/strong][score]+10[/score]</t>
  </si>
  <si>
    <t>item_empty_heart_mult_all</t>
  </si>
  <si>
    <t>裂纹心形镜</t>
  </si>
  <si>
    <t>[context]结算开始[/context]
每拥有1个空红心
[context]所有[/context]食物[strong]倍率[/strong][multadd]+0.3[/multadd]</t>
  </si>
  <si>
    <t>item_score_to_one</t>
  </si>
  <si>
    <t>开业纪念照</t>
  </si>
  <si>
    <t>接下来2次营业
目标美味值为1</t>
  </si>
  <si>
    <t>meals:2</t>
  </si>
  <si>
    <t>item_req_normal_down</t>
  </si>
  <si>
    <t>家常菜挂画</t>
  </si>
  <si>
    <t>[context]日常营业[/context]
目标美味值-25%</t>
  </si>
  <si>
    <t>item_req_super_down</t>
  </si>
  <si>
    <t>红格桌布</t>
  </si>
  <si>
    <t>[context]火热营业[/context]
目标美味值-25%</t>
  </si>
  <si>
    <t>item_req_feast_down</t>
  </si>
  <si>
    <t>金边证书框</t>
  </si>
  <si>
    <t>[context]星级评鉴[/context]
目标美味值-20%</t>
  </si>
  <si>
    <t>item_count_le_mult</t>
  </si>
  <si>
    <t>素色桌旗</t>
  </si>
  <si>
    <t>[context]结算开始[/context]
若食物[strong]份数[/strong]≤15
[context]所有[/context]食物[strong]倍率[/strong][multadd]+0.5[/multadd]</t>
  </si>
  <si>
    <t>lte:15</t>
  </si>
  <si>
    <t>Count</t>
  </si>
  <si>
    <t>item_perma_flat_all</t>
  </si>
  <si>
    <t>青花调味罐</t>
  </si>
  <si>
    <t>获得时
[context]所有[/context]食物[strong]分数[/strong]永久[score]+20[/score]</t>
  </si>
  <si>
    <t>item_perma_flat_all_plus</t>
  </si>
  <si>
    <t>成套调味罐</t>
  </si>
  <si>
    <t>获得时
[context]所有[/context]食物[strong]分数[/strong]永久[score]+40[/score]</t>
  </si>
  <si>
    <t>item_gold_on_shop</t>
  </si>
  <si>
    <t>供货商合影</t>
  </si>
  <si>
    <t>[context]进入商店采购[/context]时
获得[gold]15金币[/gold]</t>
  </si>
  <si>
    <t>item_extra_interest</t>
  </si>
  <si>
    <t>挂墙周历</t>
  </si>
  <si>
    <t>添加节点收取利息
至每周末尾</t>
  </si>
  <si>
    <t>item_interest_cap</t>
  </si>
  <si>
    <t>聚宝盆摆件</t>
  </si>
  <si>
    <t>利息上限扩展到[gold]100金币[/gold]</t>
  </si>
  <si>
    <t>item_loan</t>
  </si>
  <si>
    <t>挂账记录板</t>
  </si>
  <si>
    <t>[gold]金币+150[/gold]
添加节点"[gold]金币-300[/gold]"
至本周末尾</t>
  </si>
  <si>
    <t>act_loan_repay</t>
  </si>
  <si>
    <t>item_timeline_random</t>
  </si>
  <si>
    <t>命运骰子</t>
  </si>
  <si>
    <t>获得时
打乱未来的节点行动</t>
  </si>
  <si>
    <t>item_extra_day</t>
  </si>
  <si>
    <t>第八日启程</t>
  </si>
  <si>
    <t>每周长度变为8天</t>
  </si>
  <si>
    <t>item_every3_next_mult</t>
  </si>
  <si>
    <t>木制节拍器</t>
  </si>
  <si>
    <t>每[context]上菜[/context]3个食物后
下个食物[strong]倍率[/strong][multadd]+1[/multadd]</t>
  </si>
  <si>
    <t>every:3</t>
  </si>
  <si>
    <t>item_first_+2</t>
  </si>
  <si>
    <t>迎客灯笼</t>
  </si>
  <si>
    <t>[context]结算开始[/context]
首个[context]上菜[/context]的食物
[strong]倍率[/strong][multadd]+3[/multadd]</t>
  </si>
  <si>
    <t>index:1</t>
  </si>
  <si>
    <t>item_last_+2</t>
  </si>
  <si>
    <t>餐后茶具</t>
  </si>
  <si>
    <t>[context]结算开始[/context]
最后[context]上菜[/context]的食物
[strong]倍率[/strong][multadd]+3[/multadd]</t>
  </si>
  <si>
    <t>index:-1</t>
  </si>
  <si>
    <t>item_extra_active_slots</t>
  </si>
  <si>
    <t>墙面置物架</t>
  </si>
  <si>
    <t>增加2个[term]消耗品[/term]栏</t>
  </si>
  <si>
    <t>item_extra_active_slots_max</t>
  </si>
  <si>
    <t>整墙储物架</t>
  </si>
  <si>
    <t>增加3个[term]消耗品[/term]栏</t>
  </si>
  <si>
    <t>item_gold_on_active</t>
  </si>
  <si>
    <t>皮面账单夹</t>
  </si>
  <si>
    <t>使用[term]消耗品[/term]时
获得[gold]10金币[/gold]</t>
  </si>
  <si>
    <t>item_block_active</t>
  </si>
  <si>
    <t>封条备品柜</t>
  </si>
  <si>
    <t>无法再使用[term]消耗品[/term]
立即获得[gold]400金币[/gold]</t>
  </si>
  <si>
    <t>item_flavor_enhance</t>
  </si>
  <si>
    <t>彩釉调料瓶组</t>
  </si>
  <si>
    <t>为2个食物
添加随机风味</t>
  </si>
  <si>
    <t>item_flavor_remove_gold</t>
  </si>
  <si>
    <t>复古台秤</t>
  </si>
  <si>
    <t>移除1个食物的风味
获得[gold]100金币[/gold]</t>
  </si>
  <si>
    <t>item_flavor_remove_double</t>
  </si>
  <si>
    <t>小石磨</t>
  </si>
  <si>
    <t>移除1个食物的风味
其[strong]分数[/strong]翻倍</t>
  </si>
  <si>
    <t>item_flavor_double_slot</t>
  </si>
  <si>
    <t>双格蘸料碟</t>
  </si>
  <si>
    <t>食物风味上限变为2</t>
  </si>
  <si>
    <t>item_lucky_guarantee</t>
  </si>
  <si>
    <t>四叶草标本框</t>
  </si>
  <si>
    <t>经历3个随机事件后
下个一定为幸运事件</t>
  </si>
  <si>
    <t>item_lucky_chance</t>
  </si>
  <si>
    <t>四叶草福袋</t>
  </si>
  <si>
    <t>更容易遇见幸运事件</t>
  </si>
  <si>
    <t>item_more_events</t>
  </si>
  <si>
    <t>街角路牌</t>
  </si>
  <si>
    <t>更容易遇见随机事件</t>
  </si>
  <si>
    <t>item_more_super_actions</t>
  </si>
  <si>
    <t>霓虹招牌</t>
  </si>
  <si>
    <t>更容易遇见[context]火热营业[/context]</t>
  </si>
  <si>
    <t>item_slot_win_chance</t>
  </si>
  <si>
    <t>彩球抽奖筒</t>
  </si>
  <si>
    <t>抽奖机更容易中奖</t>
  </si>
  <si>
    <t>item_dish_hidden_bonus</t>
  </si>
  <si>
    <t>主厨推荐板</t>
  </si>
  <si>
    <t>更容易获得更好的食物</t>
  </si>
  <si>
    <t>item_fragment_hidden_bonus</t>
  </si>
  <si>
    <t>拼接长桌</t>
  </si>
  <si>
    <t>更容易获得更大的餐桌格</t>
  </si>
  <si>
    <t>item_passive_hidden_bonus</t>
  </si>
  <si>
    <t>古董展示柜</t>
  </si>
  <si>
    <t>更容易获得更好的[term]装饰品[/term]</t>
  </si>
  <si>
    <t>item_gold_on_event</t>
  </si>
  <si>
    <t>纪念币展示框</t>
  </si>
  <si>
    <t>[context]进入事件[/context]时
获得[gold]15金币[/gold]</t>
  </si>
  <si>
    <t>item_shop_restock</t>
  </si>
  <si>
    <t>食材保鲜架</t>
  </si>
  <si>
    <t>商店会自动补货食物</t>
  </si>
  <si>
    <t>item_shop_restock_active</t>
  </si>
  <si>
    <t>柜台备品篮</t>
  </si>
  <si>
    <t>商店会自动补货[term]消耗品[/term]</t>
  </si>
  <si>
    <t>item_shop_restock_passive</t>
  </si>
  <si>
    <t>壁龛摆件墙</t>
  </si>
  <si>
    <t>商店会自动补货[term]装饰品[/term]</t>
  </si>
  <si>
    <t>item_choice_count_plus1</t>
  </si>
  <si>
    <t>活页食谱册</t>
  </si>
  <si>
    <t>选择食物时
可选数量+1</t>
  </si>
  <si>
    <t>item_extra_food_choice</t>
  </si>
  <si>
    <t>点心展示架</t>
  </si>
  <si>
    <t>每4次[context]日常营业[/context]
额外获得3选1食物</t>
  </si>
  <si>
    <t>every:4</t>
  </si>
  <si>
    <t>item_extra_item_choice</t>
  </si>
  <si>
    <t>杂货展示架</t>
  </si>
  <si>
    <t>每3次[context]火热营业[/context]
额外获得3选1[term]装饰品[/term]</t>
  </si>
  <si>
    <t>item_copy_food</t>
  </si>
  <si>
    <t>双盖餐盘</t>
  </si>
  <si>
    <t>获得时
随机复制3个已有食物</t>
  </si>
  <si>
    <t>item_discard_negative</t>
  </si>
  <si>
    <t>藤编收纳筐</t>
  </si>
  <si>
    <t>获得时
移除2个诅咒[term]装饰品[/term]</t>
  </si>
  <si>
    <t>item_discard_negative_gold</t>
  </si>
  <si>
    <t>旧餐具寄卖架</t>
  </si>
  <si>
    <t>获得时
移除所有诅咒[term]装饰品[/term]
每移除1个获得[gold]40金币[/gold]</t>
  </si>
  <si>
    <t>item_gold_meal_penalty</t>
  </si>
  <si>
    <t>故障收银机</t>
  </si>
  <si>
    <t>营业获得的[gold]金币-20%[/gold]</t>
  </si>
  <si>
    <t>Negative</t>
  </si>
  <si>
    <t>item_shop_price_up</t>
  </si>
  <si>
    <t>破损商品架</t>
  </si>
  <si>
    <t>移除食物价格+20%</t>
  </si>
  <si>
    <t>item_no_remove</t>
  </si>
  <si>
    <t>上锁食品柜</t>
  </si>
  <si>
    <t>无法在商店中移除食物</t>
  </si>
  <si>
    <t>item_skip_node</t>
  </si>
  <si>
    <t>落灰打卡钟</t>
  </si>
  <si>
    <t>跳过下一个收取利息节点</t>
  </si>
  <si>
    <t>item_skip_reward_node</t>
  </si>
  <si>
    <t>褪色招财猫</t>
  </si>
  <si>
    <t>跳过下一个幸运事件节点</t>
  </si>
  <si>
    <t>item_choice_minus1</t>
  </si>
  <si>
    <t>缺角食谱板</t>
  </si>
  <si>
    <t>多选一食物时
可选数量-1</t>
  </si>
  <si>
    <t>item_req_normal_up</t>
  </si>
  <si>
    <t>挑剔留言簿</t>
  </si>
  <si>
    <t>[context]日常营业[/context]目标美味值+20%</t>
  </si>
  <si>
    <t>item_req_super_up</t>
  </si>
  <si>
    <t>爆单警示灯</t>
  </si>
  <si>
    <t>[context]火热营业[/context]目标美味值+20%</t>
  </si>
  <si>
    <t>item_req_feast_up</t>
  </si>
  <si>
    <t>评鉴整改书</t>
  </si>
  <si>
    <t>[context]星级评鉴[/context]目标美味值+20%</t>
  </si>
  <si>
    <t>item_gold_week_clear</t>
  </si>
  <si>
    <t>逾期账单夹</t>
  </si>
  <si>
    <t>将失去所有[gold]金币[/gold]的节点行动
添加至本周末尾</t>
  </si>
  <si>
    <t>item_double_daily_cost_repeat_node</t>
  </si>
  <si>
    <t>双栏排班板</t>
  </si>
  <si>
    <t>普通行动消耗天数+0.5
商店与幸运事件节点
可以额外执行1次</t>
  </si>
  <si>
    <t>repeat:2</t>
  </si>
  <si>
    <t>item_timeline_stop_chance</t>
  </si>
  <si>
    <t>停摆挂钟</t>
  </si>
  <si>
    <t>遇到节点行动时
时间轴有30%概率会停止</t>
  </si>
  <si>
    <t>item_count_as_all</t>
  </si>
  <si>
    <t>九格拼盘</t>
  </si>
  <si>
    <t>[context]结算开始[/context]
[context]所有[/context]食物[benefit]额外视为[/benefit]2份食物</t>
  </si>
  <si>
    <t>term_food_count_as</t>
  </si>
  <si>
    <t>item_count_as_plus1</t>
  </si>
  <si>
    <t>加餐拼盘</t>
  </si>
  <si>
    <t>[context]结算开始[/context]
[context]所有[/context]食物[benefit]额外视为[/benefit]1份食物</t>
  </si>
  <si>
    <t>item_flavored_count_as</t>
  </si>
  <si>
    <t>双层品鉴碟</t>
  </si>
  <si>
    <t>[context]结算开始[/context]
拥有风味的食物
[benefit]额外视为[/benefit]1份食物</t>
  </si>
  <si>
    <t>flavored</t>
  </si>
  <si>
    <t>item_count_ge_mult</t>
  </si>
  <si>
    <t>多层餐盘架</t>
  </si>
  <si>
    <t>[context]结算开始[/context]
若食物[strong]总份数[/strong]≥25
[context]所有[/context]食物[strong]倍率[/strong][multadd]+0.5[/multadd]</t>
  </si>
  <si>
    <t>gte:25</t>
  </si>
  <si>
    <t>item_self_count_flat</t>
  </si>
  <si>
    <t>份数记分牌</t>
  </si>
  <si>
    <t>[context]结算结束[/context]
所有食物的[strong]分数[/strong][score]+5×N[/score]
（N为食物自身的份数）</t>
  </si>
  <si>
    <t>item_self_count_mult</t>
  </si>
  <si>
    <t>份数倍率架</t>
  </si>
  <si>
    <t>[context]结算结束[/context]
所有食物的[strong]倍率[/strong][multadd]+0.2×N[/multadd]
（N为食物自身的份数）</t>
  </si>
  <si>
    <t>item_edge_count_as</t>
  </si>
  <si>
    <t>沿边餐碟</t>
  </si>
  <si>
    <t>[context]结算开始[/context]
处于边缘的食物
[benefit]额外视为[/benefit]1份食物</t>
  </si>
  <si>
    <t>position:edge</t>
  </si>
  <si>
    <t>item_transfer_target_mult</t>
  </si>
  <si>
    <t>大号糖果盘</t>
  </si>
  <si>
    <t>[term]甜蜜传递[/term]时
被传递方[strong]倍率[/strong][multadd]+0.4[/multadd]</t>
  </si>
  <si>
    <t>term_sweet_transfer</t>
  </si>
  <si>
    <t>SweetTransfer</t>
  </si>
  <si>
    <t>item_transfer_source_mult</t>
  </si>
  <si>
    <t>长嘴糖浆壶</t>
  </si>
  <si>
    <t>[term]甜蜜传递[/term]时
传递方每成功传递1个目标
[strong]倍率[/strong][multadd]+0.5[/multadd]</t>
  </si>
  <si>
    <t>item_skill_count_mult</t>
  </si>
  <si>
    <t>主厨刀架</t>
  </si>
  <si>
    <t>[context]结算结束[/context]
每个食物每有1个技能
自身[strong]倍率[/strong][multadd]+0.5[/multadd]</t>
  </si>
  <si>
    <t>item_gold_on_transfer</t>
  </si>
  <si>
    <t>黄铜传菜铃</t>
  </si>
  <si>
    <t>累计[term]甜蜜传递[/term]10次后
获得[gold]15金币[/gold]</t>
  </si>
  <si>
    <t>count:10</t>
  </si>
  <si>
    <t>item_transfer_extra_targets</t>
  </si>
  <si>
    <t>两层糖果塔</t>
  </si>
  <si>
    <t>[term]甜蜜传递[/term]时
[benefit]额外选择[/benefit]2个目标</t>
  </si>
  <si>
    <t>item_transfer_target_flat</t>
  </si>
  <si>
    <t>传糖果签</t>
  </si>
  <si>
    <t>[term]甜蜜传递[/term]时
被传递方[strong]分数[/strong]永久[score]+1[/score]</t>
  </si>
  <si>
    <t>item_transfer_source_flat</t>
  </si>
  <si>
    <t>传菜糖罐</t>
  </si>
  <si>
    <t>[term]甜蜜传递[/term]时
传递方[strong]分数[/strong]永久[score]+2[/score]</t>
  </si>
  <si>
    <t>item_cake_retain</t>
  </si>
  <si>
    <t>玻璃蛋糕罩</t>
  </si>
  <si>
    <t>保留10%的[term]蛋糕[/term]层数
至下一场经营挑战</t>
  </si>
  <si>
    <t>clb</t>
  </si>
  <si>
    <t>Cake</t>
  </si>
  <si>
    <t>item_cake_init_bonus</t>
  </si>
  <si>
    <t>厚底蛋糕托</t>
  </si>
  <si>
    <t>[term]蛋糕[/term]层数
初始额外+10层</t>
  </si>
  <si>
    <t>item_cake_accel</t>
  </si>
  <si>
    <t>可叠蛋糕托</t>
  </si>
  <si>
    <t>[term]蛋糕[/term]层数增加时
额外+2层</t>
  </si>
  <si>
    <t>item_cake_to_gold</t>
  </si>
  <si>
    <t>蛋糕价签架</t>
  </si>
  <si>
    <t>[term]蛋糕[/term]层数大于100层时
获得[gold]10金币[/gold]</t>
  </si>
  <si>
    <t>threshold:100</t>
  </si>
  <si>
    <t>item_cake_req_minus</t>
  </si>
  <si>
    <t>迷你蛋糕模</t>
  </si>
  <si>
    <t>[term]蛋糕[/term]效果
需要的层数-15</t>
  </si>
  <si>
    <t>item_cake_req_minus_30</t>
  </si>
  <si>
    <t>微型蛋糕模</t>
  </si>
  <si>
    <t>[term]蛋糕[/term]效果
需要的层数-30</t>
  </si>
  <si>
    <t>item_random_two_as_cake</t>
  </si>
  <si>
    <t>随机蛋糕签</t>
  </si>
  <si>
    <t>[context]结算开始[/context]
2个随机食物视为[term]蛋糕[/term]</t>
  </si>
  <si>
    <t>category:cake</t>
  </si>
  <si>
    <t>item_cake_on_settle</t>
  </si>
  <si>
    <t>切块蛋糕刀</t>
  </si>
  <si>
    <t>结算[term]蛋糕[/term]食物时
[term]蛋糕[/term]+3层</t>
  </si>
  <si>
    <t>item_count_as_cake</t>
  </si>
  <si>
    <t>万能蛋糕模</t>
  </si>
  <si>
    <t>[context]结算开始[/context]
[context]所有[/context]食物均视为[term]蛋糕[/term]</t>
  </si>
  <si>
    <t>item_flavored_flat</t>
  </si>
  <si>
    <t>风味评分牌</t>
  </si>
  <si>
    <t>[context]结算开始[/context]
拥有风味的食物
[strong]分数[/strong][score]+30[/score]</t>
  </si>
  <si>
    <t>item_active_count_flat_all</t>
  </si>
  <si>
    <t>备品清单板</t>
  </si>
  <si>
    <t>[context]结算开始[/context]
每拥有1个[term]消耗品[/term]
[context]所有[/context]食物[strong]分数[/strong][score]+10[/score]</t>
  </si>
  <si>
    <t>basis:active-items</t>
  </si>
  <si>
    <t>item_empty_active_slot_mult_all</t>
  </si>
  <si>
    <t>留白备品柜</t>
  </si>
  <si>
    <t>[context]结算开始[/context]
每拥有1个[term]消耗品[/term]空槽
[context]所有[/context]食物[strong]倍率[/strong][multadd]+0.1[/multadd]</t>
  </si>
  <si>
    <t>basis:empty-active-slots</t>
  </si>
  <si>
    <t>item_edge_flat</t>
  </si>
  <si>
    <t>滚边桌布</t>
  </si>
  <si>
    <t>[context]结算开始[/context]
处于边缘的食物
[strong]分数[/strong][score]+50[/score]</t>
  </si>
  <si>
    <t>item_non_edge_mult</t>
  </si>
  <si>
    <t>中央餐台模型</t>
  </si>
  <si>
    <t>[context]结算开始[/context]
处于非边缘的食物
[strong]倍率[/strong][multadd]+0.5[/multadd]</t>
  </si>
  <si>
    <t>position:non-edge</t>
  </si>
  <si>
    <t>item_gold_per5_flat_all</t>
  </si>
  <si>
    <t>镶币菜单框</t>
  </si>
  <si>
    <t>[context]结算开始[/context]
每有[gold]5金币[/gold]
[context]所有[/context]食物[strong]分数[/strong][score]+1[/score]</t>
  </si>
  <si>
    <t>basis:gold;every:5</t>
  </si>
  <si>
    <t>item_empty_cell_flat_all</t>
  </si>
  <si>
    <t>留白拼桌图</t>
  </si>
  <si>
    <t>[context]结算开始[/context]
每有1个空格
[context]所有[/context]食物[strong]分数[/strong][score]+10[/score]</t>
  </si>
  <si>
    <t>basis:empty-cells</t>
  </si>
  <si>
    <t>item_unused_discard_mult_all</t>
  </si>
  <si>
    <t>备用垃圾袋架</t>
  </si>
  <si>
    <t>[context]结算开始[/context]
每有1个未使用的[term]丢弃[/term]次数
[context]所有[/context]食物[strong]倍率[/strong][multadd]+0.1[/multadd]</t>
  </si>
  <si>
    <t>item_unused_discard_flat_all</t>
  </si>
  <si>
    <t>磁吸垃圾夹</t>
  </si>
  <si>
    <t>[context]结算开始[/context]
每有1个未使用的[term]丢弃[/term]次数
[context]所有[/context]食物[strong]分数[/strong][score]+10[/score]</t>
  </si>
  <si>
    <t>item_skip_reward_dish_luck</t>
  </si>
  <si>
    <t>空盘回执</t>
  </si>
  <si>
    <t>[context]放弃奖励领取[/context]时
获取食物的运气提升</t>
  </si>
  <si>
    <t>purpose:Dish</t>
  </si>
  <si>
    <t>item_skip_reward_passive_luck</t>
  </si>
  <si>
    <t>空柜寄售牌</t>
  </si>
  <si>
    <t>[context]放弃奖励领取[/context]时
获取[term]装饰品[/term]的运气提升</t>
  </si>
  <si>
    <t>purpose:ItemLuck</t>
  </si>
  <si>
    <t>item_super_fragment_reward</t>
  </si>
  <si>
    <t>折叠加桌券</t>
  </si>
  <si>
    <t>[context]火热营业结束[/context]
获得1个餐桌格</t>
  </si>
  <si>
    <t>fragment_choice_3</t>
  </si>
  <si>
    <t>item_settle_permanent_flat_all</t>
  </si>
  <si>
    <t>老字号记分牌</t>
  </si>
  <si>
    <t>食物[context]结算[/context]时
永久[strong]分数[/strong][score]+3[/score]</t>
  </si>
  <si>
    <t>item_same_base_mult_all</t>
  </si>
  <si>
    <t>双份餐铃</t>
  </si>
  <si>
    <t>相同食物[context]结算[/context]时
[strong]倍率[/strong][multadd]+0.5[/multadd]</t>
  </si>
  <si>
    <t>key:baseId;min:2</t>
  </si>
  <si>
    <t>item_remove_arrow_cookie_2</t>
  </si>
  <si>
    <t>饼干回收盒</t>
  </si>
  <si>
    <t>删除食谱中最多2个箭头饼干</t>
  </si>
  <si>
    <t>item_remove_arrow_cookie_all</t>
  </si>
  <si>
    <t>曲奇粉碎机</t>
  </si>
  <si>
    <t>删除食谱中所有箭头饼干</t>
  </si>
  <si>
    <t>item_randomize_recipe_dishes</t>
  </si>
  <si>
    <t>万花筒菜单板</t>
  </si>
  <si>
    <t>将[context]所有[/context]食物随机为新的食物</t>
  </si>
  <si>
    <t>item_discard_dish_flat</t>
  </si>
  <si>
    <t>退菜改良簿</t>
  </si>
  <si>
    <t>[term]丢弃[/term]的食物
[strong]分数[/strong]永久[score]+15[/score]</t>
  </si>
  <si>
    <t>item_heart_capacity</t>
  </si>
  <si>
    <t>心形烛台</t>
  </si>
  <si>
    <t>红心上限+1</t>
  </si>
  <si>
    <t>item_heart_capacity_deluxe</t>
  </si>
  <si>
    <t>珐琅心盘</t>
  </si>
  <si>
    <t>item_restore_heart</t>
  </si>
  <si>
    <t>壁挂急救箱</t>
  </si>
  <si>
    <t>恢复1个红心</t>
  </si>
  <si>
    <t>item_restore_hearts</t>
  </si>
  <si>
    <t>全套急救柜</t>
  </si>
  <si>
    <t>恢复2个红心</t>
  </si>
  <si>
    <t>item_slot_cost_discount</t>
  </si>
  <si>
    <t>投币优惠牌</t>
  </si>
  <si>
    <t>抽奖机抽奖所需[gold]金币-25%[/gold]</t>
  </si>
  <si>
    <t>effectType</t>
  </si>
  <si>
    <t>targetKind</t>
  </si>
  <si>
    <t>targetCount</t>
  </si>
  <si>
    <t>category</t>
  </si>
  <si>
    <t>消耗品ID</t>
  </si>
  <si>
    <t>消耗品名称</t>
  </si>
  <si>
    <t>消耗品描述</t>
  </si>
  <si>
    <t>效果类型</t>
  </si>
  <si>
    <t>消耗品目标类型(作用对象;决定可用情境)</t>
  </si>
  <si>
    <t>选目标数量(1/N;0=无目标或全部)</t>
  </si>
  <si>
    <t>关联术语ID(可空,|分隔)</t>
  </si>
  <si>
    <t>消耗品分类</t>
  </si>
  <si>
    <t>ItemTargetKind</t>
  </si>
  <si>
    <t>ActiveItemCategory</t>
  </si>
  <si>
    <t>item_active_season_sweet</t>
  </si>
  <si>
    <t>甜味罐</t>
  </si>
  <si>
    <t>选择餐桌上的食物
添加[term]甜[/term]风味</t>
  </si>
  <si>
    <t>AddFlavor</t>
  </si>
  <si>
    <t>t_sweet</t>
  </si>
  <si>
    <t>DiningTableDish</t>
  </si>
  <si>
    <t>Strengthen</t>
  </si>
  <si>
    <t>item_active_season_bitter</t>
  </si>
  <si>
    <t>苦味罐</t>
  </si>
  <si>
    <t>选择餐桌上的食物
添加[term]苦[/term]风味</t>
  </si>
  <si>
    <t>t_bitter</t>
  </si>
  <si>
    <t>item_active_season_umami</t>
  </si>
  <si>
    <t>鲜味罐</t>
  </si>
  <si>
    <t>选择餐桌上的食物
添加[term]鲜[/term]风味</t>
  </si>
  <si>
    <t>t_fresh</t>
  </si>
  <si>
    <t>item_active_season_numb</t>
  </si>
  <si>
    <t>麻味罐</t>
  </si>
  <si>
    <t>选择餐桌上的食物
添加[term]麻[/term]风味</t>
  </si>
  <si>
    <t>t_numb</t>
  </si>
  <si>
    <t>item_active_season_sour</t>
  </si>
  <si>
    <t>酸味罐</t>
  </si>
  <si>
    <t>选择餐桌上的食物
添加[term]酸[/term]风味</t>
  </si>
  <si>
    <t>t_sour</t>
  </si>
  <si>
    <t>item_active_season_salty</t>
  </si>
  <si>
    <t>咸味罐</t>
  </si>
  <si>
    <t>选择餐桌上的食物
添加[term]咸[/term]风味</t>
  </si>
  <si>
    <t>t_salty</t>
  </si>
  <si>
    <t>item_active_reroll_action</t>
  </si>
  <si>
    <t>奖励翻倍单</t>
  </si>
  <si>
    <t>下次营业
随机奖励翻倍</t>
  </si>
  <si>
    <t>DoubleNextBusinessReward</t>
  </si>
  <si>
    <t>Global</t>
  </si>
  <si>
    <t>Adjust</t>
  </si>
  <si>
    <t>item_active_half_next_action_cost</t>
  </si>
  <si>
    <t>加速行动单</t>
  </si>
  <si>
    <t>下个普通行动
消耗天数减半</t>
  </si>
  <si>
    <t>HalfNextActionCost</t>
  </si>
  <si>
    <t>item_active_reroll_last_boss_debuff</t>
  </si>
  <si>
    <t>评鉴调整单</t>
  </si>
  <si>
    <t>重掷最近的[context]星级评鉴[/context]</t>
  </si>
  <si>
    <t>ResetBossDebuff</t>
  </si>
  <si>
    <t>item_active_add_reward_node</t>
  </si>
  <si>
    <t>幸运单</t>
  </si>
  <si>
    <t>添加幸运事件
至指定节点</t>
  </si>
  <si>
    <t>TimelineAddRewardNode</t>
  </si>
  <si>
    <t>act_reward</t>
  </si>
  <si>
    <t>item_active_add_interest_node</t>
  </si>
  <si>
    <t>利息单</t>
  </si>
  <si>
    <t>添加收取利息
至指定节点</t>
  </si>
  <si>
    <t>TimelineAddInterestNode</t>
  </si>
  <si>
    <t>act_interest</t>
  </si>
  <si>
    <t>item_active_add_shop_node</t>
  </si>
  <si>
    <t>商店单</t>
  </si>
  <si>
    <t>添加商店采购
至指定节点</t>
  </si>
  <si>
    <t>TimelineAddShopNode</t>
  </si>
  <si>
    <t>act_shop</t>
  </si>
  <si>
    <t>item_active_add_lottery_node</t>
  </si>
  <si>
    <t>抽奖单</t>
  </si>
  <si>
    <t>添加抽奖机
至指定节点</t>
  </si>
  <si>
    <t>TimelineAddLotteryNode</t>
  </si>
  <si>
    <t>act_slot</t>
  </si>
  <si>
    <t>item_active_add_restore_heart_node</t>
  </si>
  <si>
    <t>回心单</t>
  </si>
  <si>
    <t>添加恢复红心
至指定节点</t>
  </si>
  <si>
    <t>TimelineAddRestoreHeartNode</t>
  </si>
  <si>
    <t>act_restore_heart</t>
  </si>
  <si>
    <t>item_active_delete_timeline_node</t>
  </si>
  <si>
    <t>移除单</t>
  </si>
  <si>
    <t>移除1个节点行动</t>
  </si>
  <si>
    <t>TimelineDeleteNode</t>
  </si>
  <si>
    <t>item_active_execute_future_node</t>
  </si>
  <si>
    <t>节点复制单</t>
  </si>
  <si>
    <t>指定1个节点行动
复制到最近的节点</t>
  </si>
  <si>
    <t>TimelineExecuteFuture</t>
  </si>
  <si>
    <t>是否通用</t>
  </si>
  <si>
    <t>类型</t>
  </si>
  <si>
    <t>机制</t>
  </si>
  <si>
    <t>描述</t>
  </si>
  <si>
    <t>技能</t>
  </si>
  <si>
    <t>2周</t>
  </si>
  <si>
    <t>通用正面</t>
  </si>
  <si>
    <t>随机获得</t>
  </si>
  <si>
    <t>随机装饰品</t>
  </si>
  <si>
    <t>获得时，获得两个随机（xx品质）的装饰品</t>
  </si>
  <si>
    <t>3周</t>
  </si>
  <si>
    <t>装饰品和消耗品n选一</t>
  </si>
  <si>
    <t>获得时，从多个装饰品中选择一个获得</t>
  </si>
  <si>
    <t>4周</t>
  </si>
  <si>
    <t>随机消耗品</t>
  </si>
  <si>
    <t>获得时，获得两个随机（xx品质）的消耗品</t>
  </si>
  <si>
    <t>获得时，从多个消耗品中选择一个获得</t>
  </si>
  <si>
    <t>食物n选一</t>
  </si>
  <si>
    <t>获得时，从多个食物中选择一个获得</t>
  </si>
  <si>
    <t>统计</t>
  </si>
  <si>
    <t>三选一碎片</t>
  </si>
  <si>
    <t>获得时，从多个餐桌格中选择一个获得</t>
  </si>
  <si>
    <t>common</t>
  </si>
  <si>
    <t>10,80</t>
  </si>
  <si>
    <t>全家福</t>
  </si>
  <si>
    <t>获得时，获得一个随机装饰品、随机食物、50金币</t>
  </si>
  <si>
    <t>uncommon</t>
  </si>
  <si>
    <t>20,80</t>
  </si>
  <si>
    <t>随机</t>
  </si>
  <si>
    <t>所有装饰品和消耗品替换为随机装饰品和消耗品</t>
  </si>
  <si>
    <t>rare</t>
  </si>
  <si>
    <t>30,80</t>
  </si>
  <si>
    <t>给钱</t>
  </si>
  <si>
    <t>随机金币</t>
  </si>
  <si>
    <t>获得1～100个金币</t>
  </si>
  <si>
    <t>epic</t>
  </si>
  <si>
    <t>40,80</t>
  </si>
  <si>
    <t>食物给钱</t>
  </si>
  <si>
    <t>接下来10局食物，额外获得15金币</t>
  </si>
  <si>
    <t>星级评鉴给钱</t>
  </si>
  <si>
    <t>完成本次星级评鉴后，额外获得100金币</t>
  </si>
  <si>
    <t>金币收益</t>
  </si>
  <si>
    <t>分数收益</t>
  </si>
  <si>
    <t>倍数收益</t>
  </si>
  <si>
    <t>百分比给钱</t>
  </si>
  <si>
    <t>食物结束获得的金币，额外获得20%</t>
  </si>
  <si>
    <t>被动传说</t>
  </si>
  <si>
    <t>打折</t>
  </si>
  <si>
    <t>买食物</t>
  </si>
  <si>
    <t>购买食物打折20%</t>
  </si>
  <si>
    <t>被动顶级</t>
  </si>
  <si>
    <t>买碎片</t>
  </si>
  <si>
    <t>购买碎片打折20%</t>
  </si>
  <si>
    <t>被动高级</t>
  </si>
  <si>
    <t>买消耗品</t>
  </si>
  <si>
    <t>买消耗品打折20%</t>
  </si>
  <si>
    <t>被动普通</t>
  </si>
  <si>
    <t>买装饰品</t>
  </si>
  <si>
    <t>买装饰品打折20%</t>
  </si>
  <si>
    <t>移除食物</t>
  </si>
  <si>
    <t>移除食物价格打折20%</t>
  </si>
  <si>
    <t>延迟性</t>
  </si>
  <si>
    <t>移除食物价格固定为30金币</t>
  </si>
  <si>
    <t>不死</t>
  </si>
  <si>
    <t>名刀</t>
  </si>
  <si>
    <t>分数未达标时，不失败，失去此装饰品和消耗品</t>
  </si>
  <si>
    <t>分数降低</t>
  </si>
  <si>
    <t>分数变1</t>
  </si>
  <si>
    <t>接下来3局非星级评鉴（星级评鉴），分数要求为1</t>
  </si>
  <si>
    <t>日常营业分数减少</t>
  </si>
  <si>
    <t>日常营业目标美味值-10%</t>
  </si>
  <si>
    <t>火热营业分数减少</t>
  </si>
  <si>
    <t>火热营业目标美味值-10%</t>
  </si>
  <si>
    <t>星级评鉴食物分数减少</t>
  </si>
  <si>
    <t>星级评鉴食物目标美味值-10%</t>
  </si>
  <si>
    <t>数量检测</t>
  </si>
  <si>
    <t>胃部食物数量</t>
  </si>
  <si>
    <t>结算时，食物数量小于等于10，所有食物倍率×1.1</t>
  </si>
  <si>
    <t>结算时，食物数量大于等于10，所有食物倍率×1.1</t>
  </si>
  <si>
    <t>结算次数</t>
  </si>
  <si>
    <t>每次结算倍数增加</t>
  </si>
  <si>
    <t>结算时，食物倍率+0倍（每结算1个食物+0.1倍）</t>
  </si>
  <si>
    <t>分数增加</t>
  </si>
  <si>
    <t>永久增加</t>
  </si>
  <si>
    <t>所有食物基础分数永久+10</t>
  </si>
  <si>
    <t>倍率增加</t>
  </si>
  <si>
    <t>所有食物基础倍率永久+0.2</t>
  </si>
  <si>
    <t>上菜</t>
  </si>
  <si>
    <t>观星</t>
  </si>
  <si>
    <t>每5次上菜后，下一次上菜，可以看见食物是什么</t>
  </si>
  <si>
    <t>每局前三次上菜，可以看见食物</t>
  </si>
  <si>
    <t>食物转换</t>
  </si>
  <si>
    <t>随机将5个食物，变为至少同品质的食物</t>
  </si>
  <si>
    <t>商店给钱</t>
  </si>
  <si>
    <t>进入商店时，获得10金币</t>
  </si>
  <si>
    <t>利息</t>
  </si>
  <si>
    <t>每周结束，额外执行一次利息</t>
  </si>
  <si>
    <t>保底钱</t>
  </si>
  <si>
    <t>回合结束金币小于10时，获得10金币</t>
  </si>
  <si>
    <t>利息上限</t>
  </si>
  <si>
    <t>利息上限扩展到10金币</t>
  </si>
  <si>
    <t>贷款</t>
  </si>
  <si>
    <t>临时获得300金币，下一周失去600金币</t>
  </si>
  <si>
    <t>时间轴</t>
  </si>
  <si>
    <t>随机化时间轴的节点行动。</t>
  </si>
  <si>
    <t>增加第八天</t>
  </si>
  <si>
    <t>延后所有星级评鉴一天</t>
  </si>
  <si>
    <t>周数-1</t>
  </si>
  <si>
    <t>星级评鉴不参与打乱</t>
  </si>
  <si>
    <t>增加奖励节点</t>
  </si>
  <si>
    <t>增加一个奖励节点到时间轴上</t>
  </si>
  <si>
    <t>增加利息节点</t>
  </si>
  <si>
    <t>增加一个利息节点到时间轴上</t>
  </si>
  <si>
    <t>分数加倍</t>
  </si>
  <si>
    <t>每3个</t>
  </si>
  <si>
    <t>每上3个食物后，下1个食物倍率+2</t>
  </si>
  <si>
    <t>第一个</t>
  </si>
  <si>
    <t>第一个上的食物，倍率×2</t>
  </si>
  <si>
    <t>最后一个</t>
  </si>
  <si>
    <t>最后一个上的食物，倍率×2</t>
  </si>
  <si>
    <t>消耗品</t>
  </si>
  <si>
    <t>额外装饰品和消耗品栏</t>
  </si>
  <si>
    <t>增加2个额外消耗品栏</t>
  </si>
  <si>
    <t>使用消耗品时，获得20金币</t>
  </si>
  <si>
    <t>屏蔽</t>
  </si>
  <si>
    <t>无法获得消耗品，获得1000金币</t>
  </si>
  <si>
    <t>风味</t>
  </si>
  <si>
    <t>强化风味</t>
  </si>
  <si>
    <t>强化两个随机风味到无风味食物上</t>
  </si>
  <si>
    <t>移除风味+获得钱</t>
  </si>
  <si>
    <t>移除1个食物的风味，获得200金币</t>
  </si>
  <si>
    <t>移除风味+技能x2</t>
  </si>
  <si>
    <t>移除1个食物的风味，其技能复制</t>
  </si>
  <si>
    <t>基础风味+分数x2</t>
  </si>
  <si>
    <t>移除1个食物的风味，其分数翻倍</t>
  </si>
  <si>
    <t>风味上限</t>
  </si>
  <si>
    <t>允许1个食物拥有两个风味</t>
  </si>
  <si>
    <t>风味传染</t>
  </si>
  <si>
    <t>将1个食物的风味强化到无风味食物上</t>
  </si>
  <si>
    <t>标签</t>
  </si>
  <si>
    <t>强化标签</t>
  </si>
  <si>
    <t>强化两个随机标签到胃部格子上</t>
  </si>
  <si>
    <t>标签传染</t>
  </si>
  <si>
    <t>将一个格子的标签强化到其他格子上</t>
  </si>
  <si>
    <t>行动</t>
  </si>
  <si>
    <t>好运</t>
  </si>
  <si>
    <t>每4个事件的最后一个是奖励事件</t>
  </si>
  <si>
    <t>事件中遇到奖励的概率提高</t>
  </si>
  <si>
    <t>事件变多</t>
  </si>
  <si>
    <t>遇到事件的概率提高</t>
  </si>
  <si>
    <t>事件给钱</t>
  </si>
  <si>
    <t>完成一个事件，获得10金币</t>
  </si>
  <si>
    <t>重新随机</t>
  </si>
  <si>
    <t>获得2次重新普通行动的</t>
  </si>
  <si>
    <t>商店</t>
  </si>
  <si>
    <t>补货</t>
  </si>
  <si>
    <t>商店会自动补货</t>
  </si>
  <si>
    <t>食物</t>
  </si>
  <si>
    <t>选择变多</t>
  </si>
  <si>
    <t>多选一食物时，可选数量+1</t>
  </si>
  <si>
    <t>多选择</t>
  </si>
  <si>
    <t>多选一食物时，可选次数+1，可选数量-1</t>
  </si>
  <si>
    <t>额外食物</t>
  </si>
  <si>
    <t>每3次日常营业，额外获得一个多选一食物</t>
  </si>
  <si>
    <t>额外物品</t>
  </si>
  <si>
    <t>每3次火热营业，额外获得一个多选一物品</t>
  </si>
  <si>
    <t>复制食物</t>
  </si>
  <si>
    <t>随机复制1个食物</t>
  </si>
  <si>
    <t>负面</t>
  </si>
  <si>
    <t>移除</t>
  </si>
  <si>
    <t>移除两个诅咒装饰品</t>
  </si>
  <si>
    <t>转化</t>
  </si>
  <si>
    <t>移除所有诅咒装饰品，每移除一个获得100金币</t>
  </si>
  <si>
    <t>通用负面</t>
  </si>
  <si>
    <t>运营</t>
  </si>
  <si>
    <t>金币减少</t>
  </si>
  <si>
    <t>食物获得的金币减少25%</t>
  </si>
  <si>
    <t>价格变高</t>
  </si>
  <si>
    <t>商店的价格变高25%</t>
  </si>
  <si>
    <t>无法删菜</t>
  </si>
  <si>
    <t>无法再移除食物</t>
  </si>
  <si>
    <t>节点失效</t>
  </si>
  <si>
    <t>跳过下一个商店或利息节点</t>
  </si>
  <si>
    <t>少选择</t>
  </si>
  <si>
    <t>多选一食物时，可选数量-1</t>
  </si>
  <si>
    <t>日常营业分数增多</t>
  </si>
  <si>
    <t>日常营业目标美味值+10%</t>
  </si>
  <si>
    <t>火热营业分数增多</t>
  </si>
  <si>
    <t>火热营业目标美味值+10%</t>
  </si>
  <si>
    <t>星级评鉴食物分数增多</t>
  </si>
  <si>
    <t>星级评鉴食物目标美味值+10%</t>
  </si>
  <si>
    <t>金币清空</t>
  </si>
  <si>
    <t>本周结束时，金币清空</t>
  </si>
  <si>
    <t>专有</t>
  </si>
  <si>
    <t>小而多</t>
  </si>
  <si>
    <t>额外视为</t>
  </si>
  <si>
    <t>所有食物额外被视为1个食物</t>
  </si>
  <si>
    <t>传递</t>
  </si>
  <si>
    <t>传递加分</t>
  </si>
  <si>
    <t>传递时，被传递方倍率×1.1</t>
  </si>
  <si>
    <t>传递时，传递方倍率×1.1</t>
  </si>
  <si>
    <t>技能数加分</t>
  </si>
  <si>
    <t>结算时，倍率×1（每一个技能+0.1倍）</t>
  </si>
  <si>
    <t>传递加钱</t>
  </si>
  <si>
    <t>传递10次后，获得10金币</t>
  </si>
  <si>
    <t>蛋糕</t>
  </si>
  <si>
    <t>层数保留</t>
  </si>
  <si>
    <t>每次保留10%的蛋糕层数至下一场经营挑战</t>
  </si>
  <si>
    <t>层数保底</t>
  </si>
  <si>
    <t>蛋糕层数初始额外获得10层</t>
  </si>
  <si>
    <t>加速叠层</t>
  </si>
  <si>
    <t>蛋糕层数增加时，额外加1层</t>
  </si>
  <si>
    <t>层数转钱</t>
  </si>
  <si>
    <t>蛋糕层数大于100层时，获得10金币</t>
  </si>
  <si>
    <t>要求减少</t>
  </si>
  <si>
    <t>蛋糕效果需求的层数-10</t>
  </si>
  <si>
    <t>风味强化</t>
  </si>
  <si>
    <t>风味加分</t>
  </si>
  <si>
    <t>主动道具槽加分</t>
  </si>
  <si>
    <t>空主动道具槽加分</t>
  </si>
  <si>
    <t>范围判定</t>
  </si>
  <si>
    <t>丢弃次数转钱</t>
  </si>
  <si>
    <t>丢弃次数加分</t>
  </si>
  <si>
    <t>空格加分</t>
  </si>
  <si>
    <t>边缘/非边缘</t>
  </si>
  <si>
    <t>跳过奖励领取</t>
  </si>
  <si>
    <t>格子数加分</t>
  </si>
  <si>
    <t>金币加分</t>
  </si>
  <si>
    <t>第一个结算、最后一个结算</t>
  </si>
  <si>
    <t>营业结算概率材质复制</t>
  </si>
  <si>
    <t>所有食物被视为蛋糕</t>
  </si>
  <si>
    <t>营业结束概率获得格子</t>
  </si>
  <si>
    <t>结算永久加分</t>
  </si>
  <si>
    <t>同种加分</t>
  </si>
  <si>
    <t>连续结算不相同/相同</t>
  </si>
  <si>
    <t>传递额外选择目标</t>
  </si>
  <si>
    <t>移除牌</t>
  </si>
  <si>
    <t>丢弃的牌加分</t>
  </si>
  <si>
    <t>风味额外视为数量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</si>
</sst>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Linux Libertine G"/>
      <charset val="134"/>
    </font>
    <font>
      <sz val="10"/>
      <color theme="1"/>
      <name val="Linux Libertine G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0"/>
      <name val="Arial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/>
    <xf numFmtId="44" fontId="4" fillId="0" borderId="0"/>
    <xf numFmtId="9" fontId="4" fillId="0" borderId="0"/>
    <xf numFmtId="41" fontId="4" fillId="0" borderId="0"/>
    <xf numFmtId="42" fontId="4" fillId="0" borderId="0"/>
    <xf numFmtId="0" fontId="5" fillId="0" borderId="0">
      <alignment vertical="center"/>
    </xf>
    <xf numFmtId="0" fontId="6" fillId="0" borderId="0">
      <alignment vertical="center"/>
    </xf>
    <xf numFmtId="0" fontId="7" fillId="4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5" borderId="6">
      <alignment vertical="center"/>
    </xf>
    <xf numFmtId="0" fontId="15" fillId="6" borderId="7">
      <alignment vertical="center"/>
    </xf>
    <xf numFmtId="0" fontId="16" fillId="6" borderId="6">
      <alignment vertical="center"/>
    </xf>
    <xf numFmtId="0" fontId="17" fillId="7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7" fillId="12" borderId="0">
      <alignment vertical="center"/>
    </xf>
    <xf numFmtId="0" fontId="7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7" fillId="20" borderId="0">
      <alignment vertical="center"/>
    </xf>
    <xf numFmtId="0" fontId="7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7" fillId="24" borderId="0">
      <alignment vertical="center"/>
    </xf>
    <xf numFmtId="0" fontId="7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7" fillId="28" borderId="0">
      <alignment vertical="center"/>
    </xf>
    <xf numFmtId="0" fontId="7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7" fillId="32" borderId="0">
      <alignment vertical="center"/>
    </xf>
    <xf numFmtId="0" fontId="7" fillId="33" borderId="0">
      <alignment vertical="center"/>
    </xf>
    <xf numFmtId="0" fontId="23" fillId="34" borderId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top" wrapText="1"/>
    </xf>
    <xf numFmtId="0" fontId="0" fillId="0" borderId="2" xfId="0" applyBorder="1"/>
    <xf numFmtId="0" fontId="2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3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EE0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7"/>
  <sheetViews>
    <sheetView zoomScale="70" zoomScaleNormal="70" workbookViewId="0">
      <selection activeCell="O80" sqref="O80"/>
    </sheetView>
  </sheetViews>
  <sheetFormatPr defaultColWidth="9.00735294117647" defaultRowHeight="16.8"/>
  <cols>
    <col min="1" max="1" width="13.0808823529412" style="1" customWidth="1"/>
    <col min="2" max="2" width="30.3823529411765" style="1" customWidth="1"/>
    <col min="3" max="3" width="15.1617647058824" style="1" customWidth="1"/>
    <col min="4" max="4" width="57.1176470588235" style="1" customWidth="1"/>
    <col min="5" max="5" width="12.8382352941176" style="1" customWidth="1"/>
    <col min="6" max="6" width="15.1617647058824" style="1" customWidth="1"/>
    <col min="7" max="7" width="11.9191176470588" style="1" customWidth="1"/>
    <col min="8" max="8" width="25.5294117647059" style="1" customWidth="1"/>
    <col min="9" max="9" width="15.1617647058824" style="1" customWidth="1"/>
    <col min="10" max="10" width="36" style="1" customWidth="1"/>
    <col min="11" max="11" width="25.0808823529412" style="1" customWidth="1"/>
    <col min="12" max="12" width="18.0808823529412" style="1" customWidth="1"/>
    <col min="13" max="13" width="25.6985294117647" style="1" customWidth="1"/>
    <col min="14" max="14" width="24.5367647058824" style="1" customWidth="1"/>
    <col min="15" max="15" width="23" style="1" customWidth="1"/>
    <col min="16" max="16" width="18.3014705882353" style="1" customWidth="1"/>
    <col min="17" max="17" width="19.3529411764706" style="1" customWidth="1"/>
    <col min="18" max="18" width="11.4705882352941" style="1" customWidth="1"/>
    <col min="19" max="19" width="9.00735294117647" style="1" customWidth="1"/>
    <col min="20" max="20" width="11.7720588235294" style="1" customWidth="1"/>
    <col min="21" max="21" width="13.7058823529412" style="1" customWidth="1"/>
    <col min="22" max="29" width="9.00735294117647" style="1" customWidth="1"/>
    <col min="30" max="30" width="12.6470588235294" style="1" customWidth="1"/>
    <col min="31" max="16384" width="9.00735294117647" style="1" customWidth="1"/>
  </cols>
  <sheetData>
    <row r="1" s="1" customFormat="1" ht="16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="1" customFormat="1" ht="16.5" customHeight="1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t="s">
        <v>31</v>
      </c>
    </row>
    <row r="3" s="1" customFormat="1" ht="16.5" customHeight="1" spans="1:16">
      <c r="A3" s="1" t="s">
        <v>32</v>
      </c>
      <c r="B3" s="1" t="s">
        <v>33</v>
      </c>
      <c r="C3" s="1" t="s">
        <v>33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33</v>
      </c>
      <c r="I3" s="1" t="s">
        <v>36</v>
      </c>
      <c r="J3" s="1" t="s">
        <v>37</v>
      </c>
      <c r="K3" s="1" t="s">
        <v>37</v>
      </c>
      <c r="L3" s="1" t="s">
        <v>37</v>
      </c>
      <c r="M3" s="1" t="s">
        <v>37</v>
      </c>
      <c r="N3" s="1" t="s">
        <v>33</v>
      </c>
      <c r="O3" s="1" t="s">
        <v>37</v>
      </c>
      <c r="P3" t="s">
        <v>38</v>
      </c>
    </row>
    <row r="4" s="1" customFormat="1" ht="51" customHeight="1" spans="2:17">
      <c r="B4" s="1" t="s">
        <v>39</v>
      </c>
      <c r="C4" s="1" t="s">
        <v>40</v>
      </c>
      <c r="D4" s="9" t="s">
        <v>41</v>
      </c>
      <c r="E4" s="1" t="s">
        <v>42</v>
      </c>
      <c r="F4" s="1" t="s">
        <v>43</v>
      </c>
      <c r="G4" s="1">
        <v>0</v>
      </c>
      <c r="I4" s="1">
        <v>30</v>
      </c>
      <c r="J4" s="1">
        <v>0</v>
      </c>
      <c r="K4" s="1">
        <v>0</v>
      </c>
      <c r="L4" s="1">
        <v>0</v>
      </c>
      <c r="M4" s="1">
        <v>0</v>
      </c>
      <c r="O4" s="1">
        <f>VLOOKUP(E4,$T$5:$U$8,2,FALSE)</f>
        <v>200</v>
      </c>
      <c r="Q4" s="1">
        <f>IFERROR(VLOOKUP(E4,$T$7:$AB$12,9,FALSE),0)</f>
        <v>0</v>
      </c>
    </row>
    <row r="5" s="1" customFormat="1" spans="2:21">
      <c r="B5" s="1" t="s">
        <v>44</v>
      </c>
      <c r="C5" s="1" t="s">
        <v>45</v>
      </c>
      <c r="D5" s="1" t="s">
        <v>46</v>
      </c>
      <c r="E5" s="1" t="s">
        <v>47</v>
      </c>
      <c r="F5" s="1" t="s">
        <v>43</v>
      </c>
      <c r="G5" s="1">
        <v>0</v>
      </c>
      <c r="H5" s="1" t="s">
        <v>48</v>
      </c>
      <c r="I5" s="1">
        <v>300</v>
      </c>
      <c r="J5" s="1">
        <v>0</v>
      </c>
      <c r="K5" s="1">
        <v>0</v>
      </c>
      <c r="L5" s="1">
        <v>0</v>
      </c>
      <c r="M5" s="1">
        <v>0</v>
      </c>
      <c r="O5" s="1">
        <f t="shared" ref="O5:O36" si="0">VLOOKUP(E5,$T$5:$U$8,2,FALSE)</f>
        <v>60</v>
      </c>
      <c r="Q5" s="1">
        <f>IFERROR(VLOOKUP(E5,$T$7:$AB$12,9,FALSE),0)</f>
        <v>0</v>
      </c>
      <c r="T5" s="1" t="s">
        <v>47</v>
      </c>
      <c r="U5" s="1">
        <v>60</v>
      </c>
    </row>
    <row r="6" s="1" customFormat="1" ht="51" customHeight="1" spans="2:21">
      <c r="B6" s="1" t="s">
        <v>49</v>
      </c>
      <c r="C6" s="1" t="s">
        <v>50</v>
      </c>
      <c r="D6" s="9" t="s">
        <v>51</v>
      </c>
      <c r="E6" s="1" t="s">
        <v>47</v>
      </c>
      <c r="F6" s="1" t="s">
        <v>43</v>
      </c>
      <c r="G6" s="1">
        <v>15</v>
      </c>
      <c r="H6" s="1" t="s">
        <v>52</v>
      </c>
      <c r="I6" s="1">
        <v>300</v>
      </c>
      <c r="J6" s="1">
        <v>0</v>
      </c>
      <c r="K6" s="1">
        <v>0</v>
      </c>
      <c r="L6" s="1">
        <v>0</v>
      </c>
      <c r="M6" s="1">
        <v>0</v>
      </c>
      <c r="O6" s="1">
        <f t="shared" si="0"/>
        <v>60</v>
      </c>
      <c r="Q6" s="1">
        <f>IFERROR(VLOOKUP(E6,$T$7:$AB$12,9,FALSE),0)</f>
        <v>0</v>
      </c>
      <c r="T6" s="1" t="s">
        <v>53</v>
      </c>
      <c r="U6" s="1">
        <v>100</v>
      </c>
    </row>
    <row r="7" s="1" customFormat="1" ht="51" customHeight="1" spans="2:29">
      <c r="B7" s="1" t="s">
        <v>54</v>
      </c>
      <c r="C7" s="1" t="s">
        <v>55</v>
      </c>
      <c r="D7" s="9" t="s">
        <v>56</v>
      </c>
      <c r="E7" s="1" t="s">
        <v>47</v>
      </c>
      <c r="F7" s="1" t="s">
        <v>43</v>
      </c>
      <c r="G7" s="1">
        <v>100</v>
      </c>
      <c r="I7" s="1">
        <v>300</v>
      </c>
      <c r="J7" s="1">
        <v>0</v>
      </c>
      <c r="K7" s="1">
        <v>0</v>
      </c>
      <c r="L7" s="1">
        <v>0</v>
      </c>
      <c r="M7" s="1">
        <v>0</v>
      </c>
      <c r="O7" s="1">
        <f t="shared" si="0"/>
        <v>60</v>
      </c>
      <c r="Q7" s="1">
        <f>IFERROR(VLOOKUP(E7,$T$7:$AB$12,9,FALSE),0)</f>
        <v>0</v>
      </c>
      <c r="T7" s="1" t="s">
        <v>42</v>
      </c>
      <c r="U7" s="1">
        <v>200</v>
      </c>
      <c r="AC7" s="1">
        <f>IFERROR(Z7/SUM($Z$7:$Z$10),0)</f>
        <v>0</v>
      </c>
    </row>
    <row r="8" s="1" customFormat="1" ht="34" customHeight="1" spans="2:29">
      <c r="B8" s="1" t="s">
        <v>57</v>
      </c>
      <c r="C8" s="1" t="s">
        <v>58</v>
      </c>
      <c r="D8" s="9" t="s">
        <v>59</v>
      </c>
      <c r="E8" s="1" t="s">
        <v>47</v>
      </c>
      <c r="F8" s="1" t="s">
        <v>43</v>
      </c>
      <c r="G8" s="1">
        <v>0.2</v>
      </c>
      <c r="I8" s="1">
        <v>100</v>
      </c>
      <c r="J8" s="1">
        <v>0</v>
      </c>
      <c r="K8" s="1">
        <v>0</v>
      </c>
      <c r="L8" s="1">
        <v>0</v>
      </c>
      <c r="M8" s="1">
        <v>0</v>
      </c>
      <c r="O8" s="1">
        <f t="shared" si="0"/>
        <v>60</v>
      </c>
      <c r="Q8" s="1">
        <f>IFERROR(VLOOKUP(E8,$T$7:$AB$12,9,FALSE),0)</f>
        <v>0</v>
      </c>
      <c r="T8" s="1" t="s">
        <v>60</v>
      </c>
      <c r="U8" s="1">
        <v>360</v>
      </c>
      <c r="AC8" s="1">
        <f>IFERROR(Z8/SUM($Z$7:$Z$10),0)</f>
        <v>0</v>
      </c>
    </row>
    <row r="9" s="1" customFormat="1" ht="17" customHeight="1" spans="2:29">
      <c r="B9" s="1" t="s">
        <v>61</v>
      </c>
      <c r="C9" s="1" t="s">
        <v>62</v>
      </c>
      <c r="D9" s="9" t="s">
        <v>63</v>
      </c>
      <c r="E9" s="1" t="s">
        <v>47</v>
      </c>
      <c r="F9" s="1" t="s">
        <v>43</v>
      </c>
      <c r="G9" s="1">
        <v>1</v>
      </c>
      <c r="I9" s="1">
        <v>300</v>
      </c>
      <c r="J9" s="1">
        <v>0</v>
      </c>
      <c r="K9" s="1">
        <v>0</v>
      </c>
      <c r="L9" s="1">
        <v>0</v>
      </c>
      <c r="M9" s="1">
        <v>0</v>
      </c>
      <c r="O9" s="1">
        <f t="shared" si="0"/>
        <v>60</v>
      </c>
      <c r="AC9" s="1">
        <f>IFERROR(Z9/SUM($Z$7:$Z$10),0)</f>
        <v>0</v>
      </c>
    </row>
    <row r="10" s="1" customFormat="1" ht="17" customHeight="1" spans="2:29">
      <c r="B10" s="1" t="s">
        <v>64</v>
      </c>
      <c r="C10" s="1" t="s">
        <v>65</v>
      </c>
      <c r="D10" s="9" t="s">
        <v>63</v>
      </c>
      <c r="E10" s="1" t="s">
        <v>53</v>
      </c>
      <c r="F10" s="1" t="s">
        <v>43</v>
      </c>
      <c r="G10" s="1">
        <v>1</v>
      </c>
      <c r="I10" s="1">
        <v>300</v>
      </c>
      <c r="J10" s="1">
        <v>0</v>
      </c>
      <c r="K10" s="1">
        <v>0</v>
      </c>
      <c r="L10" s="1">
        <v>0</v>
      </c>
      <c r="M10" s="1">
        <v>0</v>
      </c>
      <c r="O10" s="1">
        <f t="shared" si="0"/>
        <v>100</v>
      </c>
      <c r="AC10" s="1">
        <f>IFERROR(Z10/SUM($Z$7:$Z$10),0)</f>
        <v>0</v>
      </c>
    </row>
    <row r="11" s="1" customFormat="1" ht="17" customHeight="1" spans="2:15">
      <c r="B11" s="1" t="s">
        <v>66</v>
      </c>
      <c r="C11" s="1" t="s">
        <v>67</v>
      </c>
      <c r="D11" s="9" t="s">
        <v>68</v>
      </c>
      <c r="E11" s="1" t="s">
        <v>42</v>
      </c>
      <c r="F11" s="1" t="s">
        <v>43</v>
      </c>
      <c r="G11" s="1">
        <v>2</v>
      </c>
      <c r="I11" s="1">
        <v>100</v>
      </c>
      <c r="J11" s="1">
        <v>0</v>
      </c>
      <c r="K11" s="1">
        <v>0</v>
      </c>
      <c r="L11" s="1">
        <v>0</v>
      </c>
      <c r="M11" s="1">
        <v>0</v>
      </c>
      <c r="O11" s="1">
        <f t="shared" si="0"/>
        <v>200</v>
      </c>
    </row>
    <row r="12" s="1" customFormat="1" ht="17" customHeight="1" spans="2:15">
      <c r="B12" s="1" t="s">
        <v>69</v>
      </c>
      <c r="C12" s="1" t="s">
        <v>70</v>
      </c>
      <c r="D12" s="9" t="s">
        <v>68</v>
      </c>
      <c r="E12" s="1" t="s">
        <v>42</v>
      </c>
      <c r="F12" s="1" t="s">
        <v>43</v>
      </c>
      <c r="G12" s="1">
        <v>2</v>
      </c>
      <c r="I12" s="1">
        <v>30</v>
      </c>
      <c r="J12" s="1">
        <v>0</v>
      </c>
      <c r="K12" s="1">
        <v>0</v>
      </c>
      <c r="L12" s="1">
        <v>0</v>
      </c>
      <c r="M12" s="1">
        <v>0</v>
      </c>
      <c r="O12" s="1">
        <f t="shared" si="0"/>
        <v>200</v>
      </c>
    </row>
    <row r="13" s="1" customFormat="1" ht="17" customHeight="1" spans="2:17">
      <c r="B13" s="1" t="s">
        <v>71</v>
      </c>
      <c r="C13" s="1" t="s">
        <v>72</v>
      </c>
      <c r="D13" s="9" t="s">
        <v>73</v>
      </c>
      <c r="E13" s="1" t="s">
        <v>47</v>
      </c>
      <c r="F13" s="1" t="s">
        <v>43</v>
      </c>
      <c r="G13" s="1">
        <v>0.15</v>
      </c>
      <c r="I13" s="1">
        <v>100</v>
      </c>
      <c r="J13" s="1">
        <v>0</v>
      </c>
      <c r="K13" s="1">
        <v>0</v>
      </c>
      <c r="L13" s="1">
        <v>0</v>
      </c>
      <c r="M13" s="1">
        <v>0</v>
      </c>
      <c r="O13" s="1">
        <f t="shared" si="0"/>
        <v>60</v>
      </c>
      <c r="Q13" s="1">
        <f>IFERROR(VLOOKUP(E13,$T$7:$AB$12,9,FALSE),0)</f>
        <v>0</v>
      </c>
    </row>
    <row r="14" s="1" customFormat="1" spans="2:17">
      <c r="B14" s="1" t="s">
        <v>74</v>
      </c>
      <c r="C14" s="1" t="s">
        <v>75</v>
      </c>
      <c r="D14" s="1" t="s">
        <v>76</v>
      </c>
      <c r="E14" s="1" t="s">
        <v>47</v>
      </c>
      <c r="F14" s="1" t="s">
        <v>43</v>
      </c>
      <c r="G14" s="1">
        <v>0.15</v>
      </c>
      <c r="I14" s="1">
        <v>300</v>
      </c>
      <c r="J14" s="1">
        <v>0</v>
      </c>
      <c r="K14" s="1">
        <v>0</v>
      </c>
      <c r="L14" s="1">
        <v>0</v>
      </c>
      <c r="M14" s="1">
        <v>0</v>
      </c>
      <c r="O14" s="1">
        <f t="shared" si="0"/>
        <v>60</v>
      </c>
      <c r="Q14" s="1">
        <f>IFERROR(VLOOKUP(E14,$T$7:$AB$12,9,FALSE),0)</f>
        <v>0</v>
      </c>
    </row>
    <row r="15" s="1" customFormat="1" ht="17" customHeight="1" spans="2:17">
      <c r="B15" s="1" t="s">
        <v>77</v>
      </c>
      <c r="C15" s="1" t="s">
        <v>78</v>
      </c>
      <c r="D15" s="9" t="s">
        <v>79</v>
      </c>
      <c r="E15" s="1" t="s">
        <v>47</v>
      </c>
      <c r="F15" s="1" t="s">
        <v>43</v>
      </c>
      <c r="G15" s="1">
        <v>0.15</v>
      </c>
      <c r="I15" s="1">
        <v>100</v>
      </c>
      <c r="J15" s="1">
        <v>0</v>
      </c>
      <c r="K15" s="1">
        <v>0</v>
      </c>
      <c r="L15" s="1">
        <v>0</v>
      </c>
      <c r="M15" s="1">
        <v>0</v>
      </c>
      <c r="O15" s="1">
        <f t="shared" si="0"/>
        <v>60</v>
      </c>
      <c r="Q15" s="1">
        <f>IFERROR(VLOOKUP(E15,$T$7:$AB$12,9,FALSE),0)</f>
        <v>0</v>
      </c>
    </row>
    <row r="16" s="1" customFormat="1" ht="17" customHeight="1" spans="2:15">
      <c r="B16" s="1" t="s">
        <v>80</v>
      </c>
      <c r="C16" s="1" t="s">
        <v>81</v>
      </c>
      <c r="D16" s="9" t="s">
        <v>82</v>
      </c>
      <c r="E16" s="1" t="s">
        <v>47</v>
      </c>
      <c r="F16" s="1" t="s">
        <v>43</v>
      </c>
      <c r="G16" s="1">
        <v>0.15</v>
      </c>
      <c r="I16" s="1">
        <v>100</v>
      </c>
      <c r="J16" s="1">
        <v>0</v>
      </c>
      <c r="K16" s="1">
        <v>0</v>
      </c>
      <c r="L16" s="1">
        <v>0</v>
      </c>
      <c r="M16" s="1">
        <v>0</v>
      </c>
      <c r="O16" s="1">
        <f t="shared" si="0"/>
        <v>60</v>
      </c>
    </row>
    <row r="17" s="1" customFormat="1" ht="17" customHeight="1" spans="2:17">
      <c r="B17" s="1" t="s">
        <v>83</v>
      </c>
      <c r="C17" s="1" t="s">
        <v>84</v>
      </c>
      <c r="D17" s="9" t="s">
        <v>85</v>
      </c>
      <c r="E17" s="1" t="s">
        <v>47</v>
      </c>
      <c r="F17" s="1" t="s">
        <v>43</v>
      </c>
      <c r="G17" s="1">
        <v>0.15</v>
      </c>
      <c r="I17" s="1">
        <v>100</v>
      </c>
      <c r="J17" s="1">
        <v>0</v>
      </c>
      <c r="K17" s="1">
        <v>0</v>
      </c>
      <c r="L17" s="1">
        <v>0</v>
      </c>
      <c r="M17" s="1">
        <v>0</v>
      </c>
      <c r="O17" s="1">
        <f t="shared" si="0"/>
        <v>60</v>
      </c>
      <c r="Q17" s="1">
        <f>IFERROR(VLOOKUP(E17,$T$7:$AB$12,9,FALSE),0)</f>
        <v>0</v>
      </c>
    </row>
    <row r="18" s="1" customFormat="1" ht="17" customHeight="1" spans="2:17">
      <c r="B18" s="1" t="s">
        <v>86</v>
      </c>
      <c r="C18" s="1" t="s">
        <v>87</v>
      </c>
      <c r="D18" s="9" t="s">
        <v>88</v>
      </c>
      <c r="E18" s="1" t="s">
        <v>47</v>
      </c>
      <c r="F18" s="1" t="s">
        <v>43</v>
      </c>
      <c r="G18" s="1">
        <v>0.15</v>
      </c>
      <c r="I18" s="1">
        <v>300</v>
      </c>
      <c r="J18" s="1">
        <v>0</v>
      </c>
      <c r="K18" s="1">
        <v>0</v>
      </c>
      <c r="L18" s="1">
        <v>0</v>
      </c>
      <c r="M18" s="1">
        <v>0</v>
      </c>
      <c r="O18" s="1">
        <f t="shared" si="0"/>
        <v>60</v>
      </c>
      <c r="Q18" s="1">
        <f>IFERROR(VLOOKUP(E18,$T$7:$AB$12,9,FALSE),0)</f>
        <v>0</v>
      </c>
    </row>
    <row r="19" s="1" customFormat="1" ht="17" customHeight="1" spans="2:17">
      <c r="B19" s="1" t="s">
        <v>89</v>
      </c>
      <c r="C19" s="1" t="s">
        <v>90</v>
      </c>
      <c r="D19" s="9" t="s">
        <v>91</v>
      </c>
      <c r="E19" s="1" t="s">
        <v>53</v>
      </c>
      <c r="F19" s="1" t="s">
        <v>43</v>
      </c>
      <c r="G19" s="1">
        <v>0.25</v>
      </c>
      <c r="I19" s="1">
        <v>100</v>
      </c>
      <c r="J19" s="1">
        <v>0</v>
      </c>
      <c r="K19" s="1">
        <v>0</v>
      </c>
      <c r="L19" s="1">
        <v>0</v>
      </c>
      <c r="M19" s="1">
        <v>0</v>
      </c>
      <c r="O19" s="1">
        <f t="shared" si="0"/>
        <v>100</v>
      </c>
      <c r="Q19" s="1">
        <f>IFERROR(VLOOKUP(E19,$T$7:$AB$12,9,FALSE),0)</f>
        <v>0</v>
      </c>
    </row>
    <row r="20" s="1" customFormat="1" ht="17" customHeight="1" spans="2:17">
      <c r="B20" s="1" t="s">
        <v>92</v>
      </c>
      <c r="C20" s="1" t="s">
        <v>93</v>
      </c>
      <c r="D20" s="9" t="s">
        <v>94</v>
      </c>
      <c r="E20" s="1" t="s">
        <v>53</v>
      </c>
      <c r="F20" s="1" t="s">
        <v>43</v>
      </c>
      <c r="G20" s="1">
        <v>0.3</v>
      </c>
      <c r="I20" s="1">
        <v>300</v>
      </c>
      <c r="J20" s="1">
        <v>0</v>
      </c>
      <c r="K20" s="1">
        <v>0</v>
      </c>
      <c r="L20" s="1">
        <v>0</v>
      </c>
      <c r="M20" s="1">
        <v>0</v>
      </c>
      <c r="O20" s="1">
        <f t="shared" si="0"/>
        <v>100</v>
      </c>
      <c r="Q20" s="1">
        <f>IFERROR(VLOOKUP(E20,$T$7:$AB$12,9,FALSE),0)</f>
        <v>0</v>
      </c>
    </row>
    <row r="21" s="1" customFormat="1" ht="17" customHeight="1" spans="2:17">
      <c r="B21" s="1" t="s">
        <v>95</v>
      </c>
      <c r="C21" s="1" t="s">
        <v>96</v>
      </c>
      <c r="D21" s="9" t="s">
        <v>97</v>
      </c>
      <c r="E21" s="1" t="s">
        <v>53</v>
      </c>
      <c r="F21" s="1" t="s">
        <v>43</v>
      </c>
      <c r="G21" s="1">
        <v>0.3</v>
      </c>
      <c r="I21" s="1">
        <v>100</v>
      </c>
      <c r="J21" s="1">
        <v>0</v>
      </c>
      <c r="K21" s="1">
        <v>0</v>
      </c>
      <c r="L21" s="1">
        <v>0</v>
      </c>
      <c r="M21" s="1">
        <v>0</v>
      </c>
      <c r="O21" s="1">
        <f t="shared" si="0"/>
        <v>100</v>
      </c>
      <c r="Q21" s="1">
        <f>IFERROR(VLOOKUP(E21,$T$7:$AB$12,9,FALSE),0)</f>
        <v>0</v>
      </c>
    </row>
    <row r="22" s="1" customFormat="1" ht="17" customHeight="1" spans="2:15">
      <c r="B22" s="1" t="s">
        <v>98</v>
      </c>
      <c r="C22" s="1" t="s">
        <v>99</v>
      </c>
      <c r="D22" s="9" t="s">
        <v>100</v>
      </c>
      <c r="E22" s="1" t="s">
        <v>53</v>
      </c>
      <c r="F22" s="1" t="s">
        <v>43</v>
      </c>
      <c r="G22" s="1">
        <v>0.3</v>
      </c>
      <c r="I22" s="1">
        <v>100</v>
      </c>
      <c r="J22" s="1">
        <v>0</v>
      </c>
      <c r="K22" s="1">
        <v>0</v>
      </c>
      <c r="L22" s="1">
        <v>0</v>
      </c>
      <c r="M22" s="1">
        <v>0</v>
      </c>
      <c r="O22" s="1">
        <f t="shared" si="0"/>
        <v>100</v>
      </c>
    </row>
    <row r="23" s="1" customFormat="1" ht="17" customHeight="1" spans="2:17">
      <c r="B23" s="1" t="s">
        <v>101</v>
      </c>
      <c r="C23" s="1" t="s">
        <v>102</v>
      </c>
      <c r="D23" s="9" t="s">
        <v>103</v>
      </c>
      <c r="E23" s="1" t="s">
        <v>53</v>
      </c>
      <c r="F23" s="1" t="s">
        <v>43</v>
      </c>
      <c r="G23" s="1">
        <v>0.3</v>
      </c>
      <c r="I23" s="1">
        <v>100</v>
      </c>
      <c r="J23" s="1">
        <v>0</v>
      </c>
      <c r="K23" s="1">
        <v>0</v>
      </c>
      <c r="L23" s="1">
        <v>0</v>
      </c>
      <c r="M23" s="1">
        <v>0</v>
      </c>
      <c r="O23" s="1">
        <f t="shared" si="0"/>
        <v>100</v>
      </c>
      <c r="Q23" s="1">
        <f>IFERROR(VLOOKUP(E23,$T$7:$AB$12,9,FALSE),0)</f>
        <v>0</v>
      </c>
    </row>
    <row r="24" s="1" customFormat="1" ht="17" customHeight="1" spans="2:17">
      <c r="B24" s="1" t="s">
        <v>104</v>
      </c>
      <c r="C24" s="1" t="s">
        <v>105</v>
      </c>
      <c r="D24" s="9" t="s">
        <v>106</v>
      </c>
      <c r="E24" s="1" t="s">
        <v>53</v>
      </c>
      <c r="F24" s="1" t="s">
        <v>43</v>
      </c>
      <c r="G24" s="1">
        <v>0.3</v>
      </c>
      <c r="I24" s="1">
        <v>300</v>
      </c>
      <c r="J24" s="1">
        <v>0</v>
      </c>
      <c r="K24" s="1">
        <v>0</v>
      </c>
      <c r="L24" s="1">
        <v>0</v>
      </c>
      <c r="M24" s="1">
        <v>0</v>
      </c>
      <c r="O24" s="1">
        <f t="shared" si="0"/>
        <v>100</v>
      </c>
      <c r="Q24" s="1">
        <f>IFERROR(VLOOKUP(E24,$T$7:$AB$12,9,FALSE),0)</f>
        <v>0</v>
      </c>
    </row>
    <row r="25" s="1" customFormat="1" ht="51" customHeight="1" spans="2:17">
      <c r="B25" s="1" t="s">
        <v>107</v>
      </c>
      <c r="C25" s="1" t="s">
        <v>108</v>
      </c>
      <c r="D25" s="9" t="s">
        <v>109</v>
      </c>
      <c r="E25" s="1" t="s">
        <v>42</v>
      </c>
      <c r="F25" s="1" t="s">
        <v>43</v>
      </c>
      <c r="G25" s="1">
        <v>2</v>
      </c>
      <c r="I25" s="1">
        <v>30</v>
      </c>
      <c r="J25" s="1">
        <v>0</v>
      </c>
      <c r="K25" s="1">
        <v>0</v>
      </c>
      <c r="L25" s="1">
        <v>0</v>
      </c>
      <c r="M25" s="1">
        <v>0</v>
      </c>
      <c r="O25" s="1">
        <f t="shared" si="0"/>
        <v>200</v>
      </c>
      <c r="Q25" s="1">
        <f>IFERROR(VLOOKUP(E25,$T$7:$AB$12,9,FALSE),0)</f>
        <v>0</v>
      </c>
    </row>
    <row r="26" s="1" customFormat="1" ht="84" customHeight="1" spans="2:15">
      <c r="B26" s="1" t="s">
        <v>110</v>
      </c>
      <c r="C26" s="1" t="s">
        <v>111</v>
      </c>
      <c r="D26" s="9" t="s">
        <v>112</v>
      </c>
      <c r="E26" s="1" t="s">
        <v>53</v>
      </c>
      <c r="F26" s="1" t="s">
        <v>43</v>
      </c>
      <c r="G26" s="1">
        <v>10</v>
      </c>
      <c r="I26" s="1">
        <v>100</v>
      </c>
      <c r="J26" s="1">
        <v>0</v>
      </c>
      <c r="K26" s="1">
        <v>0</v>
      </c>
      <c r="L26" s="1">
        <v>0</v>
      </c>
      <c r="M26" s="1">
        <v>0</v>
      </c>
      <c r="O26" s="1">
        <f t="shared" si="0"/>
        <v>100</v>
      </c>
    </row>
    <row r="27" s="1" customFormat="1" ht="84" customHeight="1" spans="2:15">
      <c r="B27" s="1" t="s">
        <v>113</v>
      </c>
      <c r="C27" s="1" t="s">
        <v>114</v>
      </c>
      <c r="D27" s="9" t="s">
        <v>115</v>
      </c>
      <c r="E27" s="1" t="s">
        <v>53</v>
      </c>
      <c r="F27" s="1" t="s">
        <v>43</v>
      </c>
      <c r="G27" s="1">
        <v>0.3</v>
      </c>
      <c r="I27" s="1">
        <v>100</v>
      </c>
      <c r="J27" s="1">
        <v>0</v>
      </c>
      <c r="K27" s="1">
        <v>0</v>
      </c>
      <c r="L27" s="1">
        <v>0</v>
      </c>
      <c r="M27" s="1">
        <v>0</v>
      </c>
      <c r="O27" s="1">
        <f t="shared" si="0"/>
        <v>100</v>
      </c>
    </row>
    <row r="28" s="1" customFormat="1" ht="34" customHeight="1" spans="2:17">
      <c r="B28" s="1" t="s">
        <v>116</v>
      </c>
      <c r="C28" s="1" t="s">
        <v>117</v>
      </c>
      <c r="D28" s="9" t="s">
        <v>118</v>
      </c>
      <c r="E28" s="1" t="s">
        <v>53</v>
      </c>
      <c r="F28" s="1" t="s">
        <v>43</v>
      </c>
      <c r="G28" s="1">
        <v>0</v>
      </c>
      <c r="H28" s="1" t="s">
        <v>119</v>
      </c>
      <c r="I28" s="1">
        <v>300</v>
      </c>
      <c r="J28" s="1">
        <v>0</v>
      </c>
      <c r="K28" s="1">
        <v>0</v>
      </c>
      <c r="L28" s="1">
        <v>0</v>
      </c>
      <c r="M28" s="1">
        <v>0</v>
      </c>
      <c r="O28" s="1">
        <f t="shared" si="0"/>
        <v>100</v>
      </c>
      <c r="Q28" s="1">
        <f t="shared" ref="Q28:Q33" si="1">IFERROR(VLOOKUP(E28,$T$7:$AB$12,9,FALSE),0)</f>
        <v>0</v>
      </c>
    </row>
    <row r="29" s="1" customFormat="1" ht="34" customHeight="1" spans="2:17">
      <c r="B29" s="1" t="s">
        <v>120</v>
      </c>
      <c r="C29" s="1" t="s">
        <v>121</v>
      </c>
      <c r="D29" s="9" t="s">
        <v>122</v>
      </c>
      <c r="E29" s="1" t="s">
        <v>47</v>
      </c>
      <c r="F29" s="1" t="s">
        <v>43</v>
      </c>
      <c r="G29" s="1">
        <v>-0.25</v>
      </c>
      <c r="I29" s="1">
        <v>300</v>
      </c>
      <c r="J29" s="1">
        <v>0</v>
      </c>
      <c r="K29" s="1">
        <v>0</v>
      </c>
      <c r="L29" s="1">
        <v>0</v>
      </c>
      <c r="M29" s="1">
        <v>0</v>
      </c>
      <c r="O29" s="1">
        <f t="shared" si="0"/>
        <v>60</v>
      </c>
      <c r="Q29" s="1">
        <f t="shared" si="1"/>
        <v>0</v>
      </c>
    </row>
    <row r="30" s="1" customFormat="1" ht="34" customHeight="1" spans="2:17">
      <c r="B30" s="1" t="s">
        <v>123</v>
      </c>
      <c r="C30" s="1" t="s">
        <v>124</v>
      </c>
      <c r="D30" s="9" t="s">
        <v>125</v>
      </c>
      <c r="E30" s="1" t="s">
        <v>47</v>
      </c>
      <c r="F30" s="1" t="s">
        <v>43</v>
      </c>
      <c r="G30" s="1">
        <v>-0.25</v>
      </c>
      <c r="I30" s="1">
        <v>100</v>
      </c>
      <c r="J30" s="1">
        <v>0</v>
      </c>
      <c r="K30" s="1">
        <v>0</v>
      </c>
      <c r="L30" s="1">
        <v>0</v>
      </c>
      <c r="M30" s="1">
        <v>0</v>
      </c>
      <c r="O30" s="1">
        <f t="shared" si="0"/>
        <v>60</v>
      </c>
      <c r="Q30" s="1">
        <f t="shared" si="1"/>
        <v>0</v>
      </c>
    </row>
    <row r="31" s="1" customFormat="1" ht="34" customHeight="1" spans="2:17">
      <c r="B31" s="1" t="s">
        <v>126</v>
      </c>
      <c r="C31" s="1" t="s">
        <v>127</v>
      </c>
      <c r="D31" s="9" t="s">
        <v>128</v>
      </c>
      <c r="E31" s="1" t="s">
        <v>53</v>
      </c>
      <c r="F31" s="1" t="s">
        <v>43</v>
      </c>
      <c r="G31" s="1">
        <v>-0.2</v>
      </c>
      <c r="I31" s="1">
        <v>30</v>
      </c>
      <c r="J31" s="1">
        <v>0</v>
      </c>
      <c r="K31" s="1">
        <v>0</v>
      </c>
      <c r="L31" s="1">
        <v>0</v>
      </c>
      <c r="M31" s="1">
        <v>0</v>
      </c>
      <c r="O31" s="1">
        <f t="shared" si="0"/>
        <v>100</v>
      </c>
      <c r="Q31" s="1">
        <f t="shared" si="1"/>
        <v>0</v>
      </c>
    </row>
    <row r="32" s="1" customFormat="1" ht="84" customHeight="1" spans="2:17">
      <c r="B32" s="1" t="s">
        <v>129</v>
      </c>
      <c r="C32" s="1" t="s">
        <v>130</v>
      </c>
      <c r="D32" s="9" t="s">
        <v>131</v>
      </c>
      <c r="E32" s="1" t="s">
        <v>53</v>
      </c>
      <c r="F32" s="1" t="s">
        <v>43</v>
      </c>
      <c r="G32" s="1">
        <v>0.5</v>
      </c>
      <c r="H32" s="1" t="s">
        <v>132</v>
      </c>
      <c r="I32" s="1">
        <v>100</v>
      </c>
      <c r="J32" s="1">
        <v>0</v>
      </c>
      <c r="K32" s="1">
        <v>0</v>
      </c>
      <c r="L32" s="1">
        <v>0</v>
      </c>
      <c r="M32" s="1">
        <v>0</v>
      </c>
      <c r="O32" s="1">
        <f t="shared" si="0"/>
        <v>100</v>
      </c>
      <c r="P32" t="s">
        <v>133</v>
      </c>
      <c r="Q32" s="1">
        <f t="shared" si="1"/>
        <v>0</v>
      </c>
    </row>
    <row r="33" s="1" customFormat="1" ht="68" customHeight="1" spans="2:17">
      <c r="B33" s="1" t="s">
        <v>134</v>
      </c>
      <c r="C33" s="1" t="s">
        <v>135</v>
      </c>
      <c r="D33" s="9" t="s">
        <v>136</v>
      </c>
      <c r="E33" s="1" t="s">
        <v>47</v>
      </c>
      <c r="F33" s="1" t="s">
        <v>43</v>
      </c>
      <c r="G33" s="1">
        <v>20</v>
      </c>
      <c r="I33" s="1">
        <v>100</v>
      </c>
      <c r="J33" s="1">
        <v>0</v>
      </c>
      <c r="K33" s="1">
        <v>0</v>
      </c>
      <c r="L33" s="1">
        <v>0</v>
      </c>
      <c r="M33" s="1">
        <v>0</v>
      </c>
      <c r="O33" s="1">
        <f t="shared" si="0"/>
        <v>60</v>
      </c>
      <c r="Q33" s="1">
        <f t="shared" si="1"/>
        <v>0</v>
      </c>
    </row>
    <row r="34" s="1" customFormat="1" ht="68" customHeight="1" spans="2:15">
      <c r="B34" s="1" t="s">
        <v>137</v>
      </c>
      <c r="C34" s="1" t="s">
        <v>138</v>
      </c>
      <c r="D34" s="9" t="s">
        <v>139</v>
      </c>
      <c r="E34" s="1" t="s">
        <v>53</v>
      </c>
      <c r="F34" s="1" t="s">
        <v>43</v>
      </c>
      <c r="G34" s="1">
        <v>40</v>
      </c>
      <c r="I34" s="1">
        <v>100</v>
      </c>
      <c r="J34" s="1">
        <v>0</v>
      </c>
      <c r="K34" s="1">
        <v>0</v>
      </c>
      <c r="L34" s="1">
        <v>0</v>
      </c>
      <c r="M34" s="1">
        <v>0</v>
      </c>
      <c r="O34" s="1">
        <f t="shared" si="0"/>
        <v>100</v>
      </c>
    </row>
    <row r="35" s="1" customFormat="1" ht="34" customHeight="1" spans="2:17">
      <c r="B35" s="1" t="s">
        <v>140</v>
      </c>
      <c r="C35" s="1" t="s">
        <v>141</v>
      </c>
      <c r="D35" s="9" t="s">
        <v>142</v>
      </c>
      <c r="E35" s="1" t="s">
        <v>47</v>
      </c>
      <c r="F35" s="1" t="s">
        <v>43</v>
      </c>
      <c r="G35" s="1">
        <v>15</v>
      </c>
      <c r="I35" s="1">
        <v>100</v>
      </c>
      <c r="J35" s="1">
        <v>0</v>
      </c>
      <c r="K35" s="1">
        <v>0</v>
      </c>
      <c r="L35" s="1">
        <v>0</v>
      </c>
      <c r="M35" s="1">
        <v>0</v>
      </c>
      <c r="O35" s="1">
        <f t="shared" si="0"/>
        <v>60</v>
      </c>
      <c r="Q35" s="1">
        <f t="shared" ref="Q35:Q44" si="2">IFERROR(VLOOKUP(E35,$T$7:$AB$12,9,FALSE),0)</f>
        <v>0</v>
      </c>
    </row>
    <row r="36" s="1" customFormat="1" ht="34" customHeight="1" spans="2:17">
      <c r="B36" s="1" t="s">
        <v>143</v>
      </c>
      <c r="C36" s="1" t="s">
        <v>144</v>
      </c>
      <c r="D36" s="9" t="s">
        <v>145</v>
      </c>
      <c r="E36" s="1" t="s">
        <v>53</v>
      </c>
      <c r="F36" s="1" t="s">
        <v>43</v>
      </c>
      <c r="G36" s="1">
        <v>1</v>
      </c>
      <c r="I36" s="1">
        <v>100</v>
      </c>
      <c r="J36" s="1">
        <v>0</v>
      </c>
      <c r="K36" s="1">
        <v>0</v>
      </c>
      <c r="L36" s="1">
        <v>0</v>
      </c>
      <c r="M36" s="1">
        <v>0</v>
      </c>
      <c r="O36" s="1">
        <f t="shared" si="0"/>
        <v>100</v>
      </c>
      <c r="Q36" s="1">
        <f t="shared" si="2"/>
        <v>0</v>
      </c>
    </row>
    <row r="37" s="1" customFormat="1" ht="34" customHeight="1" spans="2:17">
      <c r="B37" s="1" t="s">
        <v>146</v>
      </c>
      <c r="C37" s="1" t="s">
        <v>147</v>
      </c>
      <c r="D37" s="9" t="s">
        <v>148</v>
      </c>
      <c r="E37" s="1" t="s">
        <v>53</v>
      </c>
      <c r="F37" s="1" t="s">
        <v>43</v>
      </c>
      <c r="G37" s="1">
        <v>100</v>
      </c>
      <c r="I37" s="1">
        <v>30</v>
      </c>
      <c r="J37" s="1">
        <v>0</v>
      </c>
      <c r="K37" s="1">
        <v>0</v>
      </c>
      <c r="L37" s="1">
        <v>0</v>
      </c>
      <c r="M37" s="1">
        <v>0</v>
      </c>
      <c r="O37" s="1">
        <f t="shared" ref="O37:O68" si="3">VLOOKUP(E37,$T$5:$U$8,2,FALSE)</f>
        <v>100</v>
      </c>
      <c r="Q37" s="1">
        <f t="shared" si="2"/>
        <v>0</v>
      </c>
    </row>
    <row r="38" s="1" customFormat="1" ht="51" customHeight="1" spans="2:17">
      <c r="B38" s="1" t="s">
        <v>149</v>
      </c>
      <c r="C38" s="1" t="s">
        <v>150</v>
      </c>
      <c r="D38" s="9" t="s">
        <v>151</v>
      </c>
      <c r="E38" s="1" t="s">
        <v>47</v>
      </c>
      <c r="F38" s="1" t="s">
        <v>43</v>
      </c>
      <c r="G38" s="1">
        <v>150</v>
      </c>
      <c r="H38" s="1" t="s">
        <v>152</v>
      </c>
      <c r="I38" s="1">
        <v>100</v>
      </c>
      <c r="J38" s="1">
        <v>0</v>
      </c>
      <c r="K38" s="1">
        <v>0</v>
      </c>
      <c r="L38" s="1">
        <v>0</v>
      </c>
      <c r="M38" s="1">
        <v>0</v>
      </c>
      <c r="O38" s="1">
        <f t="shared" si="3"/>
        <v>60</v>
      </c>
      <c r="Q38" s="1">
        <f t="shared" si="2"/>
        <v>0</v>
      </c>
    </row>
    <row r="39" s="1" customFormat="1" ht="34" customHeight="1" spans="2:17">
      <c r="B39" s="1" t="s">
        <v>153</v>
      </c>
      <c r="C39" s="1" t="s">
        <v>154</v>
      </c>
      <c r="D39" s="9" t="s">
        <v>155</v>
      </c>
      <c r="E39" s="1" t="s">
        <v>47</v>
      </c>
      <c r="F39" s="1" t="s">
        <v>43</v>
      </c>
      <c r="G39" s="1">
        <v>0</v>
      </c>
      <c r="I39" s="1">
        <v>100</v>
      </c>
      <c r="J39" s="1">
        <v>0</v>
      </c>
      <c r="K39" s="1">
        <v>0</v>
      </c>
      <c r="L39" s="1">
        <v>0</v>
      </c>
      <c r="M39" s="1">
        <v>0</v>
      </c>
      <c r="O39" s="1">
        <f t="shared" si="3"/>
        <v>60</v>
      </c>
      <c r="Q39" s="1">
        <f t="shared" si="2"/>
        <v>0</v>
      </c>
    </row>
    <row r="40" s="1" customFormat="1" ht="17" customHeight="1" spans="2:17">
      <c r="B40" s="1" t="s">
        <v>156</v>
      </c>
      <c r="C40" s="1" t="s">
        <v>157</v>
      </c>
      <c r="D40" s="9" t="s">
        <v>158</v>
      </c>
      <c r="E40" s="1" t="s">
        <v>53</v>
      </c>
      <c r="F40" s="1" t="s">
        <v>43</v>
      </c>
      <c r="G40" s="1">
        <v>8</v>
      </c>
      <c r="I40" s="1">
        <v>100</v>
      </c>
      <c r="J40" s="1">
        <v>0</v>
      </c>
      <c r="K40" s="1">
        <v>0</v>
      </c>
      <c r="L40" s="1">
        <v>0</v>
      </c>
      <c r="M40" s="1">
        <v>0</v>
      </c>
      <c r="O40" s="1">
        <f t="shared" si="3"/>
        <v>100</v>
      </c>
      <c r="Q40" s="1">
        <f t="shared" si="2"/>
        <v>0</v>
      </c>
    </row>
    <row r="41" s="1" customFormat="1" ht="68" customHeight="1" spans="2:17">
      <c r="B41" s="1" t="s">
        <v>159</v>
      </c>
      <c r="C41" s="1" t="s">
        <v>160</v>
      </c>
      <c r="D41" s="9" t="s">
        <v>161</v>
      </c>
      <c r="E41" s="1" t="s">
        <v>53</v>
      </c>
      <c r="F41" s="1" t="s">
        <v>43</v>
      </c>
      <c r="G41" s="1">
        <v>1</v>
      </c>
      <c r="H41" s="1" t="s">
        <v>162</v>
      </c>
      <c r="I41" s="1">
        <v>100</v>
      </c>
      <c r="J41" s="1">
        <v>0</v>
      </c>
      <c r="K41" s="1">
        <v>0</v>
      </c>
      <c r="L41" s="1">
        <v>0</v>
      </c>
      <c r="M41" s="1">
        <v>0</v>
      </c>
      <c r="O41" s="1">
        <f t="shared" si="3"/>
        <v>100</v>
      </c>
      <c r="Q41" s="1">
        <f t="shared" si="2"/>
        <v>0</v>
      </c>
    </row>
    <row r="42" s="1" customFormat="1" ht="68" customHeight="1" spans="2:17">
      <c r="B42" s="1" t="s">
        <v>163</v>
      </c>
      <c r="C42" s="1" t="s">
        <v>164</v>
      </c>
      <c r="D42" s="9" t="s">
        <v>165</v>
      </c>
      <c r="E42" s="1" t="s">
        <v>47</v>
      </c>
      <c r="F42" s="1" t="s">
        <v>43</v>
      </c>
      <c r="G42" s="1">
        <v>3</v>
      </c>
      <c r="H42" s="1" t="s">
        <v>166</v>
      </c>
      <c r="I42" s="1">
        <v>300</v>
      </c>
      <c r="J42" s="1">
        <v>0</v>
      </c>
      <c r="K42" s="1">
        <v>0</v>
      </c>
      <c r="L42" s="1">
        <v>0</v>
      </c>
      <c r="M42" s="1">
        <v>0</v>
      </c>
      <c r="O42" s="1">
        <f t="shared" si="3"/>
        <v>60</v>
      </c>
      <c r="Q42" s="1">
        <f t="shared" si="2"/>
        <v>0</v>
      </c>
    </row>
    <row r="43" s="1" customFormat="1" ht="68" customHeight="1" spans="2:17">
      <c r="B43" s="1" t="s">
        <v>167</v>
      </c>
      <c r="C43" s="1" t="s">
        <v>168</v>
      </c>
      <c r="D43" s="9" t="s">
        <v>169</v>
      </c>
      <c r="E43" s="1" t="s">
        <v>47</v>
      </c>
      <c r="F43" s="1" t="s">
        <v>43</v>
      </c>
      <c r="G43" s="1">
        <v>3</v>
      </c>
      <c r="H43" s="1" t="s">
        <v>170</v>
      </c>
      <c r="I43" s="1">
        <v>300</v>
      </c>
      <c r="J43" s="1">
        <v>0</v>
      </c>
      <c r="K43" s="1">
        <v>0</v>
      </c>
      <c r="L43" s="1">
        <v>0</v>
      </c>
      <c r="M43" s="1">
        <v>0</v>
      </c>
      <c r="O43" s="1">
        <f t="shared" si="3"/>
        <v>60</v>
      </c>
      <c r="Q43" s="1">
        <f t="shared" si="2"/>
        <v>0</v>
      </c>
    </row>
    <row r="44" s="1" customFormat="1" ht="17" customHeight="1" spans="2:17">
      <c r="B44" s="1" t="s">
        <v>171</v>
      </c>
      <c r="C44" s="1" t="s">
        <v>172</v>
      </c>
      <c r="D44" s="9" t="s">
        <v>173</v>
      </c>
      <c r="E44" s="1" t="s">
        <v>47</v>
      </c>
      <c r="F44" s="1" t="s">
        <v>43</v>
      </c>
      <c r="G44" s="1">
        <v>2</v>
      </c>
      <c r="I44" s="1">
        <v>100</v>
      </c>
      <c r="J44" s="1">
        <v>0</v>
      </c>
      <c r="K44" s="1">
        <v>0</v>
      </c>
      <c r="L44" s="1">
        <v>0</v>
      </c>
      <c r="M44" s="1">
        <v>0</v>
      </c>
      <c r="O44" s="1">
        <f t="shared" si="3"/>
        <v>60</v>
      </c>
      <c r="Q44" s="1">
        <f t="shared" si="2"/>
        <v>0</v>
      </c>
    </row>
    <row r="45" s="1" customFormat="1" ht="17" customHeight="1" spans="2:15">
      <c r="B45" s="1" t="s">
        <v>174</v>
      </c>
      <c r="C45" s="1" t="s">
        <v>175</v>
      </c>
      <c r="D45" s="9" t="s">
        <v>176</v>
      </c>
      <c r="E45" s="1" t="s">
        <v>53</v>
      </c>
      <c r="F45" s="1" t="s">
        <v>43</v>
      </c>
      <c r="G45" s="1">
        <v>3</v>
      </c>
      <c r="I45" s="1">
        <v>100</v>
      </c>
      <c r="J45" s="1">
        <v>0</v>
      </c>
      <c r="K45" s="1">
        <v>0</v>
      </c>
      <c r="L45" s="1">
        <v>0</v>
      </c>
      <c r="M45" s="1">
        <v>0</v>
      </c>
      <c r="O45" s="1">
        <f t="shared" si="3"/>
        <v>100</v>
      </c>
    </row>
    <row r="46" s="1" customFormat="1" ht="34" customHeight="1" spans="2:17">
      <c r="B46" s="1" t="s">
        <v>177</v>
      </c>
      <c r="C46" s="1" t="s">
        <v>178</v>
      </c>
      <c r="D46" s="9" t="s">
        <v>179</v>
      </c>
      <c r="E46" s="1" t="s">
        <v>47</v>
      </c>
      <c r="F46" s="1" t="s">
        <v>43</v>
      </c>
      <c r="G46" s="1">
        <v>10</v>
      </c>
      <c r="I46" s="1">
        <v>100</v>
      </c>
      <c r="J46" s="1">
        <v>0</v>
      </c>
      <c r="K46" s="1">
        <v>0</v>
      </c>
      <c r="L46" s="1">
        <v>0</v>
      </c>
      <c r="M46" s="1">
        <v>0</v>
      </c>
      <c r="O46" s="1">
        <f t="shared" si="3"/>
        <v>60</v>
      </c>
      <c r="Q46" s="1">
        <f t="shared" ref="Q46:Q51" si="4">IFERROR(VLOOKUP(E46,$T$7:$AB$12,9,FALSE),0)</f>
        <v>0</v>
      </c>
    </row>
    <row r="47" s="1" customFormat="1" ht="34" customHeight="1" spans="2:17">
      <c r="B47" s="1" t="s">
        <v>180</v>
      </c>
      <c r="C47" s="1" t="s">
        <v>181</v>
      </c>
      <c r="D47" s="9" t="s">
        <v>182</v>
      </c>
      <c r="E47" s="1" t="s">
        <v>53</v>
      </c>
      <c r="F47" s="1" t="s">
        <v>43</v>
      </c>
      <c r="G47" s="1">
        <v>400</v>
      </c>
      <c r="I47" s="1">
        <v>100</v>
      </c>
      <c r="J47" s="1">
        <v>0</v>
      </c>
      <c r="K47" s="1">
        <v>0</v>
      </c>
      <c r="L47" s="1">
        <v>0</v>
      </c>
      <c r="M47" s="1">
        <v>0</v>
      </c>
      <c r="O47" s="1">
        <f t="shared" si="3"/>
        <v>100</v>
      </c>
      <c r="Q47" s="1">
        <f t="shared" si="4"/>
        <v>0</v>
      </c>
    </row>
    <row r="48" s="1" customFormat="1" ht="34" customHeight="1" spans="2:17">
      <c r="B48" s="1" t="s">
        <v>183</v>
      </c>
      <c r="C48" s="1" t="s">
        <v>184</v>
      </c>
      <c r="D48" s="9" t="s">
        <v>185</v>
      </c>
      <c r="E48" s="1" t="s">
        <v>47</v>
      </c>
      <c r="F48" s="1" t="s">
        <v>43</v>
      </c>
      <c r="G48" s="1">
        <v>2</v>
      </c>
      <c r="I48" s="1">
        <v>100</v>
      </c>
      <c r="J48" s="1">
        <v>0</v>
      </c>
      <c r="K48" s="1">
        <v>0</v>
      </c>
      <c r="L48" s="1">
        <v>0</v>
      </c>
      <c r="M48" s="1">
        <v>0</v>
      </c>
      <c r="O48" s="1">
        <f t="shared" si="3"/>
        <v>60</v>
      </c>
      <c r="Q48" s="1">
        <f t="shared" si="4"/>
        <v>0</v>
      </c>
    </row>
    <row r="49" s="1" customFormat="1" ht="34" customHeight="1" spans="2:17">
      <c r="B49" s="1" t="s">
        <v>186</v>
      </c>
      <c r="C49" s="1" t="s">
        <v>187</v>
      </c>
      <c r="D49" s="9" t="s">
        <v>188</v>
      </c>
      <c r="E49" s="1" t="s">
        <v>47</v>
      </c>
      <c r="F49" s="1" t="s">
        <v>43</v>
      </c>
      <c r="G49" s="1">
        <v>100</v>
      </c>
      <c r="I49" s="1">
        <v>100</v>
      </c>
      <c r="J49" s="1">
        <v>0</v>
      </c>
      <c r="K49" s="1">
        <v>0</v>
      </c>
      <c r="L49" s="1">
        <v>0</v>
      </c>
      <c r="M49" s="1">
        <v>0</v>
      </c>
      <c r="O49" s="1">
        <f t="shared" si="3"/>
        <v>60</v>
      </c>
      <c r="Q49" s="1">
        <f t="shared" si="4"/>
        <v>0</v>
      </c>
    </row>
    <row r="50" s="1" customFormat="1" ht="34" customHeight="1" spans="2:17">
      <c r="B50" s="1" t="s">
        <v>189</v>
      </c>
      <c r="C50" s="1" t="s">
        <v>190</v>
      </c>
      <c r="D50" s="9" t="s">
        <v>191</v>
      </c>
      <c r="E50" s="1" t="s">
        <v>47</v>
      </c>
      <c r="F50" s="1" t="s">
        <v>43</v>
      </c>
      <c r="G50" s="1">
        <v>2</v>
      </c>
      <c r="I50" s="1">
        <v>100</v>
      </c>
      <c r="J50" s="1">
        <v>0</v>
      </c>
      <c r="K50" s="1">
        <v>0</v>
      </c>
      <c r="L50" s="1">
        <v>0</v>
      </c>
      <c r="M50" s="1">
        <v>0</v>
      </c>
      <c r="O50" s="1">
        <f t="shared" si="3"/>
        <v>60</v>
      </c>
      <c r="Q50" s="1">
        <f t="shared" si="4"/>
        <v>0</v>
      </c>
    </row>
    <row r="51" s="1" customFormat="1" ht="17" customHeight="1" spans="2:17">
      <c r="B51" s="1" t="s">
        <v>192</v>
      </c>
      <c r="C51" s="1" t="s">
        <v>193</v>
      </c>
      <c r="D51" s="9" t="s">
        <v>194</v>
      </c>
      <c r="E51" s="1" t="s">
        <v>60</v>
      </c>
      <c r="F51" s="1" t="s">
        <v>43</v>
      </c>
      <c r="G51" s="1">
        <v>1</v>
      </c>
      <c r="I51" s="1">
        <v>10</v>
      </c>
      <c r="J51" s="1">
        <v>0</v>
      </c>
      <c r="K51" s="1">
        <v>0</v>
      </c>
      <c r="L51" s="1">
        <v>0</v>
      </c>
      <c r="M51" s="1">
        <v>0</v>
      </c>
      <c r="O51" s="1">
        <f t="shared" si="3"/>
        <v>360</v>
      </c>
      <c r="Q51" s="1">
        <f t="shared" si="4"/>
        <v>0</v>
      </c>
    </row>
    <row r="52" s="1" customFormat="1" ht="34" customHeight="1" spans="2:17">
      <c r="B52" s="1" t="s">
        <v>195</v>
      </c>
      <c r="C52" s="1" t="s">
        <v>196</v>
      </c>
      <c r="D52" s="9" t="s">
        <v>197</v>
      </c>
      <c r="E52" s="1" t="s">
        <v>42</v>
      </c>
      <c r="F52" s="1" t="s">
        <v>43</v>
      </c>
      <c r="G52" s="1">
        <v>3</v>
      </c>
      <c r="I52" s="1">
        <v>30</v>
      </c>
      <c r="J52" s="1">
        <v>0</v>
      </c>
      <c r="K52" s="1">
        <v>0</v>
      </c>
      <c r="L52" s="1">
        <v>0</v>
      </c>
      <c r="M52" s="1">
        <v>0</v>
      </c>
      <c r="O52" s="1">
        <f t="shared" si="3"/>
        <v>200</v>
      </c>
      <c r="Q52" s="1">
        <f>IFERROR(VLOOKUP(E53,$T$7:$AB$12,9,FALSE),0)</f>
        <v>0</v>
      </c>
    </row>
    <row r="53" s="1" customFormat="1" ht="34" customHeight="1" spans="2:17">
      <c r="B53" s="1" t="s">
        <v>198</v>
      </c>
      <c r="C53" s="1" t="s">
        <v>199</v>
      </c>
      <c r="D53" s="9" t="s">
        <v>200</v>
      </c>
      <c r="E53" s="1" t="s">
        <v>42</v>
      </c>
      <c r="F53" s="1" t="s">
        <v>43</v>
      </c>
      <c r="G53" s="1">
        <v>0.4</v>
      </c>
      <c r="I53" s="1">
        <v>30</v>
      </c>
      <c r="J53" s="1">
        <v>0</v>
      </c>
      <c r="K53" s="1">
        <v>0</v>
      </c>
      <c r="L53" s="1">
        <v>0</v>
      </c>
      <c r="M53" s="1">
        <v>0</v>
      </c>
      <c r="O53" s="1">
        <f t="shared" si="3"/>
        <v>200</v>
      </c>
      <c r="Q53" s="1">
        <f>IFERROR(VLOOKUP(E54,$T$7:$AB$12,9,FALSE),0)</f>
        <v>0</v>
      </c>
    </row>
    <row r="54" s="1" customFormat="1" ht="17" customHeight="1" spans="2:17">
      <c r="B54" s="1" t="s">
        <v>201</v>
      </c>
      <c r="C54" s="1" t="s">
        <v>202</v>
      </c>
      <c r="D54" s="9" t="s">
        <v>203</v>
      </c>
      <c r="E54" s="1" t="s">
        <v>47</v>
      </c>
      <c r="F54" s="1" t="s">
        <v>43</v>
      </c>
      <c r="G54" s="1">
        <v>0.4</v>
      </c>
      <c r="I54" s="1">
        <v>300</v>
      </c>
      <c r="J54" s="1">
        <v>0</v>
      </c>
      <c r="K54" s="1">
        <v>0</v>
      </c>
      <c r="L54" s="1">
        <v>0</v>
      </c>
      <c r="M54" s="1">
        <v>0</v>
      </c>
      <c r="O54" s="1">
        <f t="shared" si="3"/>
        <v>60</v>
      </c>
      <c r="Q54" s="1">
        <f>IFERROR(VLOOKUP(E55,$T$7:$AB$12,9,FALSE),0)</f>
        <v>0</v>
      </c>
    </row>
    <row r="55" s="1" customFormat="1" ht="17" customHeight="1" spans="2:15">
      <c r="B55" s="1" t="s">
        <v>204</v>
      </c>
      <c r="C55" s="1" t="s">
        <v>205</v>
      </c>
      <c r="D55" s="9" t="s">
        <v>206</v>
      </c>
      <c r="E55" s="1" t="s">
        <v>47</v>
      </c>
      <c r="F55" s="1" t="s">
        <v>43</v>
      </c>
      <c r="G55" s="1">
        <v>1</v>
      </c>
      <c r="I55" s="1">
        <v>100</v>
      </c>
      <c r="J55" s="1">
        <v>0</v>
      </c>
      <c r="K55" s="1">
        <v>0</v>
      </c>
      <c r="L55" s="1">
        <v>0</v>
      </c>
      <c r="M55" s="1">
        <v>0</v>
      </c>
      <c r="O55" s="1">
        <f t="shared" si="3"/>
        <v>60</v>
      </c>
    </row>
    <row r="56" s="1" customFormat="1" ht="34" customHeight="1" spans="2:15">
      <c r="B56" s="1" t="s">
        <v>207</v>
      </c>
      <c r="C56" s="1" t="s">
        <v>208</v>
      </c>
      <c r="D56" s="9" t="s">
        <v>209</v>
      </c>
      <c r="E56" s="1" t="s">
        <v>53</v>
      </c>
      <c r="F56" s="1" t="s">
        <v>43</v>
      </c>
      <c r="G56" s="1">
        <v>0.3</v>
      </c>
      <c r="I56" s="1">
        <v>100</v>
      </c>
      <c r="J56" s="1">
        <v>0</v>
      </c>
      <c r="K56" s="1">
        <v>0</v>
      </c>
      <c r="L56" s="1">
        <v>0</v>
      </c>
      <c r="M56" s="1">
        <v>0</v>
      </c>
      <c r="O56" s="1">
        <f t="shared" si="3"/>
        <v>100</v>
      </c>
    </row>
    <row r="57" s="1" customFormat="1" ht="17" customHeight="1" spans="2:15">
      <c r="B57" s="1" t="s">
        <v>210</v>
      </c>
      <c r="C57" s="1" t="s">
        <v>211</v>
      </c>
      <c r="D57" s="9" t="s">
        <v>212</v>
      </c>
      <c r="E57" s="1" t="s">
        <v>53</v>
      </c>
      <c r="F57" s="1" t="s">
        <v>43</v>
      </c>
      <c r="G57" s="1">
        <v>0</v>
      </c>
      <c r="I57" s="1">
        <v>100</v>
      </c>
      <c r="J57" s="1">
        <v>0</v>
      </c>
      <c r="K57" s="1">
        <v>10</v>
      </c>
      <c r="L57" s="1">
        <v>0</v>
      </c>
      <c r="M57" s="1">
        <v>0</v>
      </c>
      <c r="O57" s="1">
        <f t="shared" si="3"/>
        <v>100</v>
      </c>
    </row>
    <row r="58" s="1" customFormat="1" ht="17" customHeight="1" spans="2:15">
      <c r="B58" s="1" t="s">
        <v>213</v>
      </c>
      <c r="C58" s="1" t="s">
        <v>214</v>
      </c>
      <c r="D58" s="9" t="s">
        <v>215</v>
      </c>
      <c r="E58" s="1" t="s">
        <v>53</v>
      </c>
      <c r="F58" s="1" t="s">
        <v>43</v>
      </c>
      <c r="G58" s="1">
        <v>0</v>
      </c>
      <c r="I58" s="1">
        <v>100</v>
      </c>
      <c r="J58" s="1">
        <v>0</v>
      </c>
      <c r="K58" s="1">
        <v>0</v>
      </c>
      <c r="L58" s="1">
        <v>0</v>
      </c>
      <c r="M58" s="1">
        <v>10</v>
      </c>
      <c r="O58" s="1">
        <f t="shared" si="3"/>
        <v>100</v>
      </c>
    </row>
    <row r="59" s="1" customFormat="1" ht="17" customHeight="1" spans="2:15">
      <c r="B59" s="1" t="s">
        <v>216</v>
      </c>
      <c r="C59" s="1" t="s">
        <v>217</v>
      </c>
      <c r="D59" s="9" t="s">
        <v>218</v>
      </c>
      <c r="E59" s="1" t="s">
        <v>53</v>
      </c>
      <c r="F59" s="1" t="s">
        <v>43</v>
      </c>
      <c r="G59" s="1">
        <v>0</v>
      </c>
      <c r="I59" s="1">
        <v>100</v>
      </c>
      <c r="J59" s="1">
        <v>0</v>
      </c>
      <c r="K59" s="1">
        <v>0</v>
      </c>
      <c r="L59" s="1">
        <v>6</v>
      </c>
      <c r="M59" s="1">
        <v>0</v>
      </c>
      <c r="O59" s="1">
        <f t="shared" si="3"/>
        <v>100</v>
      </c>
    </row>
    <row r="60" s="1" customFormat="1" ht="34" customHeight="1" spans="2:17">
      <c r="B60" s="1" t="s">
        <v>219</v>
      </c>
      <c r="C60" s="1" t="s">
        <v>220</v>
      </c>
      <c r="D60" s="9" t="s">
        <v>221</v>
      </c>
      <c r="E60" s="1" t="s">
        <v>47</v>
      </c>
      <c r="F60" s="1" t="s">
        <v>43</v>
      </c>
      <c r="G60" s="1">
        <v>15</v>
      </c>
      <c r="I60" s="1">
        <v>300</v>
      </c>
      <c r="J60" s="1">
        <v>0</v>
      </c>
      <c r="K60" s="1">
        <v>0</v>
      </c>
      <c r="L60" s="1">
        <v>0</v>
      </c>
      <c r="M60" s="1">
        <v>0</v>
      </c>
      <c r="O60" s="1">
        <f t="shared" si="3"/>
        <v>60</v>
      </c>
      <c r="Q60" s="1">
        <f>IFERROR(VLOOKUP(E61,$T$7:$AB$12,9,FALSE),0)</f>
        <v>0</v>
      </c>
    </row>
    <row r="61" s="1" customFormat="1" ht="34" customHeight="1" spans="2:17">
      <c r="B61" s="1" t="s">
        <v>222</v>
      </c>
      <c r="C61" s="1" t="s">
        <v>223</v>
      </c>
      <c r="D61" s="9" t="s">
        <v>224</v>
      </c>
      <c r="E61" s="1" t="s">
        <v>47</v>
      </c>
      <c r="F61" s="1" t="s">
        <v>43</v>
      </c>
      <c r="G61" s="1">
        <v>0</v>
      </c>
      <c r="I61" s="1">
        <v>30</v>
      </c>
      <c r="J61" s="1">
        <v>0</v>
      </c>
      <c r="K61" s="1">
        <v>0</v>
      </c>
      <c r="L61" s="1">
        <v>0</v>
      </c>
      <c r="M61" s="1">
        <v>0</v>
      </c>
      <c r="O61" s="1">
        <f t="shared" si="3"/>
        <v>60</v>
      </c>
      <c r="Q61" s="1">
        <f>IFERROR(VLOOKUP(E62,$T$7:$AB$12,9,FALSE),0)</f>
        <v>0</v>
      </c>
    </row>
    <row r="62" s="1" customFormat="1" ht="17" customHeight="1" spans="2:15">
      <c r="B62" s="1" t="s">
        <v>225</v>
      </c>
      <c r="C62" s="1" t="s">
        <v>226</v>
      </c>
      <c r="D62" s="9" t="s">
        <v>227</v>
      </c>
      <c r="E62" s="1" t="s">
        <v>47</v>
      </c>
      <c r="F62" s="1" t="s">
        <v>43</v>
      </c>
      <c r="G62" s="1">
        <v>0</v>
      </c>
      <c r="I62" s="1">
        <v>30</v>
      </c>
      <c r="J62" s="1">
        <v>0</v>
      </c>
      <c r="K62" s="1">
        <v>0</v>
      </c>
      <c r="L62" s="1">
        <v>0</v>
      </c>
      <c r="M62" s="1">
        <v>0</v>
      </c>
      <c r="O62" s="1">
        <f t="shared" si="3"/>
        <v>60</v>
      </c>
    </row>
    <row r="63" s="1" customFormat="1" ht="34" customHeight="1" spans="2:15">
      <c r="B63" s="1" t="s">
        <v>228</v>
      </c>
      <c r="C63" s="1" t="s">
        <v>229</v>
      </c>
      <c r="D63" s="9" t="s">
        <v>230</v>
      </c>
      <c r="E63" s="1" t="s">
        <v>47</v>
      </c>
      <c r="F63" s="1" t="s">
        <v>43</v>
      </c>
      <c r="G63" s="1">
        <v>0</v>
      </c>
      <c r="I63" s="1">
        <v>30</v>
      </c>
      <c r="J63" s="1">
        <v>0</v>
      </c>
      <c r="K63" s="1">
        <v>0</v>
      </c>
      <c r="L63" s="1">
        <v>0</v>
      </c>
      <c r="M63" s="1">
        <v>0</v>
      </c>
      <c r="O63" s="1">
        <f t="shared" si="3"/>
        <v>60</v>
      </c>
    </row>
    <row r="64" s="1" customFormat="1" ht="34" customHeight="1" spans="2:17">
      <c r="B64" s="1" t="s">
        <v>231</v>
      </c>
      <c r="C64" s="1" t="s">
        <v>232</v>
      </c>
      <c r="D64" s="9" t="s">
        <v>233</v>
      </c>
      <c r="E64" s="1" t="s">
        <v>53</v>
      </c>
      <c r="F64" s="1" t="s">
        <v>43</v>
      </c>
      <c r="G64" s="1">
        <v>1</v>
      </c>
      <c r="I64" s="1">
        <v>100</v>
      </c>
      <c r="J64" s="1">
        <v>0</v>
      </c>
      <c r="K64" s="1">
        <v>0</v>
      </c>
      <c r="L64" s="1">
        <v>0</v>
      </c>
      <c r="M64" s="1">
        <v>0</v>
      </c>
      <c r="O64" s="1">
        <f t="shared" si="3"/>
        <v>100</v>
      </c>
      <c r="Q64" s="1">
        <f t="shared" ref="Q64:Q73" si="5">IFERROR(VLOOKUP(E65,$T$7:$AB$12,9,FALSE),0)</f>
        <v>0</v>
      </c>
    </row>
    <row r="65" s="1" customFormat="1" ht="34" customHeight="1" spans="2:17">
      <c r="B65" s="1" t="s">
        <v>234</v>
      </c>
      <c r="C65" s="1" t="s">
        <v>235</v>
      </c>
      <c r="D65" s="9" t="s">
        <v>236</v>
      </c>
      <c r="E65" s="1" t="s">
        <v>53</v>
      </c>
      <c r="F65" s="1" t="s">
        <v>43</v>
      </c>
      <c r="G65" s="1">
        <v>0</v>
      </c>
      <c r="H65" s="1" t="s">
        <v>237</v>
      </c>
      <c r="I65" s="1">
        <v>100</v>
      </c>
      <c r="J65" s="1">
        <v>0</v>
      </c>
      <c r="K65" s="1">
        <v>0</v>
      </c>
      <c r="L65" s="1">
        <v>0</v>
      </c>
      <c r="M65" s="1">
        <v>0</v>
      </c>
      <c r="O65" s="1">
        <f t="shared" si="3"/>
        <v>100</v>
      </c>
      <c r="Q65" s="1">
        <f t="shared" si="5"/>
        <v>0</v>
      </c>
    </row>
    <row r="66" s="1" customFormat="1" ht="34" customHeight="1" spans="2:17">
      <c r="B66" s="1" t="s">
        <v>238</v>
      </c>
      <c r="C66" s="1" t="s">
        <v>239</v>
      </c>
      <c r="D66" s="9" t="s">
        <v>240</v>
      </c>
      <c r="E66" s="1" t="s">
        <v>42</v>
      </c>
      <c r="F66" s="1" t="s">
        <v>43</v>
      </c>
      <c r="G66" s="1">
        <v>0</v>
      </c>
      <c r="H66" s="1" t="s">
        <v>162</v>
      </c>
      <c r="I66" s="1">
        <v>100</v>
      </c>
      <c r="J66" s="1">
        <v>0</v>
      </c>
      <c r="K66" s="1">
        <v>0</v>
      </c>
      <c r="L66" s="1">
        <v>0</v>
      </c>
      <c r="M66" s="1">
        <v>0</v>
      </c>
      <c r="O66" s="1">
        <f t="shared" si="3"/>
        <v>200</v>
      </c>
      <c r="Q66" s="1">
        <f t="shared" si="5"/>
        <v>0</v>
      </c>
    </row>
    <row r="67" s="1" customFormat="1" ht="34" customHeight="1" spans="2:17">
      <c r="B67" s="1" t="s">
        <v>241</v>
      </c>
      <c r="C67" s="1" t="s">
        <v>242</v>
      </c>
      <c r="D67" s="9" t="s">
        <v>243</v>
      </c>
      <c r="E67" s="1" t="s">
        <v>47</v>
      </c>
      <c r="F67" s="1" t="s">
        <v>43</v>
      </c>
      <c r="G67" s="1">
        <v>3</v>
      </c>
      <c r="I67" s="1">
        <v>100</v>
      </c>
      <c r="J67" s="1">
        <v>0</v>
      </c>
      <c r="K67" s="1">
        <v>0</v>
      </c>
      <c r="L67" s="1">
        <v>0</v>
      </c>
      <c r="M67" s="1">
        <v>0</v>
      </c>
      <c r="O67" s="1">
        <f t="shared" si="3"/>
        <v>60</v>
      </c>
      <c r="Q67" s="1">
        <f t="shared" si="5"/>
        <v>0</v>
      </c>
    </row>
    <row r="68" s="1" customFormat="1" ht="34" customHeight="1" spans="2:17">
      <c r="B68" s="1" t="s">
        <v>244</v>
      </c>
      <c r="C68" s="1" t="s">
        <v>245</v>
      </c>
      <c r="D68" s="9" t="s">
        <v>246</v>
      </c>
      <c r="E68" s="1" t="s">
        <v>47</v>
      </c>
      <c r="F68" s="1" t="s">
        <v>43</v>
      </c>
      <c r="G68" s="1">
        <v>2</v>
      </c>
      <c r="I68" s="1">
        <v>300</v>
      </c>
      <c r="J68" s="1">
        <v>0</v>
      </c>
      <c r="K68" s="1">
        <v>0</v>
      </c>
      <c r="L68" s="1">
        <v>0</v>
      </c>
      <c r="M68" s="1">
        <v>0</v>
      </c>
      <c r="O68" s="1">
        <f t="shared" si="3"/>
        <v>60</v>
      </c>
      <c r="Q68" s="1">
        <f t="shared" si="5"/>
        <v>0</v>
      </c>
    </row>
    <row r="69" s="1" customFormat="1" ht="34" customHeight="1" spans="2:17">
      <c r="B69" s="1" t="s">
        <v>247</v>
      </c>
      <c r="C69" s="1" t="s">
        <v>248</v>
      </c>
      <c r="D69" s="9" t="s">
        <v>249</v>
      </c>
      <c r="E69" s="1" t="s">
        <v>53</v>
      </c>
      <c r="F69" s="1" t="s">
        <v>43</v>
      </c>
      <c r="G69" s="1">
        <v>40</v>
      </c>
      <c r="I69" s="1">
        <v>100</v>
      </c>
      <c r="J69" s="1">
        <v>0</v>
      </c>
      <c r="K69" s="1">
        <v>0</v>
      </c>
      <c r="L69" s="1">
        <v>0</v>
      </c>
      <c r="M69" s="1">
        <v>0</v>
      </c>
      <c r="O69" s="1">
        <f t="shared" ref="O69:O100" si="6">VLOOKUP(E69,$T$5:$U$8,2,FALSE)</f>
        <v>100</v>
      </c>
      <c r="Q69" s="1">
        <f t="shared" si="5"/>
        <v>0</v>
      </c>
    </row>
    <row r="70" s="1" customFormat="1" ht="68" customHeight="1" spans="2:17">
      <c r="B70" s="1" t="s">
        <v>250</v>
      </c>
      <c r="C70" s="1" t="s">
        <v>251</v>
      </c>
      <c r="D70" s="9" t="s">
        <v>252</v>
      </c>
      <c r="E70" s="1" t="s">
        <v>253</v>
      </c>
      <c r="F70" s="1" t="s">
        <v>253</v>
      </c>
      <c r="G70" s="1">
        <v>-0.2</v>
      </c>
      <c r="I70" s="1">
        <v>300</v>
      </c>
      <c r="J70" s="1">
        <v>0</v>
      </c>
      <c r="K70" s="1">
        <v>0</v>
      </c>
      <c r="L70" s="1">
        <v>0</v>
      </c>
      <c r="M70" s="1">
        <v>0</v>
      </c>
      <c r="O70" s="1">
        <v>60</v>
      </c>
      <c r="Q70" s="1">
        <f t="shared" si="5"/>
        <v>0</v>
      </c>
    </row>
    <row r="71" s="1" customFormat="1" ht="17" customHeight="1" spans="2:17">
      <c r="B71" s="1" t="s">
        <v>254</v>
      </c>
      <c r="C71" s="1" t="s">
        <v>255</v>
      </c>
      <c r="D71" s="9" t="s">
        <v>256</v>
      </c>
      <c r="E71" s="1" t="s">
        <v>253</v>
      </c>
      <c r="F71" s="1" t="s">
        <v>253</v>
      </c>
      <c r="G71" s="1">
        <v>0.2</v>
      </c>
      <c r="I71" s="1">
        <v>300</v>
      </c>
      <c r="J71" s="1">
        <v>0</v>
      </c>
      <c r="K71" s="1">
        <v>0</v>
      </c>
      <c r="L71" s="1">
        <v>0</v>
      </c>
      <c r="M71" s="1">
        <v>0</v>
      </c>
      <c r="O71" s="1">
        <v>60</v>
      </c>
      <c r="Q71" s="1">
        <f t="shared" si="5"/>
        <v>0</v>
      </c>
    </row>
    <row r="72" s="1" customFormat="1" ht="17" customHeight="1" spans="2:17">
      <c r="B72" s="1" t="s">
        <v>257</v>
      </c>
      <c r="C72" s="1" t="s">
        <v>258</v>
      </c>
      <c r="D72" s="9" t="s">
        <v>259</v>
      </c>
      <c r="E72" s="1" t="s">
        <v>253</v>
      </c>
      <c r="F72" s="1" t="s">
        <v>253</v>
      </c>
      <c r="G72" s="1">
        <v>0</v>
      </c>
      <c r="I72" s="1">
        <v>300</v>
      </c>
      <c r="J72" s="1">
        <v>0</v>
      </c>
      <c r="K72" s="1">
        <v>0</v>
      </c>
      <c r="L72" s="1">
        <v>0</v>
      </c>
      <c r="M72" s="1">
        <v>0</v>
      </c>
      <c r="O72" s="1">
        <v>60</v>
      </c>
      <c r="Q72" s="1">
        <f t="shared" si="5"/>
        <v>0</v>
      </c>
    </row>
    <row r="73" s="1" customFormat="1" ht="17" customHeight="1" spans="2:17">
      <c r="B73" s="1" t="s">
        <v>260</v>
      </c>
      <c r="C73" s="1" t="s">
        <v>261</v>
      </c>
      <c r="D73" s="9" t="s">
        <v>262</v>
      </c>
      <c r="E73" s="1" t="s">
        <v>253</v>
      </c>
      <c r="F73" s="1" t="s">
        <v>253</v>
      </c>
      <c r="G73" s="1">
        <v>1</v>
      </c>
      <c r="I73" s="1">
        <v>300</v>
      </c>
      <c r="J73" s="1">
        <v>0</v>
      </c>
      <c r="K73" s="1">
        <v>0</v>
      </c>
      <c r="L73" s="1">
        <v>0</v>
      </c>
      <c r="M73" s="1">
        <v>0</v>
      </c>
      <c r="O73" s="1">
        <v>60</v>
      </c>
      <c r="Q73" s="1">
        <f t="shared" si="5"/>
        <v>0</v>
      </c>
    </row>
    <row r="74" s="1" customFormat="1" ht="17" customHeight="1" spans="2:15">
      <c r="B74" s="1" t="s">
        <v>263</v>
      </c>
      <c r="C74" s="1" t="s">
        <v>264</v>
      </c>
      <c r="D74" s="9" t="s">
        <v>265</v>
      </c>
      <c r="E74" s="1" t="s">
        <v>253</v>
      </c>
      <c r="F74" s="1" t="s">
        <v>253</v>
      </c>
      <c r="G74" s="1">
        <v>1</v>
      </c>
      <c r="I74" s="1">
        <v>300</v>
      </c>
      <c r="J74" s="1">
        <v>0</v>
      </c>
      <c r="K74" s="1">
        <v>0</v>
      </c>
      <c r="L74" s="1">
        <v>0</v>
      </c>
      <c r="M74" s="1">
        <v>0</v>
      </c>
      <c r="O74" s="1">
        <v>60</v>
      </c>
    </row>
    <row r="75" s="1" customFormat="1" ht="17" customHeight="1" spans="2:17">
      <c r="B75" s="1" t="s">
        <v>266</v>
      </c>
      <c r="C75" s="1" t="s">
        <v>267</v>
      </c>
      <c r="D75" s="9" t="s">
        <v>268</v>
      </c>
      <c r="E75" s="1" t="s">
        <v>253</v>
      </c>
      <c r="F75" s="1" t="s">
        <v>253</v>
      </c>
      <c r="G75" s="1">
        <v>-1</v>
      </c>
      <c r="I75" s="1">
        <v>300</v>
      </c>
      <c r="J75" s="1">
        <v>0</v>
      </c>
      <c r="K75" s="1">
        <v>0</v>
      </c>
      <c r="L75" s="1">
        <v>0</v>
      </c>
      <c r="M75" s="1">
        <v>0</v>
      </c>
      <c r="O75" s="1">
        <v>60</v>
      </c>
      <c r="Q75" s="1">
        <f>IFERROR(VLOOKUP(E76,$T$7:$AB$12,9,FALSE),0)</f>
        <v>0</v>
      </c>
    </row>
    <row r="76" s="1" customFormat="1" ht="34" customHeight="1" spans="2:17">
      <c r="B76" s="1" t="s">
        <v>269</v>
      </c>
      <c r="C76" s="1" t="s">
        <v>270</v>
      </c>
      <c r="D76" s="9" t="s">
        <v>271</v>
      </c>
      <c r="E76" s="1" t="s">
        <v>253</v>
      </c>
      <c r="F76" s="1" t="s">
        <v>253</v>
      </c>
      <c r="G76" s="1">
        <v>0.2</v>
      </c>
      <c r="I76" s="1">
        <v>300</v>
      </c>
      <c r="J76" s="1">
        <v>0</v>
      </c>
      <c r="K76" s="1">
        <v>0</v>
      </c>
      <c r="L76" s="1">
        <v>0</v>
      </c>
      <c r="M76" s="1">
        <v>0</v>
      </c>
      <c r="O76" s="1">
        <v>60</v>
      </c>
      <c r="Q76" s="1">
        <f>IFERROR(VLOOKUP(E77,$T$7:$AB$12,9,FALSE),0)</f>
        <v>0</v>
      </c>
    </row>
    <row r="77" s="1" customFormat="1" ht="34" customHeight="1" spans="2:17">
      <c r="B77" s="1" t="s">
        <v>272</v>
      </c>
      <c r="C77" s="1" t="s">
        <v>273</v>
      </c>
      <c r="D77" s="9" t="s">
        <v>274</v>
      </c>
      <c r="E77" s="1" t="s">
        <v>253</v>
      </c>
      <c r="F77" s="1" t="s">
        <v>253</v>
      </c>
      <c r="G77" s="1">
        <v>0.2</v>
      </c>
      <c r="I77" s="1">
        <v>300</v>
      </c>
      <c r="J77" s="1">
        <v>0</v>
      </c>
      <c r="K77" s="1">
        <v>0</v>
      </c>
      <c r="L77" s="1">
        <v>0</v>
      </c>
      <c r="M77" s="1">
        <v>0</v>
      </c>
      <c r="O77" s="1">
        <v>60</v>
      </c>
      <c r="Q77" s="1">
        <f>IFERROR(VLOOKUP(E78,$T$7:$AB$12,9,FALSE),0)</f>
        <v>0</v>
      </c>
    </row>
    <row r="78" s="1" customFormat="1" ht="34" customHeight="1" spans="2:17">
      <c r="B78" s="1" t="s">
        <v>275</v>
      </c>
      <c r="C78" s="1" t="s">
        <v>276</v>
      </c>
      <c r="D78" s="9" t="s">
        <v>277</v>
      </c>
      <c r="E78" s="1" t="s">
        <v>253</v>
      </c>
      <c r="F78" s="1" t="s">
        <v>253</v>
      </c>
      <c r="G78" s="1">
        <v>0.2</v>
      </c>
      <c r="I78" s="1">
        <v>300</v>
      </c>
      <c r="J78" s="1">
        <v>0</v>
      </c>
      <c r="K78" s="1">
        <v>0</v>
      </c>
      <c r="L78" s="1">
        <v>0</v>
      </c>
      <c r="M78" s="1">
        <v>0</v>
      </c>
      <c r="O78" s="1">
        <v>60</v>
      </c>
      <c r="Q78" s="1">
        <f>IFERROR(VLOOKUP(E79,$T$7:$AB$12,9,FALSE),0)</f>
        <v>0</v>
      </c>
    </row>
    <row r="79" s="1" customFormat="1" ht="34" customHeight="1" spans="2:17">
      <c r="B79" s="1" t="s">
        <v>278</v>
      </c>
      <c r="C79" s="1" t="s">
        <v>279</v>
      </c>
      <c r="D79" s="9" t="s">
        <v>280</v>
      </c>
      <c r="E79" s="1" t="s">
        <v>253</v>
      </c>
      <c r="F79" s="1" t="s">
        <v>253</v>
      </c>
      <c r="G79" s="1">
        <v>0</v>
      </c>
      <c r="I79" s="1">
        <v>300</v>
      </c>
      <c r="J79" s="1">
        <v>0</v>
      </c>
      <c r="K79" s="1">
        <v>0</v>
      </c>
      <c r="L79" s="1">
        <v>0</v>
      </c>
      <c r="M79" s="1">
        <v>0</v>
      </c>
      <c r="O79" s="1">
        <v>60</v>
      </c>
      <c r="Q79" s="1">
        <f>IFERROR(VLOOKUP(E80,$T$7:$AB$12,9,FALSE),0)</f>
        <v>0</v>
      </c>
    </row>
    <row r="80" s="1" customFormat="1" ht="51" customHeight="1" spans="2:15">
      <c r="B80" s="1" t="s">
        <v>281</v>
      </c>
      <c r="C80" s="1" t="s">
        <v>282</v>
      </c>
      <c r="D80" s="9" t="s">
        <v>283</v>
      </c>
      <c r="E80" s="1" t="s">
        <v>42</v>
      </c>
      <c r="F80" s="1" t="s">
        <v>43</v>
      </c>
      <c r="G80" s="1">
        <v>1.5</v>
      </c>
      <c r="H80" s="1" t="s">
        <v>284</v>
      </c>
      <c r="I80" s="1">
        <v>300</v>
      </c>
      <c r="J80" s="1">
        <v>0</v>
      </c>
      <c r="K80" s="1">
        <v>0</v>
      </c>
      <c r="L80" s="1">
        <v>0</v>
      </c>
      <c r="M80" s="1">
        <v>0</v>
      </c>
      <c r="O80" s="1">
        <f t="shared" si="6"/>
        <v>200</v>
      </c>
    </row>
    <row r="81" s="1" customFormat="1" ht="51" customHeight="1" spans="2:15">
      <c r="B81" s="1" t="s">
        <v>285</v>
      </c>
      <c r="C81" s="1" t="s">
        <v>286</v>
      </c>
      <c r="D81" s="9" t="s">
        <v>287</v>
      </c>
      <c r="E81" s="1" t="s">
        <v>42</v>
      </c>
      <c r="F81" s="1" t="s">
        <v>43</v>
      </c>
      <c r="G81" s="1">
        <v>0.3</v>
      </c>
      <c r="I81" s="1">
        <v>100</v>
      </c>
      <c r="J81" s="1">
        <v>0</v>
      </c>
      <c r="K81" s="1">
        <v>0</v>
      </c>
      <c r="L81" s="1">
        <v>0</v>
      </c>
      <c r="M81" s="1">
        <v>0</v>
      </c>
      <c r="O81" s="1">
        <f t="shared" si="6"/>
        <v>200</v>
      </c>
    </row>
    <row r="82" s="1" customFormat="1" ht="34" customHeight="1" spans="2:17">
      <c r="B82" s="1" t="s">
        <v>288</v>
      </c>
      <c r="C82" s="12" t="s">
        <v>289</v>
      </c>
      <c r="D82" s="9" t="s">
        <v>290</v>
      </c>
      <c r="E82" s="1" t="s">
        <v>60</v>
      </c>
      <c r="F82" s="1" t="s">
        <v>43</v>
      </c>
      <c r="G82" s="1">
        <v>2</v>
      </c>
      <c r="I82" s="1">
        <v>10</v>
      </c>
      <c r="J82" s="1">
        <v>0</v>
      </c>
      <c r="K82" s="1">
        <v>0</v>
      </c>
      <c r="L82" s="1">
        <v>0</v>
      </c>
      <c r="M82" s="1">
        <v>0</v>
      </c>
      <c r="N82" s="1" t="s">
        <v>291</v>
      </c>
      <c r="O82" s="1">
        <f t="shared" si="6"/>
        <v>360</v>
      </c>
      <c r="P82" t="s">
        <v>133</v>
      </c>
      <c r="Q82" s="1">
        <f>IFERROR(VLOOKUP(E89,$T$7:$AB$12,9,FALSE),0)</f>
        <v>0</v>
      </c>
    </row>
    <row r="83" s="1" customFormat="1" ht="34" customHeight="1" spans="2:16">
      <c r="B83" s="1" t="s">
        <v>292</v>
      </c>
      <c r="C83" s="12" t="s">
        <v>293</v>
      </c>
      <c r="D83" s="9" t="s">
        <v>294</v>
      </c>
      <c r="E83" s="1" t="s">
        <v>42</v>
      </c>
      <c r="F83" s="1" t="s">
        <v>43</v>
      </c>
      <c r="G83" s="1">
        <v>1</v>
      </c>
      <c r="I83" s="1">
        <v>10</v>
      </c>
      <c r="J83" s="1">
        <v>0</v>
      </c>
      <c r="K83" s="1">
        <v>0</v>
      </c>
      <c r="L83" s="1">
        <v>0</v>
      </c>
      <c r="M83" s="1">
        <v>0</v>
      </c>
      <c r="N83" s="1" t="s">
        <v>291</v>
      </c>
      <c r="O83" s="1">
        <f t="shared" si="6"/>
        <v>200</v>
      </c>
      <c r="P83" t="s">
        <v>133</v>
      </c>
    </row>
    <row r="84" s="1" customFormat="1" ht="68" customHeight="1" spans="2:16">
      <c r="B84" s="1" t="s">
        <v>295</v>
      </c>
      <c r="C84" s="12" t="s">
        <v>296</v>
      </c>
      <c r="D84" s="9" t="s">
        <v>297</v>
      </c>
      <c r="E84" s="1" t="s">
        <v>53</v>
      </c>
      <c r="F84" s="1" t="s">
        <v>43</v>
      </c>
      <c r="G84" s="1">
        <v>1</v>
      </c>
      <c r="H84" s="1" t="s">
        <v>298</v>
      </c>
      <c r="I84" s="1">
        <v>100</v>
      </c>
      <c r="J84" s="1">
        <v>0</v>
      </c>
      <c r="K84" s="1">
        <v>0</v>
      </c>
      <c r="L84" s="1">
        <v>0</v>
      </c>
      <c r="M84" s="1">
        <v>0</v>
      </c>
      <c r="N84" s="1" t="s">
        <v>291</v>
      </c>
      <c r="O84" s="1">
        <f t="shared" si="6"/>
        <v>100</v>
      </c>
      <c r="P84" t="s">
        <v>133</v>
      </c>
    </row>
    <row r="85" s="1" customFormat="1" ht="51" customHeight="1" spans="2:17">
      <c r="B85" s="1" t="s">
        <v>299</v>
      </c>
      <c r="C85" s="12" t="s">
        <v>300</v>
      </c>
      <c r="D85" s="9" t="s">
        <v>301</v>
      </c>
      <c r="E85" s="1" t="s">
        <v>53</v>
      </c>
      <c r="F85" s="1" t="s">
        <v>43</v>
      </c>
      <c r="G85" s="1">
        <v>0.5</v>
      </c>
      <c r="H85" s="1" t="s">
        <v>302</v>
      </c>
      <c r="I85" s="1">
        <v>30</v>
      </c>
      <c r="J85" s="1">
        <v>0</v>
      </c>
      <c r="K85" s="1">
        <v>0</v>
      </c>
      <c r="L85" s="1">
        <v>0</v>
      </c>
      <c r="M85" s="1">
        <v>0</v>
      </c>
      <c r="O85" s="1">
        <f t="shared" si="6"/>
        <v>100</v>
      </c>
      <c r="P85" t="s">
        <v>133</v>
      </c>
      <c r="Q85" s="1">
        <f>IFERROR(VLOOKUP(E85,$T$7:$AB$12,9,FALSE),0)</f>
        <v>0</v>
      </c>
    </row>
    <row r="86" s="1" customFormat="1" ht="51" customHeight="1" spans="2:16">
      <c r="B86" s="1" t="s">
        <v>303</v>
      </c>
      <c r="C86" s="12" t="s">
        <v>304</v>
      </c>
      <c r="D86" s="9" t="s">
        <v>305</v>
      </c>
      <c r="E86" s="1" t="s">
        <v>47</v>
      </c>
      <c r="F86" s="1" t="s">
        <v>43</v>
      </c>
      <c r="G86" s="1">
        <v>5</v>
      </c>
      <c r="I86" s="1">
        <v>100</v>
      </c>
      <c r="J86" s="1">
        <v>0</v>
      </c>
      <c r="K86" s="1">
        <v>0</v>
      </c>
      <c r="L86" s="1">
        <v>0</v>
      </c>
      <c r="M86" s="1">
        <v>0</v>
      </c>
      <c r="O86" s="1">
        <f t="shared" si="6"/>
        <v>60</v>
      </c>
      <c r="P86" t="s">
        <v>133</v>
      </c>
    </row>
    <row r="87" s="1" customFormat="1" ht="51" customHeight="1" spans="2:16">
      <c r="B87" s="1" t="s">
        <v>306</v>
      </c>
      <c r="C87" s="12" t="s">
        <v>307</v>
      </c>
      <c r="D87" s="9" t="s">
        <v>308</v>
      </c>
      <c r="E87" s="1" t="s">
        <v>47</v>
      </c>
      <c r="F87" s="1" t="s">
        <v>43</v>
      </c>
      <c r="G87" s="1">
        <v>0.2</v>
      </c>
      <c r="I87" s="1">
        <v>100</v>
      </c>
      <c r="J87" s="1">
        <v>0</v>
      </c>
      <c r="K87" s="1">
        <v>0</v>
      </c>
      <c r="L87" s="1">
        <v>0</v>
      </c>
      <c r="M87" s="1">
        <v>0</v>
      </c>
      <c r="O87" s="1">
        <f t="shared" si="6"/>
        <v>60</v>
      </c>
      <c r="P87" t="s">
        <v>133</v>
      </c>
    </row>
    <row r="88" s="1" customFormat="1" ht="51" customHeight="1" spans="2:16">
      <c r="B88" s="1" t="s">
        <v>309</v>
      </c>
      <c r="C88" s="12" t="s">
        <v>310</v>
      </c>
      <c r="D88" s="9" t="s">
        <v>311</v>
      </c>
      <c r="E88" s="1" t="s">
        <v>53</v>
      </c>
      <c r="F88" s="1" t="s">
        <v>43</v>
      </c>
      <c r="G88" s="1">
        <v>1</v>
      </c>
      <c r="H88" s="1" t="s">
        <v>312</v>
      </c>
      <c r="I88" s="1">
        <v>100</v>
      </c>
      <c r="J88" s="1">
        <v>0</v>
      </c>
      <c r="K88" s="1">
        <v>0</v>
      </c>
      <c r="L88" s="1">
        <v>0</v>
      </c>
      <c r="M88" s="1">
        <v>0</v>
      </c>
      <c r="N88" s="1" t="s">
        <v>291</v>
      </c>
      <c r="O88" s="1">
        <f t="shared" si="6"/>
        <v>100</v>
      </c>
      <c r="P88" t="s">
        <v>133</v>
      </c>
    </row>
    <row r="89" s="1" customFormat="1" ht="68" customHeight="1" spans="2:17">
      <c r="B89" s="1" t="s">
        <v>313</v>
      </c>
      <c r="C89" s="1" t="s">
        <v>314</v>
      </c>
      <c r="D89" s="9" t="s">
        <v>315</v>
      </c>
      <c r="E89" s="1" t="s">
        <v>42</v>
      </c>
      <c r="F89" s="1" t="s">
        <v>43</v>
      </c>
      <c r="G89" s="1">
        <v>0.4</v>
      </c>
      <c r="I89" s="1">
        <v>10</v>
      </c>
      <c r="J89" s="1">
        <v>0</v>
      </c>
      <c r="K89" s="1">
        <v>0</v>
      </c>
      <c r="L89" s="1">
        <v>0</v>
      </c>
      <c r="M89" s="1">
        <v>0</v>
      </c>
      <c r="N89" s="1" t="s">
        <v>316</v>
      </c>
      <c r="O89" s="1">
        <f t="shared" si="6"/>
        <v>200</v>
      </c>
      <c r="P89" t="s">
        <v>317</v>
      </c>
      <c r="Q89" s="1">
        <f>IFERROR(VLOOKUP(E90,$T$7:$AB$12,9,FALSE),0)</f>
        <v>0</v>
      </c>
    </row>
    <row r="90" s="1" customFormat="1" ht="51" customHeight="1" spans="2:17">
      <c r="B90" s="1" t="s">
        <v>318</v>
      </c>
      <c r="C90" s="1" t="s">
        <v>319</v>
      </c>
      <c r="D90" s="9" t="s">
        <v>320</v>
      </c>
      <c r="E90" s="1" t="s">
        <v>42</v>
      </c>
      <c r="F90" s="1" t="s">
        <v>43</v>
      </c>
      <c r="G90" s="1">
        <v>0.5</v>
      </c>
      <c r="I90" s="1">
        <v>10</v>
      </c>
      <c r="J90" s="1">
        <v>0</v>
      </c>
      <c r="K90" s="1">
        <v>0</v>
      </c>
      <c r="L90" s="1">
        <v>0</v>
      </c>
      <c r="M90" s="1">
        <v>0</v>
      </c>
      <c r="N90" s="1" t="s">
        <v>316</v>
      </c>
      <c r="O90" s="1">
        <f t="shared" si="6"/>
        <v>200</v>
      </c>
      <c r="P90" t="s">
        <v>317</v>
      </c>
      <c r="Q90" s="1">
        <f>IFERROR(VLOOKUP(E91,$T$7:$AB$12,9,FALSE),0)</f>
        <v>0</v>
      </c>
    </row>
    <row r="91" s="1" customFormat="1" ht="68" customHeight="1" spans="2:17">
      <c r="B91" s="1" t="s">
        <v>321</v>
      </c>
      <c r="C91" s="1" t="s">
        <v>322</v>
      </c>
      <c r="D91" s="9" t="s">
        <v>323</v>
      </c>
      <c r="E91" s="1" t="s">
        <v>53</v>
      </c>
      <c r="F91" s="1" t="s">
        <v>43</v>
      </c>
      <c r="G91" s="1">
        <v>0.5</v>
      </c>
      <c r="I91" s="1">
        <v>100</v>
      </c>
      <c r="J91" s="1">
        <v>0</v>
      </c>
      <c r="K91" s="1">
        <v>0</v>
      </c>
      <c r="L91" s="1">
        <v>0</v>
      </c>
      <c r="M91" s="1">
        <v>0</v>
      </c>
      <c r="O91" s="1">
        <f t="shared" si="6"/>
        <v>100</v>
      </c>
      <c r="Q91" s="1">
        <f>IFERROR(VLOOKUP(E92,$T$7:$AB$12,9,FALSE),0)</f>
        <v>0</v>
      </c>
    </row>
    <row r="92" s="1" customFormat="1" ht="68" customHeight="1" spans="2:17">
      <c r="B92" s="1" t="s">
        <v>324</v>
      </c>
      <c r="C92" s="1" t="s">
        <v>325</v>
      </c>
      <c r="D92" s="9" t="s">
        <v>326</v>
      </c>
      <c r="E92" s="1" t="s">
        <v>47</v>
      </c>
      <c r="F92" s="1" t="s">
        <v>43</v>
      </c>
      <c r="G92" s="1">
        <v>15</v>
      </c>
      <c r="H92" s="1" t="s">
        <v>327</v>
      </c>
      <c r="I92" s="1">
        <v>100</v>
      </c>
      <c r="J92" s="1">
        <v>0</v>
      </c>
      <c r="K92" s="1">
        <v>0</v>
      </c>
      <c r="L92" s="1">
        <v>0</v>
      </c>
      <c r="M92" s="1">
        <v>0</v>
      </c>
      <c r="N92" s="1" t="s">
        <v>316</v>
      </c>
      <c r="O92" s="1">
        <f t="shared" si="6"/>
        <v>60</v>
      </c>
      <c r="P92" t="s">
        <v>317</v>
      </c>
      <c r="Q92" s="1">
        <f>IFERROR(VLOOKUP(E96,$T$7:$AB$12,9,FALSE),0)</f>
        <v>0</v>
      </c>
    </row>
    <row r="93" s="1" customFormat="1" ht="34" customHeight="1" spans="2:16">
      <c r="B93" s="1" t="s">
        <v>328</v>
      </c>
      <c r="C93" s="1" t="s">
        <v>329</v>
      </c>
      <c r="D93" s="9" t="s">
        <v>330</v>
      </c>
      <c r="E93" s="1" t="s">
        <v>60</v>
      </c>
      <c r="F93" s="1" t="s">
        <v>43</v>
      </c>
      <c r="G93" s="1">
        <v>2</v>
      </c>
      <c r="I93" s="1">
        <v>10</v>
      </c>
      <c r="J93" s="1">
        <v>0</v>
      </c>
      <c r="K93" s="1">
        <v>0</v>
      </c>
      <c r="L93" s="1">
        <v>0</v>
      </c>
      <c r="M93" s="1">
        <v>0</v>
      </c>
      <c r="N93" s="1" t="s">
        <v>316</v>
      </c>
      <c r="O93" s="1">
        <f t="shared" si="6"/>
        <v>360</v>
      </c>
      <c r="P93" t="s">
        <v>317</v>
      </c>
    </row>
    <row r="94" s="1" customFormat="1" ht="68" customHeight="1" spans="2:16">
      <c r="B94" s="1" t="s">
        <v>331</v>
      </c>
      <c r="C94" s="1" t="s">
        <v>332</v>
      </c>
      <c r="D94" s="9" t="s">
        <v>333</v>
      </c>
      <c r="E94" s="1" t="s">
        <v>47</v>
      </c>
      <c r="F94" s="1" t="s">
        <v>43</v>
      </c>
      <c r="G94" s="1">
        <v>1</v>
      </c>
      <c r="I94" s="1">
        <v>100</v>
      </c>
      <c r="J94" s="1">
        <v>0</v>
      </c>
      <c r="K94" s="1">
        <v>0</v>
      </c>
      <c r="L94" s="1">
        <v>0</v>
      </c>
      <c r="M94" s="1">
        <v>0</v>
      </c>
      <c r="N94" s="1" t="s">
        <v>316</v>
      </c>
      <c r="O94" s="1">
        <f t="shared" si="6"/>
        <v>60</v>
      </c>
      <c r="P94" t="s">
        <v>317</v>
      </c>
    </row>
    <row r="95" s="1" customFormat="1" ht="68" customHeight="1" spans="2:16">
      <c r="B95" s="1" t="s">
        <v>334</v>
      </c>
      <c r="C95" s="1" t="s">
        <v>335</v>
      </c>
      <c r="D95" s="9" t="s">
        <v>336</v>
      </c>
      <c r="E95" s="1" t="s">
        <v>53</v>
      </c>
      <c r="F95" s="1" t="s">
        <v>43</v>
      </c>
      <c r="G95" s="1">
        <v>2</v>
      </c>
      <c r="I95" s="1">
        <v>100</v>
      </c>
      <c r="J95" s="1">
        <v>0</v>
      </c>
      <c r="K95" s="1">
        <v>0</v>
      </c>
      <c r="L95" s="1">
        <v>0</v>
      </c>
      <c r="M95" s="1">
        <v>0</v>
      </c>
      <c r="N95" s="1" t="s">
        <v>316</v>
      </c>
      <c r="O95" s="1">
        <f t="shared" si="6"/>
        <v>100</v>
      </c>
      <c r="P95" t="s">
        <v>317</v>
      </c>
    </row>
    <row r="96" s="1" customFormat="1" ht="34" customHeight="1" spans="2:17">
      <c r="B96" s="1" t="s">
        <v>337</v>
      </c>
      <c r="C96" s="12" t="s">
        <v>338</v>
      </c>
      <c r="D96" s="9" t="s">
        <v>339</v>
      </c>
      <c r="E96" s="1" t="s">
        <v>42</v>
      </c>
      <c r="F96" s="1" t="s">
        <v>43</v>
      </c>
      <c r="G96" s="1">
        <v>0.1</v>
      </c>
      <c r="I96" s="1">
        <v>10</v>
      </c>
      <c r="J96" s="1">
        <v>0</v>
      </c>
      <c r="K96" s="1">
        <v>0</v>
      </c>
      <c r="L96" s="1">
        <v>0</v>
      </c>
      <c r="M96" s="1">
        <v>0</v>
      </c>
      <c r="N96" s="1" t="s">
        <v>340</v>
      </c>
      <c r="O96" s="1">
        <f t="shared" si="6"/>
        <v>200</v>
      </c>
      <c r="P96" t="s">
        <v>341</v>
      </c>
      <c r="Q96" s="1">
        <f>IFERROR(VLOOKUP(E97,$T$7:$AB$12,9,FALSE),0)</f>
        <v>0</v>
      </c>
    </row>
    <row r="97" s="1" customFormat="1" ht="34" customHeight="1" spans="2:17">
      <c r="B97" s="1" t="s">
        <v>342</v>
      </c>
      <c r="C97" s="12" t="s">
        <v>343</v>
      </c>
      <c r="D97" s="9" t="s">
        <v>344</v>
      </c>
      <c r="E97" s="1" t="s">
        <v>53</v>
      </c>
      <c r="F97" s="1" t="s">
        <v>43</v>
      </c>
      <c r="G97" s="1">
        <v>10</v>
      </c>
      <c r="I97" s="1">
        <v>100</v>
      </c>
      <c r="J97" s="1">
        <v>0</v>
      </c>
      <c r="K97" s="1">
        <v>0</v>
      </c>
      <c r="L97" s="1">
        <v>0</v>
      </c>
      <c r="M97" s="1">
        <v>0</v>
      </c>
      <c r="N97" s="1" t="s">
        <v>340</v>
      </c>
      <c r="O97" s="1">
        <f t="shared" si="6"/>
        <v>100</v>
      </c>
      <c r="P97" t="s">
        <v>341</v>
      </c>
      <c r="Q97" s="1">
        <f>IFERROR(VLOOKUP(E98,$T$7:$AB$12,9,FALSE),0)</f>
        <v>0</v>
      </c>
    </row>
    <row r="98" s="1" customFormat="1" ht="34" customHeight="1" spans="2:17">
      <c r="B98" s="1" t="s">
        <v>345</v>
      </c>
      <c r="C98" s="12" t="s">
        <v>346</v>
      </c>
      <c r="D98" s="9" t="s">
        <v>347</v>
      </c>
      <c r="E98" s="1" t="s">
        <v>53</v>
      </c>
      <c r="F98" s="1" t="s">
        <v>43</v>
      </c>
      <c r="G98" s="1">
        <v>2</v>
      </c>
      <c r="I98" s="1">
        <v>30</v>
      </c>
      <c r="J98" s="1">
        <v>0</v>
      </c>
      <c r="K98" s="1">
        <v>0</v>
      </c>
      <c r="L98" s="1">
        <v>0</v>
      </c>
      <c r="M98" s="1">
        <v>0</v>
      </c>
      <c r="N98" s="1" t="s">
        <v>340</v>
      </c>
      <c r="O98" s="1">
        <f t="shared" si="6"/>
        <v>100</v>
      </c>
      <c r="P98" t="s">
        <v>341</v>
      </c>
      <c r="Q98" s="1">
        <f>IFERROR(VLOOKUP(E99,$T$7:$AB$12,9,FALSE),0)</f>
        <v>0</v>
      </c>
    </row>
    <row r="99" s="1" customFormat="1" ht="34" customHeight="1" spans="2:17">
      <c r="B99" s="1" t="s">
        <v>348</v>
      </c>
      <c r="C99" s="12" t="s">
        <v>349</v>
      </c>
      <c r="D99" s="9" t="s">
        <v>350</v>
      </c>
      <c r="E99" s="1" t="s">
        <v>47</v>
      </c>
      <c r="F99" s="1" t="s">
        <v>43</v>
      </c>
      <c r="G99" s="1">
        <v>10</v>
      </c>
      <c r="H99" s="1" t="s">
        <v>351</v>
      </c>
      <c r="I99" s="1">
        <v>100</v>
      </c>
      <c r="J99" s="1">
        <v>0</v>
      </c>
      <c r="K99" s="1">
        <v>0</v>
      </c>
      <c r="L99" s="1">
        <v>0</v>
      </c>
      <c r="M99" s="1">
        <v>0</v>
      </c>
      <c r="N99" s="1" t="s">
        <v>340</v>
      </c>
      <c r="O99" s="1">
        <f t="shared" si="6"/>
        <v>60</v>
      </c>
      <c r="P99" t="s">
        <v>341</v>
      </c>
      <c r="Q99" s="1">
        <f>IFERROR(VLOOKUP(E100,$T$7:$AB$12,9,FALSE),0)</f>
        <v>0</v>
      </c>
    </row>
    <row r="100" s="1" customFormat="1" ht="34" customHeight="1" spans="2:17">
      <c r="B100" s="1" t="s">
        <v>352</v>
      </c>
      <c r="C100" s="12" t="s">
        <v>353</v>
      </c>
      <c r="D100" s="9" t="s">
        <v>354</v>
      </c>
      <c r="E100" s="1" t="s">
        <v>53</v>
      </c>
      <c r="F100" s="1" t="s">
        <v>43</v>
      </c>
      <c r="G100" s="1">
        <v>15</v>
      </c>
      <c r="I100" s="1">
        <v>100</v>
      </c>
      <c r="J100" s="1">
        <v>0</v>
      </c>
      <c r="K100" s="1">
        <v>0</v>
      </c>
      <c r="L100" s="1">
        <v>0</v>
      </c>
      <c r="M100" s="1">
        <v>0</v>
      </c>
      <c r="N100" s="1" t="s">
        <v>340</v>
      </c>
      <c r="O100" s="1">
        <f t="shared" si="6"/>
        <v>100</v>
      </c>
      <c r="P100" t="s">
        <v>341</v>
      </c>
      <c r="Q100" s="1">
        <f>IFERROR(VLOOKUP(E93,$T$7:$AB$12,9,FALSE),0)</f>
        <v>0</v>
      </c>
    </row>
    <row r="101" s="1" customFormat="1" ht="34" customHeight="1" spans="2:16">
      <c r="B101" s="1" t="s">
        <v>355</v>
      </c>
      <c r="C101" s="12" t="s">
        <v>356</v>
      </c>
      <c r="D101" s="9" t="s">
        <v>357</v>
      </c>
      <c r="E101" s="1" t="s">
        <v>42</v>
      </c>
      <c r="F101" s="1" t="s">
        <v>43</v>
      </c>
      <c r="G101" s="1">
        <v>30</v>
      </c>
      <c r="I101" s="1">
        <v>10</v>
      </c>
      <c r="J101" s="1">
        <v>0</v>
      </c>
      <c r="K101" s="1">
        <v>0</v>
      </c>
      <c r="L101" s="1">
        <v>0</v>
      </c>
      <c r="M101" s="1">
        <v>0</v>
      </c>
      <c r="N101" s="1" t="s">
        <v>340</v>
      </c>
      <c r="O101" s="1">
        <f t="shared" ref="O101:O127" si="7">VLOOKUP(E101,$T$5:$U$8,2,FALSE)</f>
        <v>200</v>
      </c>
      <c r="P101" t="s">
        <v>341</v>
      </c>
    </row>
    <row r="102" s="1" customFormat="1" ht="34" customHeight="1" spans="2:16">
      <c r="B102" s="1" t="s">
        <v>358</v>
      </c>
      <c r="C102" s="12" t="s">
        <v>359</v>
      </c>
      <c r="D102" s="9" t="s">
        <v>360</v>
      </c>
      <c r="E102" s="1" t="s">
        <v>53</v>
      </c>
      <c r="F102" s="1" t="s">
        <v>43</v>
      </c>
      <c r="G102" s="1">
        <v>2</v>
      </c>
      <c r="H102" s="1" t="s">
        <v>361</v>
      </c>
      <c r="I102" s="1">
        <v>100</v>
      </c>
      <c r="J102" s="1">
        <v>0</v>
      </c>
      <c r="K102" s="1">
        <v>0</v>
      </c>
      <c r="L102" s="1">
        <v>0</v>
      </c>
      <c r="M102" s="1">
        <v>0</v>
      </c>
      <c r="N102" s="1" t="s">
        <v>340</v>
      </c>
      <c r="O102" s="1">
        <f t="shared" si="7"/>
        <v>100</v>
      </c>
      <c r="P102" t="s">
        <v>341</v>
      </c>
    </row>
    <row r="103" s="1" customFormat="1" ht="34" customHeight="1" spans="2:16">
      <c r="B103" s="1" t="s">
        <v>362</v>
      </c>
      <c r="C103" s="12" t="s">
        <v>363</v>
      </c>
      <c r="D103" s="9" t="s">
        <v>364</v>
      </c>
      <c r="E103" s="1" t="s">
        <v>42</v>
      </c>
      <c r="F103" s="1" t="s">
        <v>43</v>
      </c>
      <c r="G103" s="1">
        <v>3</v>
      </c>
      <c r="I103" s="1">
        <v>10</v>
      </c>
      <c r="J103" s="1">
        <v>0</v>
      </c>
      <c r="K103" s="1">
        <v>0</v>
      </c>
      <c r="L103" s="1">
        <v>0</v>
      </c>
      <c r="M103" s="1">
        <v>0</v>
      </c>
      <c r="N103" s="1" t="s">
        <v>340</v>
      </c>
      <c r="O103" s="1">
        <f t="shared" si="7"/>
        <v>200</v>
      </c>
      <c r="P103" t="s">
        <v>341</v>
      </c>
    </row>
    <row r="104" ht="51" customHeight="1" spans="2:16">
      <c r="B104" s="1" t="s">
        <v>365</v>
      </c>
      <c r="C104" s="12" t="s">
        <v>366</v>
      </c>
      <c r="D104" s="9" t="s">
        <v>367</v>
      </c>
      <c r="E104" s="1" t="s">
        <v>60</v>
      </c>
      <c r="F104" s="1" t="s">
        <v>43</v>
      </c>
      <c r="G104" s="1">
        <v>0</v>
      </c>
      <c r="H104" s="1" t="s">
        <v>361</v>
      </c>
      <c r="I104" s="1">
        <v>10</v>
      </c>
      <c r="J104" s="1">
        <v>0</v>
      </c>
      <c r="K104" s="1">
        <v>0</v>
      </c>
      <c r="L104" s="1">
        <v>0</v>
      </c>
      <c r="M104" s="1">
        <v>0</v>
      </c>
      <c r="N104" s="1" t="s">
        <v>340</v>
      </c>
      <c r="O104" s="1">
        <f t="shared" si="7"/>
        <v>360</v>
      </c>
      <c r="P104" t="s">
        <v>341</v>
      </c>
    </row>
    <row r="105" s="1" customFormat="1" ht="51" customHeight="1" spans="2:15">
      <c r="B105" s="1" t="s">
        <v>368</v>
      </c>
      <c r="C105" s="1" t="s">
        <v>369</v>
      </c>
      <c r="D105" s="9" t="s">
        <v>370</v>
      </c>
      <c r="E105" s="1" t="s">
        <v>47</v>
      </c>
      <c r="F105" s="1" t="s">
        <v>43</v>
      </c>
      <c r="G105" s="1">
        <v>30</v>
      </c>
      <c r="H105" s="1" t="s">
        <v>298</v>
      </c>
      <c r="I105" s="1">
        <v>300</v>
      </c>
      <c r="J105" s="1">
        <v>0</v>
      </c>
      <c r="K105" s="1">
        <v>0</v>
      </c>
      <c r="L105" s="1">
        <v>0</v>
      </c>
      <c r="M105" s="1">
        <v>0</v>
      </c>
      <c r="O105" s="1">
        <f t="shared" si="7"/>
        <v>60</v>
      </c>
    </row>
    <row r="106" s="1" customFormat="1" ht="51" customHeight="1" spans="2:15">
      <c r="B106" s="1" t="s">
        <v>371</v>
      </c>
      <c r="C106" s="1" t="s">
        <v>372</v>
      </c>
      <c r="D106" s="9" t="s">
        <v>373</v>
      </c>
      <c r="E106" s="1" t="s">
        <v>53</v>
      </c>
      <c r="F106" s="1" t="s">
        <v>43</v>
      </c>
      <c r="G106" s="1">
        <v>10</v>
      </c>
      <c r="H106" s="1" t="s">
        <v>374</v>
      </c>
      <c r="I106" s="1">
        <v>100</v>
      </c>
      <c r="J106" s="1">
        <v>0</v>
      </c>
      <c r="K106" s="1">
        <v>0</v>
      </c>
      <c r="L106" s="1">
        <v>0</v>
      </c>
      <c r="M106" s="1">
        <v>0</v>
      </c>
      <c r="O106" s="1">
        <f t="shared" si="7"/>
        <v>100</v>
      </c>
    </row>
    <row r="107" s="1" customFormat="1" ht="84" customHeight="1" spans="2:15">
      <c r="B107" s="1" t="s">
        <v>375</v>
      </c>
      <c r="C107" s="1" t="s">
        <v>376</v>
      </c>
      <c r="D107" s="9" t="s">
        <v>377</v>
      </c>
      <c r="E107" s="1" t="s">
        <v>42</v>
      </c>
      <c r="F107" s="1" t="s">
        <v>43</v>
      </c>
      <c r="G107" s="1">
        <v>0.1</v>
      </c>
      <c r="H107" s="1" t="s">
        <v>378</v>
      </c>
      <c r="I107" s="1">
        <v>30</v>
      </c>
      <c r="J107" s="1">
        <v>0</v>
      </c>
      <c r="K107" s="1">
        <v>0</v>
      </c>
      <c r="L107" s="1">
        <v>0</v>
      </c>
      <c r="M107" s="1">
        <v>0</v>
      </c>
      <c r="O107" s="1">
        <f t="shared" si="7"/>
        <v>200</v>
      </c>
    </row>
    <row r="108" s="1" customFormat="1" ht="84" customHeight="1" spans="2:15">
      <c r="B108" s="1" t="s">
        <v>379</v>
      </c>
      <c r="C108" s="1" t="s">
        <v>380</v>
      </c>
      <c r="D108" s="9" t="s">
        <v>381</v>
      </c>
      <c r="E108" s="1" t="s">
        <v>53</v>
      </c>
      <c r="F108" s="1" t="s">
        <v>43</v>
      </c>
      <c r="G108" s="1">
        <v>50</v>
      </c>
      <c r="H108" s="1" t="s">
        <v>312</v>
      </c>
      <c r="I108" s="1">
        <v>100</v>
      </c>
      <c r="J108" s="1">
        <v>0</v>
      </c>
      <c r="K108" s="1">
        <v>0</v>
      </c>
      <c r="L108" s="1">
        <v>0</v>
      </c>
      <c r="M108" s="1">
        <v>0</v>
      </c>
      <c r="O108" s="1">
        <f t="shared" si="7"/>
        <v>100</v>
      </c>
    </row>
    <row r="109" s="1" customFormat="1" ht="68" customHeight="1" spans="2:15">
      <c r="B109" s="1" t="s">
        <v>382</v>
      </c>
      <c r="C109" s="1" t="s">
        <v>383</v>
      </c>
      <c r="D109" s="9" t="s">
        <v>384</v>
      </c>
      <c r="E109" s="1" t="s">
        <v>53</v>
      </c>
      <c r="F109" s="1" t="s">
        <v>43</v>
      </c>
      <c r="G109" s="1">
        <v>0.5</v>
      </c>
      <c r="H109" s="1" t="s">
        <v>385</v>
      </c>
      <c r="I109" s="1">
        <v>100</v>
      </c>
      <c r="J109" s="1">
        <v>0</v>
      </c>
      <c r="K109" s="1">
        <v>0</v>
      </c>
      <c r="L109" s="1">
        <v>0</v>
      </c>
      <c r="M109" s="1">
        <v>0</v>
      </c>
      <c r="O109" s="1">
        <f t="shared" si="7"/>
        <v>100</v>
      </c>
    </row>
    <row r="110" s="1" customFormat="1" ht="68" customHeight="1" spans="2:15">
      <c r="B110" s="1" t="s">
        <v>386</v>
      </c>
      <c r="C110" s="1" t="s">
        <v>387</v>
      </c>
      <c r="D110" s="9" t="s">
        <v>388</v>
      </c>
      <c r="E110" s="1" t="s">
        <v>42</v>
      </c>
      <c r="F110" s="1" t="s">
        <v>43</v>
      </c>
      <c r="G110" s="1">
        <v>1</v>
      </c>
      <c r="H110" s="1" t="s">
        <v>389</v>
      </c>
      <c r="I110" s="1">
        <v>30</v>
      </c>
      <c r="J110" s="1">
        <v>0</v>
      </c>
      <c r="K110" s="1">
        <v>0</v>
      </c>
      <c r="L110" s="1">
        <v>0</v>
      </c>
      <c r="M110" s="1">
        <v>0</v>
      </c>
      <c r="O110" s="1">
        <f t="shared" si="7"/>
        <v>200</v>
      </c>
    </row>
    <row r="111" s="1" customFormat="1" ht="84" customHeight="1" spans="2:15">
      <c r="B111" s="1" t="s">
        <v>390</v>
      </c>
      <c r="C111" s="1" t="s">
        <v>391</v>
      </c>
      <c r="D111" s="9" t="s">
        <v>392</v>
      </c>
      <c r="E111" s="1" t="s">
        <v>42</v>
      </c>
      <c r="F111" s="1" t="s">
        <v>43</v>
      </c>
      <c r="G111" s="1">
        <v>10</v>
      </c>
      <c r="H111" s="1" t="s">
        <v>393</v>
      </c>
      <c r="I111" s="1">
        <v>30</v>
      </c>
      <c r="J111" s="1">
        <v>0</v>
      </c>
      <c r="K111" s="1">
        <v>0</v>
      </c>
      <c r="L111" s="1">
        <v>0</v>
      </c>
      <c r="M111" s="1">
        <v>0</v>
      </c>
      <c r="O111" s="1">
        <f t="shared" si="7"/>
        <v>200</v>
      </c>
    </row>
    <row r="112" s="1" customFormat="1" ht="84" customHeight="1" spans="2:15">
      <c r="B112" s="1" t="s">
        <v>394</v>
      </c>
      <c r="C112" s="1" t="s">
        <v>395</v>
      </c>
      <c r="D112" s="9" t="s">
        <v>396</v>
      </c>
      <c r="E112" s="1" t="s">
        <v>53</v>
      </c>
      <c r="F112" s="1" t="s">
        <v>43</v>
      </c>
      <c r="G112" s="1">
        <v>0.1</v>
      </c>
      <c r="I112" s="1">
        <v>100</v>
      </c>
      <c r="J112" s="1">
        <v>0</v>
      </c>
      <c r="K112" s="1">
        <v>0</v>
      </c>
      <c r="L112" s="1">
        <v>0</v>
      </c>
      <c r="M112" s="1">
        <v>0</v>
      </c>
      <c r="O112" s="1">
        <f t="shared" si="7"/>
        <v>100</v>
      </c>
    </row>
    <row r="113" s="1" customFormat="1" ht="101" customHeight="1" spans="2:15">
      <c r="B113" s="1" t="s">
        <v>397</v>
      </c>
      <c r="C113" s="1" t="s">
        <v>398</v>
      </c>
      <c r="D113" s="9" t="s">
        <v>399</v>
      </c>
      <c r="E113" s="1" t="s">
        <v>47</v>
      </c>
      <c r="F113" s="1" t="s">
        <v>43</v>
      </c>
      <c r="G113" s="1">
        <v>10</v>
      </c>
      <c r="I113" s="1">
        <v>300</v>
      </c>
      <c r="J113" s="1">
        <v>0</v>
      </c>
      <c r="K113" s="1">
        <v>0</v>
      </c>
      <c r="L113" s="1">
        <v>0</v>
      </c>
      <c r="M113" s="1">
        <v>0</v>
      </c>
      <c r="O113" s="1">
        <f t="shared" si="7"/>
        <v>60</v>
      </c>
    </row>
    <row r="114" s="1" customFormat="1" ht="101" customHeight="1" spans="2:15">
      <c r="B114" s="1" t="s">
        <v>400</v>
      </c>
      <c r="C114" s="1" t="s">
        <v>401</v>
      </c>
      <c r="D114" s="9" t="s">
        <v>402</v>
      </c>
      <c r="E114" s="1" t="s">
        <v>53</v>
      </c>
      <c r="F114" s="1" t="s">
        <v>43</v>
      </c>
      <c r="G114" s="1">
        <v>10</v>
      </c>
      <c r="H114" s="1" t="s">
        <v>403</v>
      </c>
      <c r="I114" s="1">
        <v>100</v>
      </c>
      <c r="J114" s="1">
        <v>0</v>
      </c>
      <c r="K114" s="1">
        <v>0</v>
      </c>
      <c r="L114" s="1">
        <v>0</v>
      </c>
      <c r="M114" s="1">
        <v>0</v>
      </c>
      <c r="O114" s="1">
        <f t="shared" si="7"/>
        <v>100</v>
      </c>
    </row>
    <row r="115" ht="34" customHeight="1" spans="2:15">
      <c r="B115" s="1" t="s">
        <v>404</v>
      </c>
      <c r="C115" s="1" t="s">
        <v>405</v>
      </c>
      <c r="D115" s="9" t="s">
        <v>406</v>
      </c>
      <c r="E115" s="1" t="s">
        <v>53</v>
      </c>
      <c r="F115" s="1" t="s">
        <v>43</v>
      </c>
      <c r="G115" s="1">
        <v>3</v>
      </c>
      <c r="H115" s="1" t="s">
        <v>407</v>
      </c>
      <c r="I115" s="1">
        <v>100</v>
      </c>
      <c r="J115" s="1">
        <v>0</v>
      </c>
      <c r="K115" s="1">
        <v>0</v>
      </c>
      <c r="L115" s="1">
        <v>0</v>
      </c>
      <c r="M115" s="1">
        <v>0</v>
      </c>
      <c r="O115" s="1">
        <f t="shared" si="7"/>
        <v>100</v>
      </c>
    </row>
    <row r="116" ht="51" customHeight="1" spans="2:15">
      <c r="B116" s="1" t="s">
        <v>408</v>
      </c>
      <c r="C116" s="1" t="s">
        <v>409</v>
      </c>
      <c r="D116" s="9" t="s">
        <v>410</v>
      </c>
      <c r="E116" s="1" t="s">
        <v>60</v>
      </c>
      <c r="F116" s="1" t="s">
        <v>43</v>
      </c>
      <c r="G116" s="1">
        <v>1</v>
      </c>
      <c r="H116" s="1" t="s">
        <v>411</v>
      </c>
      <c r="I116" s="1">
        <v>10</v>
      </c>
      <c r="J116" s="1">
        <v>0</v>
      </c>
      <c r="K116" s="1">
        <v>0</v>
      </c>
      <c r="L116" s="1">
        <v>0</v>
      </c>
      <c r="M116" s="1">
        <v>0</v>
      </c>
      <c r="O116" s="1">
        <f t="shared" si="7"/>
        <v>360</v>
      </c>
    </row>
    <row r="117" ht="51" customHeight="1" spans="2:15">
      <c r="B117" s="1" t="s">
        <v>412</v>
      </c>
      <c r="C117" s="1" t="s">
        <v>413</v>
      </c>
      <c r="D117" s="9" t="s">
        <v>414</v>
      </c>
      <c r="E117" s="1" t="s">
        <v>42</v>
      </c>
      <c r="F117" s="1" t="s">
        <v>43</v>
      </c>
      <c r="G117" s="1">
        <v>3</v>
      </c>
      <c r="I117" s="1">
        <v>10</v>
      </c>
      <c r="J117" s="1">
        <v>0</v>
      </c>
      <c r="K117" s="1">
        <v>0</v>
      </c>
      <c r="L117" s="1">
        <v>0</v>
      </c>
      <c r="M117" s="1">
        <v>0</v>
      </c>
      <c r="O117" s="1">
        <f t="shared" si="7"/>
        <v>200</v>
      </c>
    </row>
    <row r="118" ht="34" customHeight="1" spans="2:15">
      <c r="B118" s="1" t="s">
        <v>415</v>
      </c>
      <c r="C118" s="1" t="s">
        <v>416</v>
      </c>
      <c r="D118" s="9" t="s">
        <v>417</v>
      </c>
      <c r="E118" s="1" t="s">
        <v>47</v>
      </c>
      <c r="F118" s="1" t="s">
        <v>43</v>
      </c>
      <c r="G118" s="1">
        <v>0.5</v>
      </c>
      <c r="H118" s="1" t="s">
        <v>418</v>
      </c>
      <c r="I118" s="1">
        <v>300</v>
      </c>
      <c r="J118" s="1">
        <v>0</v>
      </c>
      <c r="K118" s="1">
        <v>0</v>
      </c>
      <c r="L118" s="1">
        <v>0</v>
      </c>
      <c r="M118" s="1">
        <v>0</v>
      </c>
      <c r="O118" s="1">
        <f t="shared" si="7"/>
        <v>60</v>
      </c>
    </row>
    <row r="119" ht="51" customHeight="1" spans="2:15">
      <c r="B119" s="1" t="s">
        <v>419</v>
      </c>
      <c r="C119" s="1" t="s">
        <v>420</v>
      </c>
      <c r="D119" s="1" t="s">
        <v>421</v>
      </c>
      <c r="E119" s="1" t="s">
        <v>53</v>
      </c>
      <c r="F119" s="1" t="s">
        <v>43</v>
      </c>
      <c r="G119" s="1">
        <v>2</v>
      </c>
      <c r="I119" s="1">
        <v>100</v>
      </c>
      <c r="J119" s="1">
        <v>0</v>
      </c>
      <c r="K119" s="1">
        <v>0</v>
      </c>
      <c r="L119" s="1">
        <v>0</v>
      </c>
      <c r="M119" s="1">
        <v>0</v>
      </c>
      <c r="O119" s="1">
        <f t="shared" si="7"/>
        <v>100</v>
      </c>
    </row>
    <row r="120" ht="51" customHeight="1" spans="2:15">
      <c r="B120" s="1" t="s">
        <v>422</v>
      </c>
      <c r="C120" s="1" t="s">
        <v>423</v>
      </c>
      <c r="D120" s="1" t="s">
        <v>424</v>
      </c>
      <c r="E120" s="1" t="s">
        <v>60</v>
      </c>
      <c r="F120" s="1" t="s">
        <v>43</v>
      </c>
      <c r="G120" s="1">
        <v>0</v>
      </c>
      <c r="I120" s="1">
        <v>10</v>
      </c>
      <c r="J120" s="1">
        <v>0</v>
      </c>
      <c r="K120" s="1">
        <v>0</v>
      </c>
      <c r="L120" s="1">
        <v>0</v>
      </c>
      <c r="M120" s="1">
        <v>0</v>
      </c>
      <c r="O120" s="1">
        <f t="shared" si="7"/>
        <v>360</v>
      </c>
    </row>
    <row r="121" spans="2:15">
      <c r="B121" s="1" t="s">
        <v>425</v>
      </c>
      <c r="C121" s="1" t="s">
        <v>426</v>
      </c>
      <c r="D121" s="1" t="s">
        <v>427</v>
      </c>
      <c r="E121" s="1" t="s">
        <v>42</v>
      </c>
      <c r="F121" s="1" t="s">
        <v>43</v>
      </c>
      <c r="G121" s="1">
        <v>0</v>
      </c>
      <c r="I121" s="1">
        <v>30</v>
      </c>
      <c r="J121" s="1">
        <v>0</v>
      </c>
      <c r="K121" s="1">
        <v>0</v>
      </c>
      <c r="L121" s="1">
        <v>0</v>
      </c>
      <c r="M121" s="1">
        <v>0</v>
      </c>
      <c r="O121" s="1">
        <f t="shared" si="7"/>
        <v>200</v>
      </c>
    </row>
    <row r="122" ht="34" customHeight="1" spans="2:15">
      <c r="B122" s="1" t="s">
        <v>428</v>
      </c>
      <c r="C122" s="1" t="s">
        <v>429</v>
      </c>
      <c r="D122" s="9" t="s">
        <v>430</v>
      </c>
      <c r="E122" s="1" t="s">
        <v>47</v>
      </c>
      <c r="F122" s="1" t="s">
        <v>43</v>
      </c>
      <c r="G122" s="1">
        <v>15</v>
      </c>
      <c r="I122" s="1">
        <v>300</v>
      </c>
      <c r="J122" s="1">
        <v>0</v>
      </c>
      <c r="K122" s="1">
        <v>0</v>
      </c>
      <c r="L122" s="1">
        <v>0</v>
      </c>
      <c r="M122" s="1">
        <v>0</v>
      </c>
      <c r="O122" s="1">
        <f t="shared" si="7"/>
        <v>60</v>
      </c>
    </row>
    <row r="123" spans="2:15">
      <c r="B123" s="1" t="s">
        <v>431</v>
      </c>
      <c r="C123" s="1" t="s">
        <v>432</v>
      </c>
      <c r="D123" s="1" t="s">
        <v>433</v>
      </c>
      <c r="E123" s="1" t="s">
        <v>47</v>
      </c>
      <c r="F123" s="1" t="s">
        <v>43</v>
      </c>
      <c r="G123" s="1">
        <v>1</v>
      </c>
      <c r="I123" s="1">
        <v>300</v>
      </c>
      <c r="J123" s="1">
        <v>0</v>
      </c>
      <c r="K123" s="1">
        <v>0</v>
      </c>
      <c r="L123" s="1">
        <v>0</v>
      </c>
      <c r="M123" s="1">
        <v>0</v>
      </c>
      <c r="O123" s="1">
        <f t="shared" si="7"/>
        <v>60</v>
      </c>
    </row>
    <row r="124" spans="2:15">
      <c r="B124" s="1" t="s">
        <v>434</v>
      </c>
      <c r="C124" s="1" t="s">
        <v>435</v>
      </c>
      <c r="D124" s="1" t="s">
        <v>433</v>
      </c>
      <c r="E124" s="1" t="s">
        <v>53</v>
      </c>
      <c r="F124" s="1" t="s">
        <v>43</v>
      </c>
      <c r="G124" s="1">
        <v>1</v>
      </c>
      <c r="I124" s="1">
        <v>100</v>
      </c>
      <c r="J124" s="1">
        <v>0</v>
      </c>
      <c r="K124" s="1">
        <v>0</v>
      </c>
      <c r="L124" s="1">
        <v>0</v>
      </c>
      <c r="M124" s="1">
        <v>0</v>
      </c>
      <c r="O124" s="1">
        <f t="shared" si="7"/>
        <v>100</v>
      </c>
    </row>
    <row r="125" spans="2:15">
      <c r="B125" s="1" t="s">
        <v>436</v>
      </c>
      <c r="C125" s="1" t="s">
        <v>437</v>
      </c>
      <c r="D125" s="1" t="s">
        <v>438</v>
      </c>
      <c r="E125" s="1" t="s">
        <v>47</v>
      </c>
      <c r="F125" s="1" t="s">
        <v>43</v>
      </c>
      <c r="G125" s="1">
        <v>1</v>
      </c>
      <c r="I125" s="1">
        <v>300</v>
      </c>
      <c r="J125" s="1">
        <v>0</v>
      </c>
      <c r="K125" s="1">
        <v>0</v>
      </c>
      <c r="L125" s="1">
        <v>0</v>
      </c>
      <c r="M125" s="1">
        <v>0</v>
      </c>
      <c r="O125" s="1">
        <f t="shared" si="7"/>
        <v>60</v>
      </c>
    </row>
    <row r="126" spans="2:15">
      <c r="B126" s="1" t="s">
        <v>439</v>
      </c>
      <c r="C126" s="1" t="s">
        <v>440</v>
      </c>
      <c r="D126" s="1" t="s">
        <v>441</v>
      </c>
      <c r="E126" s="1" t="s">
        <v>53</v>
      </c>
      <c r="F126" s="1" t="s">
        <v>43</v>
      </c>
      <c r="G126" s="1">
        <v>2</v>
      </c>
      <c r="I126" s="1">
        <v>100</v>
      </c>
      <c r="J126" s="1">
        <v>0</v>
      </c>
      <c r="K126" s="1">
        <v>0</v>
      </c>
      <c r="L126" s="1">
        <v>0</v>
      </c>
      <c r="M126" s="1">
        <v>0</v>
      </c>
      <c r="O126" s="1">
        <f t="shared" si="7"/>
        <v>100</v>
      </c>
    </row>
    <row r="127" spans="2:15">
      <c r="B127" s="1" t="s">
        <v>442</v>
      </c>
      <c r="C127" s="1" t="s">
        <v>443</v>
      </c>
      <c r="D127" s="1" t="s">
        <v>444</v>
      </c>
      <c r="E127" s="1" t="s">
        <v>53</v>
      </c>
      <c r="F127" s="1" t="s">
        <v>43</v>
      </c>
      <c r="G127" s="1">
        <v>0.25</v>
      </c>
      <c r="I127" s="1">
        <v>100</v>
      </c>
      <c r="J127" s="1">
        <v>0</v>
      </c>
      <c r="K127" s="1">
        <v>0</v>
      </c>
      <c r="L127" s="1">
        <v>0</v>
      </c>
      <c r="M127" s="1">
        <v>0</v>
      </c>
      <c r="O127" s="1">
        <f t="shared" si="7"/>
        <v>100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tabSelected="1" topLeftCell="A5" workbookViewId="0">
      <selection activeCell="M5" sqref="M5:M19"/>
    </sheetView>
  </sheetViews>
  <sheetFormatPr defaultColWidth="9.00735294117647" defaultRowHeight="16.8"/>
  <cols>
    <col min="1" max="1" width="13.0808823529412" style="1" customWidth="1"/>
    <col min="2" max="2" width="28.0808823529412" style="1" customWidth="1"/>
    <col min="3" max="3" width="15.1617647058824" style="1" customWidth="1"/>
    <col min="4" max="4" width="49.8529411764706" style="1" customWidth="1"/>
    <col min="5" max="5" width="15.1617647058824" style="1" customWidth="1"/>
    <col min="6" max="6" width="26.3823529411765" style="1" customWidth="1"/>
    <col min="7" max="7" width="11.9191176470588" style="1" customWidth="1"/>
    <col min="8" max="8" width="12.6176470588235" style="1" customWidth="1"/>
    <col min="9" max="9" width="15.1617647058824" style="1" customWidth="1"/>
    <col min="10" max="10" width="46.1470588235294" style="1" customWidth="1"/>
    <col min="11" max="11" width="36.1617647058824" style="1" customWidth="1"/>
    <col min="12" max="12" width="26.4632352941176" style="1" customWidth="1"/>
    <col min="13" max="13" width="11.4705882352941" style="1" customWidth="1"/>
    <col min="14" max="14" width="18" style="1" customWidth="1"/>
    <col min="15" max="16384" width="9.00735294117647" style="1" customWidth="1"/>
  </cols>
  <sheetData>
    <row r="1" ht="16.5" customHeight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445</v>
      </c>
      <c r="G1" s="7" t="s">
        <v>6</v>
      </c>
      <c r="H1" s="7" t="s">
        <v>7</v>
      </c>
      <c r="I1" s="7" t="s">
        <v>8</v>
      </c>
      <c r="J1" s="7" t="s">
        <v>446</v>
      </c>
      <c r="K1" s="7" t="s">
        <v>447</v>
      </c>
      <c r="L1" s="7" t="s">
        <v>13</v>
      </c>
      <c r="M1" s="1" t="s">
        <v>14</v>
      </c>
      <c r="N1" s="1" t="s">
        <v>448</v>
      </c>
    </row>
    <row r="2" ht="16.5" customHeight="1" spans="1:14">
      <c r="A2" s="7" t="s">
        <v>16</v>
      </c>
      <c r="B2" s="1" t="s">
        <v>449</v>
      </c>
      <c r="C2" s="1" t="s">
        <v>450</v>
      </c>
      <c r="D2" s="1" t="s">
        <v>451</v>
      </c>
      <c r="E2" s="1" t="s">
        <v>21</v>
      </c>
      <c r="F2" s="1" t="s">
        <v>452</v>
      </c>
      <c r="G2" s="1" t="s">
        <v>22</v>
      </c>
      <c r="H2" s="1" t="s">
        <v>23</v>
      </c>
      <c r="I2" s="1" t="s">
        <v>24</v>
      </c>
      <c r="J2" s="1" t="s">
        <v>453</v>
      </c>
      <c r="K2" s="1" t="s">
        <v>454</v>
      </c>
      <c r="L2" s="1" t="s">
        <v>455</v>
      </c>
      <c r="M2" s="1" t="s">
        <v>30</v>
      </c>
      <c r="N2" s="1" t="s">
        <v>456</v>
      </c>
    </row>
    <row r="3" ht="16.5" customHeight="1" spans="1:14">
      <c r="A3" s="7" t="s">
        <v>32</v>
      </c>
      <c r="B3" s="7" t="s">
        <v>33</v>
      </c>
      <c r="C3" s="7" t="s">
        <v>33</v>
      </c>
      <c r="D3" s="7" t="s">
        <v>33</v>
      </c>
      <c r="E3" s="7" t="s">
        <v>33</v>
      </c>
      <c r="F3" s="7" t="s">
        <v>33</v>
      </c>
      <c r="G3" s="7" t="s">
        <v>36</v>
      </c>
      <c r="H3" s="7" t="s">
        <v>33</v>
      </c>
      <c r="I3" s="7" t="s">
        <v>36</v>
      </c>
      <c r="J3" s="7" t="s">
        <v>457</v>
      </c>
      <c r="K3" s="7" t="s">
        <v>37</v>
      </c>
      <c r="L3" s="7" t="s">
        <v>33</v>
      </c>
      <c r="M3" s="1" t="s">
        <v>37</v>
      </c>
      <c r="N3" s="1" t="s">
        <v>458</v>
      </c>
    </row>
    <row r="4" ht="33.75" customHeight="1" spans="2:14">
      <c r="B4" s="7" t="s">
        <v>459</v>
      </c>
      <c r="C4" s="1" t="s">
        <v>460</v>
      </c>
      <c r="D4" s="9" t="s">
        <v>461</v>
      </c>
      <c r="F4" s="7" t="s">
        <v>462</v>
      </c>
      <c r="G4" s="1">
        <v>0</v>
      </c>
      <c r="H4" s="7" t="s">
        <v>463</v>
      </c>
      <c r="I4" s="1">
        <v>1</v>
      </c>
      <c r="J4" s="7" t="s">
        <v>464</v>
      </c>
      <c r="K4" s="1">
        <v>1</v>
      </c>
      <c r="L4" s="7" t="s">
        <v>463</v>
      </c>
      <c r="M4" s="1">
        <v>65</v>
      </c>
      <c r="N4" s="1" t="s">
        <v>465</v>
      </c>
    </row>
    <row r="5" ht="33.75" customHeight="1" spans="2:14">
      <c r="B5" s="7" t="s">
        <v>466</v>
      </c>
      <c r="C5" s="1" t="s">
        <v>467</v>
      </c>
      <c r="D5" s="9" t="s">
        <v>468</v>
      </c>
      <c r="F5" s="7" t="s">
        <v>462</v>
      </c>
      <c r="G5" s="1">
        <v>0</v>
      </c>
      <c r="H5" s="7" t="s">
        <v>469</v>
      </c>
      <c r="I5" s="1">
        <v>1</v>
      </c>
      <c r="J5" s="7" t="s">
        <v>464</v>
      </c>
      <c r="K5" s="1">
        <v>1</v>
      </c>
      <c r="L5" s="7" t="s">
        <v>469</v>
      </c>
      <c r="M5" s="1">
        <v>65</v>
      </c>
      <c r="N5" s="1" t="s">
        <v>465</v>
      </c>
    </row>
    <row r="6" ht="33.75" customHeight="1" spans="2:14">
      <c r="B6" s="7" t="s">
        <v>470</v>
      </c>
      <c r="C6" s="1" t="s">
        <v>471</v>
      </c>
      <c r="D6" s="9" t="s">
        <v>472</v>
      </c>
      <c r="F6" s="7" t="s">
        <v>462</v>
      </c>
      <c r="G6" s="1">
        <v>0</v>
      </c>
      <c r="H6" s="7" t="s">
        <v>473</v>
      </c>
      <c r="I6" s="1">
        <v>1</v>
      </c>
      <c r="J6" s="7" t="s">
        <v>464</v>
      </c>
      <c r="K6" s="1">
        <v>1</v>
      </c>
      <c r="L6" s="7" t="s">
        <v>473</v>
      </c>
      <c r="M6" s="1">
        <v>65</v>
      </c>
      <c r="N6" s="1" t="s">
        <v>465</v>
      </c>
    </row>
    <row r="7" ht="33.75" customHeight="1" spans="2:14">
      <c r="B7" s="7" t="s">
        <v>474</v>
      </c>
      <c r="C7" s="1" t="s">
        <v>475</v>
      </c>
      <c r="D7" s="9" t="s">
        <v>476</v>
      </c>
      <c r="F7" s="7" t="s">
        <v>462</v>
      </c>
      <c r="G7" s="1">
        <v>0</v>
      </c>
      <c r="H7" s="7" t="s">
        <v>477</v>
      </c>
      <c r="I7" s="1">
        <v>1</v>
      </c>
      <c r="J7" s="7" t="s">
        <v>464</v>
      </c>
      <c r="K7" s="1">
        <v>1</v>
      </c>
      <c r="L7" s="7" t="s">
        <v>477</v>
      </c>
      <c r="M7" s="1">
        <v>65</v>
      </c>
      <c r="N7" s="1" t="s">
        <v>465</v>
      </c>
    </row>
    <row r="8" ht="33.75" customHeight="1" spans="2:14">
      <c r="B8" s="7" t="s">
        <v>478</v>
      </c>
      <c r="C8" s="1" t="s">
        <v>479</v>
      </c>
      <c r="D8" s="9" t="s">
        <v>480</v>
      </c>
      <c r="F8" s="7" t="s">
        <v>462</v>
      </c>
      <c r="G8" s="1">
        <v>0</v>
      </c>
      <c r="H8" s="7" t="s">
        <v>481</v>
      </c>
      <c r="I8" s="1">
        <v>1</v>
      </c>
      <c r="J8" s="7" t="s">
        <v>464</v>
      </c>
      <c r="K8" s="1">
        <v>1</v>
      </c>
      <c r="L8" s="7" t="s">
        <v>481</v>
      </c>
      <c r="M8" s="1">
        <v>65</v>
      </c>
      <c r="N8" s="1" t="s">
        <v>465</v>
      </c>
    </row>
    <row r="9" ht="33.75" customHeight="1" spans="2:14">
      <c r="B9" s="7" t="s">
        <v>482</v>
      </c>
      <c r="C9" s="1" t="s">
        <v>483</v>
      </c>
      <c r="D9" s="9" t="s">
        <v>484</v>
      </c>
      <c r="F9" s="7" t="s">
        <v>462</v>
      </c>
      <c r="G9" s="1">
        <v>0</v>
      </c>
      <c r="H9" s="7" t="s">
        <v>485</v>
      </c>
      <c r="I9" s="1">
        <v>1</v>
      </c>
      <c r="J9" s="7" t="s">
        <v>464</v>
      </c>
      <c r="K9" s="1">
        <v>1</v>
      </c>
      <c r="L9" s="7" t="s">
        <v>485</v>
      </c>
      <c r="M9" s="1">
        <v>65</v>
      </c>
      <c r="N9" s="1" t="s">
        <v>465</v>
      </c>
    </row>
    <row r="10" ht="33.75" customHeight="1" spans="2:14">
      <c r="B10" s="10" t="s">
        <v>486</v>
      </c>
      <c r="C10" s="8" t="s">
        <v>487</v>
      </c>
      <c r="D10" s="11" t="s">
        <v>488</v>
      </c>
      <c r="F10" s="8" t="s">
        <v>489</v>
      </c>
      <c r="G10" s="8">
        <v>0</v>
      </c>
      <c r="I10" s="8">
        <v>1</v>
      </c>
      <c r="J10" s="8" t="s">
        <v>490</v>
      </c>
      <c r="K10" s="8">
        <v>0</v>
      </c>
      <c r="M10" s="1">
        <v>65</v>
      </c>
      <c r="N10" s="1" t="s">
        <v>491</v>
      </c>
    </row>
    <row r="11" ht="33.75" customHeight="1" spans="2:14">
      <c r="B11" s="10" t="s">
        <v>492</v>
      </c>
      <c r="C11" s="8" t="s">
        <v>493</v>
      </c>
      <c r="D11" s="11" t="s">
        <v>494</v>
      </c>
      <c r="F11" s="8" t="s">
        <v>495</v>
      </c>
      <c r="G11" s="8">
        <v>0.5</v>
      </c>
      <c r="I11" s="8">
        <v>1</v>
      </c>
      <c r="J11" s="8" t="s">
        <v>490</v>
      </c>
      <c r="K11" s="8">
        <v>0</v>
      </c>
      <c r="M11" s="1">
        <v>65</v>
      </c>
      <c r="N11" s="1" t="s">
        <v>491</v>
      </c>
    </row>
    <row r="12" ht="33.75" customHeight="1" spans="2:14">
      <c r="B12" s="10" t="s">
        <v>496</v>
      </c>
      <c r="C12" s="8" t="s">
        <v>497</v>
      </c>
      <c r="D12" s="8" t="s">
        <v>498</v>
      </c>
      <c r="F12" s="8" t="s">
        <v>499</v>
      </c>
      <c r="G12" s="8">
        <v>0</v>
      </c>
      <c r="I12" s="8">
        <v>1</v>
      </c>
      <c r="J12" s="8" t="s">
        <v>490</v>
      </c>
      <c r="K12" s="8">
        <v>0</v>
      </c>
      <c r="M12" s="1">
        <v>65</v>
      </c>
      <c r="N12" s="1" t="s">
        <v>491</v>
      </c>
    </row>
    <row r="13" ht="33.75" customHeight="1" spans="2:14">
      <c r="B13" s="10" t="s">
        <v>500</v>
      </c>
      <c r="C13" s="8" t="s">
        <v>501</v>
      </c>
      <c r="D13" s="11" t="s">
        <v>502</v>
      </c>
      <c r="F13" s="8" t="s">
        <v>503</v>
      </c>
      <c r="G13" s="8">
        <v>0</v>
      </c>
      <c r="H13" s="8" t="s">
        <v>504</v>
      </c>
      <c r="I13" s="8">
        <v>1</v>
      </c>
      <c r="J13" s="8" t="s">
        <v>490</v>
      </c>
      <c r="K13" s="8">
        <v>1</v>
      </c>
      <c r="M13" s="1">
        <v>65</v>
      </c>
      <c r="N13" s="1" t="s">
        <v>491</v>
      </c>
    </row>
    <row r="14" ht="33.75" customHeight="1" spans="2:14">
      <c r="B14" s="8" t="s">
        <v>505</v>
      </c>
      <c r="C14" s="8" t="s">
        <v>506</v>
      </c>
      <c r="D14" s="11" t="s">
        <v>507</v>
      </c>
      <c r="F14" s="8" t="s">
        <v>508</v>
      </c>
      <c r="G14" s="8">
        <v>0</v>
      </c>
      <c r="H14" s="8" t="s">
        <v>509</v>
      </c>
      <c r="I14" s="8">
        <v>1</v>
      </c>
      <c r="J14" s="8" t="s">
        <v>490</v>
      </c>
      <c r="K14" s="8">
        <v>1</v>
      </c>
      <c r="M14" s="1">
        <v>65</v>
      </c>
      <c r="N14" s="1" t="s">
        <v>491</v>
      </c>
    </row>
    <row r="15" ht="33.75" customHeight="1" spans="2:14">
      <c r="B15" s="8" t="s">
        <v>510</v>
      </c>
      <c r="C15" s="8" t="s">
        <v>511</v>
      </c>
      <c r="D15" s="11" t="s">
        <v>512</v>
      </c>
      <c r="F15" s="8" t="s">
        <v>513</v>
      </c>
      <c r="G15" s="8">
        <v>0</v>
      </c>
      <c r="H15" s="8" t="s">
        <v>514</v>
      </c>
      <c r="I15" s="8">
        <v>1</v>
      </c>
      <c r="J15" s="8" t="s">
        <v>490</v>
      </c>
      <c r="K15" s="8">
        <v>1</v>
      </c>
      <c r="M15" s="1">
        <v>65</v>
      </c>
      <c r="N15" s="1" t="s">
        <v>491</v>
      </c>
    </row>
    <row r="16" ht="33.75" customHeight="1" spans="2:14">
      <c r="B16" s="8" t="s">
        <v>515</v>
      </c>
      <c r="C16" s="8" t="s">
        <v>516</v>
      </c>
      <c r="D16" s="11" t="s">
        <v>517</v>
      </c>
      <c r="F16" s="8" t="s">
        <v>518</v>
      </c>
      <c r="G16" s="8">
        <v>0</v>
      </c>
      <c r="H16" t="s">
        <v>519</v>
      </c>
      <c r="I16" s="8">
        <v>1</v>
      </c>
      <c r="J16" s="8" t="s">
        <v>490</v>
      </c>
      <c r="K16" s="8">
        <v>1</v>
      </c>
      <c r="M16" s="1">
        <v>65</v>
      </c>
      <c r="N16" s="1" t="s">
        <v>491</v>
      </c>
    </row>
    <row r="17" ht="33.75" customHeight="1" spans="2:14">
      <c r="B17" s="8" t="s">
        <v>520</v>
      </c>
      <c r="C17" s="8" t="s">
        <v>521</v>
      </c>
      <c r="D17" s="11" t="s">
        <v>522</v>
      </c>
      <c r="F17" s="8" t="s">
        <v>523</v>
      </c>
      <c r="G17" s="8">
        <v>0</v>
      </c>
      <c r="H17" t="s">
        <v>524</v>
      </c>
      <c r="I17" s="8">
        <v>1</v>
      </c>
      <c r="J17" s="8" t="s">
        <v>490</v>
      </c>
      <c r="K17" s="8">
        <v>1</v>
      </c>
      <c r="M17" s="1">
        <v>65</v>
      </c>
      <c r="N17" s="1" t="s">
        <v>491</v>
      </c>
    </row>
    <row r="18" s="8" customFormat="1" ht="34" customHeight="1" spans="2:14">
      <c r="B18" s="8" t="s">
        <v>525</v>
      </c>
      <c r="C18" s="8" t="s">
        <v>526</v>
      </c>
      <c r="D18" s="8" t="s">
        <v>527</v>
      </c>
      <c r="F18" s="8" t="s">
        <v>528</v>
      </c>
      <c r="G18" s="8">
        <v>0</v>
      </c>
      <c r="I18" s="8">
        <v>1</v>
      </c>
      <c r="J18" s="8" t="s">
        <v>490</v>
      </c>
      <c r="K18" s="8">
        <v>1</v>
      </c>
      <c r="L18" s="1"/>
      <c r="M18" s="1">
        <v>65</v>
      </c>
      <c r="N18" s="1" t="s">
        <v>491</v>
      </c>
    </row>
    <row r="19" s="8" customFormat="1" ht="34" customHeight="1" spans="2:14">
      <c r="B19" s="8" t="s">
        <v>529</v>
      </c>
      <c r="C19" s="8" t="s">
        <v>530</v>
      </c>
      <c r="D19" s="11" t="s">
        <v>531</v>
      </c>
      <c r="F19" s="8" t="s">
        <v>532</v>
      </c>
      <c r="G19" s="8">
        <v>0</v>
      </c>
      <c r="I19" s="8">
        <v>1</v>
      </c>
      <c r="J19" s="8" t="s">
        <v>490</v>
      </c>
      <c r="K19" s="8">
        <v>1</v>
      </c>
      <c r="L19" s="1"/>
      <c r="M19" s="1">
        <v>65</v>
      </c>
      <c r="N19" s="1" t="s">
        <v>491</v>
      </c>
    </row>
    <row r="20" s="8" customFormat="1" ht="16.5" customHeight="1" spans="4:14">
      <c r="D20" s="11"/>
      <c r="L20" s="1"/>
      <c r="M20" s="1"/>
      <c r="N20" s="1"/>
    </row>
    <row r="21" s="8" customFormat="1" ht="34" customHeight="1"/>
    <row r="22" s="8" customFormat="1" ht="34" customHeight="1"/>
    <row r="23" s="8" customFormat="1" ht="34" customHeight="1"/>
    <row r="24" s="8" customFormat="1" ht="34" customHeight="1"/>
    <row r="25" s="8" customFormat="1"/>
    <row r="26" s="8" customFormat="1" ht="34" customHeight="1"/>
    <row r="27" s="8" customFormat="1" ht="34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152"/>
  <sheetViews>
    <sheetView workbookViewId="0">
      <selection activeCell="A1" sqref="A1"/>
    </sheetView>
  </sheetViews>
  <sheetFormatPr defaultColWidth="9.23529411764706" defaultRowHeight="16.8"/>
  <cols>
    <col min="2" max="3" width="8.46323529411765" customWidth="1"/>
    <col min="4" max="4" width="16.1617647058824" customWidth="1"/>
    <col min="5" max="5" width="47.3235294117647" customWidth="1"/>
    <col min="8" max="8" width="9.24264705882353" style="1" customWidth="1"/>
    <col min="9" max="9" width="79.6470588235294" style="2" customWidth="1"/>
  </cols>
  <sheetData>
    <row r="1" ht="17.25" customHeight="1" spans="2:20">
      <c r="B1" s="3" t="s">
        <v>533</v>
      </c>
      <c r="C1" s="3" t="s">
        <v>534</v>
      </c>
      <c r="D1" s="3" t="s">
        <v>535</v>
      </c>
      <c r="E1" s="3" t="s">
        <v>536</v>
      </c>
      <c r="H1" s="7" t="s">
        <v>1</v>
      </c>
      <c r="I1" s="2" t="s">
        <v>537</v>
      </c>
      <c r="L1" t="s">
        <v>538</v>
      </c>
      <c r="M1">
        <v>30</v>
      </c>
      <c r="N1">
        <v>31</v>
      </c>
      <c r="O1">
        <v>32</v>
      </c>
      <c r="P1">
        <v>33</v>
      </c>
      <c r="Q1">
        <v>34</v>
      </c>
      <c r="R1">
        <v>35</v>
      </c>
      <c r="S1">
        <v>36</v>
      </c>
      <c r="T1">
        <v>37</v>
      </c>
    </row>
    <row r="2" ht="17.25" customHeight="1" spans="2:20">
      <c r="B2" s="3" t="s">
        <v>539</v>
      </c>
      <c r="C2" s="3" t="s">
        <v>540</v>
      </c>
      <c r="D2" s="3" t="s">
        <v>541</v>
      </c>
      <c r="E2" s="3" t="s">
        <v>542</v>
      </c>
      <c r="H2" s="1">
        <v>1</v>
      </c>
      <c r="I2" s="2" t="str">
        <f t="shared" ref="I2:I65" si="0">E2</f>
        <v>获得时，获得两个随机（xx品质）的装饰品</v>
      </c>
      <c r="L2" t="s">
        <v>543</v>
      </c>
      <c r="M2">
        <v>40</v>
      </c>
      <c r="N2">
        <v>41</v>
      </c>
      <c r="O2">
        <v>42</v>
      </c>
      <c r="P2">
        <v>43</v>
      </c>
      <c r="Q2">
        <v>44</v>
      </c>
      <c r="R2">
        <v>45</v>
      </c>
      <c r="S2">
        <v>46</v>
      </c>
      <c r="T2">
        <v>47</v>
      </c>
    </row>
    <row r="3" ht="17.25" customHeight="1" spans="2:20">
      <c r="B3" s="4"/>
      <c r="C3" s="4"/>
      <c r="D3" s="3" t="s">
        <v>544</v>
      </c>
      <c r="E3" s="3" t="s">
        <v>545</v>
      </c>
      <c r="H3" s="1">
        <v>2</v>
      </c>
      <c r="I3" s="2" t="str">
        <f t="shared" si="0"/>
        <v>获得时，从多个装饰品中选择一个获得</v>
      </c>
      <c r="L3" t="s">
        <v>546</v>
      </c>
      <c r="M3">
        <v>50</v>
      </c>
      <c r="N3">
        <v>51</v>
      </c>
      <c r="O3">
        <v>52</v>
      </c>
      <c r="P3">
        <v>53</v>
      </c>
      <c r="Q3">
        <v>54</v>
      </c>
      <c r="R3">
        <v>55</v>
      </c>
      <c r="S3">
        <v>56</v>
      </c>
      <c r="T3">
        <v>57</v>
      </c>
    </row>
    <row r="4" ht="17.25" customHeight="1" spans="2:9">
      <c r="B4" s="4"/>
      <c r="C4" s="4"/>
      <c r="D4" s="3" t="s">
        <v>547</v>
      </c>
      <c r="E4" s="3" t="s">
        <v>548</v>
      </c>
      <c r="H4" s="1">
        <v>3</v>
      </c>
      <c r="I4" s="2" t="str">
        <f t="shared" si="0"/>
        <v>获得时，获得两个随机（xx品质）的消耗品</v>
      </c>
    </row>
    <row r="5" ht="17.25" customHeight="1" spans="2:9">
      <c r="B5" s="4"/>
      <c r="C5" s="4"/>
      <c r="D5" s="3" t="s">
        <v>544</v>
      </c>
      <c r="E5" s="3" t="s">
        <v>549</v>
      </c>
      <c r="H5" s="1">
        <v>4</v>
      </c>
      <c r="I5" s="2" t="str">
        <f t="shared" si="0"/>
        <v>获得时，从多个消耗品中选择一个获得</v>
      </c>
    </row>
    <row r="6" ht="17.25" customHeight="1" spans="2:17">
      <c r="B6" s="4"/>
      <c r="C6" s="4"/>
      <c r="D6" s="3" t="s">
        <v>550</v>
      </c>
      <c r="E6" s="3" t="s">
        <v>551</v>
      </c>
      <c r="H6" s="1">
        <v>5</v>
      </c>
      <c r="I6" s="2" t="str">
        <f t="shared" si="0"/>
        <v>获得时，从多个食物中选择一个获得</v>
      </c>
      <c r="Q6" t="s">
        <v>552</v>
      </c>
    </row>
    <row r="7" ht="17.25" customHeight="1" spans="2:21">
      <c r="B7" s="4"/>
      <c r="C7" s="4"/>
      <c r="D7" s="3" t="s">
        <v>553</v>
      </c>
      <c r="E7" s="3" t="s">
        <v>554</v>
      </c>
      <c r="H7" s="1">
        <v>6</v>
      </c>
      <c r="I7" s="2" t="str">
        <f t="shared" si="0"/>
        <v>获得时，从多个餐桌格中选择一个获得</v>
      </c>
      <c r="K7" t="s">
        <v>555</v>
      </c>
      <c r="M7">
        <v>300</v>
      </c>
      <c r="O7" t="s">
        <v>556</v>
      </c>
      <c r="Q7">
        <f>COUNTIF(装饰品!$E$4:$E$103,K7)</f>
        <v>37</v>
      </c>
      <c r="S7">
        <v>40</v>
      </c>
      <c r="U7">
        <f>Q7/SUM($Q$7:$Q$10)</f>
        <v>0.411111111111111</v>
      </c>
    </row>
    <row r="8" ht="17.25" customHeight="1" spans="2:21">
      <c r="B8" s="4"/>
      <c r="C8" s="4"/>
      <c r="D8" s="3" t="s">
        <v>557</v>
      </c>
      <c r="E8" s="3" t="s">
        <v>558</v>
      </c>
      <c r="H8" s="1">
        <v>7</v>
      </c>
      <c r="I8" s="2" t="str">
        <f t="shared" si="0"/>
        <v>获得时，获得一个随机装饰品、随机食物、50金币</v>
      </c>
      <c r="K8" t="s">
        <v>559</v>
      </c>
      <c r="M8">
        <v>100</v>
      </c>
      <c r="O8" t="s">
        <v>560</v>
      </c>
      <c r="Q8">
        <f>COUNTIF(装饰品!$E$4:$E$103,K8)</f>
        <v>35</v>
      </c>
      <c r="S8">
        <v>80</v>
      </c>
      <c r="U8">
        <v>0.362637362637363</v>
      </c>
    </row>
    <row r="9" ht="17.25" customHeight="1" spans="2:21">
      <c r="B9" s="4"/>
      <c r="C9" s="4"/>
      <c r="D9" s="3" t="s">
        <v>561</v>
      </c>
      <c r="E9" s="3" t="s">
        <v>562</v>
      </c>
      <c r="H9" s="1">
        <v>8</v>
      </c>
      <c r="I9" s="2" t="str">
        <f t="shared" si="0"/>
        <v>所有装饰品和消耗品替换为随机装饰品和消耗品</v>
      </c>
      <c r="K9" t="s">
        <v>563</v>
      </c>
      <c r="M9">
        <v>30</v>
      </c>
      <c r="O9" t="s">
        <v>564</v>
      </c>
      <c r="Q9">
        <f>COUNTIF(装饰品!$E$4:$E$103,K9)</f>
        <v>15</v>
      </c>
      <c r="S9">
        <v>150</v>
      </c>
      <c r="U9">
        <v>0.120879120879121</v>
      </c>
    </row>
    <row r="10" ht="17.25" customHeight="1" spans="2:21">
      <c r="B10" s="4"/>
      <c r="C10" s="4" t="s">
        <v>565</v>
      </c>
      <c r="D10" s="3" t="s">
        <v>566</v>
      </c>
      <c r="E10" s="3" t="s">
        <v>567</v>
      </c>
      <c r="H10" s="1">
        <v>9</v>
      </c>
      <c r="I10" s="2" t="str">
        <f t="shared" si="0"/>
        <v>获得1～100个金币</v>
      </c>
      <c r="K10" t="s">
        <v>568</v>
      </c>
      <c r="M10">
        <v>10</v>
      </c>
      <c r="O10" t="s">
        <v>569</v>
      </c>
      <c r="Q10">
        <f>COUNTIF(装饰品!$E$4:$E$103,K10)</f>
        <v>3</v>
      </c>
      <c r="S10">
        <v>240</v>
      </c>
      <c r="U10">
        <v>0.043956043956044</v>
      </c>
    </row>
    <row r="11" ht="17.25" customHeight="1" spans="2:9">
      <c r="B11" s="4"/>
      <c r="C11" s="3"/>
      <c r="D11" s="3" t="s">
        <v>570</v>
      </c>
      <c r="E11" s="3" t="s">
        <v>571</v>
      </c>
      <c r="H11" s="1">
        <v>10</v>
      </c>
      <c r="I11" s="2" t="str">
        <f t="shared" si="0"/>
        <v>接下来10局食物，额外获得15金币</v>
      </c>
    </row>
    <row r="12" ht="17.25" customHeight="1" spans="2:18">
      <c r="B12" s="4"/>
      <c r="C12" s="4"/>
      <c r="D12" s="3" t="s">
        <v>572</v>
      </c>
      <c r="E12" s="3" t="s">
        <v>573</v>
      </c>
      <c r="H12" s="1">
        <v>11</v>
      </c>
      <c r="I12" s="2" t="str">
        <f t="shared" si="0"/>
        <v>完成本次星级评鉴后，额外获得100金币</v>
      </c>
      <c r="P12" t="s">
        <v>574</v>
      </c>
      <c r="Q12" t="s">
        <v>575</v>
      </c>
      <c r="R12" t="s">
        <v>576</v>
      </c>
    </row>
    <row r="13" ht="17.25" customHeight="1" spans="2:14">
      <c r="B13" s="4"/>
      <c r="C13" s="4"/>
      <c r="D13" s="5" t="s">
        <v>577</v>
      </c>
      <c r="E13" s="3" t="s">
        <v>578</v>
      </c>
      <c r="H13" s="1">
        <v>12</v>
      </c>
      <c r="I13" s="2" t="str">
        <f t="shared" si="0"/>
        <v>食物结束获得的金币，额外获得20%</v>
      </c>
      <c r="K13">
        <f>100*0.1*6</f>
        <v>60</v>
      </c>
      <c r="M13" t="s">
        <v>579</v>
      </c>
      <c r="N13">
        <v>240</v>
      </c>
    </row>
    <row r="14" ht="17.25" customHeight="1" spans="2:16">
      <c r="B14" s="4"/>
      <c r="C14" s="4" t="s">
        <v>580</v>
      </c>
      <c r="D14" s="3" t="s">
        <v>581</v>
      </c>
      <c r="E14" s="3" t="s">
        <v>582</v>
      </c>
      <c r="H14" s="1">
        <v>13</v>
      </c>
      <c r="I14" s="2" t="str">
        <f t="shared" si="0"/>
        <v>购买食物打折20%</v>
      </c>
      <c r="K14">
        <f>80*5*0.2</f>
        <v>80</v>
      </c>
      <c r="M14" t="s">
        <v>583</v>
      </c>
      <c r="N14">
        <v>150</v>
      </c>
      <c r="P14">
        <v>250</v>
      </c>
    </row>
    <row r="15" ht="17.25" customHeight="1" spans="2:17">
      <c r="B15" s="4"/>
      <c r="C15" s="3"/>
      <c r="D15" s="3" t="s">
        <v>584</v>
      </c>
      <c r="E15" s="3" t="s">
        <v>585</v>
      </c>
      <c r="H15" s="1">
        <v>14</v>
      </c>
      <c r="I15" s="2" t="str">
        <f t="shared" si="0"/>
        <v>购买碎片打折20%</v>
      </c>
      <c r="K15">
        <f>0.15*40*10</f>
        <v>60</v>
      </c>
      <c r="M15" t="s">
        <v>586</v>
      </c>
      <c r="N15">
        <v>80</v>
      </c>
      <c r="P15">
        <v>150</v>
      </c>
      <c r="Q15">
        <v>10</v>
      </c>
    </row>
    <row r="16" ht="17.25" customHeight="1" spans="2:17">
      <c r="B16" s="4"/>
      <c r="C16" s="4"/>
      <c r="D16" s="3" t="s">
        <v>587</v>
      </c>
      <c r="E16" s="3" t="s">
        <v>588</v>
      </c>
      <c r="H16" s="1">
        <v>15</v>
      </c>
      <c r="I16" s="2" t="str">
        <f t="shared" si="0"/>
        <v>买消耗品打折20%</v>
      </c>
      <c r="M16" t="s">
        <v>589</v>
      </c>
      <c r="N16">
        <v>40</v>
      </c>
      <c r="P16">
        <v>70</v>
      </c>
      <c r="Q16">
        <v>5</v>
      </c>
    </row>
    <row r="17" ht="17.25" customHeight="1" spans="2:9">
      <c r="B17" s="4"/>
      <c r="C17" s="4"/>
      <c r="D17" s="3" t="s">
        <v>590</v>
      </c>
      <c r="E17" s="3" t="s">
        <v>591</v>
      </c>
      <c r="H17" s="1">
        <v>16</v>
      </c>
      <c r="I17" s="2" t="str">
        <f t="shared" si="0"/>
        <v>买装饰品打折20%</v>
      </c>
    </row>
    <row r="18" ht="17.25" customHeight="1" spans="2:14">
      <c r="B18" s="4"/>
      <c r="C18" s="4"/>
      <c r="D18" s="3" t="s">
        <v>592</v>
      </c>
      <c r="E18" s="3" t="s">
        <v>593</v>
      </c>
      <c r="H18" s="1">
        <v>17</v>
      </c>
      <c r="I18" s="2" t="str">
        <f t="shared" si="0"/>
        <v>移除食物价格打折20%</v>
      </c>
      <c r="M18" t="s">
        <v>594</v>
      </c>
      <c r="N18">
        <v>1.4</v>
      </c>
    </row>
    <row r="19" ht="17.25" customHeight="1" spans="2:9">
      <c r="B19" s="4"/>
      <c r="C19" s="4"/>
      <c r="D19" s="3" t="s">
        <v>592</v>
      </c>
      <c r="E19" s="3" t="s">
        <v>595</v>
      </c>
      <c r="H19" s="1">
        <v>18</v>
      </c>
      <c r="I19" s="2" t="str">
        <f t="shared" si="0"/>
        <v>移除食物价格固定为30金币</v>
      </c>
    </row>
    <row r="20" ht="17.25" customHeight="1" spans="2:14">
      <c r="B20" s="4"/>
      <c r="C20" s="4" t="s">
        <v>596</v>
      </c>
      <c r="D20" s="3" t="s">
        <v>597</v>
      </c>
      <c r="E20" s="3" t="s">
        <v>598</v>
      </c>
      <c r="H20" s="1">
        <v>19</v>
      </c>
      <c r="I20" s="2" t="str">
        <f t="shared" si="0"/>
        <v>分数未达标时，不失败，失去此装饰品和消耗品</v>
      </c>
      <c r="K20">
        <f>0.9*0.8</f>
        <v>0.72</v>
      </c>
      <c r="N20">
        <f>280*5</f>
        <v>1400</v>
      </c>
    </row>
    <row r="21" ht="17.25" customHeight="1" spans="2:14">
      <c r="B21" s="4"/>
      <c r="C21" s="4" t="s">
        <v>599</v>
      </c>
      <c r="D21" s="3" t="s">
        <v>600</v>
      </c>
      <c r="E21" s="3" t="s">
        <v>601</v>
      </c>
      <c r="H21" s="1">
        <v>20</v>
      </c>
      <c r="I21" s="2" t="str">
        <f t="shared" si="0"/>
        <v>接下来3局非星级评鉴（星级评鉴），分数要求为1</v>
      </c>
      <c r="N21">
        <f>N20*0.8</f>
        <v>1120</v>
      </c>
    </row>
    <row r="22" ht="17.25" customHeight="1" spans="2:14">
      <c r="B22" s="4"/>
      <c r="C22" s="3"/>
      <c r="D22" s="3" t="s">
        <v>602</v>
      </c>
      <c r="E22" s="3" t="s">
        <v>603</v>
      </c>
      <c r="H22" s="1">
        <v>21</v>
      </c>
      <c r="I22" s="2" t="str">
        <f t="shared" si="0"/>
        <v>日常营业目标美味值-10%</v>
      </c>
      <c r="N22">
        <f>N21*0.15</f>
        <v>168</v>
      </c>
    </row>
    <row r="23" ht="17.25" customHeight="1" spans="2:9">
      <c r="B23" s="4"/>
      <c r="C23" s="3"/>
      <c r="D23" s="3" t="s">
        <v>604</v>
      </c>
      <c r="E23" s="3" t="s">
        <v>605</v>
      </c>
      <c r="H23" s="1">
        <v>22</v>
      </c>
      <c r="I23" s="2" t="str">
        <f t="shared" si="0"/>
        <v>火热营业目标美味值-10%</v>
      </c>
    </row>
    <row r="24" ht="17.25" customHeight="1" spans="2:9">
      <c r="B24" s="4"/>
      <c r="C24" s="4"/>
      <c r="D24" s="3" t="s">
        <v>606</v>
      </c>
      <c r="E24" s="3" t="s">
        <v>607</v>
      </c>
      <c r="H24" s="1">
        <v>23</v>
      </c>
      <c r="I24" s="2" t="str">
        <f t="shared" si="0"/>
        <v>星级评鉴食物目标美味值-10%</v>
      </c>
    </row>
    <row r="25" ht="17.25" customHeight="1" spans="2:9">
      <c r="B25" s="4"/>
      <c r="C25" s="4" t="s">
        <v>608</v>
      </c>
      <c r="D25" s="3" t="s">
        <v>609</v>
      </c>
      <c r="E25" s="3" t="s">
        <v>610</v>
      </c>
      <c r="H25" s="1">
        <v>24</v>
      </c>
      <c r="I25" s="2" t="str">
        <f t="shared" si="0"/>
        <v>结算时，食物数量小于等于10，所有食物倍率×1.1</v>
      </c>
    </row>
    <row r="26" ht="17.25" customHeight="1" spans="2:16">
      <c r="B26" s="4"/>
      <c r="C26" s="4"/>
      <c r="D26" s="3" t="s">
        <v>609</v>
      </c>
      <c r="E26" s="3" t="s">
        <v>611</v>
      </c>
      <c r="H26" s="1">
        <v>25</v>
      </c>
      <c r="I26" s="2" t="str">
        <f t="shared" si="0"/>
        <v>结算时，食物数量大于等于10，所有食物倍率×1.1</v>
      </c>
      <c r="P26">
        <v>180</v>
      </c>
    </row>
    <row r="27" ht="17.25" customHeight="1" spans="2:18">
      <c r="B27" s="4"/>
      <c r="C27" s="3" t="s">
        <v>612</v>
      </c>
      <c r="D27" s="3" t="s">
        <v>613</v>
      </c>
      <c r="E27" s="3" t="s">
        <v>614</v>
      </c>
      <c r="H27" s="1">
        <v>26</v>
      </c>
      <c r="I27" s="2" t="str">
        <f t="shared" si="0"/>
        <v>结算时，食物倍率+0倍（每结算1个食物+0.1倍）</v>
      </c>
      <c r="R27">
        <v>60</v>
      </c>
    </row>
    <row r="28" ht="17.25" customHeight="1" spans="2:9">
      <c r="B28" s="4"/>
      <c r="C28" s="4" t="s">
        <v>615</v>
      </c>
      <c r="D28" s="3" t="s">
        <v>616</v>
      </c>
      <c r="E28" s="3" t="s">
        <v>617</v>
      </c>
      <c r="H28" s="1">
        <v>27</v>
      </c>
      <c r="I28" s="2" t="str">
        <f t="shared" si="0"/>
        <v>所有食物基础分数永久+10</v>
      </c>
    </row>
    <row r="29" ht="17.25" customHeight="1" spans="2:9">
      <c r="B29" s="4"/>
      <c r="C29" s="3" t="s">
        <v>618</v>
      </c>
      <c r="D29" s="3" t="s">
        <v>616</v>
      </c>
      <c r="E29" s="3" t="s">
        <v>619</v>
      </c>
      <c r="H29" s="1">
        <v>28</v>
      </c>
      <c r="I29" s="2" t="str">
        <f t="shared" si="0"/>
        <v>所有食物基础倍率永久+0.2</v>
      </c>
    </row>
    <row r="30" ht="17.25" customHeight="1" spans="2:9">
      <c r="B30" s="4"/>
      <c r="C30" s="3" t="s">
        <v>620</v>
      </c>
      <c r="D30" s="3" t="s">
        <v>621</v>
      </c>
      <c r="E30" s="3" t="s">
        <v>622</v>
      </c>
      <c r="H30" s="1">
        <v>29</v>
      </c>
      <c r="I30" s="2" t="str">
        <f t="shared" si="0"/>
        <v>每5次上菜后，下一次上菜，可以看见食物是什么</v>
      </c>
    </row>
    <row r="31" ht="17.25" customHeight="1" spans="2:9">
      <c r="B31" s="4"/>
      <c r="C31" s="3"/>
      <c r="D31" s="3" t="s">
        <v>621</v>
      </c>
      <c r="E31" s="3" t="s">
        <v>623</v>
      </c>
      <c r="H31" s="1">
        <v>30</v>
      </c>
      <c r="I31" s="2" t="str">
        <f t="shared" si="0"/>
        <v>每局前三次上菜，可以看见食物</v>
      </c>
    </row>
    <row r="32" ht="17.25" customHeight="1" spans="2:9">
      <c r="B32" s="4"/>
      <c r="C32" s="3" t="s">
        <v>624</v>
      </c>
      <c r="D32" s="3" t="s">
        <v>624</v>
      </c>
      <c r="E32" s="3" t="s">
        <v>625</v>
      </c>
      <c r="H32" s="1">
        <v>31</v>
      </c>
      <c r="I32" s="2" t="str">
        <f t="shared" si="0"/>
        <v>随机将5个食物，变为至少同品质的食物</v>
      </c>
    </row>
    <row r="33" ht="17.25" customHeight="1" spans="2:9">
      <c r="B33" s="4"/>
      <c r="C33" s="4"/>
      <c r="D33" s="3" t="s">
        <v>626</v>
      </c>
      <c r="E33" s="3" t="s">
        <v>627</v>
      </c>
      <c r="H33" s="1">
        <v>32</v>
      </c>
      <c r="I33" s="2" t="str">
        <f t="shared" si="0"/>
        <v>进入商店时，获得10金币</v>
      </c>
    </row>
    <row r="34" ht="17.25" customHeight="1" spans="2:9">
      <c r="B34" s="4"/>
      <c r="C34" s="4"/>
      <c r="D34" s="3" t="s">
        <v>628</v>
      </c>
      <c r="E34" s="3" t="s">
        <v>629</v>
      </c>
      <c r="H34" s="1">
        <v>33</v>
      </c>
      <c r="I34" s="2" t="str">
        <f t="shared" si="0"/>
        <v>每周结束，额外执行一次利息</v>
      </c>
    </row>
    <row r="35" ht="17.25" customHeight="1" spans="2:9">
      <c r="B35" s="4"/>
      <c r="C35" s="3"/>
      <c r="D35" s="3" t="s">
        <v>630</v>
      </c>
      <c r="E35" s="3" t="s">
        <v>631</v>
      </c>
      <c r="H35" s="1">
        <v>34</v>
      </c>
      <c r="I35" s="2" t="str">
        <f t="shared" si="0"/>
        <v>回合结束金币小于10时，获得10金币</v>
      </c>
    </row>
    <row r="36" ht="17.25" customHeight="1" spans="2:11">
      <c r="B36" s="4"/>
      <c r="C36" s="3"/>
      <c r="D36" s="6" t="s">
        <v>632</v>
      </c>
      <c r="E36" s="3" t="s">
        <v>633</v>
      </c>
      <c r="H36" s="1">
        <v>35</v>
      </c>
      <c r="I36" s="2" t="str">
        <f t="shared" si="0"/>
        <v>利息上限扩展到10金币</v>
      </c>
      <c r="K36">
        <f>15*6</f>
        <v>90</v>
      </c>
    </row>
    <row r="37" ht="17.25" customHeight="1" spans="2:9">
      <c r="B37" s="4"/>
      <c r="C37" s="3"/>
      <c r="D37" s="3" t="s">
        <v>634</v>
      </c>
      <c r="E37" s="3" t="s">
        <v>635</v>
      </c>
      <c r="H37" s="1">
        <v>36</v>
      </c>
      <c r="I37" s="2" t="str">
        <f t="shared" si="0"/>
        <v>临时获得300金币，下一周失去600金币</v>
      </c>
    </row>
    <row r="38" ht="17.25" customHeight="1" spans="2:11">
      <c r="B38" s="4"/>
      <c r="C38" s="3" t="s">
        <v>636</v>
      </c>
      <c r="D38" s="3" t="s">
        <v>561</v>
      </c>
      <c r="E38" s="3" t="s">
        <v>637</v>
      </c>
      <c r="H38" s="1">
        <v>37</v>
      </c>
      <c r="I38" s="2" t="str">
        <f t="shared" si="0"/>
        <v>随机化时间轴的节点行动。</v>
      </c>
      <c r="K38">
        <f>3*50</f>
        <v>150</v>
      </c>
    </row>
    <row r="39" ht="17.25" customHeight="1" spans="2:9">
      <c r="B39" s="4"/>
      <c r="C39" s="4"/>
      <c r="D39" s="3" t="s">
        <v>638</v>
      </c>
      <c r="E39" s="3" t="s">
        <v>639</v>
      </c>
      <c r="H39" s="1">
        <v>38</v>
      </c>
      <c r="I39" s="2" t="str">
        <f t="shared" si="0"/>
        <v>延后所有星级评鉴一天</v>
      </c>
    </row>
    <row r="40" ht="17.25" customHeight="1" spans="2:11">
      <c r="B40" s="4"/>
      <c r="C40" s="4"/>
      <c r="D40" s="3" t="s">
        <v>640</v>
      </c>
      <c r="E40" s="3" t="s">
        <v>640</v>
      </c>
      <c r="H40" s="1">
        <v>39</v>
      </c>
      <c r="I40" s="2" t="str">
        <f t="shared" si="0"/>
        <v>周数-1</v>
      </c>
      <c r="K40" t="s">
        <v>641</v>
      </c>
    </row>
    <row r="41" ht="17.25" customHeight="1" spans="2:9">
      <c r="B41" s="4"/>
      <c r="C41" s="4"/>
      <c r="D41" s="3" t="s">
        <v>642</v>
      </c>
      <c r="E41" s="3" t="s">
        <v>643</v>
      </c>
      <c r="H41" s="1">
        <v>40</v>
      </c>
      <c r="I41" s="2" t="str">
        <f t="shared" si="0"/>
        <v>增加一个奖励节点到时间轴上</v>
      </c>
    </row>
    <row r="42" ht="17.25" customHeight="1" spans="2:9">
      <c r="B42" s="4"/>
      <c r="C42" s="4"/>
      <c r="D42" s="3" t="s">
        <v>644</v>
      </c>
      <c r="E42" s="3" t="s">
        <v>645</v>
      </c>
      <c r="H42" s="1">
        <v>41</v>
      </c>
      <c r="I42" s="2" t="str">
        <f t="shared" si="0"/>
        <v>增加一个利息节点到时间轴上</v>
      </c>
    </row>
    <row r="43" ht="17.25" customHeight="1" spans="2:9">
      <c r="B43" s="4"/>
      <c r="C43" s="4" t="s">
        <v>646</v>
      </c>
      <c r="D43" s="3" t="s">
        <v>647</v>
      </c>
      <c r="E43" s="3" t="s">
        <v>648</v>
      </c>
      <c r="H43" s="1">
        <v>42</v>
      </c>
      <c r="I43" s="2" t="str">
        <f t="shared" si="0"/>
        <v>每上3个食物后，下1个食物倍率+2</v>
      </c>
    </row>
    <row r="44" ht="17.25" customHeight="1" spans="2:9">
      <c r="B44" s="4"/>
      <c r="C44" s="3"/>
      <c r="D44" s="3" t="s">
        <v>649</v>
      </c>
      <c r="E44" s="3" t="s">
        <v>650</v>
      </c>
      <c r="H44" s="1">
        <v>43</v>
      </c>
      <c r="I44" s="2" t="str">
        <f t="shared" si="0"/>
        <v>第一个上的食物，倍率×2</v>
      </c>
    </row>
    <row r="45" ht="17.25" customHeight="1" spans="2:9">
      <c r="B45" s="4"/>
      <c r="C45" s="4"/>
      <c r="D45" s="3" t="s">
        <v>651</v>
      </c>
      <c r="E45" s="3" t="s">
        <v>652</v>
      </c>
      <c r="H45" s="1">
        <v>44</v>
      </c>
      <c r="I45" s="2" t="str">
        <f t="shared" si="0"/>
        <v>最后一个上的食物，倍率×2</v>
      </c>
    </row>
    <row r="46" ht="17.25" customHeight="1" spans="2:15">
      <c r="B46" s="4"/>
      <c r="C46" s="4" t="s">
        <v>653</v>
      </c>
      <c r="D46" s="3" t="s">
        <v>654</v>
      </c>
      <c r="E46" s="3" t="s">
        <v>655</v>
      </c>
      <c r="H46" s="1">
        <v>45</v>
      </c>
      <c r="I46" s="2" t="str">
        <f t="shared" si="0"/>
        <v>增加2个额外消耗品栏</v>
      </c>
      <c r="L46">
        <v>4</v>
      </c>
      <c r="N46">
        <v>2</v>
      </c>
      <c r="O46">
        <v>3</v>
      </c>
    </row>
    <row r="47" ht="17.25" customHeight="1" spans="2:12">
      <c r="B47" s="4"/>
      <c r="C47" s="4"/>
      <c r="D47" s="3" t="s">
        <v>565</v>
      </c>
      <c r="E47" s="3" t="s">
        <v>656</v>
      </c>
      <c r="H47" s="1">
        <v>46</v>
      </c>
      <c r="I47" s="2" t="str">
        <f t="shared" si="0"/>
        <v>使用消耗品时，获得20金币</v>
      </c>
      <c r="L47">
        <v>9</v>
      </c>
    </row>
    <row r="48" ht="17.25" customHeight="1" spans="2:9">
      <c r="B48" s="4"/>
      <c r="C48" s="4"/>
      <c r="D48" s="3" t="s">
        <v>657</v>
      </c>
      <c r="E48" s="3" t="s">
        <v>658</v>
      </c>
      <c r="H48" s="1">
        <v>47</v>
      </c>
      <c r="I48" s="2" t="str">
        <f t="shared" si="0"/>
        <v>无法获得消耗品，获得1000金币</v>
      </c>
    </row>
    <row r="49" ht="17.25" customHeight="1" spans="2:9">
      <c r="B49" s="4"/>
      <c r="C49" s="3" t="s">
        <v>659</v>
      </c>
      <c r="D49" s="3" t="s">
        <v>660</v>
      </c>
      <c r="E49" s="3" t="s">
        <v>661</v>
      </c>
      <c r="H49" s="1">
        <v>48</v>
      </c>
      <c r="I49" s="2" t="str">
        <f t="shared" si="0"/>
        <v>强化两个随机风味到无风味食物上</v>
      </c>
    </row>
    <row r="50" ht="17.25" customHeight="1" spans="2:9">
      <c r="B50" s="4"/>
      <c r="C50" s="4"/>
      <c r="D50" s="3" t="s">
        <v>662</v>
      </c>
      <c r="E50" s="3" t="s">
        <v>663</v>
      </c>
      <c r="H50" s="1">
        <v>49</v>
      </c>
      <c r="I50" s="2" t="str">
        <f t="shared" si="0"/>
        <v>移除1个食物的风味，获得200金币</v>
      </c>
    </row>
    <row r="51" ht="17.25" customHeight="1" spans="2:9">
      <c r="B51" s="4"/>
      <c r="C51" s="4"/>
      <c r="D51" s="3" t="s">
        <v>664</v>
      </c>
      <c r="E51" s="3" t="s">
        <v>665</v>
      </c>
      <c r="H51" s="1">
        <v>50</v>
      </c>
      <c r="I51" s="2" t="str">
        <f t="shared" si="0"/>
        <v>移除1个食物的风味，其技能复制</v>
      </c>
    </row>
    <row r="52" ht="17.25" customHeight="1" spans="2:9">
      <c r="B52" s="4"/>
      <c r="C52" s="3"/>
      <c r="D52" s="3" t="s">
        <v>666</v>
      </c>
      <c r="E52" s="3" t="s">
        <v>667</v>
      </c>
      <c r="H52" s="1">
        <v>51</v>
      </c>
      <c r="I52" s="2" t="str">
        <f t="shared" si="0"/>
        <v>移除1个食物的风味，其分数翻倍</v>
      </c>
    </row>
    <row r="53" ht="17.25" customHeight="1" spans="2:9">
      <c r="B53" s="4"/>
      <c r="C53" s="4"/>
      <c r="D53" s="3" t="s">
        <v>668</v>
      </c>
      <c r="E53" s="3" t="s">
        <v>669</v>
      </c>
      <c r="H53" s="1">
        <v>52</v>
      </c>
      <c r="I53" s="2" t="str">
        <f t="shared" si="0"/>
        <v>允许1个食物拥有两个风味</v>
      </c>
    </row>
    <row r="54" ht="17.25" customHeight="1" spans="2:9">
      <c r="B54" s="4"/>
      <c r="C54" s="4"/>
      <c r="D54" s="3" t="s">
        <v>670</v>
      </c>
      <c r="E54" s="3" t="s">
        <v>671</v>
      </c>
      <c r="H54" s="1">
        <v>53</v>
      </c>
      <c r="I54" s="2" t="str">
        <f t="shared" si="0"/>
        <v>将1个食物的风味强化到无风味食物上</v>
      </c>
    </row>
    <row r="55" ht="17.25" customHeight="1" spans="2:9">
      <c r="B55" s="4"/>
      <c r="C55" s="3" t="s">
        <v>672</v>
      </c>
      <c r="D55" s="3" t="s">
        <v>673</v>
      </c>
      <c r="E55" s="3" t="s">
        <v>674</v>
      </c>
      <c r="H55" s="1">
        <v>54</v>
      </c>
      <c r="I55" s="2" t="str">
        <f t="shared" si="0"/>
        <v>强化两个随机标签到胃部格子上</v>
      </c>
    </row>
    <row r="56" ht="17.25" customHeight="1" spans="2:9">
      <c r="B56" s="4"/>
      <c r="C56" s="4"/>
      <c r="D56" s="3" t="s">
        <v>675</v>
      </c>
      <c r="E56" s="3" t="s">
        <v>676</v>
      </c>
      <c r="H56" s="1">
        <v>55</v>
      </c>
      <c r="I56" s="2" t="str">
        <f t="shared" si="0"/>
        <v>将一个格子的标签强化到其他格子上</v>
      </c>
    </row>
    <row r="57" ht="17.25" customHeight="1" spans="2:9">
      <c r="B57" s="4"/>
      <c r="C57" s="4" t="s">
        <v>677</v>
      </c>
      <c r="D57" s="3" t="s">
        <v>678</v>
      </c>
      <c r="E57" s="3" t="s">
        <v>679</v>
      </c>
      <c r="H57" s="1">
        <v>56</v>
      </c>
      <c r="I57" s="2" t="str">
        <f t="shared" si="0"/>
        <v>每4个事件的最后一个是奖励事件</v>
      </c>
    </row>
    <row r="58" ht="17.25" customHeight="1" spans="2:9">
      <c r="B58" s="4"/>
      <c r="C58" s="4"/>
      <c r="D58" s="3" t="s">
        <v>678</v>
      </c>
      <c r="E58" s="3" t="s">
        <v>680</v>
      </c>
      <c r="H58" s="1">
        <v>57</v>
      </c>
      <c r="I58" s="2" t="str">
        <f t="shared" si="0"/>
        <v>事件中遇到奖励的概率提高</v>
      </c>
    </row>
    <row r="59" ht="17.25" customHeight="1" spans="2:9">
      <c r="B59" s="4"/>
      <c r="C59" s="4"/>
      <c r="D59" s="3" t="s">
        <v>681</v>
      </c>
      <c r="E59" s="3" t="s">
        <v>682</v>
      </c>
      <c r="H59" s="1">
        <v>58</v>
      </c>
      <c r="I59" s="2" t="str">
        <f t="shared" si="0"/>
        <v>遇到事件的概率提高</v>
      </c>
    </row>
    <row r="60" ht="17.25" customHeight="1" spans="2:9">
      <c r="B60" s="4"/>
      <c r="C60" s="4"/>
      <c r="D60" s="3" t="s">
        <v>683</v>
      </c>
      <c r="E60" s="3" t="s">
        <v>684</v>
      </c>
      <c r="H60" s="1">
        <v>59</v>
      </c>
      <c r="I60" s="2" t="str">
        <f t="shared" si="0"/>
        <v>完成一个事件，获得10金币</v>
      </c>
    </row>
    <row r="61" ht="17.25" customHeight="1" spans="2:9">
      <c r="B61" s="4"/>
      <c r="C61" s="3"/>
      <c r="D61" s="3" t="s">
        <v>685</v>
      </c>
      <c r="E61" s="3" t="s">
        <v>686</v>
      </c>
      <c r="H61" s="1">
        <v>60</v>
      </c>
      <c r="I61" s="2" t="str">
        <f t="shared" si="0"/>
        <v>获得2次重新普通行动的</v>
      </c>
    </row>
    <row r="62" ht="17.25" customHeight="1" spans="2:9">
      <c r="B62" s="4"/>
      <c r="C62" s="4" t="s">
        <v>687</v>
      </c>
      <c r="D62" s="3" t="s">
        <v>688</v>
      </c>
      <c r="E62" s="3" t="s">
        <v>689</v>
      </c>
      <c r="H62" s="1">
        <v>61</v>
      </c>
      <c r="I62" s="2" t="str">
        <f t="shared" si="0"/>
        <v>商店会自动补货</v>
      </c>
    </row>
    <row r="63" ht="17.25" customHeight="1" spans="2:9">
      <c r="B63" s="4"/>
      <c r="C63" s="3" t="s">
        <v>690</v>
      </c>
      <c r="D63" s="3" t="s">
        <v>691</v>
      </c>
      <c r="E63" s="3" t="s">
        <v>692</v>
      </c>
      <c r="H63" s="1">
        <v>62</v>
      </c>
      <c r="I63" s="2" t="str">
        <f t="shared" si="0"/>
        <v>多选一食物时，可选数量+1</v>
      </c>
    </row>
    <row r="64" ht="17.25" customHeight="1" spans="2:9">
      <c r="B64" s="4"/>
      <c r="C64" s="4"/>
      <c r="D64" s="3" t="s">
        <v>693</v>
      </c>
      <c r="E64" s="3" t="s">
        <v>694</v>
      </c>
      <c r="H64" s="1">
        <v>63</v>
      </c>
      <c r="I64" s="2" t="str">
        <f t="shared" si="0"/>
        <v>多选一食物时，可选次数+1，可选数量-1</v>
      </c>
    </row>
    <row r="65" ht="17.25" customHeight="1" spans="2:9">
      <c r="B65" s="4"/>
      <c r="C65" s="4"/>
      <c r="D65" s="3" t="s">
        <v>695</v>
      </c>
      <c r="E65" s="3" t="s">
        <v>696</v>
      </c>
      <c r="H65" s="1">
        <v>64</v>
      </c>
      <c r="I65" s="2" t="str">
        <f t="shared" si="0"/>
        <v>每3次日常营业，额外获得一个多选一食物</v>
      </c>
    </row>
    <row r="66" ht="17.25" customHeight="1" spans="2:9">
      <c r="B66" s="4"/>
      <c r="C66" s="4"/>
      <c r="D66" s="3" t="s">
        <v>697</v>
      </c>
      <c r="E66" s="3" t="s">
        <v>698</v>
      </c>
      <c r="H66" s="1">
        <v>65</v>
      </c>
      <c r="I66" s="2" t="str">
        <f t="shared" ref="I66:I94" si="1">E66</f>
        <v>每3次火热营业，额外获得一个多选一物品</v>
      </c>
    </row>
    <row r="67" ht="17.25" customHeight="1" spans="2:9">
      <c r="B67" s="4"/>
      <c r="C67" s="4"/>
      <c r="D67" s="3" t="s">
        <v>699</v>
      </c>
      <c r="E67" s="3" t="s">
        <v>700</v>
      </c>
      <c r="H67" s="1">
        <v>66</v>
      </c>
      <c r="I67" s="2" t="str">
        <f t="shared" si="1"/>
        <v>随机复制1个食物</v>
      </c>
    </row>
    <row r="68" ht="17.25" customHeight="1" spans="2:9">
      <c r="B68" s="4"/>
      <c r="C68" s="3" t="s">
        <v>701</v>
      </c>
      <c r="D68" s="3" t="s">
        <v>702</v>
      </c>
      <c r="E68" s="3" t="s">
        <v>703</v>
      </c>
      <c r="H68" s="1">
        <v>67</v>
      </c>
      <c r="I68" s="2" t="str">
        <f t="shared" si="1"/>
        <v>移除两个诅咒装饰品</v>
      </c>
    </row>
    <row r="69" ht="17.25" customHeight="1" spans="2:9">
      <c r="B69" s="4"/>
      <c r="C69" s="3"/>
      <c r="D69" s="3" t="s">
        <v>704</v>
      </c>
      <c r="E69" s="3" t="s">
        <v>705</v>
      </c>
      <c r="H69" s="1">
        <v>68</v>
      </c>
      <c r="I69" s="2" t="str">
        <f t="shared" si="1"/>
        <v>移除所有诅咒装饰品，每移除一个获得100金币</v>
      </c>
    </row>
    <row r="70" ht="17.25" customHeight="1" spans="2:9">
      <c r="B70" s="4" t="s">
        <v>706</v>
      </c>
      <c r="C70" s="4" t="s">
        <v>707</v>
      </c>
      <c r="D70" s="3" t="s">
        <v>708</v>
      </c>
      <c r="E70" s="3" t="s">
        <v>709</v>
      </c>
      <c r="H70" s="1">
        <v>69</v>
      </c>
      <c r="I70" s="2" t="str">
        <f t="shared" si="1"/>
        <v>食物获得的金币减少25%</v>
      </c>
    </row>
    <row r="71" ht="17.25" customHeight="1" spans="2:9">
      <c r="B71" s="4"/>
      <c r="C71" s="4"/>
      <c r="D71" s="3" t="s">
        <v>710</v>
      </c>
      <c r="E71" s="3" t="s">
        <v>711</v>
      </c>
      <c r="H71" s="1">
        <v>70</v>
      </c>
      <c r="I71" s="2" t="str">
        <f t="shared" si="1"/>
        <v>商店的价格变高25%</v>
      </c>
    </row>
    <row r="72" ht="17.25" customHeight="1" spans="2:9">
      <c r="B72" s="4"/>
      <c r="C72" s="4"/>
      <c r="D72" s="3" t="s">
        <v>712</v>
      </c>
      <c r="E72" s="3" t="s">
        <v>713</v>
      </c>
      <c r="H72" s="1">
        <v>71</v>
      </c>
      <c r="I72" s="2" t="str">
        <f t="shared" si="1"/>
        <v>无法再移除食物</v>
      </c>
    </row>
    <row r="73" ht="17.25" customHeight="1" spans="2:9">
      <c r="B73" s="4"/>
      <c r="C73" s="4"/>
      <c r="D73" s="3" t="s">
        <v>714</v>
      </c>
      <c r="E73" s="3" t="s">
        <v>715</v>
      </c>
      <c r="H73" s="1">
        <v>72</v>
      </c>
      <c r="I73" s="2" t="str">
        <f t="shared" si="1"/>
        <v>跳过下一个商店或利息节点</v>
      </c>
    </row>
    <row r="74" ht="17.25" customHeight="1" spans="2:9">
      <c r="B74" s="4"/>
      <c r="C74" s="3"/>
      <c r="D74" s="3" t="s">
        <v>716</v>
      </c>
      <c r="E74" s="3" t="s">
        <v>717</v>
      </c>
      <c r="H74" s="1">
        <v>73</v>
      </c>
      <c r="I74" s="2" t="str">
        <f t="shared" si="1"/>
        <v>多选一食物时，可选数量-1</v>
      </c>
    </row>
    <row r="75" ht="17.25" customHeight="1" spans="2:9">
      <c r="B75" s="4"/>
      <c r="C75" s="3"/>
      <c r="D75" s="3" t="s">
        <v>718</v>
      </c>
      <c r="E75" s="3" t="s">
        <v>719</v>
      </c>
      <c r="H75" s="1">
        <v>74</v>
      </c>
      <c r="I75" s="2" t="str">
        <f t="shared" si="1"/>
        <v>日常营业目标美味值+10%</v>
      </c>
    </row>
    <row r="76" ht="17.25" customHeight="1" spans="2:9">
      <c r="B76" s="3"/>
      <c r="C76" s="3"/>
      <c r="D76" s="3" t="s">
        <v>720</v>
      </c>
      <c r="E76" s="3" t="s">
        <v>721</v>
      </c>
      <c r="H76" s="1">
        <v>75</v>
      </c>
      <c r="I76" s="2" t="str">
        <f t="shared" si="1"/>
        <v>火热营业目标美味值+10%</v>
      </c>
    </row>
    <row r="77" ht="17.25" customHeight="1" spans="2:9">
      <c r="B77" s="4"/>
      <c r="C77" s="4"/>
      <c r="D77" s="3" t="s">
        <v>722</v>
      </c>
      <c r="E77" s="3" t="s">
        <v>723</v>
      </c>
      <c r="H77" s="1">
        <v>76</v>
      </c>
      <c r="I77" s="2" t="str">
        <f t="shared" si="1"/>
        <v>星级评鉴食物目标美味值+10%</v>
      </c>
    </row>
    <row r="78" ht="17.25" customHeight="1" spans="2:9">
      <c r="B78" s="4"/>
      <c r="C78" s="4"/>
      <c r="D78" s="3" t="s">
        <v>724</v>
      </c>
      <c r="E78" s="3" t="s">
        <v>725</v>
      </c>
      <c r="H78" s="1">
        <v>77</v>
      </c>
      <c r="I78" s="2" t="str">
        <f t="shared" si="1"/>
        <v>本周结束时，金币清空</v>
      </c>
    </row>
    <row r="79" ht="17.25" customHeight="1" spans="2:9">
      <c r="B79" s="4" t="s">
        <v>726</v>
      </c>
      <c r="C79" s="4" t="s">
        <v>727</v>
      </c>
      <c r="D79" s="3" t="s">
        <v>728</v>
      </c>
      <c r="E79" s="3" t="s">
        <v>729</v>
      </c>
      <c r="H79" s="1">
        <v>78</v>
      </c>
      <c r="I79" s="2" t="str">
        <f t="shared" si="1"/>
        <v>所有食物额外被视为1个食物</v>
      </c>
    </row>
    <row r="80" ht="17.25" customHeight="1" spans="2:9">
      <c r="B80" s="4"/>
      <c r="C80" s="4" t="s">
        <v>730</v>
      </c>
      <c r="D80" s="3" t="s">
        <v>731</v>
      </c>
      <c r="E80" s="3" t="s">
        <v>732</v>
      </c>
      <c r="H80" s="1">
        <v>79</v>
      </c>
      <c r="I80" s="2" t="str">
        <f t="shared" si="1"/>
        <v>传递时，被传递方倍率×1.1</v>
      </c>
    </row>
    <row r="81" ht="17.25" customHeight="1" spans="2:9">
      <c r="B81" s="4"/>
      <c r="C81" s="4"/>
      <c r="D81" s="3" t="s">
        <v>731</v>
      </c>
      <c r="E81" s="3" t="s">
        <v>733</v>
      </c>
      <c r="H81" s="1">
        <v>80</v>
      </c>
      <c r="I81" s="2" t="str">
        <f t="shared" si="1"/>
        <v>传递时，传递方倍率×1.1</v>
      </c>
    </row>
    <row r="82" ht="17.25" customHeight="1" spans="2:9">
      <c r="B82" s="4"/>
      <c r="C82" s="4"/>
      <c r="D82" s="3" t="s">
        <v>734</v>
      </c>
      <c r="E82" s="3" t="s">
        <v>735</v>
      </c>
      <c r="H82" s="1">
        <v>81</v>
      </c>
      <c r="I82" s="2" t="str">
        <f t="shared" si="1"/>
        <v>结算时，倍率×1（每一个技能+0.1倍）</v>
      </c>
    </row>
    <row r="83" ht="17.25" customHeight="1" spans="2:9">
      <c r="B83" s="4"/>
      <c r="C83" s="4"/>
      <c r="D83" s="3" t="s">
        <v>736</v>
      </c>
      <c r="E83" s="3" t="s">
        <v>737</v>
      </c>
      <c r="H83" s="1">
        <v>82</v>
      </c>
      <c r="I83" s="2" t="str">
        <f t="shared" si="1"/>
        <v>传递10次后，获得10金币</v>
      </c>
    </row>
    <row r="84" ht="17.25" customHeight="1" spans="2:9">
      <c r="B84" s="4"/>
      <c r="C84" s="4" t="s">
        <v>738</v>
      </c>
      <c r="D84" s="3" t="s">
        <v>739</v>
      </c>
      <c r="E84" s="3" t="s">
        <v>740</v>
      </c>
      <c r="H84" s="1">
        <v>83</v>
      </c>
      <c r="I84" s="2" t="str">
        <f t="shared" si="1"/>
        <v>每次保留10%的蛋糕层数至下一场经营挑战</v>
      </c>
    </row>
    <row r="85" ht="17.25" customHeight="1" spans="2:9">
      <c r="B85" s="3"/>
      <c r="C85" s="3"/>
      <c r="D85" s="3" t="s">
        <v>741</v>
      </c>
      <c r="E85" s="3" t="s">
        <v>742</v>
      </c>
      <c r="H85" s="1">
        <v>84</v>
      </c>
      <c r="I85" s="2" t="str">
        <f t="shared" si="1"/>
        <v>蛋糕层数初始额外获得10层</v>
      </c>
    </row>
    <row r="86" ht="17.25" customHeight="1" spans="2:9">
      <c r="B86" s="4"/>
      <c r="C86" s="3"/>
      <c r="D86" s="3" t="s">
        <v>743</v>
      </c>
      <c r="E86" s="3" t="s">
        <v>744</v>
      </c>
      <c r="H86" s="1">
        <v>85</v>
      </c>
      <c r="I86" s="2" t="str">
        <f t="shared" si="1"/>
        <v>蛋糕层数增加时，额外加1层</v>
      </c>
    </row>
    <row r="87" ht="17.25" customHeight="1" spans="2:9">
      <c r="B87" s="4"/>
      <c r="C87" s="4"/>
      <c r="D87" s="3" t="s">
        <v>745</v>
      </c>
      <c r="E87" s="3" t="s">
        <v>746</v>
      </c>
      <c r="H87" s="1">
        <v>86</v>
      </c>
      <c r="I87" s="2" t="str">
        <f t="shared" si="1"/>
        <v>蛋糕层数大于100层时，获得10金币</v>
      </c>
    </row>
    <row r="88" ht="17.25" customHeight="1" spans="2:9">
      <c r="B88" s="4"/>
      <c r="C88" s="4"/>
      <c r="D88" s="3" t="s">
        <v>747</v>
      </c>
      <c r="E88" s="3" t="s">
        <v>748</v>
      </c>
      <c r="H88" s="1">
        <v>87</v>
      </c>
      <c r="I88" s="2" t="str">
        <f t="shared" si="1"/>
        <v>蛋糕效果需求的层数-10</v>
      </c>
    </row>
    <row r="89" ht="17.25" customHeight="1" spans="2:9">
      <c r="B89" s="4"/>
      <c r="C89" s="4"/>
      <c r="D89" s="3"/>
      <c r="E89" s="3"/>
      <c r="H89" s="1">
        <v>88</v>
      </c>
      <c r="I89" s="2">
        <f t="shared" si="1"/>
        <v>0</v>
      </c>
    </row>
    <row r="90" ht="17.25" customHeight="1" spans="3:9">
      <c r="C90" s="3"/>
      <c r="D90" s="3"/>
      <c r="E90" s="3"/>
      <c r="I90" s="2">
        <f t="shared" si="1"/>
        <v>0</v>
      </c>
    </row>
    <row r="91" ht="17.25" customHeight="1" spans="2:9">
      <c r="B91" s="4"/>
      <c r="C91" s="4"/>
      <c r="D91" s="3"/>
      <c r="E91" s="3"/>
      <c r="I91" s="2">
        <f t="shared" si="1"/>
        <v>0</v>
      </c>
    </row>
    <row r="92" ht="17.25" customHeight="1" spans="2:9">
      <c r="B92" s="4"/>
      <c r="C92" s="4"/>
      <c r="D92" s="3"/>
      <c r="E92" s="3"/>
      <c r="I92" s="2">
        <f t="shared" si="1"/>
        <v>0</v>
      </c>
    </row>
    <row r="93" ht="17.25" customHeight="1" spans="2:9">
      <c r="B93" s="4"/>
      <c r="C93" s="4"/>
      <c r="D93" s="3"/>
      <c r="E93" s="3"/>
      <c r="I93" s="2">
        <f t="shared" si="1"/>
        <v>0</v>
      </c>
    </row>
    <row r="94" ht="17.25" customHeight="1" spans="2:9">
      <c r="B94" s="4"/>
      <c r="C94" s="4"/>
      <c r="D94" s="3"/>
      <c r="E94" s="3"/>
      <c r="I94" s="2">
        <f t="shared" si="1"/>
        <v>0</v>
      </c>
    </row>
    <row r="95" ht="17.25" customHeight="1" spans="2:5">
      <c r="B95" s="4"/>
      <c r="C95" s="4"/>
      <c r="D95" s="3"/>
      <c r="E95" s="3"/>
    </row>
    <row r="96" ht="17.25" customHeight="1" spans="2:2">
      <c r="B96" s="4"/>
    </row>
    <row r="97" ht="17.25" customHeight="1" spans="2:2">
      <c r="B97" s="4"/>
    </row>
    <row r="98" ht="17.25" customHeight="1" spans="2:2">
      <c r="B98" s="4"/>
    </row>
    <row r="99" ht="17.25" customHeight="1" spans="2:2">
      <c r="B99" s="4"/>
    </row>
    <row r="100" ht="17.25" customHeight="1" spans="2:2">
      <c r="B100" s="4"/>
    </row>
    <row r="101" ht="17.25" customHeight="1" spans="2:2">
      <c r="B101" s="4"/>
    </row>
    <row r="102" ht="17.25" customHeight="1" spans="2:2">
      <c r="B102" s="4"/>
    </row>
    <row r="103" ht="17.25" customHeight="1" spans="2:2">
      <c r="B103" s="4"/>
    </row>
    <row r="104" ht="17.25" customHeight="1" spans="2:2">
      <c r="B104" s="4"/>
    </row>
    <row r="105" ht="17.25" customHeight="1" spans="2:5">
      <c r="B105" s="4"/>
      <c r="C105" s="4"/>
      <c r="D105" s="3"/>
      <c r="E105" s="3"/>
    </row>
    <row r="121" spans="5:5">
      <c r="E121" s="7"/>
    </row>
    <row r="125" spans="5:5">
      <c r="E125" s="7" t="s">
        <v>749</v>
      </c>
    </row>
    <row r="126" spans="5:5">
      <c r="E126" s="7" t="s">
        <v>750</v>
      </c>
    </row>
    <row r="127" spans="5:5">
      <c r="E127" s="7" t="s">
        <v>751</v>
      </c>
    </row>
    <row r="128" spans="5:5">
      <c r="E128" s="7" t="s">
        <v>752</v>
      </c>
    </row>
    <row r="129" spans="5:5">
      <c r="E129" s="7" t="s">
        <v>753</v>
      </c>
    </row>
    <row r="130" spans="5:5">
      <c r="E130" s="7" t="s">
        <v>754</v>
      </c>
    </row>
    <row r="131" spans="5:5">
      <c r="E131" s="7" t="s">
        <v>755</v>
      </c>
    </row>
    <row r="132" spans="5:5">
      <c r="E132" s="7" t="s">
        <v>756</v>
      </c>
    </row>
    <row r="133" spans="5:5">
      <c r="E133" s="7" t="s">
        <v>757</v>
      </c>
    </row>
    <row r="134" spans="5:5">
      <c r="E134" s="7" t="s">
        <v>758</v>
      </c>
    </row>
    <row r="135" spans="5:5">
      <c r="E135" s="7" t="s">
        <v>759</v>
      </c>
    </row>
    <row r="136" spans="5:5">
      <c r="E136" s="7" t="s">
        <v>760</v>
      </c>
    </row>
    <row r="137" spans="5:5">
      <c r="E137" s="7" t="s">
        <v>761</v>
      </c>
    </row>
    <row r="138" spans="5:5">
      <c r="E138" s="7" t="s">
        <v>762</v>
      </c>
    </row>
    <row r="139" spans="5:5">
      <c r="E139" s="7" t="s">
        <v>763</v>
      </c>
    </row>
    <row r="140" spans="5:5">
      <c r="E140" s="7" t="s">
        <v>764</v>
      </c>
    </row>
    <row r="141" spans="5:5">
      <c r="E141" s="7" t="s">
        <v>765</v>
      </c>
    </row>
    <row r="142" spans="5:5">
      <c r="E142" s="7" t="s">
        <v>766</v>
      </c>
    </row>
    <row r="143" spans="5:5">
      <c r="E143" s="7" t="s">
        <v>767</v>
      </c>
    </row>
    <row r="144" spans="5:5">
      <c r="E144" s="7" t="s">
        <v>768</v>
      </c>
    </row>
    <row r="145" spans="5:5">
      <c r="E145" s="7" t="s">
        <v>769</v>
      </c>
    </row>
    <row r="146" spans="5:5">
      <c r="E146" s="7" t="s">
        <v>770</v>
      </c>
    </row>
    <row r="147" spans="5:5">
      <c r="E147" s="7" t="s">
        <v>771</v>
      </c>
    </row>
    <row r="148" spans="5:5">
      <c r="E148" s="7"/>
    </row>
    <row r="149" spans="5:5">
      <c r="E149" s="7"/>
    </row>
    <row r="150" spans="5:5">
      <c r="E150" s="7"/>
    </row>
    <row r="151" spans="5:5">
      <c r="E151" s="7"/>
    </row>
    <row r="152" spans="5:5">
      <c r="E152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装饰品</vt:lpstr>
      <vt:lpstr>消耗品</vt:lpstr>
      <vt:lpstr>装饰品与消耗品设计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hcm-b0451</cp:lastModifiedBy>
  <dcterms:created xsi:type="dcterms:W3CDTF">2026-08-19T03:48:00Z</dcterms:created>
  <dcterms:modified xsi:type="dcterms:W3CDTF">2026-08-19T18:06:17Z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98CB9E4CC4DEC2236FF5826A589131B7_42</vt:lpwstr>
  </property>
  <property fmtid="{D5CDD505-2E9C-101B-9397-08002B2CF9AE}" pid="3" name="KSOProductBuildVer">
    <vt:lpwstr>2052-6.1.0.8274</vt:lpwstr>
  </property>
</Properties>
</file>