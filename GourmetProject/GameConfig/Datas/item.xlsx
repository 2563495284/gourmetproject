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ae2b12e0b946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装饰品" sheetId="1" r:id="R1433425b1d064a6f"/>
    <x:sheet xmlns:r="http://schemas.openxmlformats.org/officeDocument/2006/relationships" name="消耗品" sheetId="2" r:id="Rafb9163b20a0451b"/>
    <x:sheet xmlns:r="http://schemas.openxmlformats.org/officeDocument/2006/relationships" name="装饰品与消耗品设计" sheetId="3" r:id="R380b7c46b8c247d6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<x:sst xmlns:x="http://schemas.openxmlformats.org/spreadsheetml/2006/main">
  <x:si>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</x:si>
  <x:si>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</x:si>
  <x:si>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</x:si>
  <x:si>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</x:si>
  <x:si>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specialTags</x:t>
  </x:si>
  <x:si>
    <x:t xml:space="preserve">effectType</x:t>
  </x:si>
  <x:si>
    <x:t xml:space="preserve">effectValue</x:t>
  </x:si>
  <x:si>
    <x:t xml:space="preserve">effectParam</x:t>
  </x:si>
  <x:si>
    <x:t xml:space="preserve">baseWeight</x:t>
  </x:si>
  <x:si>
    <x:t xml:space="preserve">targetKind</x:t>
  </x:si>
  <x:si>
    <x:t xml:space="preserve">targetCount</x:t>
  </x:si>
  <x:si>
    <x:t xml:space="preserve">termId</x:t>
  </x:si>
  <x:si>
    <x:t xml:space="preserve">price</x:t>
  </x:si>
  <x:si>
    <x:t xml:space="preserve">category</x:t>
  </x:si>
  <x:si>
    <x:t xml:space="preserve">##comment</x:t>
  </x:si>
  <x:si>
    <x:t xml:space="preserve">特殊标签标记</x:t>
  </x:si>
  <x:si>
    <x:t xml:space="preserve">效果类型</x:t>
  </x:si>
  <x:si>
    <x:t xml:space="preserve">效果数值</x:t>
  </x:si>
  <x:si>
    <x:t xml:space="preserve">效果参数</x:t>
  </x:si>
  <x:si>
    <x:t xml:space="preserve">随机基础权重</x:t>
  </x:si>
  <x:si>
    <x:t xml:space="preserve">选目标数量(1/N;0=无目标或全部)</x:t>
  </x:si>
  <x:si>
    <x:t xml:space="preserve">关联术语ID(可空,| 分隔)</x:t>
  </x:si>
  <x:si>
    <x:t xml:space="preserve">商店基础价格</x:t>
  </x:si>
  <x:si>
    <x:t xml:space="preserve">##type</x:t>
  </x:si>
  <x:si>
    <x:t xml:space="preserve">string</x:t>
  </x:si>
  <x:si>
    <x:t xml:space="preserve">float</x:t>
  </x:si>
  <x:si>
    <x:t xml:space="preserve">ItemTargetKind</x:t>
  </x:si>
  <x:si>
    <x:t xml:space="preserve">int</x:t>
  </x:si>
  <x:si>
    <x:t xml:space="preserve">ActiveItemCategory</x:t>
  </x:si>
  <x:si>
    <x:t xml:space="preserve">item_active_season_sweet</x:t>
  </x:si>
  <x:si>
    <x:t xml:space="preserve">甜味箱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</x:si>
  <x:si>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</x:si>
  <x:si>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</x:si>
  <x:si>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</x:si>
  <x:si>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</x:si>
  <x:si>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</x:si>
  <x:si>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苦味箱</x:t>
  </x:si>
  <x:si>
    <x:t xml:space="preserve">t_bitter</x:t>
  </x:si>
  <x:si>
    <x:t xml:space="preserve">item_active_season_umami</x:t>
  </x:si>
  <x:si>
    <x:t xml:space="preserve">鲜味箱</x:t>
  </x:si>
  <x:si>
    <x:t xml:space="preserve">t_rust</x:t>
  </x:si>
  <x:si>
    <x:t xml:space="preserve">item_active_season_numb</x:t>
  </x:si>
  <x:si>
    <x:t xml:space="preserve">麻味箱</x:t>
  </x:si>
  <x:si>
    <x:t xml:space="preserve">t_numb</x:t>
  </x:si>
  <x:si>
    <x:t xml:space="preserve">item_active_season_sour</x:t>
  </x:si>
  <x:si>
    <x:t xml:space="preserve">酸味箱</x:t>
  </x:si>
  <x:si>
    <x:t xml:space="preserve">t_sour</x:t>
  </x:si>
  <x:si>
    <x:t xml:space="preserve">item_active_season_salty</x:t>
  </x:si>
  <x:si>
    <x:t xml:space="preserve">咸味箱</x:t>
  </x:si>
  <x:si>
    <x:t xml:space="preserve">t_salty</x:t>
  </x:si>
  <x:si>
    <x:t xml:space="preserve">item_active_lay_cherry</x:t>
  </x:si>
  <x:si>
    <x:t xml:space="preserve">樱桃木箱</x:t>
  </x:si>
  <x:si>
    <x:t xml:space="preserve">LayWood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</x:si>
  <x:si>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</x:si>
  <x:si>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</x:si>
  <x:si>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</x:si>
  <x:si>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</x:si>
  <x:si>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胡桃木箱</x:t>
  </x:si>
  <x:si>
    <x:t xml:space="preserve">m_walnut</x:t>
  </x:si>
  <x:si>
    <x:t xml:space="preserve">item_active_lay_marble</x:t>
  </x:si>
  <x:si>
    <x:t xml:space="preserve">大理石箱</x:t>
  </x:si>
  <x:si>
    <x:t xml:space="preserve">LayStone</x:t>
  </x:si>
  <x:si>
    <x:t xml:space="preserve">m_marble</x:t>
  </x:si>
  <x:si>
    <x:t xml:space="preserve">item_active_lay_obsidian</x:t>
  </x:si>
  <x:si>
    <x:t xml:space="preserve">黑曜石箱</x:t>
  </x:si>
  <x:si>
    <x:t xml:space="preserve">m_obsidian</x:t>
  </x:si>
  <x:si>
    <x:t xml:space="preserve">item_active_lay_emerald</x:t>
  </x:si>
  <x:si>
    <x:t xml:space="preserve">翡翠箱</x:t>
  </x:si>
  <x:si>
    <x:t xml:space="preserve">m_emerald</x:t>
  </x:si>
  <x:si>
    <x:t xml:space="preserve">item_active_lay_gold</x:t>
  </x:si>
  <x:si>
    <x:t xml:space="preserve">金质箱</x:t>
  </x:si>
  <x:si>
    <x:t xml:space="preserve">LayMetal</x:t>
  </x:si>
  <x:si>
    <x:t xml:space="preserve">m_gold</x:t>
  </x:si>
  <x:si>
    <x:t xml:space="preserve">item_active_lay_silver</x:t>
  </x:si>
  <x:si>
    <x:t xml:space="preserve">银质箱</x:t>
  </x:si>
  <x:si>
    <x:t xml:space="preserve">m_silver</x:t>
  </x:si>
  <x:si>
    <x:t xml:space="preserve">item_active_reroll_action</x:t>
  </x:si>
  <x:si>
    <x:t xml:space="preserve">行动调整单</x:t>
  </x:si>
  <x:si>
    <x:t xml:space="preserve">重掷普通行动选项</x:t>
  </x:si>
  <x:si>
    <x:t xml:space="preserve">RerollAction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</x:si>
  <x:si>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</x:si>
  <x:si>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</x:si>
  <x:si>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</x:si>
  <x:si>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</x:si>
  <x:si>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</x:si>
  <x:si>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</x:si>
  <x:si>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</x:si>
  <x:si>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</x:si>
  <x:si>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ResetBossDebuff</x:t>
  </x:si>
  <x:si>
    <x:t xml:space="preserve">item_active_add_reward_node</x:t>
  </x:si>
  <x:si>
    <x:t xml:space="preserve">幸运单</x:t>
  </x:si>
  <x:si>
    <x:t xml:space="preserve">添加幸运事件至指定节点上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</x:si>
  <x:si>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</x:si>
  <x:si>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</x:si>
  <x:si>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</x:si>
  <x:si>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</x:si>
  <x:si>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添加收取利息至指定节点上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</x:si>
  <x:si>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</x:si>
  <x:si>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</x:si>
  <x:si>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</x:si>
  <x:si>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</x:si>
  <x:si>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</x:si>
  <x:si>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</x:si>
  <x:si>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</x:si>
  <x:si>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</x:si>
  <x:si>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添加抽奖机至指定节点上</x:t>
  </x:si>
  <x:si>
    <x:t xml:space="preserve">TimelineAddLotteryNode</x:t>
  </x:si>
  <x:si>
    <x:t xml:space="preserve">act_slot</x:t>
  </x:si>
  <x:si>
    <x:t xml:space="preserve">item_active_delete_timeline_node</x:t>
  </x:si>
  <x:si>
    <x:t xml:space="preserve">删除单</x:t>
  </x:si>
  <x:si>
    <x:t xml:space="preserve">TimelineDeleteNode</x:t>
  </x:si>
  <x:si>
    <x:t xml:space="preserve">item_active_execute_future_node</x:t>
  </x:si>
  <x:si>
    <x:t xml:space="preserve">未来复制单</x:t>
  </x:si>
  <x:si>
    <x:t xml:space="preserve">TimelineExecuteFuture</x:t>
  </x:si>
  <x:si>
    <x:t xml:space="preserve">item_active_execute_past_node</x:t>
  </x:si>
  <x:si>
    <x:t xml:space="preserve">过往复制单</x:t>
  </x:si>
  <x:si>
    <x:t xml:space="preserve">TimelineExecutePast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</x:si>
  <x:si>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</x:si>
  <x:si>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</x:si>
  <x:si>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</x:si>
  <x:si>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</x:si>
  <x:si>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</x:si>
  <x:si>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通用正面</x:t>
  </x:si>
  <x:si>
    <x:t xml:space="preserve">随机获得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</x:si>
  <x:si>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</x:si>
  <x:si>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</x:si>
  <x:si>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</x:si>
  <x:si>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</x:si>
  <x:si>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common</x:t>
  </x:si>
  <x:si>
    <x:t xml:space="preserve">10,80</x:t>
  </x:si>
  <x:si>
    <x:t xml:space="preserve">全家福</x:t>
  </x:si>
  <x:si>
    <x:t xml:space="preserve">uncommon</x:t>
  </x:si>
  <x:si>
    <x:t xml:space="preserve">20,80</x:t>
  </x:si>
  <x:si>
    <x:t xml:space="preserve">随机</x:t>
  </x:si>
  <x:si>
    <x:t xml:space="preserve">rare</x:t>
  </x:si>
  <x:si>
    <x:t xml:space="preserve">30,80</x:t>
  </x:si>
  <x:si>
    <x:t xml:space="preserve">给钱</x:t>
  </x:si>
  <x:si>
    <x:t xml:space="preserve">随机金币</x:t>
  </x:si>
  <x:si>
    <x:t xml:space="preserve">epic</x:t>
  </x:si>
  <x:si>
    <x:t xml:space="preserve">40,80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</x:si>
  <x:si>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</x:si>
  <x:si>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</x:si>
  <x:si>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</x:si>
  <x:si>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</x:si>
  <x:si>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</x:si>
  <x:si>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</x:si>
  <x:si>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</x:si>
  <x:si>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</x:si>
  <x:si>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</x:si>
  <x:si>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</x:si>
  <x:si>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</x:si>
  <x:si>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</x:si>
  <x:si>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被动普通</x:t>
  </x:si>
  <x:si>
    <x:t xml:space="preserve">延迟性</x:t>
  </x:si>
  <x:si>
    <x:t xml:space="preserve">不死</x:t>
  </x:si>
  <x:si>
    <x:t xml:space="preserve">名刀</x:t>
  </x:si>
  <x:si>
    <x:t xml:space="preserve">分数降低</x:t>
  </x:si>
  <x:si>
    <x:t xml:space="preserve">分数变1</x:t>
  </x:si>
  <x:si>
    <x:t xml:space="preserve">数量检测</x:t>
  </x:si>
  <x:si>
    <x:t xml:space="preserve">胃部食物数量</x:t>
  </x:si>
  <x:si>
    <x:t xml:space="preserve">结算次数</x:t>
  </x:si>
  <x:si>
    <x:t xml:space="preserve">每次结算倍数增加</x:t>
  </x:si>
  <x:si>
    <x:t xml:space="preserve">分数增加</x:t>
  </x:si>
  <x:si>
    <x:t xml:space="preserve">永久增加</x:t>
  </x:si>
  <x:si>
    <x:t xml:space="preserve">倍率增加</x:t>
  </x:si>
  <x:si>
    <x:t xml:space="preserve">上菜</x:t>
  </x:si>
  <x:si>
    <x:t xml:space="preserve">观星</x:t>
  </x:si>
  <x:si>
    <x:t xml:space="preserve">每局前三次上菜，可以看见食物</x:t>
  </x:si>
  <x:si>
    <x:t xml:space="preserve">食物转换</x:t>
  </x:si>
  <x:si>
    <x:t xml:space="preserve">商店给钱</x:t>
  </x:si>
  <x:si>
    <x:t xml:space="preserve">利息</x:t>
  </x:si>
  <x:si>
    <x:t xml:space="preserve">每周结束，额外执行一次利息</x:t>
  </x:si>
  <x:si>
    <x:t xml:space="preserve">保底钱</x:t>
  </x:si>
  <x:si>
    <x:t xml:space="preserve">利息上限</x:t>
  </x:si>
  <x:si>
    <x:t xml:space="preserve">贷款</x:t>
  </x:si>
  <x:si>
    <x:t xml:space="preserve">时间轴</x:t>
  </x:si>
  <x:si>
    <x:t xml:space="preserve">增加第八天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</x:si>
  <x:si>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</x:si>
  <x:si>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</x:si>
  <x:si>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</x:si>
  <x:si>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</x:si>
  <x:si>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</x:si>
  <x:si>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</x:si>
  <x:si>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第一个</x:t>
  </x:si>
  <x:si>
    <x:t xml:space="preserve">最后一个</x:t>
  </x:si>
  <x:si>
    <x:t xml:space="preserve">屏蔽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</x:si>
  <x:si>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</x:si>
  <x:si>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</x:si>
  <x:si>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</x:si>
  <x:si>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</x:si>
  <x:si>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移除风味+技能x2</x:t>
  </x:si>
  <x:si>
    <x:t xml:space="preserve">基础风味+分数x2</x:t>
  </x:si>
  <x:si>
    <x:t xml:space="preserve">风味上限</x:t>
  </x:si>
  <x:si>
    <x:t xml:space="preserve">风味传染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</x:si>
  <x:si>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</x:si>
  <x:si>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</x:si>
  <x:si>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</x:si>
  <x:si>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</x:si>
  <x:si>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</x:si>
  <x:si>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</x:si>
  <x:si>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</x:si>
  <x:si>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</x:si>
  <x:si>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</x:si>
  <x:si>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</x:si>
  <x:si>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</x:si>
  <x:si>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重新随机</x:t>
  </x:si>
  <x:si>
    <x:t xml:space="preserve">商店</x:t>
  </x:si>
  <x:si>
    <x:t xml:space="preserve">补货</x:t>
  </x:si>
  <x:si>
    <x:t xml:space="preserve">商店会自动补货</x:t>
  </x:si>
  <x:si>
    <x:t xml:space="preserve">选择变多</x:t>
  </x:si>
  <x:si>
    <x:t xml:space="preserve">多选择</x:t>
  </x:si>
  <x:si>
    <x:t xml:space="preserve">额外物品</x:t>
  </x:si>
  <x:si>
    <x:t xml:space="preserve">负面</x:t>
  </x:si>
  <x:si>
    <x:t xml:space="preserve">丢弃</x:t>
  </x:si>
  <x:si>
    <x:t xml:space="preserve">转化</x:t>
  </x:si>
  <x:si>
    <x:t xml:space="preserve">通用负面</x:t>
  </x:si>
  <x:si>
    <x:t xml:space="preserve">运营</x:t>
  </x:si>
  <x:si>
    <x:t xml:space="preserve">金币减少</x:t>
  </x:si>
  <x:si>
    <x:t xml:space="preserve">价格变高</x:t>
  </x:si>
  <x:si>
    <x:t xml:space="preserve">商店的价格变高25%</x:t>
  </x:si>
  <x:si>
    <x:t xml:space="preserve">无法删菜</x:t>
  </x:si>
  <x:si>
    <x:t xml:space="preserve">无法再删除食物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</x:si>
  <x:si>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</x:si>
  <x:si>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</x:si>
  <x:si>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</x:si>
  <x:si>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</x:si>
  <x:si>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</x:si>
  <x:si>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</x:si>
  <x:si>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</x:si>
  <x:si>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</x:si>
  <x:si>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传递</x:t>
  </x:si>
  <x:si>
    <x:t xml:space="preserve">传递加分</x:t>
  </x:si>
  <x:si>
    <x:t xml:space="preserve">技能数加分</x:t>
  </x:si>
  <x:si>
    <x:t xml:space="preserve">传递加钱</x:t>
  </x:si>
  <x:si>
    <x:t xml:space="preserve">蛋糕</x:t>
  </x:si>
  <x:si>
    <x:t xml:space="preserve">层数保留</x:t>
  </x:si>
  <x:si>
    <x:t xml:space="preserve">层数保底</x:t>
  </x:si>
  <x:si>
    <x:t xml:space="preserve">加速叠层</x:t>
  </x:si>
  <x:si>
    <x:t xml:space="preserve">层数转钱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</x:si>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</x:sst>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5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宋体-简"/>
    </x:font>
  </x:fonts>
  <x:fills count="38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25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0" borderId="0" xfId="0" applyFill="1" applyAlignment="1">
      <x:alignment horizontal="center" vertical="center"/>
    </x:xf>
    <x:xf numFmtId="0" fontId="0" fillId="0" borderId="0" xfId="0" applyFill="1"/>
    <x:xf numFmtId="0" fontId="0" fillId="0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  <x:xf numFmtId="0" fontId="0" fillId="3" borderId="0" xfId="0" applyFont="1" applyFill="1" applyAlignment="1">
      <x:alignment horizontal="center" vertical="center" wrapText="1"/>
    </x:xf>
    <x:xf numFmtId="0" fontId="0" fillId="3" borderId="0" xfId="0" applyFill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/>
    </x:xf>
    <x:xf numFmtId="9" fontId="0" fillId="0" borderId="0" xfId="0" applyNumberFormat="1" applyAlignment="1">
      <x:alignment horizontal="center" vertical="center"/>
    </x:xf>
    <x:xf numFmtId="0" fontId="0" fillId="35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 applyAlignment="1">
      <x:alignment horizontal="center" vertical="center" wrapText="1"/>
    </x:xf>
    <x:xf numFmtId="0" fontId="0" fillId="37" borderId="0" xfId="0" applyNumberFormat="1" applyFont="1" applyFill="1" applyBorder="1" applyAlignment="1">
      <x:alignment horizontal="center" vertical="center"/>
    </x:xf>
    <x:xf numFmtId="0" fontId="0" fillId="37" borderId="0" xfId="0" applyNumberFormat="1" applyFont="1" applyFill="1" applyBorder="1" applyAlignment="1">
      <x:alignment horizontal="center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0bbf47948e4af3" /><Relationship Type="http://schemas.openxmlformats.org/officeDocument/2006/relationships/theme" Target="/xl/theme/theme1.xml" Id="Rcd32d612c9204776" /><Relationship Type="http://schemas.openxmlformats.org/officeDocument/2006/relationships/sharedStrings" Target="/xl/sharedStrings.xml" Id="R44ee132f90784fcd" /><Relationship Type="http://schemas.openxmlformats.org/officeDocument/2006/relationships/worksheet" Target="/xl/worksheets/sheet1.xml" Id="R1433425b1d064a6f" /><Relationship Type="http://schemas.openxmlformats.org/officeDocument/2006/relationships/worksheet" Target="/xl/worksheets/sheet2.xml" Id="Rafb9163b20a0451b" /><Relationship Type="http://schemas.openxmlformats.org/officeDocument/2006/relationships/worksheet" Target="/xl/worksheets/sheet3.xml" Id="R380b7c46b8c247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hidden="1" customWidth="1"/>
    <x:col min="12" max="12" width="18.080883026123047" style="1" hidden="1" customWidth="1"/>
    <x:col min="13" max="13" width="25.698530197143555" style="1" hidden="1" customWidth="1"/>
    <x:col min="14" max="14" width="24.53676414489746" style="1" hidden="1" customWidth="1"/>
    <x:col min="15" max="15" width="23" style="1" hidden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0"/>
    <x:col min="20" max="20" width="11.772058486938477" style="1" customWidth="1"/>
    <x:col min="21" max="21" width="13.70588207244873" style="1" customWidth="0"/>
    <x:col min="22" max="29" width="9.007352828979492" style="1" customWidth="0"/>
    <x:col min="30" max="30" width="12.647058486938477" style="1" customWidth="0"/>
    <x:col min="31" max="16384" width="9.007352828979492" style="1" customWidth="0"/>
  </x:cols>
  <x:sheetData>
    <x:row r="1" s="1" customFormat="1" ht="16.5" customHeight="1">
      <x:c r="A1" s="1" t="str">
        <x:v>##var</x:v>
      </x:c>
      <x:c r="B1" s="1" t="str">
        <x:v>id</x:v>
      </x:c>
      <x:c r="C1" s="1" t="str">
        <x:v>name</x:v>
      </x:c>
      <x:c r="D1" s="1" t="str">
        <x:v>desc</x:v>
      </x:c>
      <x:c r="E1" s="1" t="str">
        <x:v>quality</x:v>
      </x:c>
      <x:c r="F1" s="1" t="str">
        <x:v>specialTags</x:v>
      </x:c>
      <x:c r="G1" s="1" t="str">
        <x:v>effectValue</x:v>
      </x:c>
      <x:c r="H1" s="1" t="str">
        <x:v>effectParam</x:v>
      </x:c>
      <x:c r="I1" s="1" t="str">
        <x:v>baseWeight</x:v>
      </x:c>
      <x:c r="J1" s="1" t="str">
        <x:v>hiddenRange</x:v>
      </x:c>
      <x:c r="K1" s="1" t="str">
        <x:v>targetScoreHiddenOffset</x:v>
      </x:c>
      <x:c r="L1" s="1" t="str">
        <x:v>dishHiddenOffset</x:v>
      </x:c>
      <x:c r="M1" s="1" t="str">
        <x:v>passiveItemHiddenOffset</x:v>
      </x:c>
      <x:c r="N1" s="1" t="str">
        <x:v>fragmentHiddenOffset</x:v>
      </x:c>
      <x:c r="O1" s="1" t="str">
        <x:v>termId</x:v>
      </x:c>
      <x:c r="P1" s="1" t="str">
        <x:v>price</x:v>
      </x:c>
      <x:c r="Q1"/>
      <x:c r="R1"/>
      <x:c r="S1" s="1"/>
      <x:c r="T1"/>
      <x:c r="U1"/>
      <x:c r="V1"/>
      <x:c r="W1"/>
      <x:c r="X1"/>
      <x:c r="Y1"/>
      <x:c r="Z1"/>
      <x:c r="AA1"/>
      <x:c r="AB1"/>
      <x:c r="AC1"/>
    </x:row>
    <x:row r="2" s="1" customFormat="1" ht="16.5" customHeight="1">
      <x:c r="A2" s="1" t="str">
        <x:v>##comment</x:v>
      </x:c>
      <x:c r="B2" s="1" t="str">
        <x:v>装饰品ID</x:v>
      </x:c>
      <x:c r="C2" s="1" t="str">
        <x:v>装饰品名称</x:v>
      </x:c>
      <x:c r="D2" s="1" t="str">
        <x:v>装饰品描述</x:v>
      </x:c>
      <x:c r="E2" s="1" t="str">
        <x:v>装饰品品质</x:v>
      </x:c>
      <x:c r="F2" s="1" t="str">
        <x:v>特殊标签标记</x:v>
      </x:c>
      <x:c r="G2" s="1" t="str">
        <x:v>效果数值</x:v>
      </x:c>
      <x:c r="H2" s="1" t="str">
        <x:v>效果参数</x:v>
      </x:c>
      <x:c r="I2" s="1" t="str">
        <x:v>随机基础权重</x:v>
      </x:c>
      <x:c r="J2" s="1" t="str">
        <x:v>出现隐藏分区间(单元格: min,max)</x:v>
      </x:c>
      <x:c r="K2" s="1" t="str">
        <x:v>目标美味值隐藏分修正</x:v>
      </x:c>
      <x:c r="L2" s="1" t="str">
        <x:v>食物隐藏分修正</x:v>
      </x:c>
      <x:c r="M2" s="1" t="str">
        <x:v>装饰品隐藏分修正</x:v>
      </x:c>
      <x:c r="N2" s="1" t="str">
        <x:v>餐桌格隐藏分修正</x:v>
      </x:c>
      <x:c r="O2" s="1" t="str">
        <x:v>关联术语ID(,| 分隔)</x:v>
      </x:c>
      <x:c r="P2" s="1" t="str">
        <x:v>商店基础价格</x:v>
      </x:c>
      <x:c r="Q2"/>
      <x:c r="R2"/>
      <x:c r="S2" s="1"/>
      <x:c r="T2"/>
      <x:c r="U2"/>
      <x:c r="V2"/>
      <x:c r="W2"/>
      <x:c r="X2"/>
      <x:c r="Y2"/>
      <x:c r="Z2"/>
      <x:c r="AA2"/>
      <x:c r="AB2"/>
      <x:c r="AC2"/>
    </x:row>
    <x:row r="3" s="1" customFormat="1" ht="16.5" customHeight="1">
      <x:c r="A3" s="1" t="str">
        <x:v>##type</x:v>
      </x:c>
      <x:c r="B3" s="1" t="str">
        <x:v>string</x:v>
      </x:c>
      <x:c r="C3" s="1" t="str">
        <x:v>string</x:v>
      </x:c>
      <x:c r="D3" s="1" t="str">
        <x:v>string</x:v>
      </x:c>
      <x:c r="E3" s="1" t="str">
        <x:v>ItemQuality</x:v>
      </x:c>
      <x:c r="F3" s="1" t="str">
        <x:v>ItemSpecialTag</x:v>
      </x:c>
      <x:c r="G3" s="1" t="str">
        <x:v>float</x:v>
      </x:c>
      <x:c r="H3" s="1" t="str">
        <x:v>string</x:v>
      </x:c>
      <x:c r="I3" s="1" t="str">
        <x:v>float</x:v>
      </x:c>
      <x:c r="J3" s="1" t="str">
        <x:v>HiddenRange</x:v>
      </x:c>
      <x:c r="K3" s="1" t="str">
        <x:v>int</x:v>
      </x:c>
      <x:c r="L3" s="1" t="str">
        <x:v>int</x:v>
      </x:c>
      <x:c r="M3" s="1" t="str">
        <x:v>int</x:v>
      </x:c>
      <x:c r="N3" s="1" t="str">
        <x:v>int</x:v>
      </x:c>
      <x:c r="O3" s="1" t="str">
        <x:v>string</x:v>
      </x:c>
      <x:c r="P3" s="1" t="str">
        <x:v>int</x:v>
      </x:c>
      <x:c r="Q3"/>
      <x:c r="R3"/>
      <x:c r="S3" s="1"/>
      <x:c r="T3"/>
      <x:c r="U3"/>
      <x:c r="V3"/>
      <x:c r="W3"/>
      <x:c r="X3"/>
      <x:c r="Y3"/>
      <x:c r="Z3"/>
      <x:c r="AA3"/>
      <x:c r="AB3"/>
      <x:c r="AC3"/>
    </x:row>
    <x:row r="4" s="1" customFormat="1">
      <x:c r="A4"/>
      <x:c r="B4" s="1" t="str">
        <x:v>item_randomize_items</x:v>
      </x:c>
      <x:c r="C4" s="1" t="str">
        <x:v>洗好的扑克</x:v>
      </x:c>
      <x:c r="D4" s="1" t="str">
        <x:v>所有装饰品和消耗品替换为随机的装饰品和消耗品</x:v>
      </x:c>
      <x:c r="E4" s="1" t="str">
        <x:v>Rare</x:v>
      </x:c>
      <x:c r="F4" s="1" t="str">
        <x:v>None</x:v>
      </x:c>
      <x:c r="G4" s="1" t="n">
        <x:v>0</x:v>
      </x:c>
      <x:c r="H4" s="1"/>
      <x:c r="I4" s="1" t="n">
        <x:v>30</x:v>
      </x:c>
      <x:c r="J4" s="1" t="str">
        <x:v>30,80</x:v>
      </x:c>
      <x:c r="K4" s="1" t="n">
        <x:v>0</x:v>
      </x:c>
      <x:c r="L4" s="1" t="n">
        <x:v>0</x:v>
      </x:c>
      <x:c r="M4" s="1" t="n">
        <x:v>0</x:v>
      </x:c>
      <x:c r="N4" s="1" t="n">
        <x:v>0</x:v>
      </x:c>
      <x:c r="O4" s="1"/>
      <x:c r="P4" s="1" t="n">
        <x:v>150</x:v>
      </x:c>
      <x:c r="Q4"/>
      <x:c r="R4" t="n">
        <x:f t="shared" ref="R4:R8" si="0">IFERROR(VLOOKUP(E4,$T$7:$AB$12,9,FALSE),0)</x:f>
        <x:v>0</x:v>
      </x:c>
    </x:row>
    <x:row r="5" s="1" customFormat="1">
      <x:c r="A5"/>
      <x:c r="B5" s="1" t="str">
        <x:v>item_gold_random</x:v>
      </x:c>
      <x:c r="C5" s="1" t="str">
        <x:v>陶瓷招财猫</x:v>
      </x:c>
      <x:c r="D5" s="1" t="str">
        <x:v>获得 20～140 金币</x:v>
      </x:c>
      <x:c r="E5" s="1" t="str">
        <x:v>Common</x:v>
      </x:c>
      <x:c r="F5" s="1" t="str">
        <x:v>None</x:v>
      </x:c>
      <x:c r="G5" s="1" t="n">
        <x:v>0</x:v>
      </x:c>
      <x:c r="H5" s="1" t="str">
        <x:v>range:20,140</x:v>
      </x:c>
      <x:c r="I5" s="1" t="n">
        <x:v>300</x:v>
      </x:c>
      <x:c r="J5" s="1" t="str">
        <x:v>10,80</x:v>
      </x:c>
      <x:c r="K5" s="1" t="n">
        <x:v>0</x:v>
      </x:c>
      <x:c r="L5" s="1" t="n">
        <x:v>0</x:v>
      </x:c>
      <x:c r="M5" s="1" t="n">
        <x:v>0</x:v>
      </x:c>
      <x:c r="N5" s="1" t="n">
        <x:v>0</x:v>
      </x:c>
      <x:c r="O5" s="1"/>
      <x:c r="P5" s="1" t="n">
        <x:v>40</x:v>
      </x:c>
      <x:c r="Q5"/>
      <x:c r="R5">
        <x:f t="shared" si="0"/>
      </x:c>
    </x:row>
    <x:row r="6" s="1" customFormat="1" ht="34">
      <x:c r="A6"/>
      <x:c r="B6" s="1" t="str">
        <x:v>item_gold_meal_bonus</x:v>
      </x:c>
      <x:c r="C6" s="1" t="str">
        <x:v>柜台小费罐</x:v>
      </x:c>
      <x:c r="D6" s="9" t="str">
        <x:v>接下来10 次日常营业
额外获得10 金币</x:v>
      </x:c>
      <x:c r="E6" s="1" t="str">
        <x:v>Common</x:v>
      </x:c>
      <x:c r="F6" s="1" t="str">
        <x:v>None</x:v>
      </x:c>
      <x:c r="G6" s="1" t="n">
        <x:v>10</x:v>
      </x:c>
      <x:c r="H6" s="1" t="str">
        <x:v>meals:10</x:v>
      </x:c>
      <x:c r="I6" s="1" t="n">
        <x:v>300</x:v>
      </x:c>
      <x:c r="J6" s="1" t="str">
        <x:v>10,80</x:v>
      </x:c>
      <x:c r="K6" s="1" t="n">
        <x:v>0</x:v>
      </x:c>
      <x:c r="L6" s="1" t="n">
        <x:v>0</x:v>
      </x:c>
      <x:c r="M6" s="1" t="n">
        <x:v>0</x:v>
      </x:c>
      <x:c r="N6" s="1" t="n">
        <x:v>0</x:v>
      </x:c>
      <x:c r="O6" s="1"/>
      <x:c r="P6" s="1" t="n">
        <x:v>40</x:v>
      </x:c>
      <x:c r="Q6"/>
      <x:c r="R6">
        <x:f t="shared" si="0"/>
      </x:c>
      <x:c r="Z6"/>
    </x:row>
    <x:row r="7" s="1" customFormat="1" ht="34">
      <x:c r="A7"/>
      <x:c r="B7" s="1" t="str">
        <x:v>item_gold_boss</x:v>
      </x:c>
      <x:c r="C7" s="1" t="str">
        <x:v>金边奖杯</x:v>
      </x:c>
      <x:c r="D7" s="9" t="str">
        <x:v>完成下次星级评鉴
额外 +90 金币</x:v>
      </x:c>
      <x:c r="E7" s="1" t="str">
        <x:v>Common</x:v>
      </x:c>
      <x:c r="F7" s="1" t="str">
        <x:v>None</x:v>
      </x:c>
      <x:c r="G7" s="1" t="n">
        <x:v>90</x:v>
      </x:c>
      <x:c r="H7" s="1"/>
      <x:c r="I7" s="1" t="n">
        <x:v>300</x:v>
      </x:c>
      <x:c r="J7" s="1" t="str">
        <x:v>10,80</x:v>
      </x:c>
      <x:c r="K7" s="1" t="n">
        <x:v>0</x:v>
      </x:c>
      <x:c r="L7" s="1" t="n">
        <x:v>0</x:v>
      </x:c>
      <x:c r="M7" s="1" t="n">
        <x:v>0</x:v>
      </x:c>
      <x:c r="N7" s="1" t="n">
        <x:v>0</x:v>
      </x:c>
      <x:c r="O7" s="1"/>
      <x:c r="P7" s="1" t="n">
        <x:v>40</x:v>
      </x:c>
      <x:c r="Q7"/>
      <x:c r="R7">
        <x:f t="shared" si="0"/>
      </x:c>
      <x:c r="T7"/>
      <x:c r="U7"/>
      <x:c r="V7"/>
      <x:c r="W7"/>
      <x:c r="X7"/>
      <x:c r="Y7"/>
      <x:c r="Z7"/>
      <x:c r="AB7"/>
      <x:c r="AC7"/>
      <x:c r="AD7" t="n">
        <x:f t="shared" ref="AD7:AD10" si="1">IFERROR(Z7/SUM($Z$7:$Z$10),0)</x:f>
        <x:v>0</x:v>
      </x:c>
    </x:row>
    <x:row r="8" s="1" customFormat="1" ht="34">
      <x:c r="A8"/>
      <x:c r="B8" s="1" t="str">
        <x:v>item_gold_percent</x:v>
      </x:c>
      <x:c r="C8" s="1" t="str">
        <x:v>黄铜算盘</x:v>
      </x:c>
      <x:c r="D8" s="9" t="str">
        <x:v>营业结束获得的金币
额外 +15%</x:v>
      </x:c>
      <x:c r="E8" s="1" t="str">
        <x:v>Uncommon</x:v>
      </x:c>
      <x:c r="F8" s="1" t="str">
        <x:v>None</x:v>
      </x:c>
      <x:c r="G8" s="1" t="n">
        <x:v>0.15</x:v>
      </x:c>
      <x:c r="H8" s="1"/>
      <x:c r="I8" s="1" t="n">
        <x:v>100</x:v>
      </x:c>
      <x:c r="J8" s="1" t="str">
        <x:v>20,80</x:v>
      </x:c>
      <x:c r="K8" s="1" t="n">
        <x:v>0</x:v>
      </x:c>
      <x:c r="L8" s="1" t="n">
        <x:v>0</x:v>
      </x:c>
      <x:c r="M8" s="1" t="n">
        <x:v>0</x:v>
      </x:c>
      <x:c r="N8" s="1" t="n">
        <x:v>0</x:v>
      </x:c>
      <x:c r="O8" s="1"/>
      <x:c r="P8" s="1" t="n">
        <x:v>80</x:v>
      </x:c>
      <x:c r="Q8"/>
      <x:c r="R8">
        <x:f t="shared" si="0"/>
      </x:c>
      <x:c r="T8"/>
      <x:c r="U8"/>
      <x:c r="V8"/>
      <x:c r="W8"/>
      <x:c r="X8"/>
      <x:c r="Y8"/>
      <x:c r="Z8"/>
      <x:c r="AB8"/>
      <x:c r="AC8"/>
      <x:c r="AD8">
        <x:f t="shared" si="1"/>
      </x:c>
    </x:row>
    <x:row r="9" s="12" customFormat="1" ht="17">
      <x:c r="A9"/>
      <x:c r="B9" s="12" t="str">
        <x:v>item_trash_upgrade</x:v>
      </x:c>
      <x:c r="C9" s="12" t="str">
        <x:v>藤编纸篓</x:v>
      </x:c>
      <x:c r="D9" s="14" t="str">
        <x:v>丢弃次数 +1</x:v>
      </x:c>
      <x:c r="E9" s="12" t="str">
        <x:v>Common</x:v>
      </x:c>
      <x:c r="F9" s="12" t="str">
        <x:v>None</x:v>
      </x:c>
      <x:c r="G9" s="12" t="n">
        <x:v>1</x:v>
      </x:c>
      <x:c r="H9" s="12"/>
      <x:c r="I9" s="12" t="n">
        <x:v>300</x:v>
      </x:c>
      <x:c r="J9" s="12" t="str">
        <x:v>10,80</x:v>
      </x:c>
      <x:c r="K9" s="12" t="n">
        <x:v>0</x:v>
      </x:c>
      <x:c r="L9" s="12" t="n">
        <x:v>0</x:v>
      </x:c>
      <x:c r="M9" s="12" t="n">
        <x:v>0</x:v>
      </x:c>
      <x:c r="N9" s="12" t="n">
        <x:v>0</x:v>
      </x:c>
      <x:c r="O9" s="12"/>
      <x:c r="P9" s="12" t="n">
        <x:v>50</x:v>
      </x:c>
      <x:c r="R9"/>
      <x:c r="T9"/>
      <x:c r="V9"/>
      <x:c r="X9"/>
      <x:c r="Z9"/>
      <x:c r="AB9"/>
      <x:c r="AD9">
        <x:f t="shared" si="1"/>
      </x:c>
    </x:row>
    <x:row r="10" s="12" customFormat="1" ht="17">
      <x:c r="A10"/>
      <x:c r="B10" s="12" t="str">
        <x:v>item_trash_expand</x:v>
      </x:c>
      <x:c r="C10" s="12" t="str">
        <x:v>壁挂废物桶</x:v>
      </x:c>
      <x:c r="D10" s="14" t="str">
        <x:v>丢弃次数 +1</x:v>
      </x:c>
      <x:c r="E10" s="12" t="str">
        <x:v>Uncommon</x:v>
      </x:c>
      <x:c r="F10" s="12" t="str">
        <x:v>None</x:v>
      </x:c>
      <x:c r="G10" s="12" t="n">
        <x:v>1</x:v>
      </x:c>
      <x:c r="H10"/>
      <x:c r="I10" s="12" t="n">
        <x:v>300</x:v>
      </x:c>
      <x:c r="J10" s="12" t="str">
        <x:v>10,80</x:v>
      </x:c>
      <x:c r="K10" s="12" t="n">
        <x:v>0</x:v>
      </x:c>
      <x:c r="L10" s="12" t="n">
        <x:v>0</x:v>
      </x:c>
      <x:c r="M10" s="12" t="n">
        <x:v>0</x:v>
      </x:c>
      <x:c r="N10" s="12" t="n">
        <x:v>0</x:v>
      </x:c>
      <x:c r="O10" s="12"/>
      <x:c r="P10" s="12" t="n">
        <x:v>50</x:v>
      </x:c>
      <x:c r="R10"/>
      <x:c r="T10"/>
      <x:c r="V10"/>
      <x:c r="X10"/>
      <x:c r="Z10"/>
      <x:c r="AB10"/>
      <x:c r="AD10">
        <x:f t="shared" si="1"/>
      </x:c>
    </x:row>
    <x:row r="11" s="12" customFormat="1" ht="17">
      <x:c r="A11"/>
      <x:c r="B11" s="12" t="str">
        <x:v>item_trash_evolve</x:v>
      </x:c>
      <x:c r="C11" s="12" t="str">
        <x:v>脚踏垃圾桶</x:v>
      </x:c>
      <x:c r="D11" s="14" t="str">
        <x:v>丢弃次数 +2</x:v>
      </x:c>
      <x:c r="E11" s="12" t="str">
        <x:v>Rare</x:v>
      </x:c>
      <x:c r="F11" s="12" t="str">
        <x:v>None</x:v>
      </x:c>
      <x:c r="G11" s="12" t="n">
        <x:v>2</x:v>
      </x:c>
      <x:c r="H11" s="12"/>
      <x:c r="I11" s="12" t="n">
        <x:v>100</x:v>
      </x:c>
      <x:c r="J11" s="12" t="str">
        <x:v>20,80</x:v>
      </x:c>
      <x:c r="K11" s="12" t="n">
        <x:v>0</x:v>
      </x:c>
      <x:c r="L11" s="12" t="n">
        <x:v>0</x:v>
      </x:c>
      <x:c r="M11" s="12" t="n">
        <x:v>0</x:v>
      </x:c>
      <x:c r="N11" s="12" t="n">
        <x:v>0</x:v>
      </x:c>
      <x:c r="O11" s="12"/>
      <x:c r="P11" s="12" t="n">
        <x:v>80</x:v>
      </x:c>
      <x:c r="R11"/>
    </x:row>
    <x:row r="12" s="12" customFormat="1" ht="17">
      <x:c r="A12"/>
      <x:c r="B12" s="12" t="str">
        <x:v>item_trash_mutate</x:v>
      </x:c>
      <x:c r="C12" s="12" t="str">
        <x:v>推盖垃圾桶</x:v>
      </x:c>
      <x:c r="D12" s="14" t="str">
        <x:v>丢弃次数 +2</x:v>
      </x:c>
      <x:c r="E12" s="12" t="str">
        <x:v>Rare</x:v>
      </x:c>
      <x:c r="F12" s="12" t="str">
        <x:v>None</x:v>
      </x:c>
      <x:c r="G12" s="12" t="n">
        <x:v>2</x:v>
      </x:c>
      <x:c r="H12"/>
      <x:c r="I12" s="12" t="n">
        <x:v>30</x:v>
      </x:c>
      <x:c r="J12" s="12" t="str">
        <x:v>30,80</x:v>
      </x:c>
      <x:c r="K12" s="12" t="n">
        <x:v>0</x:v>
      </x:c>
      <x:c r="L12" s="12" t="n">
        <x:v>0</x:v>
      </x:c>
      <x:c r="M12" s="12" t="n">
        <x:v>0</x:v>
      </x:c>
      <x:c r="N12" s="12" t="n">
        <x:v>0</x:v>
      </x:c>
      <x:c r="O12" s="12"/>
      <x:c r="P12" s="12" t="n">
        <x:v>120</x:v>
      </x:c>
      <x:c r="R12"/>
      <x:c r="Y12"/>
      <x:c r="Z12"/>
      <x:c r="AA12"/>
    </x:row>
    <x:row r="13" s="12" customFormat="1" ht="17">
      <x:c r="A13"/>
      <x:c r="B13" s="12" t="str">
        <x:v>item_discount_food</x:v>
      </x:c>
      <x:c r="C13" s="12" t="str">
        <x:v>香草盆栽</x:v>
      </x:c>
      <x:c r="D13" s="14" t="str">
        <x:v>食物价格 -10%</x:v>
      </x:c>
      <x:c r="E13" s="12" t="str">
        <x:v>Common</x:v>
      </x:c>
      <x:c r="F13" s="12" t="str">
        <x:v>None</x:v>
      </x:c>
      <x:c r="G13" s="12" t="n">
        <x:v>0.1</x:v>
      </x:c>
      <x:c r="H13"/>
      <x:c r="I13" s="12" t="n">
        <x:v>100</x:v>
      </x:c>
      <x:c r="J13" s="12" t="str">
        <x:v>20,80</x:v>
      </x:c>
      <x:c r="K13" s="12" t="n">
        <x:v>0</x:v>
      </x:c>
      <x:c r="L13" s="12" t="n">
        <x:v>0</x:v>
      </x:c>
      <x:c r="M13" s="12" t="n">
        <x:v>0</x:v>
      </x:c>
      <x:c r="N13" s="12" t="n">
        <x:v>0</x:v>
      </x:c>
      <x:c r="O13" s="12"/>
      <x:c r="P13" s="12" t="n">
        <x:v>40</x:v>
      </x:c>
      <x:c r="R13" t="n">
        <x:f t="shared" ref="R13:R15" si="2">IFERROR(VLOOKUP(E13,$T$7:$AB$12,9,FALSE),0)</x:f>
        <x:v>0</x:v>
      </x:c>
      <x:c r="T13"/>
      <x:c r="V13"/>
      <x:c r="W13"/>
    </x:row>
    <x:row r="14" s="12" customFormat="1">
      <x:c r="A14"/>
      <x:c r="B14" s="12" t="str">
        <x:v>item_discount_fragment</x:v>
      </x:c>
      <x:c r="C14" s="12" t="str">
        <x:v>餐桌模型</x:v>
      </x:c>
      <x:c r="D14" s="12" t="str">
        <x:v>餐桌格价格 -15%</x:v>
      </x:c>
      <x:c r="E14" s="12" t="str">
        <x:v>Common</x:v>
      </x:c>
      <x:c r="F14" s="12" t="str">
        <x:v>None</x:v>
      </x:c>
      <x:c r="G14" s="12" t="n">
        <x:v>0.15</x:v>
      </x:c>
      <x:c r="H14"/>
      <x:c r="I14" s="12" t="n">
        <x:v>300</x:v>
      </x:c>
      <x:c r="J14" s="12" t="str">
        <x:v>10,80</x:v>
      </x:c>
      <x:c r="K14" s="12" t="n">
        <x:v>0</x:v>
      </x:c>
      <x:c r="L14" s="12" t="n">
        <x:v>0</x:v>
      </x:c>
      <x:c r="M14" s="12" t="n">
        <x:v>0</x:v>
      </x:c>
      <x:c r="N14" s="12" t="n">
        <x:v>0</x:v>
      </x:c>
      <x:c r="O14" s="12"/>
      <x:c r="P14" s="12" t="n">
        <x:v>40</x:v>
      </x:c>
      <x:c r="R14">
        <x:f t="shared" si="2"/>
      </x:c>
      <x:c r="T14"/>
      <x:c r="V14"/>
      <x:c r="W14"/>
      <x:c r="Y14"/>
    </x:row>
    <x:row r="15" s="13" customFormat="1">
      <x:c r="A15" s="23"/>
      <x:c r="B15" s="23" t="str">
        <x:v>item_discount_active</x:v>
      </x:c>
      <x:c r="C15" s="23" t="str">
        <x:v>强化券匣</x:v>
      </x:c>
      <x:c r="D15" s="23" t="str">
        <x:v>强化类消耗品价格 -15%</x:v>
      </x:c>
      <x:c r="E15" s="23" t="str">
        <x:v>Common</x:v>
      </x:c>
      <x:c r="F15" s="23" t="str">
        <x:v>None</x:v>
      </x:c>
      <x:c r="G15" s="23" t="n">
        <x:v>0.15</x:v>
      </x:c>
      <x:c r="H15" s="23"/>
      <x:c r="I15" s="23" t="n">
        <x:v>100</x:v>
      </x:c>
      <x:c r="J15" s="23" t="str">
        <x:v>20,80</x:v>
      </x:c>
      <x:c r="K15" s="23" t="n">
        <x:v>0</x:v>
      </x:c>
      <x:c r="L15" s="23" t="n">
        <x:v>0</x:v>
      </x:c>
      <x:c r="M15" s="23" t="n">
        <x:v>0</x:v>
      </x:c>
      <x:c r="N15" s="23" t="n">
        <x:v>0</x:v>
      </x:c>
      <x:c r="O15" s="23"/>
      <x:c r="P15" s="23" t="n">
        <x:v>40</x:v>
      </x:c>
      <x:c r="Q15"/>
      <x:c r="R15">
        <x:f t="shared" si="2"/>
      </x:c>
      <x:c r="S15" s="1"/>
      <x:c r="T15"/>
      <x:c r="U15"/>
      <x:c r="V15"/>
      <x:c r="W15"/>
      <x:c r="X15"/>
      <x:c r="Y15"/>
      <x:c r="Z15"/>
      <x:c r="AA15"/>
      <x:c r="AB15"/>
      <x:c r="AC15"/>
      <x:c r="AD15"/>
    </x:row>
    <x:row r="16" s="13" customFormat="1">
      <x:c r="A16" s="23"/>
      <x:c r="B16" s="23" t="str">
        <x:v>item_discount_adjust</x:v>
      </x:c>
      <x:c r="C16" s="23" t="str">
        <x:v>调整单夹</x:v>
      </x:c>
      <x:c r="D16" s="23" t="str">
        <x:v>调整类消耗品价格 -15%</x:v>
      </x:c>
      <x:c r="E16" s="23" t="str">
        <x:v>Common</x:v>
      </x:c>
      <x:c r="F16" s="23" t="str">
        <x:v>None</x:v>
      </x:c>
      <x:c r="G16" s="23" t="n">
        <x:v>0.15</x:v>
      </x:c>
      <x:c r="H16" s="23"/>
      <x:c r="I16" s="23" t="n">
        <x:v>100</x:v>
      </x:c>
      <x:c r="J16" s="23" t="str">
        <x:v>20,80</x:v>
      </x:c>
      <x:c r="K16" s="23" t="n">
        <x:v>0</x:v>
      </x:c>
      <x:c r="L16" s="23" t="n">
        <x:v>0</x:v>
      </x:c>
      <x:c r="M16" s="23" t="n">
        <x:v>0</x:v>
      </x:c>
      <x:c r="N16" s="23" t="n">
        <x:v>0</x:v>
      </x:c>
      <x:c r="O16" s="23"/>
      <x:c r="P16" s="23" t="n">
        <x:v>40</x:v>
      </x:c>
      <x:c r="Q16"/>
      <x:c r="R16"/>
      <x:c r="S16" s="1"/>
      <x:c r="T16"/>
      <x:c r="U16"/>
      <x:c r="V16"/>
      <x:c r="W16"/>
      <x:c r="X16"/>
      <x:c r="Y16"/>
      <x:c r="Z16"/>
      <x:c r="AA16"/>
      <x:c r="AB16"/>
      <x:c r="AC16"/>
      <x:c r="AD16"/>
    </x:row>
    <x:row r="17" s="13" customFormat="1">
      <x:c r="A17" s="1"/>
      <x:c r="B17" s="1" t="str">
        <x:v>item_discount_passive</x:v>
      </x:c>
      <x:c r="C17" s="1" t="str">
        <x:v>装饰样板墙</x:v>
      </x:c>
      <x:c r="D17" s="1" t="str">
        <x:v>装饰品价格 -15%</x:v>
      </x:c>
      <x:c r="E17" s="12" t="str">
        <x:v>Common</x:v>
      </x:c>
      <x:c r="F17" s="1" t="str">
        <x:v>None</x:v>
      </x:c>
      <x:c r="G17" s="1" t="n">
        <x:v>0.15</x:v>
      </x:c>
      <x:c r="H17" s="1"/>
      <x:c r="I17" s="1" t="n">
        <x:v>100</x:v>
      </x:c>
      <x:c r="J17" s="1" t="str">
        <x:v>20,80</x:v>
      </x:c>
      <x:c r="K17" s="1" t="n">
        <x:v>0</x:v>
      </x:c>
      <x:c r="L17" s="1" t="n">
        <x:v>0</x:v>
      </x:c>
      <x:c r="M17" s="1" t="n">
        <x:v>0</x:v>
      </x:c>
      <x:c r="N17" s="1" t="n">
        <x:v>0</x:v>
      </x:c>
      <x:c r="O17" s="1"/>
      <x:c r="P17" s="1" t="n">
        <x:v>40</x:v>
      </x:c>
      <x:c r="Q17"/>
      <x:c r="R17" t="n">
        <x:f t="shared" ref="R17:R21" si="3">IFERROR(VLOOKUP(E17,$T$7:$AB$12,9,FALSE),0)</x:f>
        <x:v>0</x:v>
      </x:c>
      <x:c r="S17" s="1"/>
      <x:c r="T17"/>
      <x:c r="U17"/>
      <x:c r="V17"/>
      <x:c r="W17"/>
      <x:c r="X17"/>
      <x:c r="Y17"/>
      <x:c r="Z17"/>
      <x:c r="AA17"/>
      <x:c r="AB17"/>
      <x:c r="AC17"/>
      <x:c r="AD17"/>
    </x:row>
    <x:row r="18" s="1" customFormat="1">
      <x:c r="A18"/>
      <x:c r="B18" s="1" t="str">
        <x:v>item_discount_remove</x:v>
      </x:c>
      <x:c r="C18" s="1" t="str">
        <x:v>抽页食谱夹</x:v>
      </x:c>
      <x:c r="D18" s="1" t="str">
        <x:v>删除食物价格 -15%</x:v>
      </x:c>
      <x:c r="E18" s="1" t="str">
        <x:v>Common</x:v>
      </x:c>
      <x:c r="F18" s="1" t="str">
        <x:v>None</x:v>
      </x:c>
      <x:c r="G18" s="1" t="n">
        <x:v>0.15</x:v>
      </x:c>
      <x:c r="H18" s="1"/>
      <x:c r="I18" s="1" t="n">
        <x:v>300</x:v>
      </x:c>
      <x:c r="J18" s="1" t="str">
        <x:v>10,80</x:v>
      </x:c>
      <x:c r="K18" s="1" t="n">
        <x:v>0</x:v>
      </x:c>
      <x:c r="L18" s="1" t="n">
        <x:v>0</x:v>
      </x:c>
      <x:c r="M18" s="1" t="n">
        <x:v>0</x:v>
      </x:c>
      <x:c r="N18" s="1" t="n">
        <x:v>0</x:v>
      </x:c>
      <x:c r="O18" s="1"/>
      <x:c r="P18" s="1" t="n">
        <x:v>40</x:v>
      </x:c>
      <x:c r="Q18"/>
      <x:c r="R18">
        <x:f t="shared" si="3"/>
      </x:c>
      <x:c r="V18"/>
      <x:c r="W18"/>
    </x:row>
    <x:row r="19" s="1" customFormat="1" ht="17">
      <x:c r="A19"/>
      <x:c r="B19" s="12" t="str">
        <x:v>item_discount_food_festival</x:v>
      </x:c>
      <x:c r="C19" s="12" t="str">
        <x:v>丰收菜篮</x:v>
      </x:c>
      <x:c r="D19" s="14" t="str">
        <x:v>食物价格 -20%</x:v>
      </x:c>
      <x:c r="E19" s="1" t="str">
        <x:v>Uncommon</x:v>
      </x:c>
      <x:c r="F19" s="12" t="str">
        <x:v>None</x:v>
      </x:c>
      <x:c r="G19" s="12" t="n">
        <x:v>0.2</x:v>
      </x:c>
      <x:c r="H19" s="12"/>
      <x:c r="I19" s="12" t="n">
        <x:v>100</x:v>
      </x:c>
      <x:c r="J19" s="12" t="str">
        <x:v>20,80</x:v>
      </x:c>
      <x:c r="K19" s="12" t="n">
        <x:v>0</x:v>
      </x:c>
      <x:c r="L19" s="12" t="n">
        <x:v>0</x:v>
      </x:c>
      <x:c r="M19" s="12" t="n">
        <x:v>0</x:v>
      </x:c>
      <x:c r="N19" s="12" t="n">
        <x:v>0</x:v>
      </x:c>
      <x:c r="O19" s="12"/>
      <x:c r="P19" s="12" t="n">
        <x:v>80</x:v>
      </x:c>
      <x:c r="Q19"/>
      <x:c r="R19">
        <x:f t="shared" si="3"/>
      </x:c>
    </x:row>
    <x:row r="20" s="1" customFormat="1">
      <x:c r="A20"/>
      <x:c r="B20" s="12" t="str">
        <x:v>item_discount_fragment_festival</x:v>
      </x:c>
      <x:c r="C20" s="12" t="str">
        <x:v>宴会桌模型</x:v>
      </x:c>
      <x:c r="D20" s="12" t="str">
        <x:v>餐桌格价格 -25%</x:v>
      </x:c>
      <x:c r="E20" s="1" t="str">
        <x:v>Uncommon</x:v>
      </x:c>
      <x:c r="F20" s="12" t="str">
        <x:v>None</x:v>
      </x:c>
      <x:c r="G20" s="12" t="n">
        <x:v>0.25</x:v>
      </x:c>
      <x:c r="H20" s="12"/>
      <x:c r="I20" s="12" t="n">
        <x:v>300</x:v>
      </x:c>
      <x:c r="J20" s="12" t="str">
        <x:v>10,80</x:v>
      </x:c>
      <x:c r="K20" s="12" t="n">
        <x:v>0</x:v>
      </x:c>
      <x:c r="L20" s="12" t="n">
        <x:v>0</x:v>
      </x:c>
      <x:c r="M20" s="12" t="n">
        <x:v>0</x:v>
      </x:c>
      <x:c r="N20" s="12" t="n">
        <x:v>0</x:v>
      </x:c>
      <x:c r="O20" s="12"/>
      <x:c r="P20" s="12" t="n">
        <x:v>80</x:v>
      </x:c>
      <x:c r="Q20"/>
      <x:c r="R20">
        <x:f t="shared" si="3"/>
      </x:c>
      <x:c r="T20"/>
      <x:c r="W20"/>
    </x:row>
    <x:row r="21" s="1" customFormat="1">
      <x:c r="A21" s="23"/>
      <x:c r="B21" s="23" t="str">
        <x:v>item_discount_active_festival</x:v>
      </x:c>
      <x:c r="C21" s="23" t="str">
        <x:v>金边强化券</x:v>
      </x:c>
      <x:c r="D21" s="23" t="str">
        <x:v>强化类消耗品价格 -25%</x:v>
      </x:c>
      <x:c r="E21" s="23" t="str">
        <x:v>Uncommon</x:v>
      </x:c>
      <x:c r="F21" s="23" t="str">
        <x:v>None</x:v>
      </x:c>
      <x:c r="G21" s="23" t="n">
        <x:v>0.25</x:v>
      </x:c>
      <x:c r="H21" s="23"/>
      <x:c r="I21" s="23" t="n">
        <x:v>100</x:v>
      </x:c>
      <x:c r="J21" s="23" t="str">
        <x:v>20,80</x:v>
      </x:c>
      <x:c r="K21" s="23" t="n">
        <x:v>0</x:v>
      </x:c>
      <x:c r="L21" s="23" t="n">
        <x:v>0</x:v>
      </x:c>
      <x:c r="M21" s="23" t="n">
        <x:v>0</x:v>
      </x:c>
      <x:c r="N21" s="23" t="n">
        <x:v>0</x:v>
      </x:c>
      <x:c r="O21" s="23"/>
      <x:c r="P21" s="23" t="n">
        <x:v>80</x:v>
      </x:c>
      <x:c r="Q21"/>
      <x:c r="R21">
        <x:f t="shared" si="3"/>
      </x:c>
      <x:c r="W21"/>
    </x:row>
    <x:row r="22" s="1" customFormat="1">
      <x:c r="A22" s="23"/>
      <x:c r="B22" s="23" t="str">
        <x:v>item_discount_adjust_festival</x:v>
      </x:c>
      <x:c r="C22" s="23" t="str">
        <x:v>烫金调整单</x:v>
      </x:c>
      <x:c r="D22" s="23" t="str">
        <x:v>调整类消耗品价格 -25%</x:v>
      </x:c>
      <x:c r="E22" s="23" t="str">
        <x:v>Uncommon</x:v>
      </x:c>
      <x:c r="F22" s="23" t="str">
        <x:v>None</x:v>
      </x:c>
      <x:c r="G22" s="23" t="n">
        <x:v>0.25</x:v>
      </x:c>
      <x:c r="H22" s="23"/>
      <x:c r="I22" s="23" t="n">
        <x:v>100</x:v>
      </x:c>
      <x:c r="J22" s="23" t="str">
        <x:v>20,80</x:v>
      </x:c>
      <x:c r="K22" s="23" t="n">
        <x:v>0</x:v>
      </x:c>
      <x:c r="L22" s="23" t="n">
        <x:v>0</x:v>
      </x:c>
      <x:c r="M22" s="23" t="n">
        <x:v>0</x:v>
      </x:c>
      <x:c r="N22" s="23" t="n">
        <x:v>0</x:v>
      </x:c>
      <x:c r="O22" s="23"/>
      <x:c r="P22" s="23" t="n">
        <x:v>80</x:v>
      </x:c>
      <x:c r="Q22"/>
      <x:c r="R22"/>
      <x:c r="S22" s="1"/>
      <x:c r="T22"/>
      <x:c r="U22"/>
      <x:c r="V22"/>
      <x:c r="W22"/>
    </x:row>
    <x:row r="23" s="1" customFormat="1">
      <x:c r="A23"/>
      <x:c r="B23" s="1" t="str">
        <x:v>item_discount_passive_festival</x:v>
      </x:c>
      <x:c r="C23" s="1" t="str">
        <x:v>多层展柜</x:v>
      </x:c>
      <x:c r="D23" s="1" t="str">
        <x:v>装饰品价格 -25%</x:v>
      </x:c>
      <x:c r="E23" s="1" t="str">
        <x:v>Uncommon</x:v>
      </x:c>
      <x:c r="F23" s="1" t="str">
        <x:v>None</x:v>
      </x:c>
      <x:c r="G23" s="1" t="n">
        <x:v>0.25</x:v>
      </x:c>
      <x:c r="H23" s="1"/>
      <x:c r="I23" s="1" t="n">
        <x:v>100</x:v>
      </x:c>
      <x:c r="J23" s="1" t="str">
        <x:v>20,80</x:v>
      </x:c>
      <x:c r="K23" s="1" t="n">
        <x:v>0</x:v>
      </x:c>
      <x:c r="L23" s="1" t="n">
        <x:v>0</x:v>
      </x:c>
      <x:c r="M23" s="1" t="n">
        <x:v>0</x:v>
      </x:c>
      <x:c r="N23" s="1" t="n">
        <x:v>0</x:v>
      </x:c>
      <x:c r="O23" s="1"/>
      <x:c r="P23" s="1" t="n">
        <x:v>80</x:v>
      </x:c>
      <x:c r="Q23"/>
      <x:c r="R23" t="n">
        <x:f t="shared" ref="R23:R25" si="4">IFERROR(VLOOKUP(E23,$T$7:$AB$12,9,FALSE),0)</x:f>
        <x:v>0</x:v>
      </x:c>
    </x:row>
    <x:row r="24" s="1" customFormat="1">
      <x:c r="A24"/>
      <x:c r="B24" s="1" t="str">
        <x:v>item_discount_remove_festival</x:v>
      </x:c>
      <x:c r="C24" s="1" t="str">
        <x:v>可擦食谱板</x:v>
      </x:c>
      <x:c r="D24" s="1" t="str">
        <x:v>删除食物价格 -25%</x:v>
      </x:c>
      <x:c r="E24" s="1" t="str">
        <x:v>Uncommon</x:v>
      </x:c>
      <x:c r="F24" s="1" t="str">
        <x:v>None</x:v>
      </x:c>
      <x:c r="G24" s="12" t="n">
        <x:v>0.25</x:v>
      </x:c>
      <x:c r="H24" s="1"/>
      <x:c r="I24" s="1" t="n">
        <x:v>300</x:v>
      </x:c>
      <x:c r="J24" s="1" t="str">
        <x:v>10,80</x:v>
      </x:c>
      <x:c r="K24" s="1" t="n">
        <x:v>0</x:v>
      </x:c>
      <x:c r="L24" s="1" t="n">
        <x:v>0</x:v>
      </x:c>
      <x:c r="M24" s="1" t="n">
        <x:v>0</x:v>
      </x:c>
      <x:c r="N24" s="1" t="n">
        <x:v>0</x:v>
      </x:c>
      <x:c r="O24" s="1"/>
      <x:c r="P24" s="1" t="n">
        <x:v>80</x:v>
      </x:c>
      <x:c r="Q24"/>
      <x:c r="R24">
        <x:f t="shared" si="4"/>
      </x:c>
    </x:row>
    <x:row r="25" s="1" customFormat="1" ht="51">
      <x:c r="A25" s="23"/>
      <x:c r="B25" s="23" t="str">
        <x:v>item_famous_knife</x:v>
      </x:c>
      <x:c r="C25" s="23" t="str">
        <x:v>名刀展示架</x:v>
      </x:c>
      <x:c r="D25" s="24" t="str">
        <x:v>即将失败时
恢复至1 颗红心
生效1 次后失效</x:v>
      </x:c>
      <x:c r="E25" s="23" t="str">
        <x:v>Rare</x:v>
      </x:c>
      <x:c r="F25" s="23" t="str">
        <x:v>None</x:v>
      </x:c>
      <x:c r="G25" s="23" t="n">
        <x:v>0</x:v>
      </x:c>
      <x:c r="H25" s="23"/>
      <x:c r="I25" s="23" t="n">
        <x:v>30</x:v>
      </x:c>
      <x:c r="J25" s="23" t="str">
        <x:v>30,80</x:v>
      </x:c>
      <x:c r="K25" s="23" t="n">
        <x:v>0</x:v>
      </x:c>
      <x:c r="L25" s="23" t="n">
        <x:v>0</x:v>
      </x:c>
      <x:c r="M25" s="23" t="n">
        <x:v>0</x:v>
      </x:c>
      <x:c r="N25" s="23" t="n">
        <x:v>0</x:v>
      </x:c>
      <x:c r="O25" s="23"/>
      <x:c r="P25" s="23" t="n">
        <x:v>150</x:v>
      </x:c>
      <x:c r="Q25"/>
      <x:c r="R25">
        <x:f t="shared" si="4"/>
      </x:c>
    </x:row>
    <x:row r="26" s="1" customFormat="1" ht="34">
      <x:c r="A26" s="23"/>
      <x:c r="B26" s="23" t="str">
        <x:v>item_heart_flat_all</x:v>
      </x:c>
      <x:c r="C26" s="23" t="str">
        <x:v>暖心壁灯</x:v>
      </x:c>
      <x:c r="D26" s="24" t="str">
        <x:v>结算开始
每拥有1 颗红心
所有食物分数 +5</x:v>
      </x:c>
      <x:c r="E26" s="23" t="str">
        <x:v>Uncommon</x:v>
      </x:c>
      <x:c r="F26" s="23" t="str">
        <x:v>None</x:v>
      </x:c>
      <x:c r="G26" s="23" t="n">
        <x:v>5</x:v>
      </x:c>
      <x:c r="H26" s="23"/>
      <x:c r="I26" s="23" t="n">
        <x:v>100</x:v>
      </x:c>
      <x:c r="J26" s="23" t="str">
        <x:v>20,80</x:v>
      </x:c>
      <x:c r="K26" s="23" t="n">
        <x:v>0</x:v>
      </x:c>
      <x:c r="L26" s="23" t="n">
        <x:v>0</x:v>
      </x:c>
      <x:c r="M26" s="23" t="n">
        <x:v>0</x:v>
      </x:c>
      <x:c r="N26" s="23" t="n">
        <x:v>0</x:v>
      </x:c>
      <x:c r="O26" s="23"/>
      <x:c r="P26" s="23" t="n">
        <x:v>80</x:v>
      </x:c>
      <x:c r="Q26"/>
      <x:c r="R26"/>
      <x:c r="S26" s="1"/>
      <x:c r="T26"/>
      <x:c r="U26"/>
      <x:c r="V26"/>
      <x:c r="W26"/>
      <x:c r="X26"/>
      <x:c r="Y26"/>
    </x:row>
    <x:row r="27" s="1" customFormat="1" ht="34">
      <x:c r="A27" s="23"/>
      <x:c r="B27" s="23" t="str">
        <x:v>item_empty_heart_mult_all</x:v>
      </x:c>
      <x:c r="C27" s="23" t="str">
        <x:v>裂纹心形镜</x:v>
      </x:c>
      <x:c r="D27" s="24" t="str">
        <x:v>结算开始
每拥有1 个空红心
所有食物倍率 +0.1</x:v>
      </x:c>
      <x:c r="E27" s="23" t="str">
        <x:v>Uncommon</x:v>
      </x:c>
      <x:c r="F27" s="23" t="str">
        <x:v>None</x:v>
      </x:c>
      <x:c r="G27" s="23" t="n">
        <x:v>0.1</x:v>
      </x:c>
      <x:c r="H27" s="23"/>
      <x:c r="I27" s="23" t="n">
        <x:v>100</x:v>
      </x:c>
      <x:c r="J27" s="23" t="str">
        <x:v>20,80</x:v>
      </x:c>
      <x:c r="K27" s="23" t="n">
        <x:v>0</x:v>
      </x:c>
      <x:c r="L27" s="23" t="n">
        <x:v>0</x:v>
      </x:c>
      <x:c r="M27" s="23" t="n">
        <x:v>0</x:v>
      </x:c>
      <x:c r="N27" s="23" t="n">
        <x:v>0</x:v>
      </x:c>
      <x:c r="O27" s="23"/>
      <x:c r="P27" s="23" t="n">
        <x:v>80</x:v>
      </x:c>
      <x:c r="Q27"/>
      <x:c r="R27"/>
      <x:c r="S27" s="1"/>
      <x:c r="T27"/>
      <x:c r="U27"/>
      <x:c r="V27"/>
      <x:c r="W27"/>
      <x:c r="X27"/>
      <x:c r="Y27"/>
      <x:c r="Z27"/>
      <x:c r="AA27"/>
    </x:row>
    <x:row r="28" s="1" customFormat="1" ht="34">
      <x:c r="A28"/>
      <x:c r="B28" s="1" t="str">
        <x:v>item_score_to_one</x:v>
      </x:c>
      <x:c r="C28" s="1" t="str">
        <x:v>开业纪念照</x:v>
      </x:c>
      <x:c r="D28" s="9" t="str">
        <x:v>接下来2 次营业
目标美味值为1</x:v>
      </x:c>
      <x:c r="E28" s="1" t="str">
        <x:v>Uncommon</x:v>
      </x:c>
      <x:c r="F28" s="1" t="str">
        <x:v>None</x:v>
      </x:c>
      <x:c r="G28" s="1" t="n">
        <x:v>0</x:v>
      </x:c>
      <x:c r="H28" s="1" t="str">
        <x:v>meals:2</x:v>
      </x:c>
      <x:c r="I28" s="1" t="n">
        <x:v>300</x:v>
      </x:c>
      <x:c r="J28" s="1" t="str">
        <x:v>10,80</x:v>
      </x:c>
      <x:c r="K28" s="1" t="n">
        <x:v>0</x:v>
      </x:c>
      <x:c r="L28" s="1" t="n">
        <x:v>0</x:v>
      </x:c>
      <x:c r="M28" s="1" t="n">
        <x:v>0</x:v>
      </x:c>
      <x:c r="N28" s="1" t="n">
        <x:v>0</x:v>
      </x:c>
      <x:c r="O28" s="1"/>
      <x:c r="P28" s="1" t="n">
        <x:v>80</x:v>
      </x:c>
      <x:c r="Q28"/>
      <x:c r="R28" t="n">
        <x:f t="shared" ref="R28:R34" si="5">IFERROR(VLOOKUP(E28,$T$7:$AB$12,9,FALSE),0)</x:f>
        <x:v>0</x:v>
      </x:c>
    </x:row>
    <x:row r="29" s="12" customFormat="1" ht="17">
      <x:c r="A29"/>
      <x:c r="B29" s="12" t="str">
        <x:v>item_req_normal_down</x:v>
      </x:c>
      <x:c r="C29" s="12" t="str">
        <x:v>家常菜挂画</x:v>
      </x:c>
      <x:c r="D29" s="14" t="str">
        <x:v>日常营业目标美味值 -20%</x:v>
      </x:c>
      <x:c r="E29" s="12" t="str">
        <x:v>Common</x:v>
      </x:c>
      <x:c r="F29" s="12" t="str">
        <x:v>None</x:v>
      </x:c>
      <x:c r="G29" s="12" t="n">
        <x:v>-0.2</x:v>
      </x:c>
      <x:c r="H29"/>
      <x:c r="I29" s="12" t="n">
        <x:v>300</x:v>
      </x:c>
      <x:c r="J29" s="12" t="str">
        <x:v>10,80</x:v>
      </x:c>
      <x:c r="K29" s="12" t="n">
        <x:v>0</x:v>
      </x:c>
      <x:c r="L29" s="12" t="n">
        <x:v>0</x:v>
      </x:c>
      <x:c r="M29" s="12" t="n">
        <x:v>0</x:v>
      </x:c>
      <x:c r="N29" s="12" t="n">
        <x:v>0</x:v>
      </x:c>
      <x:c r="O29" s="12"/>
      <x:c r="P29" s="12" t="n">
        <x:v>40</x:v>
      </x:c>
      <x:c r="R29">
        <x:f t="shared" si="5"/>
      </x:c>
    </x:row>
    <x:row r="30" s="12" customFormat="1" ht="17">
      <x:c r="A30"/>
      <x:c r="B30" s="12" t="str">
        <x:v>item_req_super_down</x:v>
      </x:c>
      <x:c r="C30" s="12" t="str">
        <x:v>红格桌布</x:v>
      </x:c>
      <x:c r="D30" s="14" t="str">
        <x:v>火热营业目标美味值 -20%</x:v>
      </x:c>
      <x:c r="E30" s="12" t="str">
        <x:v>Common</x:v>
      </x:c>
      <x:c r="F30" s="12" t="str">
        <x:v>None</x:v>
      </x:c>
      <x:c r="G30" s="12" t="n">
        <x:v>-0.2</x:v>
      </x:c>
      <x:c r="H30"/>
      <x:c r="I30" s="12" t="n">
        <x:v>100</x:v>
      </x:c>
      <x:c r="J30" s="12" t="str">
        <x:v>20,80</x:v>
      </x:c>
      <x:c r="K30" s="12" t="n">
        <x:v>0</x:v>
      </x:c>
      <x:c r="L30" s="12" t="n">
        <x:v>0</x:v>
      </x:c>
      <x:c r="M30" s="12" t="n">
        <x:v>0</x:v>
      </x:c>
      <x:c r="N30" s="12" t="n">
        <x:v>0</x:v>
      </x:c>
      <x:c r="O30" s="12"/>
      <x:c r="P30" s="12" t="n">
        <x:v>40</x:v>
      </x:c>
      <x:c r="R30">
        <x:f t="shared" si="5"/>
      </x:c>
    </x:row>
    <x:row r="31" s="12" customFormat="1">
      <x:c r="A31"/>
      <x:c r="B31" s="12" t="str">
        <x:v>item_req_feast_down</x:v>
      </x:c>
      <x:c r="C31" s="12" t="str">
        <x:v>金边证书框</x:v>
      </x:c>
      <x:c r="D31" s="12" t="str">
        <x:v>星级评鉴目标美味值 -15%</x:v>
      </x:c>
      <x:c r="E31" s="1" t="str">
        <x:v>Uncommon</x:v>
      </x:c>
      <x:c r="F31" s="12" t="str">
        <x:v>None</x:v>
      </x:c>
      <x:c r="G31" s="12" t="n">
        <x:v>-0.15</x:v>
      </x:c>
      <x:c r="H31" s="12"/>
      <x:c r="I31" s="12" t="n">
        <x:v>30</x:v>
      </x:c>
      <x:c r="J31" s="12" t="str">
        <x:v>30,80</x:v>
      </x:c>
      <x:c r="K31" s="12" t="n">
        <x:v>0</x:v>
      </x:c>
      <x:c r="L31" s="12" t="n">
        <x:v>0</x:v>
      </x:c>
      <x:c r="M31" s="12" t="n">
        <x:v>0</x:v>
      </x:c>
      <x:c r="N31" s="12" t="n">
        <x:v>0</x:v>
      </x:c>
      <x:c r="O31" s="12"/>
      <x:c r="P31" s="12" t="n">
        <x:v>80</x:v>
      </x:c>
      <x:c r="R31">
        <x:f t="shared" si="5"/>
      </x:c>
    </x:row>
    <x:row r="32" s="12" customFormat="1" ht="51">
      <x:c r="A32"/>
      <x:c r="B32" s="12" t="str">
        <x:v>item_count_le_mult</x:v>
      </x:c>
      <x:c r="C32" s="12" t="str">
        <x:v>素色桌旗</x:v>
      </x:c>
      <x:c r="D32" s="14" t="str">
        <x:v>结算开始
若食物数量≤15
所有食物倍率 ×1.2</x:v>
      </x:c>
      <x:c r="E32" s="12" t="str">
        <x:v>Uncommon</x:v>
      </x:c>
      <x:c r="F32" s="12" t="str">
        <x:v>None</x:v>
      </x:c>
      <x:c r="G32" s="12" t="n">
        <x:v>1.2</x:v>
      </x:c>
      <x:c r="H32" s="12" t="str">
        <x:v>lte:15</x:v>
      </x:c>
      <x:c r="I32" s="12" t="n">
        <x:v>100</x:v>
      </x:c>
      <x:c r="J32" s="12" t="str">
        <x:v>20,80</x:v>
      </x:c>
      <x:c r="K32" s="12" t="n">
        <x:v>0</x:v>
      </x:c>
      <x:c r="L32" s="12" t="n">
        <x:v>0</x:v>
      </x:c>
      <x:c r="M32" s="12" t="n">
        <x:v>0</x:v>
      </x:c>
      <x:c r="N32" s="12" t="n">
        <x:v>0</x:v>
      </x:c>
      <x:c r="O32" s="12"/>
      <x:c r="P32" s="12" t="n">
        <x:v>80</x:v>
      </x:c>
      <x:c r="R32">
        <x:f t="shared" si="5"/>
      </x:c>
    </x:row>
    <x:row r="33" s="12" customFormat="1" ht="51">
      <x:c r="A33"/>
      <x:c r="B33" s="12" t="str">
        <x:v>item_count_ge_mult</x:v>
      </x:c>
      <x:c r="C33" s="12" t="str">
        <x:v>多层餐盘架</x:v>
      </x:c>
      <x:c r="D33" s="14" t="str">
        <x:v>结算开始
若食物数量≥25
所有食物倍率 ×1.2</x:v>
      </x:c>
      <x:c r="E33" s="12" t="str">
        <x:v>Uncommon</x:v>
      </x:c>
      <x:c r="F33" s="12" t="str">
        <x:v>None</x:v>
      </x:c>
      <x:c r="G33" s="12" t="n">
        <x:v>1.2</x:v>
      </x:c>
      <x:c r="H33" s="12" t="str">
        <x:v>gte:25</x:v>
      </x:c>
      <x:c r="I33" s="12" t="n">
        <x:v>30</x:v>
      </x:c>
      <x:c r="J33" s="12" t="str">
        <x:v>30,80</x:v>
      </x:c>
      <x:c r="K33" s="12" t="n">
        <x:v>0</x:v>
      </x:c>
      <x:c r="L33" s="12" t="n">
        <x:v>0</x:v>
      </x:c>
      <x:c r="M33" s="12" t="n">
        <x:v>0</x:v>
      </x:c>
      <x:c r="N33" s="12" t="n">
        <x:v>0</x:v>
      </x:c>
      <x:c r="O33" s="12"/>
      <x:c r="P33" s="12" t="n">
        <x:v>80</x:v>
      </x:c>
      <x:c r="R33">
        <x:f t="shared" si="5"/>
      </x:c>
    </x:row>
    <x:row r="34" s="12" customFormat="1" ht="34">
      <x:c r="A34"/>
      <x:c r="B34" s="12" t="str">
        <x:v>item_perma_flat_all</x:v>
      </x:c>
      <x:c r="C34" s="12" t="str">
        <x:v>青花调味罐</x:v>
      </x:c>
      <x:c r="D34" s="14" t="str">
        <x:v>获得时
所有食物分数永久 +5</x:v>
      </x:c>
      <x:c r="E34" s="12" t="str">
        <x:v>Common</x:v>
      </x:c>
      <x:c r="F34" s="12" t="str">
        <x:v>None</x:v>
      </x:c>
      <x:c r="G34" s="12" t="n">
        <x:v>5</x:v>
      </x:c>
      <x:c r="H34" s="12"/>
      <x:c r="I34" s="12" t="n">
        <x:v>100</x:v>
      </x:c>
      <x:c r="J34" s="12" t="str">
        <x:v>20,80</x:v>
      </x:c>
      <x:c r="K34" s="12" t="n">
        <x:v>0</x:v>
      </x:c>
      <x:c r="L34" s="12" t="n">
        <x:v>0</x:v>
      </x:c>
      <x:c r="M34" s="12" t="n">
        <x:v>0</x:v>
      </x:c>
      <x:c r="N34" s="12" t="n">
        <x:v>0</x:v>
      </x:c>
      <x:c r="O34" s="12"/>
      <x:c r="P34" s="12" t="n">
        <x:v>40</x:v>
      </x:c>
      <x:c r="R34">
        <x:f t="shared" si="5"/>
      </x:c>
    </x:row>
    <x:row r="35" s="12" customFormat="1" ht="34">
      <x:c r="A35"/>
      <x:c r="B35" t="str">
        <x:v>item_perma_flat_all_plus</x:v>
      </x:c>
      <x:c r="C35" t="str">
        <x:v>成套调味罐</x:v>
      </x:c>
      <x:c r="D35" s="14" t="str">
        <x:v>获得时
当前所有食物分数永久 +10</x:v>
      </x:c>
      <x:c r="E35" s="12" t="str">
        <x:v>Uncommon</x:v>
      </x:c>
      <x:c r="F35" t="str">
        <x:v>None</x:v>
      </x:c>
      <x:c r="G35" t="n">
        <x:v>10</x:v>
      </x:c>
      <x:c r="H35"/>
      <x:c r="I35" t="n">
        <x:v>100</x:v>
      </x:c>
      <x:c r="J35" t="str">
        <x:v>20,80</x:v>
      </x:c>
      <x:c r="K35" t="n">
        <x:v>0</x:v>
      </x:c>
      <x:c r="L35" t="n">
        <x:v>0</x:v>
      </x:c>
      <x:c r="M35" t="n">
        <x:v>0</x:v>
      </x:c>
      <x:c r="N35" t="n">
        <x:v>0</x:v>
      </x:c>
      <x:c r="O35"/>
      <x:c r="P35" t="n">
        <x:v>80</x:v>
      </x:c>
    </x:row>
    <x:row r="36" s="12" customFormat="1" ht="34">
      <x:c r="A36"/>
      <x:c r="B36" s="12" t="str">
        <x:v>item_gold_on_shop</x:v>
      </x:c>
      <x:c r="C36" s="12" t="str">
        <x:v>供货商合影</x:v>
      </x:c>
      <x:c r="D36" s="14" t="str">
        <x:v>进入商店采购
获得15 金币</x:v>
      </x:c>
      <x:c r="E36" s="12" t="str">
        <x:v>Common</x:v>
      </x:c>
      <x:c r="F36" s="12" t="str">
        <x:v>None</x:v>
      </x:c>
      <x:c r="G36" s="12" t="n">
        <x:v>15</x:v>
      </x:c>
      <x:c r="H36"/>
      <x:c r="I36" s="12" t="n">
        <x:v>100</x:v>
      </x:c>
      <x:c r="J36" s="12" t="str">
        <x:v>20,80</x:v>
      </x:c>
      <x:c r="K36" s="12" t="n">
        <x:v>0</x:v>
      </x:c>
      <x:c r="L36" s="12" t="n">
        <x:v>0</x:v>
      </x:c>
      <x:c r="M36" s="12" t="n">
        <x:v>0</x:v>
      </x:c>
      <x:c r="N36" s="12" t="n">
        <x:v>0</x:v>
      </x:c>
      <x:c r="O36" s="12"/>
      <x:c r="P36" s="12" t="n">
        <x:v>40</x:v>
      </x:c>
      <x:c r="R36" t="n">
        <x:f t="shared" ref="R36:R46" si="6">IFERROR(VLOOKUP(E36,$T$7:$AB$12,9,FALSE),0)</x:f>
        <x:v>0</x:v>
      </x:c>
      <x:c r="T36"/>
    </x:row>
    <x:row r="37" s="12" customFormat="1" ht="34">
      <x:c r="A37"/>
      <x:c r="B37" s="12" t="str">
        <x:v>item_extra_interest</x:v>
      </x:c>
      <x:c r="C37" s="12" t="str">
        <x:v>挂墙周历</x:v>
      </x:c>
      <x:c r="D37" s="14" t="str">
        <x:v>将收取利息
添加至每周末尾</x:v>
      </x:c>
      <x:c r="E37" s="12" t="str">
        <x:v>Uncommon</x:v>
      </x:c>
      <x:c r="F37" s="12" t="str">
        <x:v>None</x:v>
      </x:c>
      <x:c r="G37" s="12" t="n">
        <x:v>1</x:v>
      </x:c>
      <x:c r="H37" s="12"/>
      <x:c r="I37" s="12" t="n">
        <x:v>100</x:v>
      </x:c>
      <x:c r="J37" s="12" t="str">
        <x:v>20,80</x:v>
      </x:c>
      <x:c r="K37" s="12" t="n">
        <x:v>0</x:v>
      </x:c>
      <x:c r="L37" s="12" t="n">
        <x:v>0</x:v>
      </x:c>
      <x:c r="M37" s="12" t="n">
        <x:v>0</x:v>
      </x:c>
      <x:c r="N37" s="12" t="n">
        <x:v>0</x:v>
      </x:c>
      <x:c r="O37" s="12"/>
      <x:c r="P37" s="12" t="n">
        <x:v>80</x:v>
      </x:c>
      <x:c r="R37">
        <x:f t="shared" si="6"/>
      </x:c>
    </x:row>
    <x:row r="38" s="12" customFormat="1" ht="17">
      <x:c r="A38"/>
      <x:c r="B38" s="12" t="str">
        <x:v>item_interest_cap</x:v>
      </x:c>
      <x:c r="C38" s="12" t="str">
        <x:v>聚宝盆摆件</x:v>
      </x:c>
      <x:c r="D38" s="14" t="str">
        <x:v>利息上限扩展到100 金币</x:v>
      </x:c>
      <x:c r="E38" s="12" t="str">
        <x:v>Uncommon</x:v>
      </x:c>
      <x:c r="F38" s="12" t="str">
        <x:v>None</x:v>
      </x:c>
      <x:c r="G38" s="12" t="n">
        <x:v>100</x:v>
      </x:c>
      <x:c r="H38" s="12"/>
      <x:c r="I38" s="12" t="n">
        <x:v>30</x:v>
      </x:c>
      <x:c r="J38" s="12" t="str">
        <x:v>30,80</x:v>
      </x:c>
      <x:c r="K38" s="12" t="n">
        <x:v>0</x:v>
      </x:c>
      <x:c r="L38" s="12" t="n">
        <x:v>0</x:v>
      </x:c>
      <x:c r="M38" s="12" t="n">
        <x:v>0</x:v>
      </x:c>
      <x:c r="N38" s="12" t="n">
        <x:v>0</x:v>
      </x:c>
      <x:c r="O38" s="12"/>
      <x:c r="P38" s="12" t="n">
        <x:v>80</x:v>
      </x:c>
      <x:c r="R38">
        <x:f t="shared" si="6"/>
      </x:c>
      <x:c r="T38"/>
    </x:row>
    <x:row r="39" s="12" customFormat="1" ht="51">
      <x:c r="A39"/>
      <x:c r="B39" s="12" t="str">
        <x:v>item_loan</x:v>
      </x:c>
      <x:c r="C39" s="12" t="str">
        <x:v>挂账记录板</x:v>
      </x:c>
      <x:c r="D39" s="14" t="str">
        <x:v>获得100 金币
将失去200 金币的节点行动
添加至本周末尾</x:v>
      </x:c>
      <x:c r="E39" s="12" t="str">
        <x:v>Common</x:v>
      </x:c>
      <x:c r="F39" s="12" t="str">
        <x:v>None</x:v>
      </x:c>
      <x:c r="G39" s="12" t="n">
        <x:v>100</x:v>
      </x:c>
      <x:c r="H39" s="12" t="str">
        <x:v>repay:200</x:v>
      </x:c>
      <x:c r="I39" s="12" t="n">
        <x:v>100</x:v>
      </x:c>
      <x:c r="J39" s="12" t="str">
        <x:v>20,80</x:v>
      </x:c>
      <x:c r="K39" s="12" t="n">
        <x:v>0</x:v>
      </x:c>
      <x:c r="L39" s="12" t="n">
        <x:v>0</x:v>
      </x:c>
      <x:c r="M39" s="12" t="n">
        <x:v>0</x:v>
      </x:c>
      <x:c r="N39" s="12" t="n">
        <x:v>0</x:v>
      </x:c>
      <x:c r="O39" s="12"/>
      <x:c r="P39" s="12" t="n">
        <x:v>40</x:v>
      </x:c>
      <x:c r="R39">
        <x:f t="shared" si="6"/>
      </x:c>
    </x:row>
    <x:row r="40" s="12" customFormat="1" ht="17">
      <x:c r="A40" s="23"/>
      <x:c r="B40" s="23" t="str">
        <x:v>item_timeline_random</x:v>
      </x:c>
      <x:c r="C40" s="23" t="str">
        <x:v>命运骰子</x:v>
      </x:c>
      <x:c r="D40" s="24" t="str">
        <x:v>获得时
打乱未来节点的行动</x:v>
      </x:c>
      <x:c r="E40" s="23" t="str">
        <x:v>Common</x:v>
      </x:c>
      <x:c r="F40" s="23" t="str">
        <x:v>None</x:v>
      </x:c>
      <x:c r="G40" s="23" t="n">
        <x:v>0</x:v>
      </x:c>
      <x:c r="H40" s="23"/>
      <x:c r="I40" s="23" t="n">
        <x:v>100</x:v>
      </x:c>
      <x:c r="J40" s="23" t="str">
        <x:v>20,80</x:v>
      </x:c>
      <x:c r="K40" s="23" t="n">
        <x:v>0</x:v>
      </x:c>
      <x:c r="L40" s="23" t="n">
        <x:v>0</x:v>
      </x:c>
      <x:c r="M40" s="23" t="n">
        <x:v>0</x:v>
      </x:c>
      <x:c r="N40" s="23" t="n">
        <x:v>0</x:v>
      </x:c>
      <x:c r="O40" s="23"/>
      <x:c r="P40" s="23" t="n">
        <x:v>40</x:v>
      </x:c>
      <x:c r="Q40"/>
      <x:c r="R40">
        <x:f t="shared" si="6"/>
      </x:c>
      <x:c r="S40" s="15"/>
      <x:c r="T40"/>
    </x:row>
    <x:row r="41" s="12" customFormat="1" ht="17">
      <x:c r="A41"/>
      <x:c r="B41" s="12" t="str">
        <x:v>item_extra_day</x:v>
      </x:c>
      <x:c r="C41" s="12" t="str">
        <x:v>第八日启程</x:v>
      </x:c>
      <x:c r="D41" s="14" t="str">
        <x:v>每周长度变为8 天</x:v>
      </x:c>
      <x:c r="E41" s="12" t="str">
        <x:v>Uncommon</x:v>
      </x:c>
      <x:c r="F41" s="12" t="str">
        <x:v>None</x:v>
      </x:c>
      <x:c r="G41" s="12" t="n">
        <x:v>8</x:v>
      </x:c>
      <x:c r="H41"/>
      <x:c r="I41" s="12" t="n">
        <x:v>100</x:v>
      </x:c>
      <x:c r="J41" s="12" t="str">
        <x:v>20,80</x:v>
      </x:c>
      <x:c r="K41" s="12" t="n">
        <x:v>0</x:v>
      </x:c>
      <x:c r="L41" s="12" t="n">
        <x:v>0</x:v>
      </x:c>
      <x:c r="M41" s="12" t="n">
        <x:v>0</x:v>
      </x:c>
      <x:c r="N41" s="12" t="n">
        <x:v>0</x:v>
      </x:c>
      <x:c r="O41" s="12"/>
      <x:c r="P41" s="12" t="n">
        <x:v>80</x:v>
      </x:c>
      <x:c r="R41">
        <x:f t="shared" si="6"/>
      </x:c>
    </x:row>
    <x:row r="42" s="12" customFormat="1" ht="17">
      <x:c r="A42"/>
      <x:c r="B42" s="12" t="str">
        <x:v>item_week_minus</x:v>
      </x:c>
      <x:c r="C42" s="12" t="str">
        <x:v>黄铜沙漏</x:v>
      </x:c>
      <x:c r="D42" s="14" t="str">
        <x:v>周数 -1</x:v>
      </x:c>
      <x:c r="E42" s="12" t="str">
        <x:v>Epic</x:v>
      </x:c>
      <x:c r="F42" s="12" t="str">
        <x:v>None</x:v>
      </x:c>
      <x:c r="G42" s="12" t="n">
        <x:v>1</x:v>
      </x:c>
      <x:c r="H42" s="12"/>
      <x:c r="I42" s="12" t="n">
        <x:v>10</x:v>
      </x:c>
      <x:c r="J42" s="12" t="str">
        <x:v>40,80</x:v>
      </x:c>
      <x:c r="K42" s="12" t="n">
        <x:v>0</x:v>
      </x:c>
      <x:c r="L42" s="12" t="n">
        <x:v>0</x:v>
      </x:c>
      <x:c r="M42" s="12" t="n">
        <x:v>0</x:v>
      </x:c>
      <x:c r="N42" s="12" t="n">
        <x:v>0</x:v>
      </x:c>
      <x:c r="O42" s="12"/>
      <x:c r="P42" s="12" t="n">
        <x:v>240</x:v>
      </x:c>
      <x:c r="R42">
        <x:f t="shared" si="6"/>
      </x:c>
    </x:row>
    <x:row r="43" s="12" customFormat="1" ht="34">
      <x:c r="A43"/>
      <x:c r="B43" s="12" t="str">
        <x:v>item_every3_next_mult</x:v>
      </x:c>
      <x:c r="C43" s="12" t="str">
        <x:v>木制节拍器</x:v>
      </x:c>
      <x:c r="D43" s="14" t="str">
        <x:v>每上菜3 个食物后
下个食物倍率 +0.5</x:v>
      </x:c>
      <x:c r="E43" s="12" t="str">
        <x:v>Uncommon</x:v>
      </x:c>
      <x:c r="F43" s="12" t="str">
        <x:v>None</x:v>
      </x:c>
      <x:c r="G43" s="12" t="n">
        <x:v>0.5</x:v>
      </x:c>
      <x:c r="H43" s="12" t="str">
        <x:v>every:3</x:v>
      </x:c>
      <x:c r="I43" s="12" t="n">
        <x:v>100</x:v>
      </x:c>
      <x:c r="J43" s="12" t="str">
        <x:v>20,80</x:v>
      </x:c>
      <x:c r="K43" s="12" t="n">
        <x:v>0</x:v>
      </x:c>
      <x:c r="L43" s="12" t="n">
        <x:v>0</x:v>
      </x:c>
      <x:c r="M43" s="12" t="n">
        <x:v>0</x:v>
      </x:c>
      <x:c r="N43" s="12" t="n">
        <x:v>0</x:v>
      </x:c>
      <x:c r="O43" s="12"/>
      <x:c r="P43" s="12" t="n">
        <x:v>80</x:v>
      </x:c>
      <x:c r="R43">
        <x:f t="shared" si="6"/>
      </x:c>
    </x:row>
    <x:row r="44" s="12" customFormat="1" ht="34">
      <x:c r="A44"/>
      <x:c r="B44" s="12" t="str">
        <x:v>item_first_+2</x:v>
      </x:c>
      <x:c r="C44" s="12" t="str">
        <x:v>迎客灯笼</x:v>
      </x:c>
      <x:c r="D44" s="14" t="str">
        <x:v>首个上菜的食物
倍率 +1</x:v>
      </x:c>
      <x:c r="E44" s="12" t="str">
        <x:v>Common</x:v>
      </x:c>
      <x:c r="F44" s="12" t="str">
        <x:v>None</x:v>
      </x:c>
      <x:c r="G44" s="12" t="n">
        <x:v>1</x:v>
      </x:c>
      <x:c r="H44" s="12" t="str">
        <x:v>index:1</x:v>
      </x:c>
      <x:c r="I44" s="12" t="n">
        <x:v>300</x:v>
      </x:c>
      <x:c r="J44" s="12" t="str">
        <x:v>10,80</x:v>
      </x:c>
      <x:c r="K44" s="12" t="n">
        <x:v>0</x:v>
      </x:c>
      <x:c r="L44" s="12" t="n">
        <x:v>0</x:v>
      </x:c>
      <x:c r="M44" s="12" t="n">
        <x:v>0</x:v>
      </x:c>
      <x:c r="N44" s="12" t="n">
        <x:v>0</x:v>
      </x:c>
      <x:c r="O44" s="12"/>
      <x:c r="P44" s="12" t="n">
        <x:v>40</x:v>
      </x:c>
      <x:c r="R44">
        <x:f t="shared" si="6"/>
      </x:c>
    </x:row>
    <x:row r="45" s="12" customFormat="1" ht="34">
      <x:c r="A45"/>
      <x:c r="B45" s="12" t="str">
        <x:v>item_last_+2</x:v>
      </x:c>
      <x:c r="C45" s="12" t="str">
        <x:v>餐后茶具</x:v>
      </x:c>
      <x:c r="D45" s="14" t="str">
        <x:v>最后上菜的食物
倍率 +1</x:v>
      </x:c>
      <x:c r="E45" s="12" t="str">
        <x:v>Common</x:v>
      </x:c>
      <x:c r="F45" s="12" t="str">
        <x:v>None</x:v>
      </x:c>
      <x:c r="G45" s="12" t="n">
        <x:v>1</x:v>
      </x:c>
      <x:c r="H45" s="12" t="str">
        <x:v>index:-1</x:v>
      </x:c>
      <x:c r="I45" s="12" t="n">
        <x:v>300</x:v>
      </x:c>
      <x:c r="J45" s="12" t="str">
        <x:v>10,80</x:v>
      </x:c>
      <x:c r="K45" s="12" t="n">
        <x:v>0</x:v>
      </x:c>
      <x:c r="L45" s="12" t="n">
        <x:v>0</x:v>
      </x:c>
      <x:c r="M45" s="12" t="n">
        <x:v>0</x:v>
      </x:c>
      <x:c r="N45" s="12" t="n">
        <x:v>0</x:v>
      </x:c>
      <x:c r="O45" s="12"/>
      <x:c r="P45" s="12" t="n">
        <x:v>40</x:v>
      </x:c>
      <x:c r="R45">
        <x:f t="shared" si="6"/>
      </x:c>
    </x:row>
    <x:row r="46" s="12" customFormat="1">
      <x:c r="A46"/>
      <x:c r="B46" s="12" t="str">
        <x:v>item_extra_active_slots</x:v>
      </x:c>
      <x:c r="C46" s="12" t="str">
        <x:v>墙面置物架</x:v>
      </x:c>
      <x:c r="D46" s="12" t="str">
        <x:v>增加2 个消耗品栏</x:v>
      </x:c>
      <x:c r="E46" s="12" t="str">
        <x:v>Common</x:v>
      </x:c>
      <x:c r="F46" s="12" t="str">
        <x:v>None</x:v>
      </x:c>
      <x:c r="G46" s="12" t="n">
        <x:v>2</x:v>
      </x:c>
      <x:c r="H46"/>
      <x:c r="I46" s="12" t="n">
        <x:v>100</x:v>
      </x:c>
      <x:c r="J46" s="12" t="str">
        <x:v>20,80</x:v>
      </x:c>
      <x:c r="K46" s="12" t="n">
        <x:v>0</x:v>
      </x:c>
      <x:c r="L46" s="12" t="n">
        <x:v>0</x:v>
      </x:c>
      <x:c r="M46" s="12" t="n">
        <x:v>0</x:v>
      </x:c>
      <x:c r="N46" s="12" t="n">
        <x:v>0</x:v>
      </x:c>
      <x:c r="O46" s="12"/>
      <x:c r="P46" s="12" t="n">
        <x:v>40</x:v>
      </x:c>
      <x:c r="R46">
        <x:f t="shared" si="6"/>
      </x:c>
      <x:c r="U46"/>
      <x:c r="W46"/>
      <x:c r="X46"/>
    </x:row>
    <x:row r="47" s="12" customFormat="1">
      <x:c r="A47"/>
      <x:c r="B47" t="str">
        <x:v>item_extra_active_slots_max</x:v>
      </x:c>
      <x:c r="C47" s="12" t="str">
        <x:v>整墙储物架</x:v>
      </x:c>
      <x:c r="D47" s="12" t="str">
        <x:v>增加3 个消耗品栏</x:v>
      </x:c>
      <x:c r="E47" s="12" t="str">
        <x:v>Uncommon</x:v>
      </x:c>
      <x:c r="F47" s="12" t="str">
        <x:v>None</x:v>
      </x:c>
      <x:c r="G47" s="12" t="n">
        <x:v>3</x:v>
      </x:c>
      <x:c r="H47" s="12"/>
      <x:c r="I47" s="12" t="n">
        <x:v>100</x:v>
      </x:c>
      <x:c r="J47" s="12" t="str">
        <x:v>20,80</x:v>
      </x:c>
      <x:c r="K47" s="12" t="n">
        <x:v>0</x:v>
      </x:c>
      <x:c r="L47" s="12" t="n">
        <x:v>0</x:v>
      </x:c>
      <x:c r="M47" s="12" t="n">
        <x:v>0</x:v>
      </x:c>
      <x:c r="N47" s="12" t="n">
        <x:v>0</x:v>
      </x:c>
      <x:c r="O47" s="12"/>
      <x:c r="P47" s="12" t="n">
        <x:v>80</x:v>
      </x:c>
      <x:c r="U47"/>
    </x:row>
    <x:row r="48" s="12" customFormat="1" ht="34">
      <x:c r="A48"/>
      <x:c r="B48" s="12" t="str">
        <x:v>item_gold_on_active</x:v>
      </x:c>
      <x:c r="C48" s="12" t="str">
        <x:v>皮面账单夹</x:v>
      </x:c>
      <x:c r="D48" s="14" t="str">
        <x:v>使用消耗品时
获得5 金币</x:v>
      </x:c>
      <x:c r="E48" s="12" t="str">
        <x:v>Common</x:v>
      </x:c>
      <x:c r="F48" s="12" t="str">
        <x:v>None</x:v>
      </x:c>
      <x:c r="G48" s="12" t="n">
        <x:v>5</x:v>
      </x:c>
      <x:c r="H48"/>
      <x:c r="I48" s="12" t="n">
        <x:v>100</x:v>
      </x:c>
      <x:c r="J48" s="12" t="str">
        <x:v>20,80</x:v>
      </x:c>
      <x:c r="K48" s="12" t="n">
        <x:v>0</x:v>
      </x:c>
      <x:c r="L48" s="12" t="n">
        <x:v>0</x:v>
      </x:c>
      <x:c r="M48" s="12" t="n">
        <x:v>0</x:v>
      </x:c>
      <x:c r="N48" s="12" t="n">
        <x:v>0</x:v>
      </x:c>
      <x:c r="O48" s="12"/>
      <x:c r="P48" s="12" t="n">
        <x:v>40</x:v>
      </x:c>
      <x:c r="R48" t="n">
        <x:f t="shared" ref="R48:R57" si="7">IFERROR(VLOOKUP(E48,$T$7:$AB$12,9,FALSE),0)</x:f>
        <x:v>0</x:v>
      </x:c>
    </x:row>
    <x:row r="49" s="12" customFormat="1" ht="34">
      <x:c r="A49"/>
      <x:c r="B49" s="12" t="str">
        <x:v>item_block_active</x:v>
      </x:c>
      <x:c r="C49" s="12" t="str">
        <x:v>封条备品柜</x:v>
      </x:c>
      <x:c r="D49" s="14" t="str">
        <x:v>无法再使用消耗品
立即获得300 金币</x:v>
      </x:c>
      <x:c r="E49" s="12" t="str">
        <x:v>Uncommon</x:v>
      </x:c>
      <x:c r="F49" s="12" t="str">
        <x:v>None</x:v>
      </x:c>
      <x:c r="G49" s="12" t="n">
        <x:v>300</x:v>
      </x:c>
      <x:c r="H49"/>
      <x:c r="I49" s="12" t="n">
        <x:v>100</x:v>
      </x:c>
      <x:c r="J49" s="12" t="str">
        <x:v>20,80</x:v>
      </x:c>
      <x:c r="K49" s="12" t="n">
        <x:v>0</x:v>
      </x:c>
      <x:c r="L49" s="12" t="n">
        <x:v>0</x:v>
      </x:c>
      <x:c r="M49" s="12" t="n">
        <x:v>0</x:v>
      </x:c>
      <x:c r="N49" s="12" t="n">
        <x:v>0</x:v>
      </x:c>
      <x:c r="O49" s="12"/>
      <x:c r="P49" s="12" t="n">
        <x:v>80</x:v>
      </x:c>
      <x:c r="R49">
        <x:f t="shared" si="7"/>
      </x:c>
    </x:row>
    <x:row r="50" s="12" customFormat="1" ht="17">
      <x:c r="A50"/>
      <x:c r="B50" s="12" t="str">
        <x:v>item_flavor_enhance</x:v>
      </x:c>
      <x:c r="C50" s="12" t="str">
        <x:v>彩釉调料瓶组</x:v>
      </x:c>
      <x:c r="D50" s="14" t="str">
        <x:v>为2 个食物添加随机风味</x:v>
      </x:c>
      <x:c r="E50" s="12" t="str">
        <x:v>Common</x:v>
      </x:c>
      <x:c r="F50" s="12" t="str">
        <x:v>None</x:v>
      </x:c>
      <x:c r="G50" s="12" t="n">
        <x:v>2</x:v>
      </x:c>
      <x:c r="H50"/>
      <x:c r="I50" s="12" t="n">
        <x:v>100</x:v>
      </x:c>
      <x:c r="J50" s="12" t="str">
        <x:v>20,80</x:v>
      </x:c>
      <x:c r="K50" s="12" t="n">
        <x:v>0</x:v>
      </x:c>
      <x:c r="L50" s="12" t="n">
        <x:v>0</x:v>
      </x:c>
      <x:c r="M50" s="12" t="n">
        <x:v>0</x:v>
      </x:c>
      <x:c r="N50" s="12" t="n">
        <x:v>0</x:v>
      </x:c>
      <x:c r="O50" s="12"/>
      <x:c r="P50" s="12" t="n">
        <x:v>40</x:v>
      </x:c>
      <x:c r="R50">
        <x:f t="shared" si="7"/>
      </x:c>
    </x:row>
    <x:row r="51" s="12" customFormat="1" ht="34">
      <x:c r="A51"/>
      <x:c r="B51" s="12" t="str">
        <x:v>item_flavor_remove_gold</x:v>
      </x:c>
      <x:c r="C51" s="12" t="str">
        <x:v>复古台秤</x:v>
      </x:c>
      <x:c r="D51" s="14" t="str">
        <x:v>移除1 个食物的风味
获得90 金币</x:v>
      </x:c>
      <x:c r="E51" s="12" t="str">
        <x:v>Common</x:v>
      </x:c>
      <x:c r="F51" s="12" t="str">
        <x:v>None</x:v>
      </x:c>
      <x:c r="G51" s="12" t="n">
        <x:v>90</x:v>
      </x:c>
      <x:c r="H51"/>
      <x:c r="I51" s="12" t="n">
        <x:v>100</x:v>
      </x:c>
      <x:c r="J51" s="12" t="str">
        <x:v>20,80</x:v>
      </x:c>
      <x:c r="K51" s="12" t="n">
        <x:v>0</x:v>
      </x:c>
      <x:c r="L51" s="12" t="n">
        <x:v>0</x:v>
      </x:c>
      <x:c r="M51" s="12" t="n">
        <x:v>0</x:v>
      </x:c>
      <x:c r="N51" s="12" t="n">
        <x:v>0</x:v>
      </x:c>
      <x:c r="O51" s="12"/>
      <x:c r="P51" s="12" t="n">
        <x:v>40</x:v>
      </x:c>
      <x:c r="R51">
        <x:f t="shared" si="7"/>
      </x:c>
    </x:row>
    <x:row r="52" s="12" customFormat="1" ht="34">
      <x:c r="A52"/>
      <x:c r="B52" s="12" t="str">
        <x:v>item_flavor_remove_double</x:v>
      </x:c>
      <x:c r="C52" s="12" t="str">
        <x:v>小石磨</x:v>
      </x:c>
      <x:c r="D52" s="14" t="str">
        <x:v>移除1 个食物的风味
其分数翻倍</x:v>
      </x:c>
      <x:c r="E52" s="12" t="str">
        <x:v>Common</x:v>
      </x:c>
      <x:c r="F52" s="12" t="str">
        <x:v>None</x:v>
      </x:c>
      <x:c r="G52" s="12" t="n">
        <x:v>2</x:v>
      </x:c>
      <x:c r="H52"/>
      <x:c r="I52" s="12" t="n">
        <x:v>100</x:v>
      </x:c>
      <x:c r="J52" s="12" t="str">
        <x:v>20,80</x:v>
      </x:c>
      <x:c r="K52" s="12" t="n">
        <x:v>0</x:v>
      </x:c>
      <x:c r="L52" s="12" t="n">
        <x:v>0</x:v>
      </x:c>
      <x:c r="M52" s="12" t="n">
        <x:v>0</x:v>
      </x:c>
      <x:c r="N52" s="12" t="n">
        <x:v>0</x:v>
      </x:c>
      <x:c r="O52" s="12"/>
      <x:c r="P52" s="12" t="n">
        <x:v>40</x:v>
      </x:c>
      <x:c r="R52">
        <x:f t="shared" si="7"/>
      </x:c>
    </x:row>
    <x:row r="53" s="12" customFormat="1">
      <x:c r="A53"/>
      <x:c r="B53" s="12" t="str">
        <x:v>item_flavor_double_slot</x:v>
      </x:c>
      <x:c r="C53" s="12" t="str">
        <x:v>双格蘸料碟</x:v>
      </x:c>
      <x:c r="D53" s="12" t="str">
        <x:v>食物风味上限变为2</x:v>
      </x:c>
      <x:c r="E53" s="12" t="str">
        <x:v>Epic</x:v>
      </x:c>
      <x:c r="F53" s="12" t="str">
        <x:v>None</x:v>
      </x:c>
      <x:c r="G53" s="12" t="n">
        <x:v>1</x:v>
      </x:c>
      <x:c r="H53"/>
      <x:c r="I53" s="12" t="n">
        <x:v>10</x:v>
      </x:c>
      <x:c r="J53" s="12" t="str">
        <x:v>40,80</x:v>
      </x:c>
      <x:c r="K53" s="12" t="n">
        <x:v>0</x:v>
      </x:c>
      <x:c r="L53" s="12" t="n">
        <x:v>0</x:v>
      </x:c>
      <x:c r="M53" s="12" t="n">
        <x:v>0</x:v>
      </x:c>
      <x:c r="N53" s="12" t="n">
        <x:v>0</x:v>
      </x:c>
      <x:c r="O53" s="12"/>
      <x:c r="P53" s="12" t="n">
        <x:v>240</x:v>
      </x:c>
      <x:c r="R53">
        <x:f t="shared" si="7"/>
      </x:c>
    </x:row>
    <x:row r="54" s="12" customFormat="1" ht="34">
      <x:c r="A54"/>
      <x:c r="B54" s="12" t="str">
        <x:v>item_celltag_enhance</x:v>
      </x:c>
      <x:c r="C54" s="12" t="str">
        <x:v>拼花砖壁饰</x:v>
      </x:c>
      <x:c r="D54" s="14" t="str">
        <x:v>为2 个餐桌格
强化随机材质</x:v>
      </x:c>
      <x:c r="E54" s="12" t="str">
        <x:v>Common</x:v>
      </x:c>
      <x:c r="F54" s="12" t="str">
        <x:v>None</x:v>
      </x:c>
      <x:c r="G54" s="12" t="n">
        <x:v>2</x:v>
      </x:c>
      <x:c r="H54" s="12"/>
      <x:c r="I54" s="12" t="n">
        <x:v>100</x:v>
      </x:c>
      <x:c r="J54" s="12" t="str">
        <x:v>20,80</x:v>
      </x:c>
      <x:c r="K54" s="12" t="n">
        <x:v>0</x:v>
      </x:c>
      <x:c r="L54" s="12" t="n">
        <x:v>0</x:v>
      </x:c>
      <x:c r="M54" s="12" t="n">
        <x:v>0</x:v>
      </x:c>
      <x:c r="N54" s="12" t="n">
        <x:v>0</x:v>
      </x:c>
      <x:c r="O54" s="12"/>
      <x:c r="P54" s="12" t="n">
        <x:v>40</x:v>
      </x:c>
      <x:c r="R54">
        <x:f t="shared" si="7"/>
      </x:c>
    </x:row>
    <x:row r="55" s="12" customFormat="1" ht="34">
      <x:c r="A55"/>
      <x:c r="B55" s="12" t="str">
        <x:v>item_lucky_guarantee</x:v>
      </x:c>
      <x:c r="C55" s="12" t="str">
        <x:v>四叶草标本框</x:v>
      </x:c>
      <x:c r="D55" s="14" t="str">
        <x:v>经历4 个事件后
下个事件一定为奖励</x:v>
      </x:c>
      <x:c r="E55" s="12" t="str">
        <x:v>Rare</x:v>
      </x:c>
      <x:c r="F55" s="12" t="str">
        <x:v>None</x:v>
      </x:c>
      <x:c r="G55" s="12" t="n">
        <x:v>4</x:v>
      </x:c>
      <x:c r="H55" s="12"/>
      <x:c r="I55" s="12" t="n">
        <x:v>30</x:v>
      </x:c>
      <x:c r="J55" s="12" t="str">
        <x:v>30,80</x:v>
      </x:c>
      <x:c r="K55" s="12" t="n">
        <x:v>0</x:v>
      </x:c>
      <x:c r="L55" s="12" t="n">
        <x:v>0</x:v>
      </x:c>
      <x:c r="M55" s="12" t="n">
        <x:v>0</x:v>
      </x:c>
      <x:c r="N55" s="12" t="n">
        <x:v>0</x:v>
      </x:c>
      <x:c r="O55" s="12"/>
      <x:c r="P55" s="12" t="n">
        <x:v>150</x:v>
      </x:c>
      <x:c r="Q55"/>
      <x:c r="R55">
        <x:f t="shared" si="7"/>
      </x:c>
    </x:row>
    <x:row r="56" s="12" customFormat="1" ht="17">
      <x:c r="A56" s="23"/>
      <x:c r="B56" s="23" t="str">
        <x:v>item_lucky_chance</x:v>
      </x:c>
      <x:c r="C56" s="23" t="str">
        <x:v>四叶草福袋</x:v>
      </x:c>
      <x:c r="D56" s="24" t="str">
        <x:v>事件行动中
奖励事件随机权重 +20%</x:v>
      </x:c>
      <x:c r="E56" s="23" t="str">
        <x:v>Rare</x:v>
      </x:c>
      <x:c r="F56" s="23" t="str">
        <x:v>None</x:v>
      </x:c>
      <x:c r="G56" s="23" t="n">
        <x:v>0.2</x:v>
      </x:c>
      <x:c r="H56" s="23"/>
      <x:c r="I56" s="23" t="n">
        <x:v>30</x:v>
      </x:c>
      <x:c r="J56" s="23" t="str">
        <x:v>30,80</x:v>
      </x:c>
      <x:c r="K56" s="23" t="n">
        <x:v>0</x:v>
      </x:c>
      <x:c r="L56" s="23" t="n">
        <x:v>0</x:v>
      </x:c>
      <x:c r="M56" s="23" t="n">
        <x:v>0</x:v>
      </x:c>
      <x:c r="N56" s="23" t="n">
        <x:v>0</x:v>
      </x:c>
      <x:c r="O56" s="23"/>
      <x:c r="P56" s="23" t="n">
        <x:v>150</x:v>
      </x:c>
      <x:c r="Q56"/>
      <x:c r="R56">
        <x:f t="shared" si="7"/>
      </x:c>
    </x:row>
    <x:row r="57" s="12" customFormat="1">
      <x:c r="A57" s="23"/>
      <x:c r="B57" s="23" t="str">
        <x:v>item_more_events</x:v>
      </x:c>
      <x:c r="C57" s="23" t="str">
        <x:v>街角路牌</x:v>
      </x:c>
      <x:c r="D57" s="23" t="str">
        <x:v>事件行动大组
随机权重 +20%</x:v>
      </x:c>
      <x:c r="E57" s="23" t="str">
        <x:v>Common</x:v>
      </x:c>
      <x:c r="F57" s="23" t="str">
        <x:v>None</x:v>
      </x:c>
      <x:c r="G57" s="23" t="n">
        <x:v>0.2</x:v>
      </x:c>
      <x:c r="H57" s="23"/>
      <x:c r="I57" s="23" t="n">
        <x:v>300</x:v>
      </x:c>
      <x:c r="J57" s="23" t="str">
        <x:v>10,80</x:v>
      </x:c>
      <x:c r="K57" s="23" t="n">
        <x:v>0</x:v>
      </x:c>
      <x:c r="L57" s="23" t="n">
        <x:v>0</x:v>
      </x:c>
      <x:c r="M57" s="23" t="n">
        <x:v>0</x:v>
      </x:c>
      <x:c r="N57" s="23" t="n">
        <x:v>0</x:v>
      </x:c>
      <x:c r="O57" s="23"/>
      <x:c r="P57" s="23" t="n">
        <x:v>40</x:v>
      </x:c>
      <x:c r="Q57"/>
      <x:c r="R57">
        <x:f t="shared" si="7"/>
      </x:c>
    </x:row>
    <x:row r="58" s="12" customFormat="1">
      <x:c r="A58" s="20"/>
      <x:c r="B58" s="20" t="str">
        <x:v>item_more_super_actions</x:v>
      </x:c>
      <x:c r="C58" s="20" t="str">
        <x:v>霓虹招牌</x:v>
      </x:c>
      <x:c r="D58" s="20" t="str">
        <x:v>火热营业相关行动大组
随机权重 +50%</x:v>
      </x:c>
      <x:c r="E58" s="20" t="str">
        <x:v>Common</x:v>
      </x:c>
      <x:c r="F58" s="20" t="str">
        <x:v>None</x:v>
      </x:c>
      <x:c r="G58" s="20" t="n">
        <x:v>0.5</x:v>
      </x:c>
      <x:c r="H58" s="20"/>
      <x:c r="I58" s="20" t="n">
        <x:v>100</x:v>
      </x:c>
      <x:c r="J58" s="20" t="str">
        <x:v>20,80</x:v>
      </x:c>
      <x:c r="K58" s="20" t="n">
        <x:v>0</x:v>
      </x:c>
      <x:c r="L58" s="20" t="n">
        <x:v>0</x:v>
      </x:c>
      <x:c r="M58" s="20" t="n">
        <x:v>0</x:v>
      </x:c>
      <x:c r="N58" s="20" t="n">
        <x:v>0</x:v>
      </x:c>
      <x:c r="O58" s="20"/>
      <x:c r="P58" s="20" t="n">
        <x:v>40</x:v>
      </x:c>
      <x:c r="Q58"/>
      <x:c r="R58"/>
    </x:row>
    <x:row r="59" s="12" customFormat="1">
      <x:c r="A59" s="20"/>
      <x:c r="B59" s="20" t="str">
        <x:v>item_slot_win_chance</x:v>
      </x:c>
      <x:c r="C59" s="20" t="str">
        <x:v>彩球抽奖筒</x:v>
      </x:c>
      <x:c r="D59" s="20" t="str">
        <x:v>抽奖机各奖项概率×1.2
空奖概率相应降低</x:v>
      </x:c>
      <x:c r="E59" s="20" t="str">
        <x:v>Uncommon</x:v>
      </x:c>
      <x:c r="F59" s="20" t="str">
        <x:v>None</x:v>
      </x:c>
      <x:c r="G59" s="20" t="n">
        <x:v>0.2</x:v>
      </x:c>
      <x:c r="H59" s="20"/>
      <x:c r="I59" s="20" t="n">
        <x:v>100</x:v>
      </x:c>
      <x:c r="J59" s="20" t="str">
        <x:v>20,80</x:v>
      </x:c>
      <x:c r="K59" s="20" t="n">
        <x:v>0</x:v>
      </x:c>
      <x:c r="L59" s="20" t="n">
        <x:v>0</x:v>
      </x:c>
      <x:c r="M59" s="20" t="n">
        <x:v>0</x:v>
      </x:c>
      <x:c r="N59" s="20" t="n">
        <x:v>0</x:v>
      </x:c>
      <x:c r="O59" s="20"/>
      <x:c r="P59" s="20" t="n">
        <x:v>80</x:v>
      </x:c>
      <x:c r="Q59"/>
      <x:c r="R59"/>
    </x:row>
    <x:row r="60" s="12" customFormat="1">
      <x:c r="A60" s="20"/>
      <x:c r="B60" s="20" t="str">
        <x:v>item_dish_hidden_bonus</x:v>
      </x:c>
      <x:c r="C60" s="20" t="str">
        <x:v>主厨推荐板</x:v>
      </x:c>
      <x:c r="D60" s="20" t="str">
        <x:v>更容易获得更好的食物</x:v>
      </x:c>
      <x:c r="E60" s="20" t="str">
        <x:v>Uncommon</x:v>
      </x:c>
      <x:c r="F60" s="20" t="str">
        <x:v>None</x:v>
      </x:c>
      <x:c r="G60" s="20" t="n">
        <x:v>0</x:v>
      </x:c>
      <x:c r="H60" s="20"/>
      <x:c r="I60" s="20" t="n">
        <x:v>100</x:v>
      </x:c>
      <x:c r="J60" s="20" t="str">
        <x:v>20,80</x:v>
      </x:c>
      <x:c r="K60" s="20" t="n">
        <x:v>0</x:v>
      </x:c>
      <x:c r="L60" s="20" t="n">
        <x:v>5</x:v>
      </x:c>
      <x:c r="M60" s="20" t="n">
        <x:v>0</x:v>
      </x:c>
      <x:c r="N60" s="20" t="n">
        <x:v>0</x:v>
      </x:c>
      <x:c r="O60" s="20"/>
      <x:c r="P60" s="20" t="n">
        <x:v>80</x:v>
      </x:c>
      <x:c r="Q60"/>
      <x:c r="R60"/>
    </x:row>
    <x:row r="61" s="12" customFormat="1">
      <x:c r="A61" s="20"/>
      <x:c r="B61" s="20" t="str">
        <x:v>item_fragment_hidden_bonus</x:v>
      </x:c>
      <x:c r="C61" s="20" t="str">
        <x:v>拼接长桌</x:v>
      </x:c>
      <x:c r="D61" s="20" t="str">
        <x:v>更容易获得更大的餐桌格</x:v>
      </x:c>
      <x:c r="E61" s="20" t="str">
        <x:v>Uncommon</x:v>
      </x:c>
      <x:c r="F61" s="20" t="str">
        <x:v>None</x:v>
      </x:c>
      <x:c r="G61" s="20" t="n">
        <x:v>0</x:v>
      </x:c>
      <x:c r="H61" s="20"/>
      <x:c r="I61" s="20" t="n">
        <x:v>100</x:v>
      </x:c>
      <x:c r="J61" s="20" t="str">
        <x:v>20,80</x:v>
      </x:c>
      <x:c r="K61" s="20" t="n">
        <x:v>0</x:v>
      </x:c>
      <x:c r="L61" s="20" t="n">
        <x:v>0</x:v>
      </x:c>
      <x:c r="M61" s="20" t="n">
        <x:v>0</x:v>
      </x:c>
      <x:c r="N61" s="20" t="n">
        <x:v>5</x:v>
      </x:c>
      <x:c r="O61" s="20"/>
      <x:c r="P61" s="20" t="n">
        <x:v>80</x:v>
      </x:c>
      <x:c r="Q61"/>
      <x:c r="R61"/>
    </x:row>
    <x:row r="62" s="12" customFormat="1">
      <x:c r="A62" s="20"/>
      <x:c r="B62" s="20" t="str">
        <x:v>item_passive_hidden_bonus</x:v>
      </x:c>
      <x:c r="C62" s="20" t="str">
        <x:v>古董展示柜</x:v>
      </x:c>
      <x:c r="D62" s="20" t="str">
        <x:v>更容易获得更好的装饰品</x:v>
      </x:c>
      <x:c r="E62" s="20" t="str">
        <x:v>Uncommon</x:v>
      </x:c>
      <x:c r="F62" s="20" t="str">
        <x:v>None</x:v>
      </x:c>
      <x:c r="G62" s="20" t="n">
        <x:v>0</x:v>
      </x:c>
      <x:c r="H62" s="20"/>
      <x:c r="I62" s="20" t="n">
        <x:v>100</x:v>
      </x:c>
      <x:c r="J62" s="20" t="str">
        <x:v>20,80</x:v>
      </x:c>
      <x:c r="K62" s="20" t="n">
        <x:v>0</x:v>
      </x:c>
      <x:c r="L62" s="20" t="n">
        <x:v>0</x:v>
      </x:c>
      <x:c r="M62" s="20" t="n">
        <x:v>5</x:v>
      </x:c>
      <x:c r="N62" s="20" t="n">
        <x:v>0</x:v>
      </x:c>
      <x:c r="O62" s="20"/>
      <x:c r="P62" s="20" t="n">
        <x:v>80</x:v>
      </x:c>
      <x:c r="Q62"/>
      <x:c r="R62"/>
    </x:row>
    <x:row r="63" s="12" customFormat="1" ht="34">
      <x:c r="A63"/>
      <x:c r="B63" s="12" t="str">
        <x:v>item_gold_on_event</x:v>
      </x:c>
      <x:c r="C63" s="12" t="str">
        <x:v>纪念币展示框</x:v>
      </x:c>
      <x:c r="D63" s="14" t="str">
        <x:v>进入事件时
获得15 金币</x:v>
      </x:c>
      <x:c r="E63" s="12" t="str">
        <x:v>Uncommon</x:v>
      </x:c>
      <x:c r="F63" s="12" t="str">
        <x:v>None</x:v>
      </x:c>
      <x:c r="G63" s="12" t="n">
        <x:v>15</x:v>
      </x:c>
      <x:c r="H63" s="12"/>
      <x:c r="I63" s="12" t="n">
        <x:v>300</x:v>
      </x:c>
      <x:c r="J63" s="12" t="str">
        <x:v>10,80</x:v>
      </x:c>
      <x:c r="K63" s="12" t="n">
        <x:v>0</x:v>
      </x:c>
      <x:c r="L63" s="12" t="n">
        <x:v>0</x:v>
      </x:c>
      <x:c r="M63" s="12" t="n">
        <x:v>0</x:v>
      </x:c>
      <x:c r="N63" s="12" t="n">
        <x:v>0</x:v>
      </x:c>
      <x:c r="O63" s="12"/>
      <x:c r="P63" s="12" t="n">
        <x:v>80</x:v>
      </x:c>
      <x:c r="R63" t="n">
        <x:f t="shared" ref="R63:R76" si="8">IFERROR(VLOOKUP(E63,$T$7:$AB$12,9,FALSE),0)</x:f>
        <x:v>0</x:v>
      </x:c>
    </x:row>
    <x:row r="64" s="12" customFormat="1" ht="17">
      <x:c r="A64"/>
      <x:c r="B64" s="12" t="str">
        <x:v>item_shop_restock</x:v>
      </x:c>
      <x:c r="C64" s="12" t="str">
        <x:v>食材保鲜架</x:v>
      </x:c>
      <x:c r="D64" s="14" t="str">
        <x:v>商店会自动补货食物</x:v>
      </x:c>
      <x:c r="E64" s="12" t="str">
        <x:v>Common</x:v>
      </x:c>
      <x:c r="F64" s="12" t="str">
        <x:v>None</x:v>
      </x:c>
      <x:c r="G64" s="12" t="n">
        <x:v>0</x:v>
      </x:c>
      <x:c r="H64"/>
      <x:c r="I64" s="12" t="n">
        <x:v>30</x:v>
      </x:c>
      <x:c r="J64" s="12" t="str">
        <x:v>30,80</x:v>
      </x:c>
      <x:c r="K64" s="12" t="n">
        <x:v>0</x:v>
      </x:c>
      <x:c r="L64" s="12" t="n">
        <x:v>0</x:v>
      </x:c>
      <x:c r="M64" s="12" t="n">
        <x:v>0</x:v>
      </x:c>
      <x:c r="N64" s="12" t="n">
        <x:v>0</x:v>
      </x:c>
      <x:c r="O64" s="12"/>
      <x:c r="P64" s="12" t="n">
        <x:v>40</x:v>
      </x:c>
      <x:c r="R64">
        <x:f t="shared" si="8"/>
      </x:c>
    </x:row>
    <x:row r="65" s="12" customFormat="1">
      <x:c r="A65"/>
      <x:c r="B65" s="12" t="str">
        <x:v>item_shop_restock_active</x:v>
      </x:c>
      <x:c r="C65" s="12" t="str">
        <x:v>柜台备品篮</x:v>
      </x:c>
      <x:c r="D65" s="12" t="str">
        <x:v>商店会自动补货消耗品</x:v>
      </x:c>
      <x:c r="E65" s="12" t="str">
        <x:v>Common</x:v>
      </x:c>
      <x:c r="F65" s="12" t="str">
        <x:v>None</x:v>
      </x:c>
      <x:c r="G65" s="12" t="n">
        <x:v>0</x:v>
      </x:c>
      <x:c r="H65"/>
      <x:c r="I65" s="12" t="n">
        <x:v>30</x:v>
      </x:c>
      <x:c r="J65" s="12" t="str">
        <x:v>30,80</x:v>
      </x:c>
      <x:c r="K65" s="12" t="n">
        <x:v>0</x:v>
      </x:c>
      <x:c r="L65" s="12" t="n">
        <x:v>0</x:v>
      </x:c>
      <x:c r="M65" s="12" t="n">
        <x:v>0</x:v>
      </x:c>
      <x:c r="N65" s="12" t="n">
        <x:v>0</x:v>
      </x:c>
      <x:c r="O65" s="12"/>
      <x:c r="P65" s="12" t="n">
        <x:v>50</x:v>
      </x:c>
      <x:c r="R65"/>
    </x:row>
    <x:row r="66" s="12" customFormat="1">
      <x:c r="A66"/>
      <x:c r="B66" s="12" t="str">
        <x:v>item_shop_restock_passive</x:v>
      </x:c>
      <x:c r="C66" s="12" t="str">
        <x:v>壁龛摆件墙</x:v>
      </x:c>
      <x:c r="D66" s="12" t="str">
        <x:v>商店会自动补货装饰品</x:v>
      </x:c>
      <x:c r="E66" s="12" t="str">
        <x:v>Common</x:v>
      </x:c>
      <x:c r="F66" s="12" t="str">
        <x:v>None</x:v>
      </x:c>
      <x:c r="G66" s="12" t="n">
        <x:v>0</x:v>
      </x:c>
      <x:c r="H66" s="12"/>
      <x:c r="I66" s="12" t="n">
        <x:v>30</x:v>
      </x:c>
      <x:c r="J66" s="12" t="str">
        <x:v>30,80</x:v>
      </x:c>
      <x:c r="K66" s="12" t="n">
        <x:v>0</x:v>
      </x:c>
      <x:c r="L66" s="12" t="n">
        <x:v>0</x:v>
      </x:c>
      <x:c r="M66" s="12" t="n">
        <x:v>0</x:v>
      </x:c>
      <x:c r="N66" s="12" t="n">
        <x:v>0</x:v>
      </x:c>
      <x:c r="O66" s="12"/>
      <x:c r="P66" s="12" t="n">
        <x:v>50</x:v>
      </x:c>
      <x:c r="R66"/>
    </x:row>
    <x:row r="67" s="12" customFormat="1" ht="34">
      <x:c r="A67"/>
      <x:c r="B67" s="12" t="str">
        <x:v>item_choice_count_plus1</x:v>
      </x:c>
      <x:c r="C67" s="12" t="str">
        <x:v>活页食谱册</x:v>
      </x:c>
      <x:c r="D67" s="14" t="str">
        <x:v>选择食物时
可选数量 +1</x:v>
      </x:c>
      <x:c r="E67" s="12" t="str">
        <x:v>Uncommon</x:v>
      </x:c>
      <x:c r="F67" s="12" t="str">
        <x:v>None</x:v>
      </x:c>
      <x:c r="G67" s="12" t="n">
        <x:v>1</x:v>
      </x:c>
      <x:c r="H67" s="12"/>
      <x:c r="I67" s="12" t="n">
        <x:v>100</x:v>
      </x:c>
      <x:c r="J67" s="12" t="str">
        <x:v>20,80</x:v>
      </x:c>
      <x:c r="K67" s="12" t="n">
        <x:v>0</x:v>
      </x:c>
      <x:c r="L67" s="12" t="n">
        <x:v>0</x:v>
      </x:c>
      <x:c r="M67" s="12" t="n">
        <x:v>0</x:v>
      </x:c>
      <x:c r="N67" s="12" t="n">
        <x:v>0</x:v>
      </x:c>
      <x:c r="O67" s="12"/>
      <x:c r="P67" s="12" t="n">
        <x:v>80</x:v>
      </x:c>
      <x:c r="Q67"/>
      <x:c r="R67">
        <x:f t="shared" si="8"/>
      </x:c>
    </x:row>
    <x:row r="68" s="12" customFormat="1" ht="34">
      <x:c r="A68"/>
      <x:c r="B68" s="12" t="str">
        <x:v>item_extra_food_choice</x:v>
      </x:c>
      <x:c r="C68" s="12" t="str">
        <x:v>点心展示架</x:v>
      </x:c>
      <x:c r="D68" s="14" t="str">
        <x:v>每6 次日常营业
额外获得3选一食物</x:v>
      </x:c>
      <x:c r="E68" s="12" t="str">
        <x:v>Uncommon</x:v>
      </x:c>
      <x:c r="F68" s="12" t="str">
        <x:v>None</x:v>
      </x:c>
      <x:c r="G68" s="12" t="n">
        <x:v>0</x:v>
      </x:c>
      <x:c r="H68" s="12" t="str">
        <x:v>every:6</x:v>
      </x:c>
      <x:c r="I68" s="12" t="n">
        <x:v>100</x:v>
      </x:c>
      <x:c r="J68" s="12" t="str">
        <x:v>20,80</x:v>
      </x:c>
      <x:c r="K68" s="12" t="n">
        <x:v>0</x:v>
      </x:c>
      <x:c r="L68" s="12" t="n">
        <x:v>0</x:v>
      </x:c>
      <x:c r="M68" s="12" t="n">
        <x:v>0</x:v>
      </x:c>
      <x:c r="N68" s="12" t="n">
        <x:v>0</x:v>
      </x:c>
      <x:c r="O68" s="12"/>
      <x:c r="P68" s="12" t="n">
        <x:v>80</x:v>
      </x:c>
      <x:c r="R68">
        <x:f t="shared" si="8"/>
      </x:c>
    </x:row>
    <x:row r="69" s="12" customFormat="1" ht="34">
      <x:c r="A69"/>
      <x:c r="B69" s="12" t="str">
        <x:v>item_extra_item_choice</x:v>
      </x:c>
      <x:c r="C69" s="12" t="str">
        <x:v>杂货展示架</x:v>
      </x:c>
      <x:c r="D69" s="14" t="str">
        <x:v>每4 次火热营业
额外获得3选一装饰品</x:v>
      </x:c>
      <x:c r="E69" s="12" t="str">
        <x:v>Uncommon</x:v>
      </x:c>
      <x:c r="F69" s="12" t="str">
        <x:v>None</x:v>
      </x:c>
      <x:c r="G69" s="12" t="n">
        <x:v>0</x:v>
      </x:c>
      <x:c r="H69" s="12" t="str">
        <x:v>every:4</x:v>
      </x:c>
      <x:c r="I69" s="12" t="n">
        <x:v>100</x:v>
      </x:c>
      <x:c r="J69" s="12" t="str">
        <x:v>20,80</x:v>
      </x:c>
      <x:c r="K69" s="12" t="n">
        <x:v>0</x:v>
      </x:c>
      <x:c r="L69" s="12" t="n">
        <x:v>0</x:v>
      </x:c>
      <x:c r="M69" s="12" t="n">
        <x:v>0</x:v>
      </x:c>
      <x:c r="N69" s="12" t="n">
        <x:v>0</x:v>
      </x:c>
      <x:c r="O69" s="12"/>
      <x:c r="P69" s="12" t="n">
        <x:v>80</x:v>
      </x:c>
      <x:c r="R69">
        <x:f t="shared" si="8"/>
      </x:c>
    </x:row>
    <x:row r="70" s="12" customFormat="1" ht="17">
      <x:c r="A70" s="23"/>
      <x:c r="B70" s="23" t="str">
        <x:v>item_copy_food</x:v>
      </x:c>
      <x:c r="C70" s="23" t="str">
        <x:v>双盖餐盘</x:v>
      </x:c>
      <x:c r="D70" s="24" t="str">
        <x:v>获得时
随机复制1 个已有食物</x:v>
      </x:c>
      <x:c r="E70" s="23" t="str">
        <x:v>Common</x:v>
      </x:c>
      <x:c r="F70" s="23" t="str">
        <x:v>None</x:v>
      </x:c>
      <x:c r="G70" s="23" t="n">
        <x:v>1</x:v>
      </x:c>
      <x:c r="H70" s="23"/>
      <x:c r="I70" s="23" t="n">
        <x:v>100</x:v>
      </x:c>
      <x:c r="J70" s="23" t="str">
        <x:v>20,80</x:v>
      </x:c>
      <x:c r="K70" s="23" t="n">
        <x:v>0</x:v>
      </x:c>
      <x:c r="L70" s="23" t="n">
        <x:v>0</x:v>
      </x:c>
      <x:c r="M70" s="23" t="n">
        <x:v>0</x:v>
      </x:c>
      <x:c r="N70" s="23" t="n">
        <x:v>0</x:v>
      </x:c>
      <x:c r="O70" s="23"/>
      <x:c r="P70" s="23" t="n">
        <x:v>40</x:v>
      </x:c>
      <x:c r="Q70"/>
      <x:c r="R70">
        <x:f t="shared" si="8"/>
      </x:c>
    </x:row>
    <x:row r="71" s="12" customFormat="1">
      <x:c r="A71"/>
      <x:c r="B71" s="12" t="str">
        <x:v>item_discard_negative</x:v>
      </x:c>
      <x:c r="C71" s="12" t="str">
        <x:v>藤编收纳筐</x:v>
      </x:c>
      <x:c r="D71" s="12" t="str">
        <x:v>丢弃两个诅咒装饰品</x:v>
      </x:c>
      <x:c r="E71" s="12" t="str">
        <x:v>Common</x:v>
      </x:c>
      <x:c r="F71" s="12" t="str">
        <x:v>None</x:v>
      </x:c>
      <x:c r="G71" s="12" t="n">
        <x:v>2</x:v>
      </x:c>
      <x:c r="H71"/>
      <x:c r="I71" s="12" t="n">
        <x:v>300</x:v>
      </x:c>
      <x:c r="J71" s="12" t="str">
        <x:v>10,80</x:v>
      </x:c>
      <x:c r="K71" s="12" t="n">
        <x:v>0</x:v>
      </x:c>
      <x:c r="L71" s="12" t="n">
        <x:v>0</x:v>
      </x:c>
      <x:c r="M71" s="12" t="n">
        <x:v>0</x:v>
      </x:c>
      <x:c r="N71" s="12" t="n">
        <x:v>0</x:v>
      </x:c>
      <x:c r="O71" s="12"/>
      <x:c r="P71" s="12" t="n">
        <x:v>40</x:v>
      </x:c>
      <x:c r="R71">
        <x:f t="shared" si="8"/>
      </x:c>
    </x:row>
    <x:row r="72" s="12" customFormat="1" ht="34">
      <x:c r="A72"/>
      <x:c r="B72" s="12" t="str">
        <x:v>item_discard_negative_gold</x:v>
      </x:c>
      <x:c r="C72" s="12" t="str">
        <x:v>旧餐具寄卖架</x:v>
      </x:c>
      <x:c r="D72" s="14" t="str">
        <x:v>丢弃所有诅咒装饰品
每丢弃一个获得30 金币</x:v>
      </x:c>
      <x:c r="E72" s="12" t="str">
        <x:v>Uncommon</x:v>
      </x:c>
      <x:c r="F72" s="12" t="str">
        <x:v>None</x:v>
      </x:c>
      <x:c r="G72" s="12" t="n">
        <x:v>30</x:v>
      </x:c>
      <x:c r="H72" s="12"/>
      <x:c r="I72" s="12" t="n">
        <x:v>100</x:v>
      </x:c>
      <x:c r="J72" s="12" t="str">
        <x:v>20,80</x:v>
      </x:c>
      <x:c r="K72" s="12" t="n">
        <x:v>0</x:v>
      </x:c>
      <x:c r="L72" s="12" t="n">
        <x:v>0</x:v>
      </x:c>
      <x:c r="M72" s="12" t="n">
        <x:v>0</x:v>
      </x:c>
      <x:c r="N72" s="12" t="n">
        <x:v>0</x:v>
      </x:c>
      <x:c r="O72" s="12"/>
      <x:c r="P72" s="12" t="n">
        <x:v>80</x:v>
      </x:c>
      <x:c r="R72">
        <x:f t="shared" si="8"/>
      </x:c>
    </x:row>
    <x:row r="73" s="12" customFormat="1" ht="17">
      <x:c r="A73"/>
      <x:c r="B73" s="12" t="str">
        <x:v>item_gold_meal_penalty</x:v>
      </x:c>
      <x:c r="C73" s="12" t="str">
        <x:v>故障收银机</x:v>
      </x:c>
      <x:c r="D73" s="14" t="str">
        <x:v>营业获得的金币 -20%</x:v>
      </x:c>
      <x:c r="E73" s="12" t="str">
        <x:v>Common</x:v>
      </x:c>
      <x:c r="F73" s="12" t="str">
        <x:v>Negative</x:v>
      </x:c>
      <x:c r="G73" s="12" t="n">
        <x:v>-0.2</x:v>
      </x:c>
      <x:c r="H73" s="12"/>
      <x:c r="I73" s="12" t="n">
        <x:v>300</x:v>
      </x:c>
      <x:c r="J73" s="12" t="str">
        <x:v>10,80</x:v>
      </x:c>
      <x:c r="K73" s="12" t="n">
        <x:v>0</x:v>
      </x:c>
      <x:c r="L73" s="12" t="n">
        <x:v>0</x:v>
      </x:c>
      <x:c r="M73" s="12" t="n">
        <x:v>0</x:v>
      </x:c>
      <x:c r="N73" s="12" t="n">
        <x:v>0</x:v>
      </x:c>
      <x:c r="O73" s="12"/>
      <x:c r="P73" s="12" t="n">
        <x:v>40</x:v>
      </x:c>
      <x:c r="Q73"/>
      <x:c r="R73">
        <x:f t="shared" si="8"/>
      </x:c>
    </x:row>
    <x:row r="74" s="12" customFormat="1" ht="17">
      <x:c r="A74"/>
      <x:c r="B74" s="12" t="str">
        <x:v>item_shop_price_up</x:v>
      </x:c>
      <x:c r="C74" s="12" t="str">
        <x:v>破损商品架</x:v>
      </x:c>
      <x:c r="D74" s="14" t="str">
        <x:v>商店与删除食物价格 +20%</x:v>
      </x:c>
      <x:c r="E74" s="12" t="str">
        <x:v>Common</x:v>
      </x:c>
      <x:c r="F74" s="12" t="str">
        <x:v>Negative</x:v>
      </x:c>
      <x:c r="G74" s="12" t="n">
        <x:v>0.2</x:v>
      </x:c>
      <x:c r="H74" s="12"/>
      <x:c r="I74" s="12" t="n">
        <x:v>300</x:v>
      </x:c>
      <x:c r="J74" s="12" t="str">
        <x:v>10,80</x:v>
      </x:c>
      <x:c r="K74" s="12" t="n">
        <x:v>0</x:v>
      </x:c>
      <x:c r="L74" s="12" t="n">
        <x:v>0</x:v>
      </x:c>
      <x:c r="M74" s="12" t="n">
        <x:v>0</x:v>
      </x:c>
      <x:c r="N74" s="12" t="n">
        <x:v>0</x:v>
      </x:c>
      <x:c r="O74" s="12"/>
      <x:c r="P74" s="12" t="n">
        <x:v>40</x:v>
      </x:c>
      <x:c r="Q74"/>
      <x:c r="R74">
        <x:f t="shared" si="8"/>
      </x:c>
    </x:row>
    <x:row r="75" s="12" customFormat="1" ht="17">
      <x:c r="A75"/>
      <x:c r="B75" s="12" t="str">
        <x:v>item_no_remove</x:v>
      </x:c>
      <x:c r="C75" s="12" t="str">
        <x:v>上锁食品柜</x:v>
      </x:c>
      <x:c r="D75" s="14" t="str">
        <x:v>无法再删除食物</x:v>
      </x:c>
      <x:c r="E75" s="12" t="str">
        <x:v>Common</x:v>
      </x:c>
      <x:c r="F75" s="12" t="str">
        <x:v>Negative</x:v>
      </x:c>
      <x:c r="G75" s="12" t="n">
        <x:v>0</x:v>
      </x:c>
      <x:c r="H75"/>
      <x:c r="I75" s="12" t="n">
        <x:v>300</x:v>
      </x:c>
      <x:c r="J75" s="12" t="str">
        <x:v>10,80</x:v>
      </x:c>
      <x:c r="K75" s="12" t="n">
        <x:v>0</x:v>
      </x:c>
      <x:c r="L75" s="12" t="n">
        <x:v>0</x:v>
      </x:c>
      <x:c r="M75" s="12" t="n">
        <x:v>0</x:v>
      </x:c>
      <x:c r="N75" s="12" t="n">
        <x:v>0</x:v>
      </x:c>
      <x:c r="O75" s="12"/>
      <x:c r="P75" s="12" t="n">
        <x:v>40</x:v>
      </x:c>
      <x:c r="R75">
        <x:f t="shared" si="8"/>
      </x:c>
    </x:row>
    <x:row r="76" s="12" customFormat="1">
      <x:c r="A76"/>
      <x:c r="B76" s="12" t="str">
        <x:v>item_skip_node</x:v>
      </x:c>
      <x:c r="C76" s="12" t="str">
        <x:v>落灰打卡钟</x:v>
      </x:c>
      <x:c r="D76" s="12" t="str">
        <x:v>跳过下一个收取利息节点</x:v>
      </x:c>
      <x:c r="E76" s="12" t="str">
        <x:v>Common</x:v>
      </x:c>
      <x:c r="F76" s="12" t="str">
        <x:v>Negative</x:v>
      </x:c>
      <x:c r="G76" s="12" t="n">
        <x:v>1</x:v>
      </x:c>
      <x:c r="H76"/>
      <x:c r="I76" s="12" t="n">
        <x:v>300</x:v>
      </x:c>
      <x:c r="J76" s="12" t="str">
        <x:v>10,80</x:v>
      </x:c>
      <x:c r="K76" s="12" t="n">
        <x:v>0</x:v>
      </x:c>
      <x:c r="L76" s="12" t="n">
        <x:v>0</x:v>
      </x:c>
      <x:c r="M76" s="12" t="n">
        <x:v>0</x:v>
      </x:c>
      <x:c r="N76" s="12" t="n">
        <x:v>0</x:v>
      </x:c>
      <x:c r="O76" s="12"/>
      <x:c r="P76" s="12" t="n">
        <x:v>40</x:v>
      </x:c>
      <x:c r="Q76"/>
      <x:c r="R76">
        <x:f t="shared" si="8"/>
      </x:c>
    </x:row>
    <x:row r="77" s="12" customFormat="1">
      <x:c r="A77"/>
      <x:c r="B77" s="12" t="str">
        <x:v>item_skip_reward_node</x:v>
      </x:c>
      <x:c r="C77" s="12" t="str">
        <x:v>褪色招财猫</x:v>
      </x:c>
      <x:c r="D77" s="12" t="str">
        <x:v>跳过下一个幸运事件节点</x:v>
      </x:c>
      <x:c r="E77" s="12" t="str">
        <x:v>Common</x:v>
      </x:c>
      <x:c r="F77" s="12" t="str">
        <x:v>Negative</x:v>
      </x:c>
      <x:c r="G77" s="12" t="n">
        <x:v>1</x:v>
      </x:c>
      <x:c r="H77"/>
      <x:c r="I77" s="12" t="n">
        <x:v>300</x:v>
      </x:c>
      <x:c r="J77" s="12" t="str">
        <x:v>10,80</x:v>
      </x:c>
      <x:c r="K77" s="12" t="n">
        <x:v>0</x:v>
      </x:c>
      <x:c r="L77" s="12" t="n">
        <x:v>0</x:v>
      </x:c>
      <x:c r="M77" s="12" t="n">
        <x:v>0</x:v>
      </x:c>
      <x:c r="N77" s="12" t="n">
        <x:v>0</x:v>
      </x:c>
      <x:c r="O77" s="12"/>
      <x:c r="P77" s="12" t="n">
        <x:v>50</x:v>
      </x:c>
      <x:c r="Q77"/>
      <x:c r="R77"/>
    </x:row>
    <x:row r="78" s="12" customFormat="1">
      <x:c r="A78"/>
      <x:c r="B78" s="12" t="str">
        <x:v>item_choice_minus1</x:v>
      </x:c>
      <x:c r="C78" s="12" t="str">
        <x:v>缺角食谱板</x:v>
      </x:c>
      <x:c r="D78" s="12" t="str">
        <x:v>多选一食物时
可选数量 -1</x:v>
      </x:c>
      <x:c r="E78" s="12" t="str">
        <x:v>Common</x:v>
      </x:c>
      <x:c r="F78" s="12" t="str">
        <x:v>Negative</x:v>
      </x:c>
      <x:c r="G78" s="12" t="n">
        <x:v>-1</x:v>
      </x:c>
      <x:c r="H78"/>
      <x:c r="I78" s="12" t="n">
        <x:v>300</x:v>
      </x:c>
      <x:c r="J78" s="12" t="str">
        <x:v>10,80</x:v>
      </x:c>
      <x:c r="K78" s="12" t="n">
        <x:v>0</x:v>
      </x:c>
      <x:c r="L78" s="12" t="n">
        <x:v>0</x:v>
      </x:c>
      <x:c r="M78" s="12" t="n">
        <x:v>0</x:v>
      </x:c>
      <x:c r="N78" s="12" t="n">
        <x:v>0</x:v>
      </x:c>
      <x:c r="O78" s="12"/>
      <x:c r="P78" s="12" t="n">
        <x:v>40</x:v>
      </x:c>
      <x:c r="Q78"/>
      <x:c r="R78" t="n">
        <x:f t="shared" ref="R78:R82" si="9">IFERROR(VLOOKUP(E78,$T$7:$AB$12,9,FALSE),0)</x:f>
        <x:v>0</x:v>
      </x:c>
    </x:row>
    <x:row r="79" s="12" customFormat="1" ht="17">
      <x:c r="A79"/>
      <x:c r="B79" s="12" t="str">
        <x:v>item_req_normal_up</x:v>
      </x:c>
      <x:c r="C79" s="12" t="str">
        <x:v>挑剔留言簿</x:v>
      </x:c>
      <x:c r="D79" s="14" t="str">
        <x:v>日常营业目标美味值 +20%</x:v>
      </x:c>
      <x:c r="E79" s="12" t="str">
        <x:v>Common</x:v>
      </x:c>
      <x:c r="F79" s="12" t="str">
        <x:v>Negative</x:v>
      </x:c>
      <x:c r="G79" s="12" t="n">
        <x:v>0.2</x:v>
      </x:c>
      <x:c r="H79" s="12"/>
      <x:c r="I79" s="12" t="n">
        <x:v>300</x:v>
      </x:c>
      <x:c r="J79" s="12" t="str">
        <x:v>10,80</x:v>
      </x:c>
      <x:c r="K79" s="12" t="n">
        <x:v>0</x:v>
      </x:c>
      <x:c r="L79" s="12" t="n">
        <x:v>0</x:v>
      </x:c>
      <x:c r="M79" s="12" t="n">
        <x:v>0</x:v>
      </x:c>
      <x:c r="N79" s="12" t="n">
        <x:v>0</x:v>
      </x:c>
      <x:c r="O79" s="12"/>
      <x:c r="P79" s="12" t="n">
        <x:v>40</x:v>
      </x:c>
      <x:c r="Q79"/>
      <x:c r="R79">
        <x:f t="shared" si="9"/>
      </x:c>
    </x:row>
    <x:row r="80" s="12" customFormat="1">
      <x:c r="A80"/>
      <x:c r="B80" s="12" t="str">
        <x:v>item_req_super_up</x:v>
      </x:c>
      <x:c r="C80" s="12" t="str">
        <x:v>爆单警示灯</x:v>
      </x:c>
      <x:c r="D80" s="12" t="str">
        <x:v>火热营业目标美味值 +20%</x:v>
      </x:c>
      <x:c r="E80" s="12" t="str">
        <x:v>Common</x:v>
      </x:c>
      <x:c r="F80" s="12" t="str">
        <x:v>Negative</x:v>
      </x:c>
      <x:c r="G80" s="12" t="n">
        <x:v>0.2</x:v>
      </x:c>
      <x:c r="H80"/>
      <x:c r="I80" s="12" t="n">
        <x:v>300</x:v>
      </x:c>
      <x:c r="J80" s="12" t="str">
        <x:v>10,80</x:v>
      </x:c>
      <x:c r="K80" s="12" t="n">
        <x:v>0</x:v>
      </x:c>
      <x:c r="L80" s="12" t="n">
        <x:v>0</x:v>
      </x:c>
      <x:c r="M80" s="12" t="n">
        <x:v>0</x:v>
      </x:c>
      <x:c r="N80" s="12" t="n">
        <x:v>0</x:v>
      </x:c>
      <x:c r="O80" s="12"/>
      <x:c r="P80" s="12" t="n">
        <x:v>40</x:v>
      </x:c>
      <x:c r="Q80"/>
      <x:c r="R80">
        <x:f t="shared" si="9"/>
      </x:c>
    </x:row>
    <x:row r="81" s="12" customFormat="1">
      <x:c r="A81"/>
      <x:c r="B81" s="12" t="str">
        <x:v>item_req_feast_up</x:v>
      </x:c>
      <x:c r="C81" s="12" t="str">
        <x:v>评鉴整改书</x:v>
      </x:c>
      <x:c r="D81" s="12" t="str">
        <x:v>星级评鉴目标美味值 +20%</x:v>
      </x:c>
      <x:c r="E81" s="12" t="str">
        <x:v>Common</x:v>
      </x:c>
      <x:c r="F81" s="12" t="str">
        <x:v>Negative</x:v>
      </x:c>
      <x:c r="G81" s="12" t="n">
        <x:v>0.2</x:v>
      </x:c>
      <x:c r="H81"/>
      <x:c r="I81" s="12" t="n">
        <x:v>300</x:v>
      </x:c>
      <x:c r="J81" s="12" t="str">
        <x:v>10,80</x:v>
      </x:c>
      <x:c r="K81" s="12" t="n">
        <x:v>0</x:v>
      </x:c>
      <x:c r="L81" s="12" t="n">
        <x:v>0</x:v>
      </x:c>
      <x:c r="M81" s="12" t="n">
        <x:v>0</x:v>
      </x:c>
      <x:c r="N81" s="12" t="n">
        <x:v>0</x:v>
      </x:c>
      <x:c r="O81" s="12"/>
      <x:c r="P81" s="12" t="n">
        <x:v>40</x:v>
      </x:c>
      <x:c r="Q81"/>
      <x:c r="R81">
        <x:f t="shared" si="9"/>
      </x:c>
    </x:row>
    <x:row r="82" s="12" customFormat="1" ht="34">
      <x:c r="A82"/>
      <x:c r="B82" s="12" t="str">
        <x:v>item_gold_week_clear</x:v>
      </x:c>
      <x:c r="C82" s="12" t="str">
        <x:v>逾期账单夹</x:v>
      </x:c>
      <x:c r="D82" s="14" t="str">
        <x:v>将失去所有金币的节点行动
添加至本周末尾</x:v>
      </x:c>
      <x:c r="E82" s="12" t="str">
        <x:v>Common</x:v>
      </x:c>
      <x:c r="F82" s="12" t="str">
        <x:v>Negative</x:v>
      </x:c>
      <x:c r="G82" s="12" t="n">
        <x:v>0</x:v>
      </x:c>
      <x:c r="H82"/>
      <x:c r="I82" s="12" t="n">
        <x:v>300</x:v>
      </x:c>
      <x:c r="J82" s="12" t="str">
        <x:v>10,80</x:v>
      </x:c>
      <x:c r="K82" s="12" t="n">
        <x:v>0</x:v>
      </x:c>
      <x:c r="L82" s="12" t="n">
        <x:v>0</x:v>
      </x:c>
      <x:c r="M82" s="12" t="n">
        <x:v>0</x:v>
      </x:c>
      <x:c r="N82" s="12" t="n">
        <x:v>0</x:v>
      </x:c>
      <x:c r="O82" s="12"/>
      <x:c r="P82" s="12" t="n">
        <x:v>40</x:v>
      </x:c>
      <x:c r="Q82"/>
      <x:c r="R82">
        <x:f t="shared" si="9"/>
      </x:c>
    </x:row>
    <x:row r="83" s="12" customFormat="1" ht="34">
      <x:c r="A83"/>
      <x:c r="B83" s="12" t="str">
        <x:v>item_double_daily_cost_repeat_node</x:v>
      </x:c>
      <x:c r="C83" s="12" t="str">
        <x:v>双栏排班板</x:v>
      </x:c>
      <x:c r="D83" s="14" t="str">
        <x:v>普通行动消耗天数加倍
节点行动可以执行2 次</x:v>
      </x:c>
      <x:c r="E83" s="12" t="str">
        <x:v>Rare</x:v>
      </x:c>
      <x:c r="F83" s="12" t="str">
        <x:v>None</x:v>
      </x:c>
      <x:c r="G83" s="12" t="n">
        <x:v>2</x:v>
      </x:c>
      <x:c r="H83" s="12" t="str">
        <x:v>repeat:2</x:v>
      </x:c>
      <x:c r="I83" s="12" t="n">
        <x:v>300</x:v>
      </x:c>
      <x:c r="J83" s="12" t="str">
        <x:v>10,80</x:v>
      </x:c>
      <x:c r="K83" s="12" t="n">
        <x:v>0</x:v>
      </x:c>
      <x:c r="L83" s="12" t="n">
        <x:v>0</x:v>
      </x:c>
      <x:c r="M83" s="12" t="n">
        <x:v>0</x:v>
      </x:c>
      <x:c r="N83" s="12" t="n">
        <x:v>0</x:v>
      </x:c>
      <x:c r="O83" s="12"/>
      <x:c r="P83" s="12" t="n">
        <x:v>50</x:v>
      </x:c>
      <x:c r="Q83"/>
      <x:c r="R83"/>
    </x:row>
    <x:row r="84" s="12" customFormat="1" ht="34">
      <x:c r="A84"/>
      <x:c r="B84" s="12" t="str">
        <x:v>item_timeline_stop_chance</x:v>
      </x:c>
      <x:c r="C84" s="12" t="str">
        <x:v>停摆挂钟</x:v>
      </x:c>
      <x:c r="D84" s="14" t="str">
        <x:v>遇到节点行动时
时间轴有30%概率会停止</x:v>
      </x:c>
      <x:c r="E84" s="12" t="str">
        <x:v>Rare</x:v>
      </x:c>
      <x:c r="F84" s="12" t="str">
        <x:v>None</x:v>
      </x:c>
      <x:c r="G84" s="12" t="n">
        <x:v>0.3</x:v>
      </x:c>
      <x:c r="H84"/>
      <x:c r="I84" s="12" t="n">
        <x:v>100</x:v>
      </x:c>
      <x:c r="J84" s="12" t="str">
        <x:v>20,80</x:v>
      </x:c>
      <x:c r="K84" s="12" t="n">
        <x:v>0</x:v>
      </x:c>
      <x:c r="L84" s="12" t="n">
        <x:v>0</x:v>
      </x:c>
      <x:c r="M84" s="12" t="n">
        <x:v>0</x:v>
      </x:c>
      <x:c r="N84" s="12" t="n">
        <x:v>0</x:v>
      </x:c>
      <x:c r="O84" s="12"/>
      <x:c r="P84" s="12" t="n">
        <x:v>80</x:v>
      </x:c>
      <x:c r="Q84"/>
      <x:c r="R84"/>
    </x:row>
    <x:row r="85" s="12" customFormat="1">
      <x:c r="A85"/>
      <x:c r="B85" s="12" t="str">
        <x:v>item_count_as_all</x:v>
      </x:c>
      <x:c r="C85" s="12" t="str">
        <x:v>九格拼盘</x:v>
      </x:c>
      <x:c r="D85" s="12" t="str">
        <x:v>所有食物额外被视为2 个食物</x:v>
      </x:c>
      <x:c r="E85" s="12" t="str">
        <x:v>Epic</x:v>
      </x:c>
      <x:c r="F85" s="12" t="str">
        <x:v>None</x:v>
      </x:c>
      <x:c r="G85" s="12" t="n">
        <x:v>2</x:v>
      </x:c>
      <x:c r="H85"/>
      <x:c r="I85" s="12" t="n">
        <x:v>10</x:v>
      </x:c>
      <x:c r="J85" s="12" t="str">
        <x:v>40,80</x:v>
      </x:c>
      <x:c r="K85" s="12" t="n">
        <x:v>0</x:v>
      </x:c>
      <x:c r="L85" s="12" t="n">
        <x:v>0</x:v>
      </x:c>
      <x:c r="M85" s="12" t="n">
        <x:v>0</x:v>
      </x:c>
      <x:c r="N85" s="12" t="n">
        <x:v>0</x:v>
      </x:c>
      <x:c r="O85" s="12" t="str">
        <x:v>term_food_count_as</x:v>
      </x:c>
      <x:c r="P85" s="12" t="n">
        <x:v>240</x:v>
      </x:c>
      <x:c r="R85" t="n">
        <x:f t="shared" ref="R85:R94" si="10">IFERROR(VLOOKUP(E85,$T$7:$AB$12,9,FALSE),0)</x:f>
        <x:v>0</x:v>
      </x:c>
    </x:row>
    <x:row r="86" s="12" customFormat="1" ht="34">
      <x:c r="A86"/>
      <x:c r="B86" s="12" t="str">
        <x:v>item_transfer_target_mult</x:v>
      </x:c>
      <x:c r="C86" s="12" t="str">
        <x:v>大号糖果盘</x:v>
      </x:c>
      <x:c r="D86" s="14" t="str">
        <x:v>甜蜜传递时
每个被传递方倍率 +0.1</x:v>
      </x:c>
      <x:c r="E86" s="12" t="str">
        <x:v>Rare</x:v>
      </x:c>
      <x:c r="F86" s="12" t="str">
        <x:v>None</x:v>
      </x:c>
      <x:c r="G86" s="12" t="n">
        <x:v>0.1</x:v>
      </x:c>
      <x:c r="H86"/>
      <x:c r="I86" s="12" t="n">
        <x:v>10</x:v>
      </x:c>
      <x:c r="J86" s="12" t="str">
        <x:v>40,80</x:v>
      </x:c>
      <x:c r="K86" s="12" t="n">
        <x:v>0</x:v>
      </x:c>
      <x:c r="L86" s="12" t="n">
        <x:v>0</x:v>
      </x:c>
      <x:c r="M86" s="12" t="n">
        <x:v>0</x:v>
      </x:c>
      <x:c r="N86" s="12" t="n">
        <x:v>0</x:v>
      </x:c>
      <x:c r="O86" s="12" t="str">
        <x:v>term_sweet_transfer</x:v>
      </x:c>
      <x:c r="P86" s="12" t="n">
        <x:v>150</x:v>
      </x:c>
      <x:c r="Q86"/>
      <x:c r="R86">
        <x:f t="shared" si="10"/>
      </x:c>
    </x:row>
    <x:row r="87" s="12" customFormat="1" ht="34">
      <x:c r="A87"/>
      <x:c r="B87" s="12" t="str">
        <x:v>item_transfer_source_mult</x:v>
      </x:c>
      <x:c r="C87" s="12" t="str">
        <x:v>长嘴糖浆壶</x:v>
      </x:c>
      <x:c r="D87" s="14" t="str">
        <x:v>甜蜜传递时
传递方每成功传递1 个目标
倍率 +0.1</x:v>
      </x:c>
      <x:c r="E87" s="12" t="str">
        <x:v>Rare</x:v>
      </x:c>
      <x:c r="F87" s="12" t="str">
        <x:v>None</x:v>
      </x:c>
      <x:c r="G87" s="12" t="n">
        <x:v>0.1</x:v>
      </x:c>
      <x:c r="H87"/>
      <x:c r="I87" s="12" t="n">
        <x:v>10</x:v>
      </x:c>
      <x:c r="J87" s="12" t="str">
        <x:v>40,80</x:v>
      </x:c>
      <x:c r="K87" s="12" t="n">
        <x:v>0</x:v>
      </x:c>
      <x:c r="L87" s="12" t="n">
        <x:v>0</x:v>
      </x:c>
      <x:c r="M87" s="12" t="n">
        <x:v>0</x:v>
      </x:c>
      <x:c r="N87" s="12" t="n">
        <x:v>0</x:v>
      </x:c>
      <x:c r="O87" s="12" t="str">
        <x:v>term_sweet_transfer</x:v>
      </x:c>
      <x:c r="P87" s="12" t="n">
        <x:v>150</x:v>
      </x:c>
      <x:c r="Q87"/>
      <x:c r="R87">
        <x:f t="shared" si="10"/>
      </x:c>
    </x:row>
    <x:row r="88" s="12" customFormat="1" ht="34">
      <x:c r="A88"/>
      <x:c r="B88" s="12" t="str">
        <x:v>item_skill_count_mult</x:v>
      </x:c>
      <x:c r="C88" s="12" t="str">
        <x:v>主厨刀架</x:v>
      </x:c>
      <x:c r="D88" s="14" t="str">
        <x:v>结算时每有1 个技能
倍率 +0.2</x:v>
      </x:c>
      <x:c r="E88" s="12" t="str">
        <x:v>Rare</x:v>
      </x:c>
      <x:c r="F88" s="12" t="str">
        <x:v>None</x:v>
      </x:c>
      <x:c r="G88" s="12" t="n">
        <x:v>0.2</x:v>
      </x:c>
      <x:c r="H88"/>
      <x:c r="I88" s="12" t="n">
        <x:v>100</x:v>
      </x:c>
      <x:c r="J88" s="12" t="str">
        <x:v>20,80</x:v>
      </x:c>
      <x:c r="K88" s="12" t="n">
        <x:v>0</x:v>
      </x:c>
      <x:c r="L88" s="12" t="n">
        <x:v>0</x:v>
      </x:c>
      <x:c r="M88" s="12" t="n">
        <x:v>0</x:v>
      </x:c>
      <x:c r="N88" s="12" t="n">
        <x:v>0</x:v>
      </x:c>
      <x:c r="O88" s="12"/>
      <x:c r="P88" s="12" t="n">
        <x:v>150</x:v>
      </x:c>
      <x:c r="Q88"/>
      <x:c r="R88">
        <x:f t="shared" si="10"/>
      </x:c>
    </x:row>
    <x:row r="89" s="12" customFormat="1" ht="34">
      <x:c r="A89"/>
      <x:c r="B89" s="12" t="str">
        <x:v>item_gold_on_transfer</x:v>
      </x:c>
      <x:c r="C89" s="12" t="str">
        <x:v>黄铜传菜铃</x:v>
      </x:c>
      <x:c r="D89" s="14" t="str">
        <x:v>累计甜蜜传递10 次后
获得10 金币（仅一次）</x:v>
      </x:c>
      <x:c r="E89" s="12" t="str">
        <x:v>Uncommon</x:v>
      </x:c>
      <x:c r="F89" s="12" t="str">
        <x:v>None</x:v>
      </x:c>
      <x:c r="G89" s="12" t="n">
        <x:v>10</x:v>
      </x:c>
      <x:c r="H89" s="12" t="str">
        <x:v>count:10</x:v>
      </x:c>
      <x:c r="I89" s="12" t="n">
        <x:v>100</x:v>
      </x:c>
      <x:c r="J89" s="12" t="str">
        <x:v>20,80</x:v>
      </x:c>
      <x:c r="K89" s="12" t="n">
        <x:v>0</x:v>
      </x:c>
      <x:c r="L89" s="12" t="n">
        <x:v>0</x:v>
      </x:c>
      <x:c r="M89" s="12" t="n">
        <x:v>0</x:v>
      </x:c>
      <x:c r="N89" s="12" t="n">
        <x:v>0</x:v>
      </x:c>
      <x:c r="O89" s="12" t="str">
        <x:v>term_sweet_transfer</x:v>
      </x:c>
      <x:c r="P89" s="12" t="n">
        <x:v>80</x:v>
      </x:c>
      <x:c r="Q89"/>
      <x:c r="R89">
        <x:f t="shared" si="10"/>
      </x:c>
    </x:row>
    <x:row r="90" s="12" customFormat="1" ht="34">
      <x:c r="A90"/>
      <x:c r="B90" s="12" t="str">
        <x:v>item_cake_retain</x:v>
      </x:c>
      <x:c r="C90" s="12" t="str">
        <x:v>玻璃蛋糕罩</x:v>
      </x:c>
      <x:c r="D90" s="14" t="str">
        <x:v>保留20%的蛋糕层数
至下一场经营挑战</x:v>
      </x:c>
      <x:c r="E90" s="12" t="str">
        <x:v>Epic</x:v>
      </x:c>
      <x:c r="F90" s="12" t="str">
        <x:v>None</x:v>
      </x:c>
      <x:c r="G90" s="12" t="n">
        <x:v>0.2</x:v>
      </x:c>
      <x:c r="H90"/>
      <x:c r="I90" s="12" t="n">
        <x:v>10</x:v>
      </x:c>
      <x:c r="J90" s="12" t="str">
        <x:v>40,80</x:v>
      </x:c>
      <x:c r="K90" s="12" t="n">
        <x:v>0</x:v>
      </x:c>
      <x:c r="L90" s="12" t="n">
        <x:v>0</x:v>
      </x:c>
      <x:c r="M90" s="12" t="n">
        <x:v>0</x:v>
      </x:c>
      <x:c r="N90" s="12" t="n">
        <x:v>0</x:v>
      </x:c>
      <x:c r="O90" s="12" t="str">
        <x:v>clb</x:v>
      </x:c>
      <x:c r="P90" s="12" t="n">
        <x:v>240</x:v>
      </x:c>
      <x:c r="Q90"/>
      <x:c r="R90">
        <x:f t="shared" si="10"/>
      </x:c>
    </x:row>
    <x:row r="91" s="12" customFormat="1" ht="34">
      <x:c r="A91"/>
      <x:c r="B91" s="12" t="str">
        <x:v>item_cake_init_bonus</x:v>
      </x:c>
      <x:c r="C91" s="12" t="str">
        <x:v>厚底蛋糕托</x:v>
      </x:c>
      <x:c r="D91" s="14" t="str">
        <x:v>蛋糕层数
初始额外获得10 层</x:v>
      </x:c>
      <x:c r="E91" s="12" t="str">
        <x:v>Uncommon</x:v>
      </x:c>
      <x:c r="F91" s="12" t="str">
        <x:v>None</x:v>
      </x:c>
      <x:c r="G91" s="12" t="n">
        <x:v>10</x:v>
      </x:c>
      <x:c r="H91"/>
      <x:c r="I91" s="12" t="n">
        <x:v>100</x:v>
      </x:c>
      <x:c r="J91" s="12" t="str">
        <x:v>20,80</x:v>
      </x:c>
      <x:c r="K91" s="12" t="n">
        <x:v>0</x:v>
      </x:c>
      <x:c r="L91" s="12" t="n">
        <x:v>0</x:v>
      </x:c>
      <x:c r="M91" s="12" t="n">
        <x:v>0</x:v>
      </x:c>
      <x:c r="N91" s="12" t="n">
        <x:v>0</x:v>
      </x:c>
      <x:c r="O91" s="12" t="str">
        <x:v>clb</x:v>
      </x:c>
      <x:c r="P91" s="12" t="n">
        <x:v>80</x:v>
      </x:c>
      <x:c r="Q91"/>
      <x:c r="R91">
        <x:f t="shared" si="10"/>
      </x:c>
    </x:row>
    <x:row r="92" s="12" customFormat="1" ht="34">
      <x:c r="A92"/>
      <x:c r="B92" s="12" t="str">
        <x:v>item_cake_accel</x:v>
      </x:c>
      <x:c r="C92" s="12" t="str">
        <x:v>可叠蛋糕托</x:v>
      </x:c>
      <x:c r="D92" s="14" t="str">
        <x:v>蛋糕层数增加时
额外加1 层</x:v>
      </x:c>
      <x:c r="E92" s="12" t="str">
        <x:v>Rare</x:v>
      </x:c>
      <x:c r="F92" s="12" t="str">
        <x:v>None</x:v>
      </x:c>
      <x:c r="G92" s="12" t="n">
        <x:v>1</x:v>
      </x:c>
      <x:c r="H92"/>
      <x:c r="I92" s="12" t="n">
        <x:v>30</x:v>
      </x:c>
      <x:c r="J92" s="12" t="str">
        <x:v>30,80</x:v>
      </x:c>
      <x:c r="K92" s="12" t="n">
        <x:v>0</x:v>
      </x:c>
      <x:c r="L92" s="12" t="n">
        <x:v>0</x:v>
      </x:c>
      <x:c r="M92" s="12" t="n">
        <x:v>0</x:v>
      </x:c>
      <x:c r="N92" s="12" t="n">
        <x:v>0</x:v>
      </x:c>
      <x:c r="O92" s="12" t="str">
        <x:v>clb</x:v>
      </x:c>
      <x:c r="P92" s="12" t="n">
        <x:v>150</x:v>
      </x:c>
      <x:c r="Q92"/>
      <x:c r="R92">
        <x:f t="shared" si="10"/>
      </x:c>
    </x:row>
    <x:row r="93" s="12" customFormat="1" ht="34">
      <x:c r="A93"/>
      <x:c r="B93" s="12" t="str">
        <x:v>item_cake_to_gold</x:v>
      </x:c>
      <x:c r="C93" s="12" t="str">
        <x:v>蛋糕价签架</x:v>
      </x:c>
      <x:c r="D93" s="14" t="str">
        <x:v>蛋糕层数大于100 层时
获得10 金币</x:v>
      </x:c>
      <x:c r="E93" s="12" t="str">
        <x:v>Uncommon</x:v>
      </x:c>
      <x:c r="F93" s="12" t="str">
        <x:v>None</x:v>
      </x:c>
      <x:c r="G93" s="12" t="n">
        <x:v>10</x:v>
      </x:c>
      <x:c r="H93" s="12" t="str">
        <x:v>threshold:100</x:v>
      </x:c>
      <x:c r="I93" s="12" t="n">
        <x:v>100</x:v>
      </x:c>
      <x:c r="J93" s="12" t="str">
        <x:v>20,80</x:v>
      </x:c>
      <x:c r="K93" s="12" t="n">
        <x:v>0</x:v>
      </x:c>
      <x:c r="L93" s="12" t="n">
        <x:v>0</x:v>
      </x:c>
      <x:c r="M93" s="12" t="n">
        <x:v>0</x:v>
      </x:c>
      <x:c r="N93" s="12" t="n">
        <x:v>0</x:v>
      </x:c>
      <x:c r="O93" s="12" t="str">
        <x:v>clb</x:v>
      </x:c>
      <x:c r="P93" s="12" t="n">
        <x:v>80</x:v>
      </x:c>
      <x:c r="Q93"/>
      <x:c r="R93">
        <x:f t="shared" si="10"/>
      </x:c>
    </x:row>
    <x:row r="94" s="12" customFormat="1" ht="17">
      <x:c r="A94"/>
      <x:c r="B94" s="12" t="str">
        <x:v>item_cake_req_minus</x:v>
      </x:c>
      <x:c r="C94" s="12" t="str">
        <x:v>迷你蛋糕模</x:v>
      </x:c>
      <x:c r="D94" s="14" t="str">
        <x:v>蛋糕效果需求的层数 -10</x:v>
      </x:c>
      <x:c r="E94" s="12" t="str">
        <x:v>Uncommon</x:v>
      </x:c>
      <x:c r="F94" s="12" t="str">
        <x:v>None</x:v>
      </x:c>
      <x:c r="G94" s="12" t="n">
        <x:v>10</x:v>
      </x:c>
      <x:c r="H94"/>
      <x:c r="I94" s="12" t="n">
        <x:v>100</x:v>
      </x:c>
      <x:c r="J94" s="12" t="str">
        <x:v>20,80</x:v>
      </x:c>
      <x:c r="K94" s="12" t="n">
        <x:v>0</x:v>
      </x:c>
      <x:c r="L94" s="12" t="n">
        <x:v>0</x:v>
      </x:c>
      <x:c r="M94" s="12" t="n">
        <x:v>0</x:v>
      </x:c>
      <x:c r="N94" s="12" t="n">
        <x:v>0</x:v>
      </x:c>
      <x:c r="O94" s="12" t="str">
        <x:v>clb</x:v>
      </x:c>
      <x:c r="P94" s="12" t="n">
        <x:v>80</x:v>
      </x:c>
      <x:c r="Q94"/>
      <x:c r="R94">
        <x:f t="shared" si="10"/>
      </x:c>
    </x:row>
    <x:row r="95" s="12" customFormat="1"/>
    <x:row r="96" s="12" customFormat="1"/>
    <x:row r="97" s="12" customFormat="1"/>
    <x:row r="98" s="12" customFormat="1"/>
    <x:row r="99" s="12" customFormat="1"/>
    <x:row r="100" s="12" customFormat="1"/>
    <x:row r="101" s="12" customFormat="1"/>
    <x:row r="102" s="12" customFormat="1"/>
    <x:row r="103" s="12" customFormat="1"/>
    <x:row r="104" s="1" customFormat="1"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0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4</x:v>
      </x:c>
      <x:c r="F1" s="7" t="s">
        <x:v>5</x:v>
      </x:c>
      <x:c r="G1" s="7" t="s">
        <x:v>6</x:v>
      </x:c>
      <x:c r="H1" s="7" t="s">
        <x:v>7</x:v>
      </x:c>
      <x:c r="I1" s="7" t="s">
        <x:v>8</x:v>
      </x:c>
      <x:c r="J1" s="7" t="s">
        <x:v>9</x:v>
      </x:c>
      <x:c r="K1" s="7" t="s">
        <x:v>10</x:v>
      </x:c>
      <x:c r="L1" s="7" t="s">
        <x:v>11</x:v>
      </x:c>
      <x:c r="M1" s="1" t="s">
        <x:v>12</x:v>
      </x:c>
      <x:c r="N1" s="1" t="s">
        <x:v>13</x:v>
      </x:c>
    </x:row>
    <x:row r="2" ht="16.5" customHeight="1">
      <x:c r="A2" s="7" t="s">
        <x:v>14</x:v>
      </x:c>
      <x:c r="B2" s="1" t="str">
        <x:v>消耗品ID</x:v>
      </x:c>
      <x:c r="C2" s="1" t="str">
        <x:v>消耗品名称</x:v>
      </x:c>
      <x:c r="D2" s="1" t="str">
        <x:v>消耗品描述</x:v>
      </x:c>
      <x:c r="E2" s="1" t="s">
        <x:v>15</x:v>
      </x:c>
      <x:c r="F2" s="1" t="s">
        <x:v>16</x:v>
      </x:c>
      <x:c r="G2" s="1" t="s">
        <x:v>17</x:v>
      </x:c>
      <x:c r="H2" s="1" t="s">
        <x:v>18</x:v>
      </x:c>
      <x:c r="I2" s="1" t="s">
        <x:v>19</x:v>
      </x:c>
      <x:c r="J2" s="1" t="str">
        <x:v>消耗品目标类型(作用对象;决定可用情境)</x:v>
      </x:c>
      <x:c r="K2" s="1" t="s">
        <x:v>20</x:v>
      </x:c>
      <x:c r="L2" s="1" t="s">
        <x:v>21</x:v>
      </x:c>
      <x:c r="M2" s="1" t="s">
        <x:v>22</x:v>
      </x:c>
      <x:c r="N2" s="1" t="str">
        <x:v>消耗品分类</x:v>
      </x:c>
    </x:row>
    <x:row r="3" ht="16.5" customHeight="1">
      <x:c r="A3" s="7" t="s">
        <x:v>23</x:v>
      </x:c>
      <x:c r="B3" s="7" t="s">
        <x:v>24</x:v>
      </x:c>
      <x:c r="C3" s="7" t="s">
        <x:v>24</x:v>
      </x:c>
      <x:c r="D3" s="7" t="s">
        <x:v>24</x:v>
      </x:c>
      <x:c r="E3" s="7" t="s">
        <x:v>24</x:v>
      </x:c>
      <x:c r="F3" s="7" t="s">
        <x:v>24</x:v>
      </x:c>
      <x:c r="G3" s="7" t="s">
        <x:v>25</x:v>
      </x:c>
      <x:c r="H3" s="7" t="s">
        <x:v>24</x:v>
      </x:c>
      <x:c r="I3" s="7" t="s">
        <x:v>25</x:v>
      </x:c>
      <x:c r="J3" s="7" t="s">
        <x:v>26</x:v>
      </x:c>
      <x:c r="K3" s="7" t="s">
        <x:v>27</x:v>
      </x:c>
      <x:c r="L3" s="7" t="s">
        <x:v>24</x:v>
      </x:c>
      <x:c r="M3" s="1" t="s">
        <x:v>27</x:v>
      </x:c>
      <x:c r="N3" s="1" t="s">
        <x:v>28</x:v>
      </x:c>
    </x:row>
    <x:row r="4" ht="33.75" customHeight="1">
      <x:c r="B4" s="7" t="s">
        <x:v>29</x:v>
      </x:c>
      <x:c r="C4" s="1" t="s">
        <x:v>30</x:v>
      </x:c>
      <x:c r="D4" s="9" t="str">
        <x:v>选择1 个食物
添加「甜」风味</x:v>
      </x:c>
      <x:c r="F4" s="7" t="s">
        <x:v>31</x:v>
      </x:c>
      <x:c r="G4" s="1">
        <x:v>0</x:v>
      </x:c>
      <x:c r="H4" s="7" t="s">
        <x:v>32</x:v>
      </x:c>
      <x:c r="I4" s="1">
        <x:v>1</x:v>
      </x:c>
      <x:c r="J4" s="7" t="s">
        <x:v>33</x:v>
      </x:c>
      <x:c r="K4" s="1">
        <x:v>1</x:v>
      </x:c>
      <x:c r="L4" s="7" t="s">
        <x:v>32</x:v>
      </x:c>
      <x:c r="M4" s="1">
        <x:v>50</x:v>
      </x:c>
      <x:c r="N4" s="1" t="s">
        <x:v>34</x:v>
      </x:c>
    </x:row>
    <x:row r="5" ht="33.75" customHeight="1">
      <x:c r="B5" s="7" t="s">
        <x:v>35</x:v>
      </x:c>
      <x:c r="C5" s="1" t="s">
        <x:v>36</x:v>
      </x:c>
      <x:c r="D5" s="9" t="str">
        <x:v>选择1 个食物
添加「苦」风味</x:v>
      </x:c>
      <x:c r="F5" s="7" t="s">
        <x:v>31</x:v>
      </x:c>
      <x:c r="G5" s="1">
        <x:v>0</x:v>
      </x:c>
      <x:c r="H5" s="7" t="s">
        <x:v>37</x:v>
      </x:c>
      <x:c r="I5" s="1">
        <x:v>1</x:v>
      </x:c>
      <x:c r="J5" s="7" t="s">
        <x:v>33</x:v>
      </x:c>
      <x:c r="K5" s="1">
        <x:v>1</x:v>
      </x:c>
      <x:c r="L5" s="7" t="s">
        <x:v>37</x:v>
      </x:c>
      <x:c r="M5" s="1">
        <x:v>50</x:v>
      </x:c>
      <x:c r="N5" s="1" t="s">
        <x:v>34</x:v>
      </x:c>
    </x:row>
    <x:row r="6" ht="33.75" customHeight="1">
      <x:c r="B6" s="7" t="s">
        <x:v>38</x:v>
      </x:c>
      <x:c r="C6" s="1" t="s">
        <x:v>39</x:v>
      </x:c>
      <x:c r="D6" s="9" t="str">
        <x:v>选择1 个食物
添加「鲜」风味</x:v>
      </x:c>
      <x:c r="F6" s="7" t="s">
        <x:v>31</x:v>
      </x:c>
      <x:c r="G6" s="1">
        <x:v>0</x:v>
      </x:c>
      <x:c r="H6" s="7" t="s">
        <x:v>40</x:v>
      </x:c>
      <x:c r="I6" s="1">
        <x:v>1</x:v>
      </x:c>
      <x:c r="J6" s="7" t="s">
        <x:v>33</x:v>
      </x:c>
      <x:c r="K6" s="1">
        <x:v>1</x:v>
      </x:c>
      <x:c r="L6" s="7" t="s">
        <x:v>40</x:v>
      </x:c>
      <x:c r="M6" s="1">
        <x:v>50</x:v>
      </x:c>
      <x:c r="N6" s="1" t="s">
        <x:v>34</x:v>
      </x:c>
    </x:row>
    <x:row r="7" ht="33.75" customHeight="1">
      <x:c r="B7" s="7" t="s">
        <x:v>41</x:v>
      </x:c>
      <x:c r="C7" s="1" t="s">
        <x:v>42</x:v>
      </x:c>
      <x:c r="D7" s="9" t="str">
        <x:v>选择1 个食物
添加「麻」风味</x:v>
      </x:c>
      <x:c r="F7" s="7" t="s">
        <x:v>31</x:v>
      </x:c>
      <x:c r="G7" s="1">
        <x:v>0</x:v>
      </x:c>
      <x:c r="H7" s="7" t="s">
        <x:v>43</x:v>
      </x:c>
      <x:c r="I7" s="1">
        <x:v>1</x:v>
      </x:c>
      <x:c r="J7" s="7" t="s">
        <x:v>33</x:v>
      </x:c>
      <x:c r="K7" s="1">
        <x:v>1</x:v>
      </x:c>
      <x:c r="L7" s="7" t="s">
        <x:v>43</x:v>
      </x:c>
      <x:c r="M7" s="1">
        <x:v>50</x:v>
      </x:c>
      <x:c r="N7" s="1" t="s">
        <x:v>34</x:v>
      </x:c>
    </x:row>
    <x:row r="8" ht="33.75" customHeight="1">
      <x:c r="B8" s="7" t="s">
        <x:v>44</x:v>
      </x:c>
      <x:c r="C8" s="1" t="s">
        <x:v>45</x:v>
      </x:c>
      <x:c r="D8" s="9" t="str">
        <x:v>选择1 个食物
添加「酸」风味</x:v>
      </x:c>
      <x:c r="F8" s="7" t="s">
        <x:v>31</x:v>
      </x:c>
      <x:c r="G8" s="1">
        <x:v>0</x:v>
      </x:c>
      <x:c r="H8" s="7" t="s">
        <x:v>46</x:v>
      </x:c>
      <x:c r="I8" s="1">
        <x:v>1</x:v>
      </x:c>
      <x:c r="J8" s="7" t="s">
        <x:v>33</x:v>
      </x:c>
      <x:c r="K8" s="1">
        <x:v>1</x:v>
      </x:c>
      <x:c r="L8" s="7" t="s">
        <x:v>46</x:v>
      </x:c>
      <x:c r="M8" s="1">
        <x:v>50</x:v>
      </x:c>
      <x:c r="N8" s="1" t="s">
        <x:v>34</x:v>
      </x:c>
    </x:row>
    <x:row r="9" ht="33.75" customHeight="1">
      <x:c r="B9" s="7" t="s">
        <x:v>47</x:v>
      </x:c>
      <x:c r="C9" s="1" t="s">
        <x:v>48</x:v>
      </x:c>
      <x:c r="D9" s="9" t="str">
        <x:v>选择1 个食物
添加「咸」风味</x:v>
      </x:c>
      <x:c r="F9" s="7" t="s">
        <x:v>31</x:v>
      </x:c>
      <x:c r="G9" s="1">
        <x:v>0</x:v>
      </x:c>
      <x:c r="H9" s="7" t="s">
        <x:v>49</x:v>
      </x:c>
      <x:c r="I9" s="1">
        <x:v>1</x:v>
      </x:c>
      <x:c r="J9" s="7" t="s">
        <x:v>33</x:v>
      </x:c>
      <x:c r="K9" s="1">
        <x:v>1</x:v>
      </x:c>
      <x:c r="L9" s="7" t="s">
        <x:v>49</x:v>
      </x:c>
      <x:c r="M9" s="1">
        <x:v>50</x:v>
      </x:c>
      <x:c r="N9" s="1" t="s">
        <x:v>34</x:v>
      </x:c>
    </x:row>
    <x:row r="10" ht="33.75" customHeight="1">
      <x:c r="B10" s="7" t="s">
        <x:v>50</x:v>
      </x:c>
      <x:c r="C10" s="1" t="s">
        <x:v>51</x:v>
      </x:c>
      <x:c r="D10" s="9" t="str">
        <x:v>选择1 个餐桌格
将其铺装为「樱桃木」材质</x:v>
      </x:c>
      <x:c r="E10" t="s">
        <x:v>52</x:v>
      </x:c>
      <x:c r="F10" s="7" t="s">
        <x:v>53</x:v>
      </x:c>
      <x:c r="G10" s="1">
        <x:v>0</x:v>
      </x:c>
      <x:c r="H10" s="7" t="s">
        <x:v>54</x:v>
      </x:c>
      <x:c r="I10" s="1">
        <x:v>1</x:v>
      </x:c>
      <x:c r="J10" s="7" t="s">
        <x:v>55</x:v>
      </x:c>
      <x:c r="K10" s="1">
        <x:v>1</x:v>
      </x:c>
      <x:c r="L10" s="7" t="s">
        <x:v>54</x:v>
      </x:c>
      <x:c r="M10" s="1">
        <x:v>50</x:v>
      </x:c>
      <x:c r="N10" s="1" t="s">
        <x:v>34</x:v>
      </x:c>
    </x:row>
    <x:row r="11" ht="33.75" customHeight="1">
      <x:c r="B11" s="7" t="s">
        <x:v>56</x:v>
      </x:c>
      <x:c r="C11" s="1" t="s">
        <x:v>57</x:v>
      </x:c>
      <x:c r="D11" s="9" t="str">
        <x:v>选择1 个餐桌格
将其铺装为「胡桃木」材质</x:v>
      </x:c>
      <x:c r="E11" t="s">
        <x:v>52</x:v>
      </x:c>
      <x:c r="F11" s="7" t="s">
        <x:v>53</x:v>
      </x:c>
      <x:c r="G11" s="1">
        <x:v>0</x:v>
      </x:c>
      <x:c r="H11" s="7" t="s">
        <x:v>58</x:v>
      </x:c>
      <x:c r="I11" s="1">
        <x:v>1</x:v>
      </x:c>
      <x:c r="J11" s="7" t="s">
        <x:v>55</x:v>
      </x:c>
      <x:c r="K11" s="1">
        <x:v>1</x:v>
      </x:c>
      <x:c r="L11" s="7" t="s">
        <x:v>58</x:v>
      </x:c>
      <x:c r="M11" s="1">
        <x:v>50</x:v>
      </x:c>
      <x:c r="N11" s="1" t="s">
        <x:v>34</x:v>
      </x:c>
    </x:row>
    <x:row r="12" ht="33.75" customHeight="1">
      <x:c r="B12" s="7" t="s">
        <x:v>59</x:v>
      </x:c>
      <x:c r="C12" s="1" t="s">
        <x:v>60</x:v>
      </x:c>
      <x:c r="D12" s="9" t="str">
        <x:v>选择1 个餐桌格
将其铺装为「大理石」材质</x:v>
      </x:c>
      <x:c r="E12" t="s">
        <x:v>61</x:v>
      </x:c>
      <x:c r="F12" s="7" t="s">
        <x:v>53</x:v>
      </x:c>
      <x:c r="G12" s="1">
        <x:v>0</x:v>
      </x:c>
      <x:c r="H12" s="7" t="s">
        <x:v>62</x:v>
      </x:c>
      <x:c r="I12" s="1">
        <x:v>1</x:v>
      </x:c>
      <x:c r="J12" s="7" t="s">
        <x:v>55</x:v>
      </x:c>
      <x:c r="K12" s="1">
        <x:v>1</x:v>
      </x:c>
      <x:c r="L12" s="7" t="s">
        <x:v>62</x:v>
      </x:c>
      <x:c r="M12" s="1">
        <x:v>50</x:v>
      </x:c>
      <x:c r="N12" s="1" t="s">
        <x:v>34</x:v>
      </x:c>
    </x:row>
    <x:row r="13" ht="33.75" customHeight="1">
      <x:c r="B13" s="7" t="s">
        <x:v>63</x:v>
      </x:c>
      <x:c r="C13" s="1" t="s">
        <x:v>64</x:v>
      </x:c>
      <x:c r="D13" s="9" t="str">
        <x:v>选择1 个餐桌格
将其铺装为「黑曜石」材质</x:v>
      </x:c>
      <x:c r="E13" t="s">
        <x:v>61</x:v>
      </x:c>
      <x:c r="F13" s="7" t="s">
        <x:v>53</x:v>
      </x:c>
      <x:c r="G13" s="1">
        <x:v>0</x:v>
      </x:c>
      <x:c r="H13" s="7" t="s">
        <x:v>65</x:v>
      </x:c>
      <x:c r="I13" s="1">
        <x:v>1</x:v>
      </x:c>
      <x:c r="J13" s="7" t="s">
        <x:v>55</x:v>
      </x:c>
      <x:c r="K13" s="1">
        <x:v>1</x:v>
      </x:c>
      <x:c r="L13" s="7" t="s">
        <x:v>65</x:v>
      </x:c>
      <x:c r="M13" s="1">
        <x:v>50</x:v>
      </x:c>
      <x:c r="N13" s="1" t="s">
        <x:v>34</x:v>
      </x:c>
    </x:row>
    <x:row r="14" ht="33.75" customHeight="1">
      <x:c r="B14" s="7" t="s">
        <x:v>66</x:v>
      </x:c>
      <x:c r="C14" s="1" t="s">
        <x:v>67</x:v>
      </x:c>
      <x:c r="D14" s="9" t="str">
        <x:v>选择1 个餐桌格
将其铺装为「翡翠」材质</x:v>
      </x:c>
      <x:c r="E14" t="s">
        <x:v>61</x:v>
      </x:c>
      <x:c r="F14" s="7" t="s">
        <x:v>53</x:v>
      </x:c>
      <x:c r="G14" s="1">
        <x:v>0</x:v>
      </x:c>
      <x:c r="H14" s="7" t="s">
        <x:v>68</x:v>
      </x:c>
      <x:c r="I14" s="1">
        <x:v>1</x:v>
      </x:c>
      <x:c r="J14" s="7" t="s">
        <x:v>55</x:v>
      </x:c>
      <x:c r="K14" s="1">
        <x:v>1</x:v>
      </x:c>
      <x:c r="L14" s="7" t="s">
        <x:v>68</x:v>
      </x:c>
      <x:c r="M14" s="1">
        <x:v>50</x:v>
      </x:c>
      <x:c r="N14" s="1" t="s">
        <x:v>34</x:v>
      </x:c>
    </x:row>
    <x:row r="15" ht="33.75" customHeight="1">
      <x:c r="B15" s="7" t="s">
        <x:v>69</x:v>
      </x:c>
      <x:c r="C15" s="1" t="s">
        <x:v>70</x:v>
      </x:c>
      <x:c r="D15" s="9" t="str">
        <x:v>选择1 个餐桌格
将其铺装为「金」材质</x:v>
      </x:c>
      <x:c r="E15" t="s">
        <x:v>71</x:v>
      </x:c>
      <x:c r="F15" s="7" t="s">
        <x:v>53</x:v>
      </x:c>
      <x:c r="G15" s="1">
        <x:v>0</x:v>
      </x:c>
      <x:c r="H15" s="7" t="s">
        <x:v>72</x:v>
      </x:c>
      <x:c r="I15" s="1">
        <x:v>1</x:v>
      </x:c>
      <x:c r="J15" s="7" t="s">
        <x:v>55</x:v>
      </x:c>
      <x:c r="K15" s="1">
        <x:v>1</x:v>
      </x:c>
      <x:c r="L15" s="7" t="s">
        <x:v>72</x:v>
      </x:c>
      <x:c r="M15" s="1">
        <x:v>50</x:v>
      </x:c>
      <x:c r="N15" s="1" t="s">
        <x:v>34</x:v>
      </x:c>
    </x:row>
    <x:row r="16" ht="33.75" customHeight="1">
      <x:c r="B16" s="7" t="s">
        <x:v>73</x:v>
      </x:c>
      <x:c r="C16" s="1" t="s">
        <x:v>74</x:v>
      </x:c>
      <x:c r="D16" s="9" t="str">
        <x:v>选择1 个餐桌格
将其铺装为「银」材质</x:v>
      </x:c>
      <x:c r="E16" t="s">
        <x:v>71</x:v>
      </x:c>
      <x:c r="F16" s="7" t="s">
        <x:v>53</x:v>
      </x:c>
      <x:c r="G16" s="1">
        <x:v>0</x:v>
      </x:c>
      <x:c r="H16" s="7" t="s">
        <x:v>75</x:v>
      </x:c>
      <x:c r="I16" s="1">
        <x:v>1</x:v>
      </x:c>
      <x:c r="J16" s="7" t="s">
        <x:v>55</x:v>
      </x:c>
      <x:c r="K16" s="1">
        <x:v>1</x:v>
      </x:c>
      <x:c r="L16" s="7" t="s">
        <x:v>75</x:v>
      </x:c>
      <x:c r="M16" s="1">
        <x:v>50</x:v>
      </x:c>
      <x:c r="N16" s="1" t="s">
        <x:v>34</x:v>
      </x:c>
    </x:row>
    <x:row r="17" s="8" customFormat="1" ht="17">
      <x:c r="B17" s="10" t="s">
        <x:v>76</x:v>
      </x:c>
      <x:c r="C17" s="8" t="s">
        <x:v>77</x:v>
      </x:c>
      <x:c r="D17" s="11" t="s">
        <x:v>78</x:v>
      </x:c>
      <x:c r="F17" s="8" t="s">
        <x:v>79</x:v>
      </x:c>
      <x:c r="G17" s="8">
        <x:v>0</x:v>
      </x:c>
      <x:c r="I17" s="8">
        <x:v>1</x:v>
      </x:c>
      <x:c r="J17" s="8" t="s">
        <x:v>80</x:v>
      </x:c>
      <x:c r="K17" s="8">
        <x:v>0</x:v>
      </x:c>
      <x:c r="L17" s="1"/>
      <x:c r="M17" s="8">
        <x:v>50</x:v>
      </x:c>
      <x:c r="N17" s="1" t="s">
        <x:v>81</x:v>
      </x:c>
    </x:row>
    <x:row r="18" s="8" customFormat="1" ht="16.5" customHeight="1">
      <x:c r="B18" s="10" t="s">
        <x:v>82</x:v>
      </x:c>
      <x:c r="C18" s="8" t="s">
        <x:v>83</x:v>
      </x:c>
      <x:c r="D18" s="8" t="s">
        <x:v>84</x:v>
      </x:c>
      <x:c r="F18" s="8" t="s">
        <x:v>85</x:v>
      </x:c>
      <x:c r="G18" s="8">
        <x:v>0.5</x:v>
      </x:c>
      <x:c r="I18" s="8">
        <x:v>1</x:v>
      </x:c>
      <x:c r="J18" s="8" t="s">
        <x:v>80</x:v>
      </x:c>
      <x:c r="K18" s="8">
        <x:v>0</x:v>
      </x:c>
      <x:c r="L18" s="1"/>
      <x:c r="M18" s="8">
        <x:v>50</x:v>
      </x:c>
      <x:c r="N18" s="1" t="s">
        <x:v>81</x:v>
      </x:c>
    </x:row>
    <x:row r="19" s="8" customFormat="1" ht="16.5" customHeight="1">
      <x:c r="B19" s="10" t="s">
        <x:v>86</x:v>
      </x:c>
      <x:c r="C19" s="8" t="s">
        <x:v>87</x:v>
      </x:c>
      <x:c r="D19" s="8" t="str">
        <x:v>重掷最近一个尚未触发的星级评鉴食物类别</x:v>
      </x:c>
      <x:c r="F19" s="8" t="s">
        <x:v>88</x:v>
      </x:c>
      <x:c r="G19" s="8">
        <x:v>0</x:v>
      </x:c>
      <x:c r="I19" s="8">
        <x:v>1</x:v>
      </x:c>
      <x:c r="J19" s="8" t="s">
        <x:v>80</x:v>
      </x:c>
      <x:c r="K19" s="8">
        <x:v>0</x:v>
      </x:c>
      <x:c r="L19" s="1"/>
      <x:c r="M19" s="8">
        <x:v>50</x:v>
      </x:c>
      <x:c r="N19" s="1" t="s">
        <x:v>81</x:v>
      </x:c>
    </x:row>
    <x:row r="20" s="8" customFormat="1" ht="16.5" customHeight="1">
      <x:c r="B20" s="10" t="s">
        <x:v>89</x:v>
      </x:c>
      <x:c r="C20" s="8" t="s">
        <x:v>90</x:v>
      </x:c>
      <x:c r="D20" s="8" t="s">
        <x:v>91</x:v>
      </x:c>
      <x:c r="F20" s="8" t="s">
        <x:v>92</x:v>
      </x:c>
      <x:c r="G20" s="8">
        <x:v>0</x:v>
      </x:c>
      <x:c r="H20" s="8" t="s">
        <x:v>93</x:v>
      </x:c>
      <x:c r="I20" s="8">
        <x:v>1</x:v>
      </x:c>
      <x:c r="J20" s="8" t="s">
        <x:v>80</x:v>
      </x:c>
      <x:c r="K20" s="8">
        <x:v>1</x:v>
      </x:c>
      <x:c r="L20" s="1"/>
      <x:c r="M20" s="8">
        <x:v>50</x:v>
      </x:c>
      <x:c r="N20" s="1" t="s">
        <x:v>81</x:v>
      </x:c>
    </x:row>
    <x:row r="21" s="8" customFormat="1">
      <x:c r="B21" s="8" t="s">
        <x:v>94</x:v>
      </x:c>
      <x:c r="C21" s="8" t="s">
        <x:v>95</x:v>
      </x:c>
      <x:c r="D21" s="8" t="s">
        <x:v>96</x:v>
      </x:c>
      <x:c r="F21" s="8" t="s">
        <x:v>97</x:v>
      </x:c>
      <x:c r="G21" s="8">
        <x:v>0</x:v>
      </x:c>
      <x:c r="H21" s="8" t="s">
        <x:v>98</x:v>
      </x:c>
      <x:c r="I21" s="8">
        <x:v>1</x:v>
      </x:c>
      <x:c r="J21" s="8" t="s">
        <x:v>80</x:v>
      </x:c>
      <x:c r="K21" s="8">
        <x:v>1</x:v>
      </x:c>
      <x:c r="L21" s="1"/>
      <x:c r="M21" s="1">
        <x:v>50</x:v>
      </x:c>
      <x:c r="N21" s="1" t="s">
        <x:v>81</x:v>
      </x:c>
    </x:row>
    <x:row r="22" s="8" customFormat="1">
      <x:c r="B22" s="8" t="s">
        <x:v>99</x:v>
      </x:c>
      <x:c r="C22" s="8" t="s">
        <x:v>100</x:v>
      </x:c>
      <x:c r="D22" s="8" t="str">
        <x:v>添加商店采购至指定节点上</x:v>
      </x:c>
      <x:c r="F22" s="8" t="s">
        <x:v>101</x:v>
      </x:c>
      <x:c r="G22" s="8">
        <x:v>0</x:v>
      </x:c>
      <x:c r="H22" s="8" t="s">
        <x:v>102</x:v>
      </x:c>
      <x:c r="I22" s="8">
        <x:v>1</x:v>
      </x:c>
      <x:c r="J22" s="8" t="s">
        <x:v>80</x:v>
      </x:c>
      <x:c r="K22" s="8">
        <x:v>1</x:v>
      </x:c>
      <x:c r="L22" s="1"/>
      <x:c r="M22" s="1">
        <x:v>50</x:v>
      </x:c>
      <x:c r="N22" s="1" t="s">
        <x:v>81</x:v>
      </x:c>
    </x:row>
    <x:row r="23" s="8" customFormat="1">
      <x:c r="B23" s="8" t="s">
        <x:v>103</x:v>
      </x:c>
      <x:c r="C23" s="8" t="s">
        <x:v>104</x:v>
      </x:c>
      <x:c r="D23" s="8" t="s">
        <x:v>105</x:v>
      </x:c>
      <x:c r="F23" s="8" t="s">
        <x:v>106</x:v>
      </x:c>
      <x:c r="G23" s="8">
        <x:v>0</x:v>
      </x:c>
      <x:c r="H23" t="s">
        <x:v>107</x:v>
      </x:c>
      <x:c r="I23" s="8">
        <x:v>1</x:v>
      </x:c>
      <x:c r="J23" s="8" t="s">
        <x:v>80</x:v>
      </x:c>
      <x:c r="K23" s="8">
        <x:v>1</x:v>
      </x:c>
      <x:c r="L23" s="1"/>
      <x:c r="M23" s="1">
        <x:v>50</x:v>
      </x:c>
      <x:c r="N23" s="1" t="s">
        <x:v>81</x:v>
      </x:c>
    </x:row>
    <x:row r="24" s="8" customFormat="1">
      <x:c r="B24" s="8" t="s">
        <x:v>108</x:v>
      </x:c>
      <x:c r="C24" s="8" t="s">
        <x:v>109</x:v>
      </x:c>
      <x:c r="D24" s="8" t="str">
        <x:v>删除1 个节点行动</x:v>
      </x:c>
      <x:c r="F24" s="8" t="s">
        <x:v>110</x:v>
      </x:c>
      <x:c r="G24" s="8">
        <x:v>0</x:v>
      </x:c>
      <x:c r="I24" s="8">
        <x:v>1</x:v>
      </x:c>
      <x:c r="J24" s="8" t="s">
        <x:v>80</x:v>
      </x:c>
      <x:c r="K24" s="8">
        <x:v>1</x:v>
      </x:c>
      <x:c r="L24" s="1"/>
      <x:c r="M24" s="1">
        <x:v>50</x:v>
      </x:c>
      <x:c r="N24" s="1" t="s">
        <x:v>81</x:v>
      </x:c>
    </x:row>
    <x:row r="25" s="8" customFormat="1" ht="34">
      <x:c r="B25" s="8" t="s">
        <x:v>111</x:v>
      </x:c>
      <x:c r="C25" s="8" t="s">
        <x:v>112</x:v>
      </x:c>
      <x:c r="D25" s="11" t="str">
        <x:v>指定1 个未执行的节点行动
复制到最近的节点</x:v>
      </x:c>
      <x:c r="F25" s="8" t="s">
        <x:v>113</x:v>
      </x:c>
      <x:c r="G25" s="8">
        <x:v>0</x:v>
      </x:c>
      <x:c r="I25" s="8">
        <x:v>1</x:v>
      </x:c>
      <x:c r="J25" s="8" t="s">
        <x:v>80</x:v>
      </x:c>
      <x:c r="K25" s="8">
        <x:v>1</x:v>
      </x:c>
      <x:c r="L25" s="1"/>
      <x:c r="M25" s="1">
        <x:v>50</x:v>
      </x:c>
      <x:c r="N25" s="1" t="s">
        <x:v>81</x:v>
      </x:c>
    </x:row>
    <x:row r="26" s="8" customFormat="1" ht="34">
      <x:c r="B26" s="8" t="s">
        <x:v>114</x:v>
      </x:c>
      <x:c r="C26" s="8" t="s">
        <x:v>115</x:v>
      </x:c>
      <x:c r="D26" s="11" t="str">
        <x:v>指定1 个已执行的节点行动
复制到最近的节点</x:v>
      </x:c>
      <x:c r="F26" s="8" t="s">
        <x:v>116</x:v>
      </x:c>
      <x:c r="G26" s="8">
        <x:v>0</x:v>
      </x:c>
      <x:c r="I26" s="8">
        <x:v>1</x:v>
      </x:c>
      <x:c r="J26" s="8" t="s">
        <x:v>80</x:v>
      </x:c>
      <x:c r="K26" s="8">
        <x:v>1</x:v>
      </x:c>
      <x:c r="L26" s="1"/>
      <x:c r="M26" s="1">
        <x:v>50</x:v>
      </x:c>
      <x:c r="N26" s="1" t="s">
        <x:v>81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117</x:v>
      </x:c>
      <x:c r="C1" s="3" t="s">
        <x:v>118</x:v>
      </x:c>
      <x:c r="D1" s="3" t="s">
        <x:v>119</x:v>
      </x:c>
      <x:c r="E1" s="3" t="s">
        <x:v>120</x:v>
      </x:c>
      <x:c r="H1" s="7" t="s">
        <x:v>1</x:v>
      </x:c>
      <x:c r="I1" s="2" t="s">
        <x:v>121</x:v>
      </x:c>
      <x:c r="K1"/>
      <x:c r="L1" t="str">
        <x:v>2 周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  <x:c r="U1"/>
    </x:row>
    <x:row r="2" ht="17.25" customHeight="1">
      <x:c r="B2" s="3" t="s">
        <x:v>122</x:v>
      </x:c>
      <x:c r="C2" s="3" t="s">
        <x:v>123</x:v>
      </x:c>
      <x:c r="D2" s="3" t="str">
        <x:v>随机装饰品</x:v>
      </x:c>
      <x:c r="E2" s="3" t="str">
        <x:v>获得时，获得两个随机（xx品质）的装饰品</x:v>
      </x:c>
      <x:c r="H2" s="1">
        <x:v>1</x:v>
      </x:c>
      <x:c r="I2" s="2" t="str">
        <x:f t="shared" ref="I2:I65" si="0">E2</x:f>
        <x:v>获得时，获得两个随机（xx品质）的装饰品</x:v>
      </x:c>
      <x:c r="K2"/>
      <x:c r="L2" t="str">
        <x:v>3 周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  <x:c r="U2"/>
    </x:row>
    <x:row r="3" ht="17.25" customHeight="1">
      <x:c r="B3" s="4"/>
      <x:c r="C3" s="4"/>
      <x:c r="D3" s="3" t="str">
        <x:v>装饰品和消耗品n选一</x:v>
      </x:c>
      <x:c r="E3" s="3" t="str">
        <x:v>获得时，从多个装饰品中选择一个获得</x:v>
      </x:c>
      <x:c r="H3" s="1">
        <x:v>2</x:v>
      </x:c>
      <x:c r="I3" s="2" t="str">
        <x:f t="shared" si="0"/>
        <x:v>获得时，从多个装饰品中选择一个获得</x:v>
      </x:c>
      <x:c r="K3"/>
      <x:c r="L3" t="str">
        <x:v>4 周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  <x:c r="U3"/>
    </x:row>
    <x:row r="4" ht="17.25" customHeight="1">
      <x:c r="B4" s="4"/>
      <x:c r="C4" s="4"/>
      <x:c r="D4" s="3" t="str">
        <x:v>随机消耗品</x:v>
      </x:c>
      <x:c r="E4" s="3" t="str">
        <x:v>获得时，获得两个随机（xx品质）的消耗品</x:v>
      </x:c>
      <x:c r="H4" s="1">
        <x:v>3</x:v>
      </x:c>
      <x:c r="I4" s="2" t="str">
        <x:f t="shared" si="0"/>
        <x:v>获得时，获得两个随机（xx品质）的消耗品</x:v>
      </x:c>
      <x:c r="K4"/>
      <x:c r="L4"/>
      <x:c r="M4"/>
      <x:c r="N4"/>
      <x:c r="O4"/>
      <x:c r="P4"/>
      <x:c r="Q4"/>
      <x:c r="R4"/>
      <x:c r="S4"/>
      <x:c r="T4"/>
      <x:c r="U4"/>
    </x:row>
    <x:row r="5" ht="17.25" customHeight="1">
      <x:c r="B5" s="4"/>
      <x:c r="C5" s="4"/>
      <x:c r="D5" s="3" t="str">
        <x:v>装饰品和消耗品n选一</x:v>
      </x:c>
      <x:c r="E5" s="3" t="str">
        <x:v>获得时，从多个消耗品中选择一个获得</x:v>
      </x:c>
      <x:c r="H5" s="1">
        <x:v>4</x:v>
      </x:c>
      <x:c r="I5" s="2" t="str">
        <x:f t="shared" si="0"/>
        <x:v>获得时，从多个消耗品中选择一个获得</x:v>
      </x:c>
      <x:c r="K5"/>
      <x:c r="L5"/>
      <x:c r="M5"/>
      <x:c r="N5"/>
      <x:c r="O5"/>
      <x:c r="P5"/>
      <x:c r="Q5"/>
      <x:c r="R5"/>
      <x:c r="S5"/>
      <x:c r="T5"/>
      <x:c r="U5"/>
    </x:row>
    <x:row r="6" ht="17.25" customHeight="1">
      <x:c r="B6" s="4"/>
      <x:c r="C6" s="4"/>
      <x:c r="D6" s="3" t="s">
        <x:v>124</x:v>
      </x:c>
      <x:c r="E6" s="3" t="s">
        <x:v>125</x:v>
      </x:c>
      <x:c r="H6" s="1">
        <x:v>5</x:v>
      </x:c>
      <x:c r="I6" s="2" t="str">
        <x:f t="shared" si="0"/>
        <x:v>获得时，从多个食物中选择一个获得</x:v>
      </x:c>
      <x:c r="K6"/>
      <x:c r="L6"/>
      <x:c r="M6"/>
      <x:c r="N6"/>
      <x:c r="O6"/>
      <x:c r="P6"/>
      <x:c r="Q6" t="s">
        <x:v>126</x:v>
      </x:c>
      <x:c r="R6"/>
      <x:c r="S6"/>
      <x:c r="T6"/>
      <x:c r="U6"/>
    </x:row>
    <x:row r="7" ht="17.25" customHeight="1">
      <x:c r="B7" s="4"/>
      <x:c r="C7" s="4"/>
      <x:c r="D7" s="3" t="s">
        <x:v>127</x:v>
      </x:c>
      <x:c r="E7" s="3" t="str">
        <x:v>获得时，从多个餐桌格中选择一个获得</x:v>
      </x:c>
      <x:c r="H7" s="1">
        <x:v>6</x:v>
      </x:c>
      <x:c r="I7" s="2" t="str">
        <x:f t="shared" si="0"/>
        <x:v>获得时，从多个餐桌格中选择一个获得</x:v>
      </x:c>
      <x:c r="K7" t="s">
        <x:v>128</x:v>
      </x:c>
      <x:c r="L7"/>
      <x:c r="M7">
        <x:v>300</x:v>
      </x:c>
      <x:c r="N7"/>
      <x:c r="O7" t="s">
        <x:v>129</x:v>
      </x:c>
      <x:c r="P7"/>
      <x:c r="Q7" t="n">
        <x:f>COUNTIF('装饰品'!$E$4:$E$94,K7)</x:f>
        <x:v>41</x:v>
      </x:c>
      <x:c r="R7"/>
      <x:c r="S7">
        <x:v>40</x:v>
      </x:c>
      <x:c r="T7"/>
      <x:c r="U7" t="n">
        <x:f>Q7/SUM($Q$7:$Q$10)</x:f>
        <x:v>0.45054945054945056</x:v>
      </x:c>
    </x:row>
    <x:row r="8" ht="17.25" customHeight="1">
      <x:c r="B8" s="4"/>
      <x:c r="C8" s="4"/>
      <x:c r="D8" s="3" t="s">
        <x:v>130</x:v>
      </x:c>
      <x:c r="E8" s="3" t="str">
        <x:v>获得时，获得一个随机装饰品、随机食物、50 金币</x:v>
      </x:c>
      <x:c r="H8" s="1">
        <x:v>7</x:v>
      </x:c>
      <x:c r="I8" s="2" t="str">
        <x:f t="shared" si="0"/>
        <x:v>获得时，获得一个随机装饰品、随机食物、50 金币</x:v>
      </x:c>
      <x:c r="K8" t="s">
        <x:v>131</x:v>
      </x:c>
      <x:c r="L8"/>
      <x:c r="M8">
        <x:v>100</x:v>
      </x:c>
      <x:c r="N8"/>
      <x:c r="O8" t="s">
        <x:v>132</x:v>
      </x:c>
      <x:c r="P8"/>
      <x:c r="Q8" t="n">
        <x:f>COUNTIF('装饰品'!$E$4:$E$94,K8)</x:f>
        <x:v>34</x:v>
      </x:c>
      <x:c r="R8"/>
      <x:c r="S8">
        <x:v>80</x:v>
      </x:c>
      <x:c r="T8"/>
      <x:c r="U8">
        <x:v>0.362637362637363</x:v>
      </x:c>
    </x:row>
    <x:row r="9" ht="17.25" customHeight="1">
      <x:c r="B9" s="4"/>
      <x:c r="C9" s="4"/>
      <x:c r="D9" s="3" t="s">
        <x:v>133</x:v>
      </x:c>
      <x:c r="E9" s="3" t="str">
        <x:v>所有装饰品和消耗品替换为随机装饰品和消耗品</x:v>
      </x:c>
      <x:c r="H9" s="1">
        <x:v>8</x:v>
      </x:c>
      <x:c r="I9" s="2" t="str">
        <x:f t="shared" si="0"/>
        <x:v>所有装饰品和消耗品替换为随机装饰品和消耗品</x:v>
      </x:c>
      <x:c r="K9" t="s">
        <x:v>134</x:v>
      </x:c>
      <x:c r="L9"/>
      <x:c r="M9">
        <x:v>30</x:v>
      </x:c>
      <x:c r="N9"/>
      <x:c r="O9" t="s">
        <x:v>135</x:v>
      </x:c>
      <x:c r="P9"/>
      <x:c r="Q9" t="n">
        <x:f>COUNTIF('装饰品'!$E$4:$E$94,K9)</x:f>
        <x:v>12</x:v>
      </x:c>
      <x:c r="R9"/>
      <x:c r="S9">
        <x:v>150</x:v>
      </x:c>
      <x:c r="T9"/>
      <x:c r="U9">
        <x:v>0.120879120879121</x:v>
      </x:c>
    </x:row>
    <x:row r="10" ht="17.25" customHeight="1">
      <x:c r="B10" s="4"/>
      <x:c r="C10" s="4" t="s">
        <x:v>136</x:v>
      </x:c>
      <x:c r="D10" s="3" t="s">
        <x:v>137</x:v>
      </x:c>
      <x:c r="E10" s="3" t="str">
        <x:v>获得1～100 个金币</x:v>
      </x:c>
      <x:c r="H10" s="1">
        <x:v>9</x:v>
      </x:c>
      <x:c r="I10" s="2" t="str">
        <x:f t="shared" si="0"/>
        <x:v>获得1～100 个金币</x:v>
      </x:c>
      <x:c r="K10" t="s">
        <x:v>138</x:v>
      </x:c>
      <x:c r="L10"/>
      <x:c r="M10">
        <x:v>10</x:v>
      </x:c>
      <x:c r="N10"/>
      <x:c r="O10" t="s">
        <x:v>139</x:v>
      </x:c>
      <x:c r="P10"/>
      <x:c r="Q10" t="n">
        <x:f>COUNTIF('装饰品'!$E$4:$E$94,K10)</x:f>
        <x:v>4</x:v>
      </x:c>
      <x:c r="R10"/>
      <x:c r="S10">
        <x:v>240</x:v>
      </x:c>
      <x:c r="T10"/>
      <x:c r="U10">
        <x:v>0.043956043956044</x:v>
      </x:c>
    </x:row>
    <x:row r="11" ht="17.25" customHeight="1">
      <x:c r="B11" s="4"/>
      <x:c r="C11" s="3"/>
      <x:c r="D11" s="3" t="str">
        <x:v>食物给钱</x:v>
      </x:c>
      <x:c r="E11" s="3" t="str">
        <x:v>接下来10局食物，额外获得15 金币</x:v>
      </x:c>
      <x:c r="H11" s="1">
        <x:v>10</x:v>
      </x:c>
      <x:c r="I11" s="2" t="str">
        <x:f t="shared" si="0"/>
        <x:v>接下来10局食物，额外获得15 金币</x:v>
      </x:c>
      <x:c r="K11"/>
      <x:c r="L11"/>
      <x:c r="M11"/>
      <x:c r="N11"/>
      <x:c r="O11"/>
      <x:c r="P11"/>
      <x:c r="Q11"/>
      <x:c r="R11"/>
      <x:c r="S11"/>
      <x:c r="T11"/>
      <x:c r="U11"/>
    </x:row>
    <x:row r="12" ht="17.25" customHeight="1">
      <x:c r="B12" s="4"/>
      <x:c r="C12" s="4"/>
      <x:c r="D12" s="3" t="str">
        <x:v>星级评鉴给钱</x:v>
      </x:c>
      <x:c r="E12" s="3" t="str">
        <x:v>完成本次星级评鉴后，额外获得100 金币</x:v>
      </x:c>
      <x:c r="H12" s="1">
        <x:v>11</x:v>
      </x:c>
      <x:c r="I12" s="2" t="str">
        <x:f t="shared" si="0"/>
        <x:v>完成本次星级评鉴后，额外获得100 金币</x:v>
      </x:c>
      <x:c r="K12"/>
      <x:c r="L12"/>
      <x:c r="M12"/>
      <x:c r="N12"/>
      <x:c r="O12"/>
      <x:c r="P12" t="s">
        <x:v>140</x:v>
      </x:c>
      <x:c r="Q12" t="s">
        <x:v>141</x:v>
      </x:c>
      <x:c r="R12" t="s">
        <x:v>142</x:v>
      </x:c>
      <x:c r="S12"/>
      <x:c r="T12"/>
      <x:c r="U12"/>
    </x:row>
    <x:row r="13" ht="17.25" customHeight="1">
      <x:c r="B13" s="4"/>
      <x:c r="C13" s="4"/>
      <x:c r="D13" s="5" t="s">
        <x:v>143</x:v>
      </x:c>
      <x:c r="E13" s="3" t="str">
        <x:v>食物结束获得的金币，额外获得20%</x:v>
      </x:c>
      <x:c r="H13" s="1">
        <x:v>12</x:v>
      </x:c>
      <x:c r="I13" s="2" t="str">
        <x:f t="shared" si="0"/>
        <x:v>食物结束获得的金币，额外获得20%</x:v>
      </x:c>
      <x:c r="K13" t="n">
        <x:f>100*0.1*6</x:f>
        <x:v>60</x:v>
      </x:c>
      <x:c r="L13"/>
      <x:c r="M13" t="s">
        <x:v>144</x:v>
      </x:c>
      <x:c r="N13">
        <x:v>240</x:v>
      </x:c>
      <x:c r="O13"/>
      <x:c r="P13"/>
      <x:c r="Q13"/>
      <x:c r="R13"/>
      <x:c r="S13"/>
      <x:c r="T13"/>
      <x:c r="U13"/>
    </x:row>
    <x:row r="14" ht="17.25" customHeight="1">
      <x:c r="B14" s="4"/>
      <x:c r="C14" s="4" t="s">
        <x:v>145</x:v>
      </x:c>
      <x:c r="D14" s="3" t="s">
        <x:v>146</x:v>
      </x:c>
      <x:c r="E14" s="3" t="s">
        <x:v>147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L14"/>
      <x:c r="M14" t="s">
        <x:v>148</x:v>
      </x:c>
      <x:c r="N14">
        <x:v>150</x:v>
      </x:c>
      <x:c r="O14"/>
      <x:c r="P14">
        <x:v>250</x:v>
      </x:c>
      <x:c r="Q14"/>
      <x:c r="R14"/>
      <x:c r="S14"/>
      <x:c r="T14"/>
      <x:c r="U14"/>
    </x:row>
    <x:row r="15" ht="17.25" customHeight="1">
      <x:c r="B15" s="4"/>
      <x:c r="C15" s="3"/>
      <x:c r="D15" s="3" t="s">
        <x:v>149</x:v>
      </x:c>
      <x:c r="E15" s="3" t="s">
        <x:v>150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L15"/>
      <x:c r="M15" t="s">
        <x:v>151</x:v>
      </x:c>
      <x:c r="N15">
        <x:v>80</x:v>
      </x:c>
      <x:c r="O15"/>
      <x:c r="P15">
        <x:v>150</x:v>
      </x:c>
      <x:c r="Q15">
        <x:v>10</x:v>
      </x:c>
      <x:c r="R15"/>
      <x:c r="S15"/>
      <x:c r="T15"/>
      <x:c r="U15"/>
    </x:row>
    <x:row r="16" ht="17.25" customHeight="1">
      <x:c r="B16" s="4"/>
      <x:c r="C16" s="4"/>
      <x:c r="D16" s="3" t="str">
        <x:v>买消耗品</x:v>
      </x:c>
      <x:c r="E16" s="3" t="str">
        <x:v>买消耗品打折20%</x:v>
      </x:c>
      <x:c r="H16" s="1">
        <x:v>15</x:v>
      </x:c>
      <x:c r="I16" s="2" t="str">
        <x:f t="shared" si="0"/>
        <x:v>买消耗品打折20%</x:v>
      </x:c>
      <x:c r="K16"/>
      <x:c r="L16"/>
      <x:c r="M16" t="s">
        <x:v>152</x:v>
      </x:c>
      <x:c r="N16">
        <x:v>40</x:v>
      </x:c>
      <x:c r="O16"/>
      <x:c r="P16">
        <x:v>70</x:v>
      </x:c>
      <x:c r="Q16">
        <x:v>5</x:v>
      </x:c>
      <x:c r="R16"/>
      <x:c r="S16"/>
      <x:c r="T16"/>
      <x:c r="U16"/>
    </x:row>
    <x:row r="17" ht="17.25" customHeight="1">
      <x:c r="B17" s="4"/>
      <x:c r="C17" s="4"/>
      <x:c r="D17" s="3" t="str">
        <x:v>买装饰品</x:v>
      </x:c>
      <x:c r="E17" s="3" t="str">
        <x:v>买装饰品打折20%</x:v>
      </x:c>
      <x:c r="H17" s="1">
        <x:v>16</x:v>
      </x:c>
      <x:c r="I17" s="2" t="str">
        <x:f t="shared" si="0"/>
        <x:v>买装饰品打折20%</x:v>
      </x:c>
      <x:c r="K17"/>
      <x:c r="L17"/>
      <x:c r="M17"/>
      <x:c r="N17"/>
      <x:c r="O17"/>
      <x:c r="P17"/>
      <x:c r="Q17"/>
      <x:c r="R17"/>
      <x:c r="S17"/>
      <x:c r="T17"/>
      <x:c r="U17"/>
    </x:row>
    <x:row r="18" ht="17.25" customHeight="1">
      <x:c r="B18" s="4"/>
      <x:c r="C18" s="4"/>
      <x:c r="D18" s="3" t="str">
        <x:v>删除食物</x:v>
      </x:c>
      <x:c r="E18" s="3" t="str">
        <x:v>删除食物价格打折20%</x:v>
      </x:c>
      <x:c r="H18" s="1">
        <x:v>17</x:v>
      </x:c>
      <x:c r="I18" s="2" t="str">
        <x:f t="shared" si="0"/>
        <x:v>删除食物价格打折20%</x:v>
      </x:c>
      <x:c r="K18"/>
      <x:c r="L18"/>
      <x:c r="M18" t="s">
        <x:v>153</x:v>
      </x:c>
      <x:c r="N18">
        <x:v>1.4</x:v>
      </x:c>
      <x:c r="O18"/>
      <x:c r="P18"/>
      <x:c r="Q18"/>
      <x:c r="R18"/>
      <x:c r="S18"/>
      <x:c r="T18"/>
      <x:c r="U18"/>
    </x:row>
    <x:row r="19" ht="17.25" customHeight="1">
      <x:c r="B19" s="4"/>
      <x:c r="C19" s="4"/>
      <x:c r="D19" s="3" t="str">
        <x:v>删除食物</x:v>
      </x:c>
      <x:c r="E19" s="3" t="str">
        <x:v>删除食物价格固定为30 金币</x:v>
      </x:c>
      <x:c r="H19" s="1">
        <x:v>18</x:v>
      </x:c>
      <x:c r="I19" s="2" t="str">
        <x:f t="shared" si="0"/>
        <x:v>删除食物价格固定为30 金币</x:v>
      </x:c>
      <x:c r="K19"/>
      <x:c r="L19"/>
      <x:c r="M19"/>
      <x:c r="N19"/>
      <x:c r="O19"/>
      <x:c r="P19"/>
      <x:c r="Q19"/>
      <x:c r="R19"/>
      <x:c r="S19"/>
      <x:c r="T19"/>
      <x:c r="U19"/>
    </x:row>
    <x:row r="20" ht="17.25" customHeight="1">
      <x:c r="B20" s="4"/>
      <x:c r="C20" s="4" t="s">
        <x:v>154</x:v>
      </x:c>
      <x:c r="D20" s="3" t="s">
        <x:v>155</x:v>
      </x:c>
      <x:c r="E20" s="3" t="str">
        <x:v>分数未达标时，不失败，失去此装饰品和消耗品</x:v>
      </x:c>
      <x:c r="H20" s="1">
        <x:v>19</x:v>
      </x:c>
      <x:c r="I20" s="2" t="str">
        <x:f t="shared" si="0"/>
        <x:v>分数未达标时，不失败，失去此装饰品和消耗品</x:v>
      </x:c>
      <x:c r="K20" t="n">
        <x:f>0.9*0.8</x:f>
        <x:v>0.7200000000000001</x:v>
      </x:c>
      <x:c r="L20"/>
      <x:c r="M20"/>
      <x:c r="N20" t="n">
        <x:f>280*5</x:f>
        <x:v>1400</x:v>
      </x:c>
      <x:c r="O20"/>
      <x:c r="P20"/>
      <x:c r="Q20"/>
      <x:c r="R20"/>
      <x:c r="S20"/>
      <x:c r="T20"/>
      <x:c r="U20"/>
    </x:row>
    <x:row r="21" ht="17.25" customHeight="1">
      <x:c r="B21" s="4"/>
      <x:c r="C21" s="4" t="s">
        <x:v>156</x:v>
      </x:c>
      <x:c r="D21" s="3" t="s">
        <x:v>157</x:v>
      </x:c>
      <x:c r="E21" s="3" t="str">
        <x:v>接下来3局非星级评鉴（星级评鉴），分数要求为1</x:v>
      </x:c>
      <x:c r="H21" s="1">
        <x:v>20</x:v>
      </x:c>
      <x:c r="I21" s="2" t="str">
        <x:f t="shared" si="0"/>
        <x:v>接下来3局非星级评鉴（星级评鉴），分数要求为1</x:v>
      </x:c>
      <x:c r="K21"/>
      <x:c r="L21"/>
      <x:c r="M21"/>
      <x:c r="N21" t="n">
        <x:f>N20*0.8</x:f>
        <x:v>1120</x:v>
      </x:c>
      <x:c r="O21"/>
      <x:c r="P21"/>
      <x:c r="Q21"/>
      <x:c r="R21"/>
      <x:c r="S21"/>
      <x:c r="T21"/>
      <x:c r="U21"/>
    </x:row>
    <x:row r="22" ht="17.25" customHeight="1">
      <x:c r="B22" s="4"/>
      <x:c r="C22" s="3"/>
      <x:c r="D22" s="3" t="str">
        <x:v>日常营业分数减少</x:v>
      </x:c>
      <x:c r="E22" s="3" t="str">
        <x:v>日常营业目标美味值 -10%</x:v>
      </x:c>
      <x:c r="H22" s="1">
        <x:v>21</x:v>
      </x:c>
      <x:c r="I22" s="2" t="str">
        <x:f t="shared" si="0"/>
        <x:v>日常营业目标美味值 -10%</x:v>
      </x:c>
      <x:c r="K22"/>
      <x:c r="L22"/>
      <x:c r="M22"/>
      <x:c r="N22" t="n">
        <x:f>N21*0.15</x:f>
        <x:v>168</x:v>
      </x:c>
      <x:c r="O22"/>
      <x:c r="P22"/>
      <x:c r="Q22"/>
      <x:c r="R22"/>
      <x:c r="S22"/>
      <x:c r="T22"/>
      <x:c r="U22"/>
    </x:row>
    <x:row r="23" ht="17.25" customHeight="1">
      <x:c r="B23" s="4"/>
      <x:c r="C23" s="3"/>
      <x:c r="D23" s="3" t="str">
        <x:v>火热营业分数减少</x:v>
      </x:c>
      <x:c r="E23" s="3" t="str">
        <x:v>火热营业目标美味值 -10%</x:v>
      </x:c>
      <x:c r="H23" s="1">
        <x:v>22</x:v>
      </x:c>
      <x:c r="I23" s="2" t="str">
        <x:f t="shared" si="0"/>
        <x:v>火热营业目标美味值 -10%</x:v>
      </x:c>
      <x:c r="K23"/>
      <x:c r="L23"/>
      <x:c r="M23"/>
      <x:c r="N23"/>
      <x:c r="O23"/>
      <x:c r="P23"/>
      <x:c r="Q23"/>
      <x:c r="R23"/>
      <x:c r="S23"/>
      <x:c r="T23"/>
      <x:c r="U23"/>
    </x:row>
    <x:row r="24" ht="17.25" customHeight="1">
      <x:c r="B24" s="4"/>
      <x:c r="C24" s="4"/>
      <x:c r="D24" s="3" t="str">
        <x:v>星级评鉴食物分数减少</x:v>
      </x:c>
      <x:c r="E24" s="3" t="str">
        <x:v>星级评鉴食物目标美味值 -10%</x:v>
      </x:c>
      <x:c r="H24" s="1">
        <x:v>23</x:v>
      </x:c>
      <x:c r="I24" s="2" t="str">
        <x:f t="shared" si="0"/>
        <x:v>星级评鉴食物目标美味值 -10%</x:v>
      </x:c>
      <x:c r="K24"/>
      <x:c r="L24"/>
      <x:c r="M24"/>
      <x:c r="N24"/>
      <x:c r="O24"/>
      <x:c r="P24"/>
      <x:c r="Q24"/>
      <x:c r="R24"/>
      <x:c r="S24"/>
      <x:c r="T24"/>
      <x:c r="U24"/>
    </x:row>
    <x:row r="25" ht="17.25" customHeight="1">
      <x:c r="B25" s="4"/>
      <x:c r="C25" s="4" t="s">
        <x:v>158</x:v>
      </x:c>
      <x:c r="D25" s="3" t="s">
        <x:v>159</x:v>
      </x:c>
      <x:c r="E25" s="3" t="str">
        <x:v>结算时，食物数量小于等于10，所有食物倍率 ×1.1</x:v>
      </x:c>
      <x:c r="H25" s="1">
        <x:v>24</x:v>
      </x:c>
      <x:c r="I25" s="2" t="str">
        <x:f t="shared" si="0"/>
        <x:v>结算时，食物数量小于等于10，所有食物倍率 ×1.1</x:v>
      </x:c>
      <x:c r="K25"/>
      <x:c r="L25"/>
      <x:c r="M25"/>
      <x:c r="N25"/>
      <x:c r="O25"/>
      <x:c r="P25"/>
      <x:c r="Q25"/>
      <x:c r="R25"/>
      <x:c r="S25"/>
      <x:c r="T25"/>
      <x:c r="U25"/>
    </x:row>
    <x:row r="26" ht="17.25" customHeight="1">
      <x:c r="B26" s="4"/>
      <x:c r="C26" s="4"/>
      <x:c r="D26" s="3" t="s">
        <x:v>159</x:v>
      </x:c>
      <x:c r="E26" s="3" t="str">
        <x:v>结算时，食物数量大于等于10，所有食物倍率 ×1.1</x:v>
      </x:c>
      <x:c r="H26" s="1">
        <x:v>25</x:v>
      </x:c>
      <x:c r="I26" s="2" t="str">
        <x:f t="shared" si="0"/>
        <x:v>结算时，食物数量大于等于10，所有食物倍率 ×1.1</x:v>
      </x:c>
      <x:c r="K26"/>
      <x:c r="L26"/>
      <x:c r="M26"/>
      <x:c r="N26"/>
      <x:c r="O26"/>
      <x:c r="P26">
        <x:v>180</x:v>
      </x:c>
      <x:c r="Q26"/>
      <x:c r="R26"/>
      <x:c r="S26"/>
      <x:c r="T26"/>
      <x:c r="U26"/>
    </x:row>
    <x:row r="27" ht="17.25" customHeight="1">
      <x:c r="B27" s="4"/>
      <x:c r="C27" s="3" t="s">
        <x:v>160</x:v>
      </x:c>
      <x:c r="D27" s="3" t="s">
        <x:v>161</x:v>
      </x:c>
      <x:c r="E27" s="3" t="str">
        <x:v>结算时，食物倍率 +0倍（每结算1 个食物 +0.1倍）</x:v>
      </x:c>
      <x:c r="H27" s="1">
        <x:v>26</x:v>
      </x:c>
      <x:c r="I27" s="2" t="str">
        <x:f t="shared" si="0"/>
        <x:v>结算时，食物倍率 +0倍（每结算1 个食物 +0.1倍）</x:v>
      </x:c>
      <x:c r="K27"/>
      <x:c r="L27"/>
      <x:c r="M27"/>
      <x:c r="N27"/>
      <x:c r="O27"/>
      <x:c r="P27"/>
      <x:c r="Q27"/>
      <x:c r="R27">
        <x:v>60</x:v>
      </x:c>
      <x:c r="S27"/>
      <x:c r="T27"/>
      <x:c r="U27"/>
    </x:row>
    <x:row r="28" ht="17.25" customHeight="1">
      <x:c r="B28" s="4"/>
      <x:c r="C28" s="4" t="s">
        <x:v>162</x:v>
      </x:c>
      <x:c r="D28" s="3" t="s">
        <x:v>163</x:v>
      </x:c>
      <x:c r="E28" s="3" t="str">
        <x:v>所有食物基础分数永久 +10</x:v>
      </x:c>
      <x:c r="H28" s="1">
        <x:v>27</x:v>
      </x:c>
      <x:c r="I28" s="2" t="str">
        <x:f t="shared" si="0"/>
        <x:v>所有食物基础分数永久 +10</x:v>
      </x:c>
      <x:c r="K28"/>
      <x:c r="L28"/>
      <x:c r="M28"/>
      <x:c r="N28"/>
      <x:c r="O28"/>
      <x:c r="P28"/>
      <x:c r="Q28"/>
      <x:c r="R28"/>
      <x:c r="S28"/>
      <x:c r="T28"/>
      <x:c r="U28"/>
    </x:row>
    <x:row r="29" ht="17.25" customHeight="1">
      <x:c r="B29" s="4"/>
      <x:c r="C29" s="3" t="s">
        <x:v>164</x:v>
      </x:c>
      <x:c r="D29" s="3" t="s">
        <x:v>163</x:v>
      </x:c>
      <x:c r="E29" s="3" t="str">
        <x:v>所有食物基础倍率永久 +0.2</x:v>
      </x:c>
      <x:c r="H29" s="1">
        <x:v>28</x:v>
      </x:c>
      <x:c r="I29" s="2" t="str">
        <x:f t="shared" si="0"/>
        <x:v>所有食物基础倍率永久 +0.2</x:v>
      </x:c>
      <x:c r="K29"/>
      <x:c r="L29"/>
      <x:c r="M29"/>
      <x:c r="N29"/>
      <x:c r="O29"/>
      <x:c r="P29"/>
      <x:c r="Q29"/>
      <x:c r="R29"/>
      <x:c r="S29"/>
      <x:c r="T29"/>
      <x:c r="U29"/>
    </x:row>
    <x:row r="30" ht="17.25" customHeight="1">
      <x:c r="B30" s="4"/>
      <x:c r="C30" s="3" t="s">
        <x:v>165</x:v>
      </x:c>
      <x:c r="D30" s="3" t="s">
        <x:v>166</x:v>
      </x:c>
      <x:c r="E30" s="3" t="str">
        <x:v>每5 次上菜后，下一次上菜，可以看见食物是什么</x:v>
      </x:c>
      <x:c r="H30" s="1">
        <x:v>29</x:v>
      </x:c>
      <x:c r="I30" s="2" t="str">
        <x:f t="shared" si="0"/>
        <x:v>每5 次上菜后，下一次上菜，可以看见食物是什么</x:v>
      </x:c>
      <x:c r="K30"/>
      <x:c r="L30"/>
      <x:c r="M30"/>
      <x:c r="N30"/>
      <x:c r="O30"/>
      <x:c r="P30"/>
      <x:c r="Q30"/>
      <x:c r="R30"/>
      <x:c r="S30"/>
      <x:c r="T30"/>
      <x:c r="U30"/>
    </x:row>
    <x:row r="31" ht="17.25" customHeight="1">
      <x:c r="B31" s="4"/>
      <x:c r="C31" s="3"/>
      <x:c r="D31" s="3" t="s">
        <x:v>166</x:v>
      </x:c>
      <x:c r="E31" s="3" t="s">
        <x:v>167</x:v>
      </x:c>
      <x:c r="H31" s="1">
        <x:v>30</x:v>
      </x:c>
      <x:c r="I31" s="2" t="str">
        <x:f t="shared" si="0"/>
        <x:v>每局前三次上菜，可以看见食物</x:v>
      </x:c>
      <x:c r="K31"/>
      <x:c r="L31"/>
      <x:c r="M31"/>
      <x:c r="N31"/>
      <x:c r="O31"/>
      <x:c r="P31"/>
      <x:c r="Q31"/>
      <x:c r="R31"/>
      <x:c r="S31"/>
      <x:c r="T31"/>
      <x:c r="U31"/>
    </x:row>
    <x:row r="32" ht="17.25" customHeight="1">
      <x:c r="B32" s="4"/>
      <x:c r="C32" s="3" t="s">
        <x:v>168</x:v>
      </x:c>
      <x:c r="D32" s="3" t="s">
        <x:v>168</x:v>
      </x:c>
      <x:c r="E32" s="3" t="str">
        <x:v>随机将5 个食物，变为至少同品质的食物</x:v>
      </x:c>
      <x:c r="H32" s="1">
        <x:v>31</x:v>
      </x:c>
      <x:c r="I32" s="2" t="str">
        <x:f t="shared" si="0"/>
        <x:v>随机将5 个食物，变为至少同品质的食物</x:v>
      </x:c>
      <x:c r="K32"/>
      <x:c r="L32"/>
      <x:c r="M32"/>
      <x:c r="N32"/>
      <x:c r="O32"/>
      <x:c r="P32"/>
      <x:c r="Q32"/>
      <x:c r="R32"/>
      <x:c r="S32"/>
      <x:c r="T32"/>
      <x:c r="U32"/>
    </x:row>
    <x:row r="33" ht="17.25" customHeight="1">
      <x:c r="B33" s="4"/>
      <x:c r="C33" s="4"/>
      <x:c r="D33" s="3" t="s">
        <x:v>169</x:v>
      </x:c>
      <x:c r="E33" s="3" t="str">
        <x:v>进入商店时，获得10 金币</x:v>
      </x:c>
      <x:c r="H33" s="1">
        <x:v>32</x:v>
      </x:c>
      <x:c r="I33" s="2" t="str">
        <x:f t="shared" si="0"/>
        <x:v>进入商店时，获得10 金币</x:v>
      </x:c>
      <x:c r="K33"/>
      <x:c r="L33"/>
      <x:c r="M33"/>
      <x:c r="N33"/>
      <x:c r="O33"/>
      <x:c r="P33"/>
      <x:c r="Q33"/>
      <x:c r="R33"/>
      <x:c r="S33"/>
      <x:c r="T33"/>
      <x:c r="U33"/>
    </x:row>
    <x:row r="34" ht="17.25" customHeight="1">
      <x:c r="B34" s="4"/>
      <x:c r="C34" s="4"/>
      <x:c r="D34" s="3" t="s">
        <x:v>170</x:v>
      </x:c>
      <x:c r="E34" s="3" t="s">
        <x:v>171</x:v>
      </x:c>
      <x:c r="H34" s="1">
        <x:v>33</x:v>
      </x:c>
      <x:c r="I34" s="2" t="str">
        <x:f t="shared" si="0"/>
        <x:v>每周结束，额外执行一次利息</x:v>
      </x:c>
      <x:c r="K34"/>
      <x:c r="L34"/>
      <x:c r="M34"/>
      <x:c r="N34"/>
      <x:c r="O34"/>
      <x:c r="P34"/>
      <x:c r="Q34"/>
      <x:c r="R34"/>
      <x:c r="S34"/>
      <x:c r="T34"/>
      <x:c r="U34"/>
    </x:row>
    <x:row r="35" ht="17.25" customHeight="1">
      <x:c r="B35" s="4"/>
      <x:c r="C35" s="3"/>
      <x:c r="D35" s="3" t="s">
        <x:v>172</x:v>
      </x:c>
      <x:c r="E35" s="3" t="str">
        <x:v>回合结束金币小于10时，获得10 金币</x:v>
      </x:c>
      <x:c r="H35" s="1">
        <x:v>34</x:v>
      </x:c>
      <x:c r="I35" s="2" t="str">
        <x:f t="shared" si="0"/>
        <x:v>回合结束金币小于10时，获得10 金币</x:v>
      </x:c>
      <x:c r="K35"/>
      <x:c r="L35"/>
      <x:c r="M35"/>
      <x:c r="N35"/>
      <x:c r="O35"/>
      <x:c r="P35"/>
      <x:c r="Q35"/>
      <x:c r="R35"/>
      <x:c r="S35"/>
      <x:c r="T35"/>
      <x:c r="U35"/>
    </x:row>
    <x:row r="36" ht="17.25" customHeight="1">
      <x:c r="B36" s="4"/>
      <x:c r="C36" s="3"/>
      <x:c r="D36" s="6" t="s">
        <x:v>173</x:v>
      </x:c>
      <x:c r="E36" s="3" t="str">
        <x:v>利息上限扩展到10 金币</x:v>
      </x:c>
      <x:c r="H36" s="1">
        <x:v>35</x:v>
      </x:c>
      <x:c r="I36" s="2" t="str">
        <x:f t="shared" si="0"/>
        <x:v>利息上限扩展到10 金币</x:v>
      </x:c>
      <x:c r="K36" t="n">
        <x:f>15*6</x:f>
        <x:v>90</x:v>
      </x:c>
      <x:c r="L36"/>
      <x:c r="M36"/>
      <x:c r="N36"/>
      <x:c r="O36"/>
      <x:c r="P36"/>
      <x:c r="Q36"/>
      <x:c r="R36"/>
      <x:c r="S36"/>
      <x:c r="T36"/>
      <x:c r="U36"/>
    </x:row>
    <x:row r="37" ht="17.25" customHeight="1">
      <x:c r="B37" s="4"/>
      <x:c r="C37" s="3"/>
      <x:c r="D37" s="3" t="s">
        <x:v>174</x:v>
      </x:c>
      <x:c r="E37" s="3" t="str">
        <x:v>临时获得300 金币，下一周失去600 金币</x:v>
      </x:c>
      <x:c r="H37" s="1">
        <x:v>36</x:v>
      </x:c>
      <x:c r="I37" s="2" t="str">
        <x:f t="shared" si="0"/>
        <x:v>临时获得300 金币，下一周失去600 金币</x:v>
      </x:c>
      <x:c r="K37"/>
      <x:c r="L37"/>
      <x:c r="M37"/>
      <x:c r="N37"/>
      <x:c r="O37"/>
      <x:c r="P37"/>
      <x:c r="Q37"/>
      <x:c r="R37"/>
      <x:c r="S37"/>
      <x:c r="T37"/>
      <x:c r="U37"/>
    </x:row>
    <x:row r="38" ht="17.25" customHeight="1">
      <x:c r="B38" s="4"/>
      <x:c r="C38" s="3" t="s">
        <x:v>175</x:v>
      </x:c>
      <x:c r="D38" s="3" t="s">
        <x:v>133</x:v>
      </x:c>
      <x:c r="E38" s="3" t="str">
        <x:v>随机化时间轴的节点行动。</x:v>
      </x:c>
      <x:c r="H38" s="1">
        <x:v>37</x:v>
      </x:c>
      <x:c r="I38" s="2" t="str">
        <x:f t="shared" si="0"/>
        <x:v>随机化时间轴的节点行动。</x:v>
      </x:c>
      <x:c r="K38" t="n">
        <x:f>3*50</x:f>
        <x:v>150</x:v>
      </x:c>
      <x:c r="L38"/>
      <x:c r="M38"/>
      <x:c r="N38"/>
      <x:c r="O38"/>
      <x:c r="P38"/>
      <x:c r="Q38"/>
      <x:c r="R38"/>
      <x:c r="S38"/>
      <x:c r="T38"/>
      <x:c r="U38"/>
    </x:row>
    <x:row r="39" ht="17.25" customHeight="1">
      <x:c r="B39" s="4"/>
      <x:c r="C39" s="4"/>
      <x:c r="D39" s="3" t="s">
        <x:v>176</x:v>
      </x:c>
      <x:c r="E39" s="3" t="str">
        <x:v>延后所有星级评鉴一天</x:v>
      </x:c>
      <x:c r="H39" s="1">
        <x:v>38</x:v>
      </x:c>
      <x:c r="I39" s="2" t="str">
        <x:f t="shared" si="0"/>
        <x:v>延后所有星级评鉴一天</x:v>
      </x:c>
      <x:c r="K39"/>
      <x:c r="L39"/>
      <x:c r="M39"/>
      <x:c r="N39"/>
      <x:c r="O39"/>
      <x:c r="P39"/>
      <x:c r="Q39"/>
      <x:c r="R39"/>
      <x:c r="S39"/>
      <x:c r="T39"/>
      <x:c r="U39"/>
    </x:row>
    <x:row r="40" ht="17.25" customHeight="1">
      <x:c r="B40" s="4"/>
      <x:c r="C40" s="4"/>
      <x:c r="D40" s="3" t="str">
        <x:v>周数 -1</x:v>
      </x:c>
      <x:c r="E40" s="3" t="str">
        <x:v>周数 -1</x:v>
      </x:c>
      <x:c r="H40" s="1">
        <x:v>39</x:v>
      </x:c>
      <x:c r="I40" s="2" t="str">
        <x:f t="shared" si="0"/>
        <x:v>周数 -1</x:v>
      </x:c>
      <x:c r="K40" t="s">
        <x:v>177</x:v>
      </x:c>
      <x:c r="L40"/>
      <x:c r="M40"/>
      <x:c r="N40"/>
      <x:c r="O40"/>
      <x:c r="P40"/>
      <x:c r="Q40"/>
      <x:c r="R40"/>
      <x:c r="S40"/>
      <x:c r="T40"/>
      <x:c r="U40"/>
    </x:row>
    <x:row r="41" ht="17.25" customHeight="1">
      <x:c r="B41" s="4"/>
      <x:c r="C41" s="4"/>
      <x:c r="D41" s="3" t="s">
        <x:v>178</x:v>
      </x:c>
      <x:c r="E41" s="3" t="s">
        <x:v>179</x:v>
      </x:c>
      <x:c r="H41" s="1">
        <x:v>40</x:v>
      </x:c>
      <x:c r="I41" s="2" t="str">
        <x:f t="shared" si="0"/>
        <x:v>增加一个奖励节点到时间轴上</x:v>
      </x:c>
      <x:c r="K41"/>
      <x:c r="L41"/>
      <x:c r="M41"/>
      <x:c r="N41"/>
      <x:c r="O41"/>
      <x:c r="P41"/>
      <x:c r="Q41"/>
      <x:c r="R41"/>
      <x:c r="S41"/>
      <x:c r="T41"/>
      <x:c r="U41"/>
    </x:row>
    <x:row r="42" ht="17.25" customHeight="1">
      <x:c r="B42" s="4"/>
      <x:c r="C42" s="4"/>
      <x:c r="D42" s="3" t="s">
        <x:v>180</x:v>
      </x:c>
      <x:c r="E42" s="3" t="s">
        <x:v>181</x:v>
      </x:c>
      <x:c r="H42" s="1">
        <x:v>41</x:v>
      </x:c>
      <x:c r="I42" s="2" t="str">
        <x:f t="shared" si="0"/>
        <x:v>增加一个利息节点到时间轴上</x:v>
      </x:c>
      <x:c r="K42"/>
      <x:c r="L42"/>
      <x:c r="M42"/>
      <x:c r="N42"/>
      <x:c r="O42"/>
      <x:c r="P42"/>
      <x:c r="Q42"/>
      <x:c r="R42"/>
      <x:c r="S42"/>
      <x:c r="T42"/>
      <x:c r="U42"/>
    </x:row>
    <x:row r="43" ht="17.25" customHeight="1">
      <x:c r="B43" s="4"/>
      <x:c r="C43" s="4" t="s">
        <x:v>182</x:v>
      </x:c>
      <x:c r="D43" s="3" t="str">
        <x:v>每3 个</x:v>
      </x:c>
      <x:c r="E43" s="3" t="str">
        <x:v>每上3 个食物后，下1 个食物倍率 +2</x:v>
      </x:c>
      <x:c r="H43" s="1">
        <x:v>42</x:v>
      </x:c>
      <x:c r="I43" s="2" t="str">
        <x:f t="shared" si="0"/>
        <x:v>每上3 个食物后，下1 个食物倍率 +2</x:v>
      </x:c>
      <x:c r="K43"/>
      <x:c r="L43"/>
      <x:c r="M43"/>
      <x:c r="N43"/>
      <x:c r="O43"/>
      <x:c r="P43"/>
      <x:c r="Q43"/>
      <x:c r="R43"/>
      <x:c r="S43"/>
      <x:c r="T43"/>
      <x:c r="U43"/>
    </x:row>
    <x:row r="44" ht="17.25" customHeight="1">
      <x:c r="B44" s="4"/>
      <x:c r="C44" s="3"/>
      <x:c r="D44" s="3" t="s">
        <x:v>183</x:v>
      </x:c>
      <x:c r="E44" s="3" t="str">
        <x:v>第一个上的食物，倍率 ×2</x:v>
      </x:c>
      <x:c r="H44" s="1">
        <x:v>43</x:v>
      </x:c>
      <x:c r="I44" s="2" t="str">
        <x:f t="shared" si="0"/>
        <x:v>第一个上的食物，倍率 ×2</x:v>
      </x:c>
      <x:c r="K44"/>
      <x:c r="L44"/>
      <x:c r="M44"/>
      <x:c r="N44"/>
      <x:c r="O44"/>
      <x:c r="P44"/>
      <x:c r="Q44"/>
      <x:c r="R44"/>
      <x:c r="S44"/>
      <x:c r="T44"/>
      <x:c r="U44"/>
    </x:row>
    <x:row r="45" ht="17.25" customHeight="1">
      <x:c r="B45" s="4"/>
      <x:c r="C45" s="4"/>
      <x:c r="D45" s="3" t="s">
        <x:v>184</x:v>
      </x:c>
      <x:c r="E45" s="3" t="str">
        <x:v>最后一个上的食物，倍率 ×2</x:v>
      </x:c>
      <x:c r="H45" s="1">
        <x:v>44</x:v>
      </x:c>
      <x:c r="I45" s="2" t="str">
        <x:f t="shared" si="0"/>
        <x:v>最后一个上的食物，倍率 ×2</x:v>
      </x:c>
      <x:c r="K45"/>
      <x:c r="L45"/>
      <x:c r="M45"/>
      <x:c r="N45"/>
      <x:c r="O45"/>
      <x:c r="P45"/>
      <x:c r="Q45"/>
      <x:c r="R45"/>
      <x:c r="S45"/>
      <x:c r="T45"/>
      <x:c r="U45"/>
    </x:row>
    <x:row r="46" ht="17.25" customHeight="1">
      <x:c r="B46" s="4"/>
      <x:c r="C46" s="4" t="str">
        <x:v>消耗品</x:v>
      </x:c>
      <x:c r="D46" s="3" t="str">
        <x:v>额外装饰品和消耗品栏</x:v>
      </x:c>
      <x:c r="E46" s="3" t="str">
        <x:v>增加2 个额外消耗品栏</x:v>
      </x:c>
      <x:c r="H46" s="1">
        <x:v>45</x:v>
      </x:c>
      <x:c r="I46" s="2" t="str">
        <x:f t="shared" si="0"/>
        <x:v>增加2 个额外消耗品栏</x:v>
      </x:c>
      <x:c r="K46"/>
      <x:c r="L46">
        <x:v>4</x:v>
      </x:c>
      <x:c r="M46"/>
      <x:c r="N46">
        <x:v>2</x:v>
      </x:c>
      <x:c r="O46">
        <x:v>3</x:v>
      </x:c>
      <x:c r="P46"/>
      <x:c r="Q46"/>
      <x:c r="R46"/>
      <x:c r="S46"/>
      <x:c r="T46"/>
      <x:c r="U46"/>
    </x:row>
    <x:row r="47" ht="17.25" customHeight="1">
      <x:c r="B47" s="4"/>
      <x:c r="C47" s="4"/>
      <x:c r="D47" s="3" t="s">
        <x:v>136</x:v>
      </x:c>
      <x:c r="E47" s="3" t="str">
        <x:v>使用消耗品时，获得20 金币</x:v>
      </x:c>
      <x:c r="H47" s="1">
        <x:v>46</x:v>
      </x:c>
      <x:c r="I47" s="2" t="str">
        <x:f t="shared" si="0"/>
        <x:v>使用消耗品时，获得20 金币</x:v>
      </x:c>
      <x:c r="K47"/>
      <x:c r="L47">
        <x:v>9</x:v>
      </x:c>
      <x:c r="M47"/>
      <x:c r="N47"/>
      <x:c r="O47"/>
      <x:c r="P47"/>
      <x:c r="Q47"/>
      <x:c r="R47"/>
      <x:c r="S47"/>
      <x:c r="T47"/>
      <x:c r="U47"/>
    </x:row>
    <x:row r="48" ht="17.25" customHeight="1">
      <x:c r="B48" s="4"/>
      <x:c r="C48" s="4"/>
      <x:c r="D48" s="3" t="s">
        <x:v>185</x:v>
      </x:c>
      <x:c r="E48" s="3" t="str">
        <x:v>无法获得消耗品，获得1000 金币</x:v>
      </x:c>
      <x:c r="H48" s="1">
        <x:v>47</x:v>
      </x:c>
      <x:c r="I48" s="2" t="str">
        <x:f t="shared" si="0"/>
        <x:v>无法获得消耗品，获得1000 金币</x:v>
      </x:c>
      <x:c r="K48"/>
      <x:c r="L48"/>
      <x:c r="M48"/>
      <x:c r="N48"/>
      <x:c r="O48"/>
      <x:c r="P48"/>
      <x:c r="Q48"/>
      <x:c r="R48"/>
      <x:c r="S48"/>
      <x:c r="T48"/>
      <x:c r="U48"/>
    </x:row>
    <x:row r="49" ht="17.25" customHeight="1">
      <x:c r="B49" s="4"/>
      <x:c r="C49" s="3" t="s">
        <x:v>186</x:v>
      </x:c>
      <x:c r="D49" s="3" t="s">
        <x:v>187</x:v>
      </x:c>
      <x:c r="E49" s="3" t="s">
        <x:v>188</x:v>
      </x:c>
      <x:c r="H49" s="1">
        <x:v>48</x:v>
      </x:c>
      <x:c r="I49" s="2" t="str">
        <x:f t="shared" si="0"/>
        <x:v>强化两个随机风味到无风味食物上</x:v>
      </x:c>
      <x:c r="K49"/>
      <x:c r="L49"/>
      <x:c r="M49"/>
      <x:c r="N49"/>
      <x:c r="O49"/>
      <x:c r="P49"/>
      <x:c r="Q49"/>
      <x:c r="R49"/>
      <x:c r="S49"/>
      <x:c r="T49"/>
      <x:c r="U49"/>
    </x:row>
    <x:row r="50" ht="17.25" customHeight="1">
      <x:c r="B50" s="4"/>
      <x:c r="C50" s="4"/>
      <x:c r="D50" s="3" t="s">
        <x:v>189</x:v>
      </x:c>
      <x:c r="E50" s="3" t="str">
        <x:v>移除1 个食物的风味，获得200 金币</x:v>
      </x:c>
      <x:c r="H50" s="1">
        <x:v>49</x:v>
      </x:c>
      <x:c r="I50" s="2" t="str">
        <x:f t="shared" si="0"/>
        <x:v>移除1 个食物的风味，获得200 金币</x:v>
      </x:c>
      <x:c r="K50"/>
      <x:c r="L50"/>
      <x:c r="M50"/>
      <x:c r="N50"/>
      <x:c r="O50"/>
      <x:c r="P50"/>
      <x:c r="Q50"/>
      <x:c r="R50"/>
      <x:c r="S50"/>
      <x:c r="T50"/>
      <x:c r="U50"/>
    </x:row>
    <x:row r="51" ht="17.25" customHeight="1">
      <x:c r="B51" s="4"/>
      <x:c r="C51" s="4"/>
      <x:c r="D51" s="3" t="s">
        <x:v>190</x:v>
      </x:c>
      <x:c r="E51" s="3" t="str">
        <x:v>移除1 个食物的风味，其技能复制</x:v>
      </x:c>
      <x:c r="H51" s="1">
        <x:v>50</x:v>
      </x:c>
      <x:c r="I51" s="2" t="str">
        <x:f t="shared" si="0"/>
        <x:v>移除1 个食物的风味，其技能复制</x:v>
      </x:c>
      <x:c r="K51"/>
      <x:c r="L51"/>
      <x:c r="M51"/>
      <x:c r="N51"/>
      <x:c r="O51"/>
      <x:c r="P51"/>
      <x:c r="Q51"/>
      <x:c r="R51"/>
      <x:c r="S51"/>
      <x:c r="T51"/>
      <x:c r="U51"/>
    </x:row>
    <x:row r="52" ht="17.25" customHeight="1">
      <x:c r="B52" s="4"/>
      <x:c r="C52" s="3"/>
      <x:c r="D52" s="3" t="s">
        <x:v>191</x:v>
      </x:c>
      <x:c r="E52" s="3" t="str">
        <x:v>移除1 个食物的风味，其分数翻倍</x:v>
      </x:c>
      <x:c r="H52" s="1">
        <x:v>51</x:v>
      </x:c>
      <x:c r="I52" s="2" t="str">
        <x:f t="shared" si="0"/>
        <x:v>移除1 个食物的风味，其分数翻倍</x:v>
      </x:c>
      <x:c r="K52"/>
      <x:c r="L52"/>
      <x:c r="M52"/>
      <x:c r="N52"/>
      <x:c r="O52"/>
      <x:c r="P52"/>
      <x:c r="Q52"/>
      <x:c r="R52"/>
      <x:c r="S52"/>
      <x:c r="T52"/>
      <x:c r="U52"/>
    </x:row>
    <x:row r="53" ht="17.25" customHeight="1">
      <x:c r="B53" s="4"/>
      <x:c r="C53" s="4"/>
      <x:c r="D53" s="3" t="s">
        <x:v>192</x:v>
      </x:c>
      <x:c r="E53" s="3" t="str">
        <x:v>允许1 个食物拥有两个风味</x:v>
      </x:c>
      <x:c r="H53" s="1">
        <x:v>52</x:v>
      </x:c>
      <x:c r="I53" s="2" t="str">
        <x:f t="shared" si="0"/>
        <x:v>允许1 个食物拥有两个风味</x:v>
      </x:c>
      <x:c r="K53"/>
      <x:c r="L53"/>
      <x:c r="M53"/>
      <x:c r="N53"/>
      <x:c r="O53"/>
      <x:c r="P53"/>
      <x:c r="Q53"/>
      <x:c r="R53"/>
      <x:c r="S53"/>
      <x:c r="T53"/>
      <x:c r="U53"/>
    </x:row>
    <x:row r="54" ht="17.25" customHeight="1">
      <x:c r="B54" s="4"/>
      <x:c r="C54" s="4"/>
      <x:c r="D54" s="3" t="s">
        <x:v>193</x:v>
      </x:c>
      <x:c r="E54" s="3" t="str">
        <x:v>将1 个食物的风味强化到无风味食物上</x:v>
      </x:c>
      <x:c r="H54" s="1">
        <x:v>53</x:v>
      </x:c>
      <x:c r="I54" s="2" t="str">
        <x:f t="shared" si="0"/>
        <x:v>将1 个食物的风味强化到无风味食物上</x:v>
      </x:c>
      <x:c r="K54"/>
      <x:c r="L54"/>
      <x:c r="M54"/>
      <x:c r="N54"/>
      <x:c r="O54"/>
      <x:c r="P54"/>
      <x:c r="Q54"/>
      <x:c r="R54"/>
      <x:c r="S54"/>
      <x:c r="T54"/>
      <x:c r="U54"/>
    </x:row>
    <x:row r="55" ht="17.25" customHeight="1">
      <x:c r="B55" s="4"/>
      <x:c r="C55" s="3" t="s">
        <x:v>194</x:v>
      </x:c>
      <x:c r="D55" s="3" t="s">
        <x:v>195</x:v>
      </x:c>
      <x:c r="E55" s="3" t="s">
        <x:v>196</x:v>
      </x:c>
      <x:c r="H55" s="1">
        <x:v>54</x:v>
      </x:c>
      <x:c r="I55" s="2" t="str">
        <x:f t="shared" si="0"/>
        <x:v>强化两个随机标签到胃部格子上</x:v>
      </x:c>
      <x:c r="K55"/>
      <x:c r="L55"/>
      <x:c r="M55"/>
      <x:c r="N55"/>
      <x:c r="O55"/>
      <x:c r="P55"/>
      <x:c r="Q55"/>
      <x:c r="R55"/>
      <x:c r="S55"/>
      <x:c r="T55"/>
      <x:c r="U55"/>
    </x:row>
    <x:row r="56" ht="17.25" customHeight="1">
      <x:c r="B56" s="4"/>
      <x:c r="C56" s="4"/>
      <x:c r="D56" s="3" t="s">
        <x:v>197</x:v>
      </x:c>
      <x:c r="E56" s="3" t="s">
        <x:v>198</x:v>
      </x:c>
      <x:c r="H56" s="1">
        <x:v>55</x:v>
      </x:c>
      <x:c r="I56" s="2" t="str">
        <x:f t="shared" si="0"/>
        <x:v>将一个格子的标签强化到其他格子上</x:v>
      </x:c>
      <x:c r="K56"/>
      <x:c r="L56"/>
      <x:c r="M56"/>
      <x:c r="N56"/>
      <x:c r="O56"/>
      <x:c r="P56"/>
      <x:c r="Q56"/>
      <x:c r="R56"/>
      <x:c r="S56"/>
      <x:c r="T56"/>
      <x:c r="U56"/>
    </x:row>
    <x:row r="57" ht="17.25" customHeight="1">
      <x:c r="B57" s="4"/>
      <x:c r="C57" s="4" t="s">
        <x:v>199</x:v>
      </x:c>
      <x:c r="D57" s="3" t="s">
        <x:v>200</x:v>
      </x:c>
      <x:c r="E57" s="3" t="str">
        <x:v>每4 个事件的最后一个是奖励事件</x:v>
      </x:c>
      <x:c r="H57" s="1">
        <x:v>56</x:v>
      </x:c>
      <x:c r="I57" s="2" t="str">
        <x:f t="shared" si="0"/>
        <x:v>每4 个事件的最后一个是奖励事件</x:v>
      </x:c>
      <x:c r="K57"/>
      <x:c r="L57"/>
      <x:c r="M57"/>
      <x:c r="N57"/>
      <x:c r="O57"/>
      <x:c r="P57"/>
      <x:c r="Q57"/>
      <x:c r="R57"/>
      <x:c r="S57"/>
      <x:c r="T57"/>
      <x:c r="U57"/>
    </x:row>
    <x:row r="58" ht="17.25" customHeight="1">
      <x:c r="B58" s="4"/>
      <x:c r="C58" s="4"/>
      <x:c r="D58" s="3" t="s">
        <x:v>200</x:v>
      </x:c>
      <x:c r="E58" s="3" t="s">
        <x:v>201</x:v>
      </x:c>
      <x:c r="H58" s="1">
        <x:v>57</x:v>
      </x:c>
      <x:c r="I58" s="2" t="str">
        <x:f t="shared" si="0"/>
        <x:v>事件中遇到奖励的概率提高</x:v>
      </x:c>
      <x:c r="K58"/>
      <x:c r="L58"/>
      <x:c r="M58"/>
      <x:c r="N58"/>
      <x:c r="O58"/>
      <x:c r="P58"/>
      <x:c r="Q58"/>
      <x:c r="R58"/>
      <x:c r="S58"/>
      <x:c r="T58"/>
      <x:c r="U58"/>
    </x:row>
    <x:row r="59" ht="17.25" customHeight="1">
      <x:c r="B59" s="4"/>
      <x:c r="C59" s="4"/>
      <x:c r="D59" s="3" t="s">
        <x:v>202</x:v>
      </x:c>
      <x:c r="E59" s="3" t="s">
        <x:v>203</x:v>
      </x:c>
      <x:c r="H59" s="1">
        <x:v>58</x:v>
      </x:c>
      <x:c r="I59" s="2" t="str">
        <x:f t="shared" si="0"/>
        <x:v>遇到事件的概率提高</x:v>
      </x:c>
      <x:c r="K59"/>
      <x:c r="L59"/>
      <x:c r="M59"/>
      <x:c r="N59"/>
      <x:c r="O59"/>
      <x:c r="P59"/>
      <x:c r="Q59"/>
      <x:c r="R59"/>
      <x:c r="S59"/>
      <x:c r="T59"/>
      <x:c r="U59"/>
    </x:row>
    <x:row r="60" ht="17.25" customHeight="1">
      <x:c r="B60" s="4"/>
      <x:c r="C60" s="4"/>
      <x:c r="D60" s="3" t="s">
        <x:v>204</x:v>
      </x:c>
      <x:c r="E60" s="3" t="str">
        <x:v>完成一个事件，获得10 金币</x:v>
      </x:c>
      <x:c r="H60" s="1">
        <x:v>59</x:v>
      </x:c>
      <x:c r="I60" s="2" t="str">
        <x:f t="shared" si="0"/>
        <x:v>完成一个事件，获得10 金币</x:v>
      </x:c>
      <x:c r="K60"/>
      <x:c r="L60"/>
      <x:c r="M60"/>
      <x:c r="N60"/>
      <x:c r="O60"/>
      <x:c r="P60"/>
      <x:c r="Q60"/>
      <x:c r="R60"/>
      <x:c r="S60"/>
      <x:c r="T60"/>
      <x:c r="U60"/>
    </x:row>
    <x:row r="61" ht="17.25" customHeight="1">
      <x:c r="B61" s="4"/>
      <x:c r="C61" s="3"/>
      <x:c r="D61" s="3" t="s">
        <x:v>205</x:v>
      </x:c>
      <x:c r="E61" s="3" t="str">
        <x:v>获得2 次重新普通行动的</x:v>
      </x:c>
      <x:c r="H61" s="1">
        <x:v>60</x:v>
      </x:c>
      <x:c r="I61" s="2" t="str">
        <x:f t="shared" si="0"/>
        <x:v>获得2 次重新普通行动的</x:v>
      </x:c>
      <x:c r="K61"/>
      <x:c r="L61"/>
      <x:c r="M61"/>
      <x:c r="N61"/>
      <x:c r="O61"/>
      <x:c r="P61"/>
      <x:c r="Q61"/>
      <x:c r="R61"/>
      <x:c r="S61"/>
      <x:c r="T61"/>
      <x:c r="U61"/>
    </x:row>
    <x:row r="62" ht="17.25" customHeight="1">
      <x:c r="B62" s="4"/>
      <x:c r="C62" s="4" t="s">
        <x:v>206</x:v>
      </x:c>
      <x:c r="D62" s="3" t="s">
        <x:v>207</x:v>
      </x:c>
      <x:c r="E62" s="3" t="s">
        <x:v>208</x:v>
      </x:c>
      <x:c r="H62" s="1">
        <x:v>61</x:v>
      </x:c>
      <x:c r="I62" s="2" t="str">
        <x:f t="shared" si="0"/>
        <x:v>商店会自动补货</x:v>
      </x:c>
      <x:c r="K62"/>
      <x:c r="L62"/>
      <x:c r="M62"/>
      <x:c r="N62"/>
      <x:c r="O62"/>
      <x:c r="P62"/>
      <x:c r="Q62"/>
      <x:c r="R62"/>
      <x:c r="S62"/>
      <x:c r="T62"/>
      <x:c r="U62"/>
    </x:row>
    <x:row r="63" ht="17.25" customHeight="1">
      <x:c r="B63" s="4"/>
      <x:c r="C63" s="3" t="str">
        <x:v>食物</x:v>
      </x:c>
      <x:c r="D63" s="3" t="s">
        <x:v>209</x:v>
      </x:c>
      <x:c r="E63" s="3" t="str">
        <x:v>多选一食物时，可选数量 +1</x:v>
      </x:c>
      <x:c r="H63" s="1">
        <x:v>62</x:v>
      </x:c>
      <x:c r="I63" s="2" t="str">
        <x:f t="shared" si="0"/>
        <x:v>多选一食物时，可选数量 +1</x:v>
      </x:c>
      <x:c r="K63"/>
      <x:c r="L63"/>
      <x:c r="M63"/>
      <x:c r="N63"/>
      <x:c r="O63"/>
      <x:c r="P63"/>
      <x:c r="Q63"/>
      <x:c r="R63"/>
      <x:c r="S63"/>
      <x:c r="T63"/>
      <x:c r="U63"/>
    </x:row>
    <x:row r="64" ht="17.25" customHeight="1">
      <x:c r="B64" s="4"/>
      <x:c r="C64" s="4"/>
      <x:c r="D64" s="3" t="s">
        <x:v>210</x:v>
      </x:c>
      <x:c r="E64" s="3" t="str">
        <x:v>多选一食物时，可选次数 +1，可选数量 -1</x:v>
      </x:c>
      <x:c r="H64" s="1">
        <x:v>63</x:v>
      </x:c>
      <x:c r="I64" s="2" t="str">
        <x:f t="shared" si="0"/>
        <x:v>多选一食物时，可选次数 +1，可选数量 -1</x:v>
      </x:c>
      <x:c r="K64"/>
      <x:c r="L64"/>
      <x:c r="M64"/>
      <x:c r="N64"/>
      <x:c r="O64"/>
      <x:c r="P64"/>
      <x:c r="Q64"/>
      <x:c r="R64"/>
      <x:c r="S64"/>
      <x:c r="T64"/>
      <x:c r="U64"/>
    </x:row>
    <x:row r="65" ht="17.25" customHeight="1">
      <x:c r="B65" s="4"/>
      <x:c r="C65" s="4"/>
      <x:c r="D65" s="3" t="str">
        <x:v>额外食物</x:v>
      </x:c>
      <x:c r="E65" s="3" t="str">
        <x:v>每3 次日常营业，额外获得一个多选一食物</x:v>
      </x:c>
      <x:c r="H65" s="1">
        <x:v>64</x:v>
      </x:c>
      <x:c r="I65" s="2" t="str">
        <x:f t="shared" si="0"/>
        <x:v>每3 次日常营业，额外获得一个多选一食物</x:v>
      </x:c>
      <x:c r="K65"/>
      <x:c r="L65"/>
      <x:c r="M65"/>
      <x:c r="N65"/>
      <x:c r="O65"/>
      <x:c r="P65"/>
      <x:c r="Q65"/>
      <x:c r="R65"/>
      <x:c r="S65"/>
      <x:c r="T65"/>
      <x:c r="U65"/>
    </x:row>
    <x:row r="66" ht="17.25" customHeight="1">
      <x:c r="B66" s="4"/>
      <x:c r="C66" s="4"/>
      <x:c r="D66" s="3" t="s">
        <x:v>211</x:v>
      </x:c>
      <x:c r="E66" s="3" t="str">
        <x:v>每3 次火热营业，额外获得一个多选一物品</x:v>
      </x:c>
      <x:c r="H66" s="1">
        <x:v>65</x:v>
      </x:c>
      <x:c r="I66" s="2" t="str">
        <x:f t="shared" ref="I66:I94" si="1">E66</x:f>
        <x:v>每3 次火热营业，额外获得一个多选一物品</x:v>
      </x:c>
      <x:c r="K66"/>
      <x:c r="L66"/>
      <x:c r="M66"/>
      <x:c r="N66"/>
      <x:c r="O66"/>
      <x:c r="P66"/>
      <x:c r="Q66"/>
      <x:c r="R66"/>
      <x:c r="S66"/>
      <x:c r="T66"/>
      <x:c r="U66"/>
    </x:row>
    <x:row r="67" ht="17.25" customHeight="1">
      <x:c r="B67" s="4"/>
      <x:c r="C67" s="4"/>
      <x:c r="D67" s="3" t="str">
        <x:v>复制食物</x:v>
      </x:c>
      <x:c r="E67" s="3" t="str">
        <x:v>随机复制1 个食物</x:v>
      </x:c>
      <x:c r="H67" s="1">
        <x:v>66</x:v>
      </x:c>
      <x:c r="I67" s="2" t="str">
        <x:f t="shared" si="1"/>
        <x:v>随机复制1 个食物</x:v>
      </x:c>
      <x:c r="K67"/>
      <x:c r="L67"/>
      <x:c r="M67"/>
      <x:c r="N67"/>
      <x:c r="O67"/>
      <x:c r="P67"/>
      <x:c r="Q67"/>
      <x:c r="R67"/>
      <x:c r="S67"/>
      <x:c r="T67"/>
      <x:c r="U67"/>
    </x:row>
    <x:row r="68" ht="17.25" customHeight="1">
      <x:c r="B68" s="4"/>
      <x:c r="C68" s="3" t="s">
        <x:v>212</x:v>
      </x:c>
      <x:c r="D68" s="3" t="s">
        <x:v>213</x:v>
      </x:c>
      <x:c r="E68" s="3" t="str">
        <x:v>丢弃两个诅咒装饰品</x:v>
      </x:c>
      <x:c r="H68" s="1">
        <x:v>67</x:v>
      </x:c>
      <x:c r="I68" s="2" t="str">
        <x:f t="shared" si="1"/>
        <x:v>丢弃两个诅咒装饰品</x:v>
      </x:c>
      <x:c r="K68"/>
      <x:c r="L68"/>
      <x:c r="M68"/>
      <x:c r="N68"/>
      <x:c r="O68"/>
      <x:c r="P68"/>
      <x:c r="Q68"/>
      <x:c r="R68"/>
      <x:c r="S68"/>
      <x:c r="T68"/>
      <x:c r="U68"/>
    </x:row>
    <x:row r="69" ht="17.25" customHeight="1">
      <x:c r="B69" s="4"/>
      <x:c r="C69" s="3"/>
      <x:c r="D69" s="3" t="s">
        <x:v>214</x:v>
      </x:c>
      <x:c r="E69" s="3" t="str">
        <x:v>丢弃所有诅咒装饰品，每丢弃一个获得100 金币</x:v>
      </x:c>
      <x:c r="H69" s="1">
        <x:v>68</x:v>
      </x:c>
      <x:c r="I69" s="2" t="str">
        <x:f t="shared" si="1"/>
        <x:v>丢弃所有诅咒装饰品，每丢弃一个获得100 金币</x:v>
      </x:c>
      <x:c r="K69"/>
      <x:c r="L69"/>
      <x:c r="M69"/>
      <x:c r="N69"/>
      <x:c r="O69"/>
      <x:c r="P69"/>
      <x:c r="Q69"/>
      <x:c r="R69"/>
      <x:c r="S69"/>
      <x:c r="T69"/>
      <x:c r="U69"/>
    </x:row>
    <x:row r="70" ht="17.25" customHeight="1">
      <x:c r="B70" s="4" t="s">
        <x:v>215</x:v>
      </x:c>
      <x:c r="C70" s="4" t="s">
        <x:v>216</x:v>
      </x:c>
      <x:c r="D70" s="3" t="s">
        <x:v>217</x:v>
      </x:c>
      <x:c r="E70" s="3" t="str">
        <x:v>食物获得的金币减少25%</x:v>
      </x:c>
      <x:c r="H70" s="1">
        <x:v>69</x:v>
      </x:c>
      <x:c r="I70" s="2" t="str">
        <x:f t="shared" si="1"/>
        <x:v>食物获得的金币减少25%</x:v>
      </x:c>
      <x:c r="K70"/>
      <x:c r="L70"/>
      <x:c r="M70"/>
      <x:c r="N70"/>
      <x:c r="O70"/>
      <x:c r="P70"/>
      <x:c r="Q70"/>
      <x:c r="R70"/>
      <x:c r="S70"/>
      <x:c r="T70"/>
      <x:c r="U70"/>
    </x:row>
    <x:row r="71" ht="17.25" customHeight="1">
      <x:c r="B71" s="4"/>
      <x:c r="C71" s="4"/>
      <x:c r="D71" s="3" t="s">
        <x:v>218</x:v>
      </x:c>
      <x:c r="E71" s="3" t="s">
        <x:v>219</x:v>
      </x:c>
      <x:c r="H71" s="1">
        <x:v>70</x:v>
      </x:c>
      <x:c r="I71" s="2" t="str">
        <x:f t="shared" si="1"/>
        <x:v>商店的价格变高25%</x:v>
      </x:c>
      <x:c r="K71"/>
      <x:c r="L71"/>
      <x:c r="M71"/>
      <x:c r="N71"/>
      <x:c r="O71"/>
      <x:c r="P71"/>
      <x:c r="Q71"/>
      <x:c r="R71"/>
      <x:c r="S71"/>
      <x:c r="T71"/>
      <x:c r="U71"/>
    </x:row>
    <x:row r="72" ht="17.25" customHeight="1">
      <x:c r="B72" s="4"/>
      <x:c r="C72" s="4"/>
      <x:c r="D72" s="3" t="s">
        <x:v>220</x:v>
      </x:c>
      <x:c r="E72" s="3" t="s">
        <x:v>221</x:v>
      </x:c>
      <x:c r="H72" s="1">
        <x:v>71</x:v>
      </x:c>
      <x:c r="I72" s="2" t="str">
        <x:f t="shared" si="1"/>
        <x:v>无法再删除食物</x:v>
      </x:c>
      <x:c r="K72"/>
      <x:c r="L72"/>
      <x:c r="M72"/>
      <x:c r="N72"/>
      <x:c r="O72"/>
      <x:c r="P72"/>
      <x:c r="Q72"/>
      <x:c r="R72"/>
      <x:c r="S72"/>
      <x:c r="T72"/>
      <x:c r="U72"/>
    </x:row>
    <x:row r="73" ht="17.25" customHeight="1">
      <x:c r="B73" s="4"/>
      <x:c r="C73" s="4"/>
      <x:c r="D73" s="3" t="s">
        <x:v>222</x:v>
      </x:c>
      <x:c r="E73" s="3" t="s">
        <x:v>223</x:v>
      </x:c>
      <x:c r="H73" s="1">
        <x:v>72</x:v>
      </x:c>
      <x:c r="I73" s="2" t="str">
        <x:f t="shared" si="1"/>
        <x:v>跳过下一个商店或利息节点</x:v>
      </x:c>
      <x:c r="K73"/>
      <x:c r="L73"/>
      <x:c r="M73"/>
      <x:c r="N73"/>
      <x:c r="O73"/>
      <x:c r="P73"/>
      <x:c r="Q73"/>
      <x:c r="R73"/>
      <x:c r="S73"/>
      <x:c r="T73"/>
      <x:c r="U73"/>
    </x:row>
    <x:row r="74" ht="17.25" customHeight="1">
      <x:c r="B74" s="4"/>
      <x:c r="C74" s="3"/>
      <x:c r="D74" s="3" t="s">
        <x:v>224</x:v>
      </x:c>
      <x:c r="E74" s="3" t="str">
        <x:v>多选一食物时，可选数量 -1</x:v>
      </x:c>
      <x:c r="H74" s="1">
        <x:v>73</x:v>
      </x:c>
      <x:c r="I74" s="2" t="str">
        <x:f t="shared" si="1"/>
        <x:v>多选一食物时，可选数量 -1</x:v>
      </x:c>
      <x:c r="K74"/>
      <x:c r="L74"/>
      <x:c r="M74"/>
      <x:c r="N74"/>
      <x:c r="O74"/>
      <x:c r="P74"/>
      <x:c r="Q74"/>
      <x:c r="R74"/>
      <x:c r="S74"/>
      <x:c r="T74"/>
      <x:c r="U74"/>
    </x:row>
    <x:row r="75" ht="17.25" customHeight="1">
      <x:c r="B75" s="4"/>
      <x:c r="C75" s="3"/>
      <x:c r="D75" s="3" t="str">
        <x:v>日常营业分数增多</x:v>
      </x:c>
      <x:c r="E75" s="3" t="str">
        <x:v>日常营业目标美味值 +10%</x:v>
      </x:c>
      <x:c r="H75" s="1">
        <x:v>74</x:v>
      </x:c>
      <x:c r="I75" s="2" t="str">
        <x:f t="shared" si="1"/>
        <x:v>日常营业目标美味值 +10%</x:v>
      </x:c>
      <x:c r="K75"/>
      <x:c r="L75"/>
      <x:c r="M75"/>
      <x:c r="N75"/>
      <x:c r="O75"/>
      <x:c r="P75"/>
      <x:c r="Q75"/>
      <x:c r="R75"/>
      <x:c r="S75"/>
      <x:c r="T75"/>
      <x:c r="U75"/>
    </x:row>
    <x:row r="76" ht="17.25" customHeight="1">
      <x:c r="B76" s="3"/>
      <x:c r="C76" s="3"/>
      <x:c r="D76" s="3" t="str">
        <x:v>火热营业分数增多</x:v>
      </x:c>
      <x:c r="E76" s="3" t="str">
        <x:v>火热营业目标美味值 +10%</x:v>
      </x:c>
      <x:c r="H76" s="1">
        <x:v>75</x:v>
      </x:c>
      <x:c r="I76" s="2" t="str">
        <x:f t="shared" si="1"/>
        <x:v>火热营业目标美味值 +10%</x:v>
      </x:c>
      <x:c r="K76"/>
      <x:c r="L76"/>
      <x:c r="M76"/>
      <x:c r="N76"/>
      <x:c r="O76"/>
      <x:c r="P76"/>
      <x:c r="Q76"/>
      <x:c r="R76"/>
      <x:c r="S76"/>
      <x:c r="T76"/>
      <x:c r="U76"/>
    </x:row>
    <x:row r="77" ht="17.25" customHeight="1">
      <x:c r="B77" s="4"/>
      <x:c r="C77" s="4"/>
      <x:c r="D77" s="3" t="str">
        <x:v>星级评鉴食物分数增多</x:v>
      </x:c>
      <x:c r="E77" s="3" t="str">
        <x:v>星级评鉴食物目标美味值 +10%</x:v>
      </x:c>
      <x:c r="H77" s="1">
        <x:v>76</x:v>
      </x:c>
      <x:c r="I77" s="2" t="str">
        <x:f t="shared" si="1"/>
        <x:v>星级评鉴食物目标美味值 +10%</x:v>
      </x:c>
      <x:c r="K77"/>
      <x:c r="L77"/>
      <x:c r="M77"/>
      <x:c r="N77"/>
      <x:c r="O77"/>
      <x:c r="P77"/>
      <x:c r="Q77"/>
      <x:c r="R77"/>
      <x:c r="S77"/>
      <x:c r="T77"/>
      <x:c r="U77"/>
    </x:row>
    <x:row r="78" ht="17.25" customHeight="1">
      <x:c r="B78" s="4"/>
      <x:c r="C78" s="4"/>
      <x:c r="D78" s="3" t="s">
        <x:v>225</x:v>
      </x:c>
      <x:c r="E78" s="3" t="s">
        <x:v>226</x:v>
      </x:c>
      <x:c r="H78" s="1">
        <x:v>77</x:v>
      </x:c>
      <x:c r="I78" s="2" t="str">
        <x:f t="shared" si="1"/>
        <x:v>本周结束时，金币清空</x:v>
      </x:c>
      <x:c r="K78"/>
      <x:c r="L78"/>
      <x:c r="M78"/>
      <x:c r="N78"/>
      <x:c r="O78"/>
      <x:c r="P78"/>
      <x:c r="Q78"/>
      <x:c r="R78"/>
      <x:c r="S78"/>
      <x:c r="T78"/>
      <x:c r="U78"/>
    </x:row>
    <x:row r="79" ht="17.25" customHeight="1">
      <x:c r="B79" s="4" t="s">
        <x:v>227</x:v>
      </x:c>
      <x:c r="C79" s="4" t="s">
        <x:v>228</x:v>
      </x:c>
      <x:c r="D79" s="3" t="s">
        <x:v>229</x:v>
      </x:c>
      <x:c r="E79" s="3" t="str">
        <x:v>所有食物额外被视为1 个食物</x:v>
      </x:c>
      <x:c r="H79" s="1">
        <x:v>78</x:v>
      </x:c>
      <x:c r="I79" s="2" t="str">
        <x:f t="shared" si="1"/>
        <x:v>所有食物额外被视为1 个食物</x:v>
      </x:c>
      <x:c r="K79"/>
      <x:c r="L79"/>
      <x:c r="M79"/>
      <x:c r="N79"/>
      <x:c r="O79"/>
      <x:c r="P79"/>
      <x:c r="Q79"/>
      <x:c r="R79"/>
      <x:c r="S79"/>
      <x:c r="T79"/>
      <x:c r="U79"/>
    </x:row>
    <x:row r="80" ht="17.25" customHeight="1">
      <x:c r="B80" s="4"/>
      <x:c r="C80" s="4" t="s">
        <x:v>230</x:v>
      </x:c>
      <x:c r="D80" s="3" t="s">
        <x:v>231</x:v>
      </x:c>
      <x:c r="E80" s="3" t="str">
        <x:v>传递时，被传递方倍率 ×1.1</x:v>
      </x:c>
      <x:c r="H80" s="1">
        <x:v>79</x:v>
      </x:c>
      <x:c r="I80" s="2" t="str">
        <x:f t="shared" si="1"/>
        <x:v>传递时，被传递方倍率 ×1.1</x:v>
      </x:c>
      <x:c r="K80"/>
      <x:c r="L80"/>
      <x:c r="M80"/>
      <x:c r="N80"/>
      <x:c r="O80"/>
      <x:c r="P80"/>
      <x:c r="Q80"/>
      <x:c r="R80"/>
      <x:c r="S80"/>
      <x:c r="T80"/>
      <x:c r="U80"/>
    </x:row>
    <x:row r="81" ht="17.25" customHeight="1">
      <x:c r="B81" s="4"/>
      <x:c r="C81" s="4"/>
      <x:c r="D81" s="3" t="s">
        <x:v>231</x:v>
      </x:c>
      <x:c r="E81" s="3" t="str">
        <x:v>传递时，传递方倍率 ×1.1</x:v>
      </x:c>
      <x:c r="H81" s="1">
        <x:v>80</x:v>
      </x:c>
      <x:c r="I81" s="2" t="str">
        <x:f t="shared" si="1"/>
        <x:v>传递时，传递方倍率 ×1.1</x:v>
      </x:c>
      <x:c r="K81"/>
      <x:c r="L81"/>
      <x:c r="M81"/>
      <x:c r="N81"/>
      <x:c r="O81"/>
      <x:c r="P81"/>
      <x:c r="Q81"/>
      <x:c r="R81"/>
      <x:c r="S81"/>
      <x:c r="T81"/>
      <x:c r="U81"/>
    </x:row>
    <x:row r="82" ht="17.25" customHeight="1">
      <x:c r="B82" s="4"/>
      <x:c r="C82" s="4"/>
      <x:c r="D82" s="3" t="s">
        <x:v>232</x:v>
      </x:c>
      <x:c r="E82" s="3" t="str">
        <x:v>结算时，倍率 ×1（每一个技能 +0.1倍）</x:v>
      </x:c>
      <x:c r="H82" s="1">
        <x:v>81</x:v>
      </x:c>
      <x:c r="I82" s="2" t="str">
        <x:f t="shared" si="1"/>
        <x:v>结算时，倍率 ×1（每一个技能 +0.1倍）</x:v>
      </x:c>
      <x:c r="K82"/>
      <x:c r="L82"/>
      <x:c r="M82"/>
      <x:c r="N82"/>
      <x:c r="O82"/>
      <x:c r="P82"/>
      <x:c r="Q82"/>
      <x:c r="R82"/>
      <x:c r="S82"/>
      <x:c r="T82"/>
      <x:c r="U82"/>
    </x:row>
    <x:row r="83" ht="17.25" customHeight="1">
      <x:c r="B83" s="4"/>
      <x:c r="C83" s="4"/>
      <x:c r="D83" s="3" t="s">
        <x:v>233</x:v>
      </x:c>
      <x:c r="E83" s="3" t="str">
        <x:v>传递10 次后，获得10 金币</x:v>
      </x:c>
      <x:c r="H83" s="1">
        <x:v>82</x:v>
      </x:c>
      <x:c r="I83" s="2" t="str">
        <x:f t="shared" si="1"/>
        <x:v>传递10 次后，获得10 金币</x:v>
      </x:c>
      <x:c r="K83"/>
      <x:c r="L83"/>
      <x:c r="M83"/>
      <x:c r="N83"/>
      <x:c r="O83"/>
      <x:c r="P83"/>
      <x:c r="Q83"/>
      <x:c r="R83"/>
      <x:c r="S83"/>
      <x:c r="T83"/>
      <x:c r="U83"/>
    </x:row>
    <x:row r="84" ht="17.25" customHeight="1">
      <x:c r="B84" s="4"/>
      <x:c r="C84" s="4" t="s">
        <x:v>234</x:v>
      </x:c>
      <x:c r="D84" s="3" t="s">
        <x:v>235</x:v>
      </x:c>
      <x:c r="E84" s="3" t="str">
        <x:v>每次保留10%的蛋糕层数至下一场经营挑战</x:v>
      </x:c>
      <x:c r="H84" s="1">
        <x:v>83</x:v>
      </x:c>
      <x:c r="I84" s="2" t="str">
        <x:f t="shared" si="1"/>
        <x:v>每次保留10%的蛋糕层数至下一场经营挑战</x:v>
      </x:c>
      <x:c r="K84"/>
      <x:c r="L84"/>
      <x:c r="M84"/>
      <x:c r="N84"/>
      <x:c r="O84"/>
      <x:c r="P84"/>
      <x:c r="Q84"/>
      <x:c r="R84"/>
      <x:c r="S84"/>
      <x:c r="T84"/>
      <x:c r="U84"/>
    </x:row>
    <x:row r="85" ht="17.25" customHeight="1">
      <x:c r="B85" s="3"/>
      <x:c r="C85" s="3"/>
      <x:c r="D85" s="3" t="s">
        <x:v>236</x:v>
      </x:c>
      <x:c r="E85" s="3" t="str">
        <x:v>蛋糕层数初始额外获得10 层</x:v>
      </x:c>
      <x:c r="H85" s="1">
        <x:v>84</x:v>
      </x:c>
      <x:c r="I85" s="2" t="str">
        <x:f t="shared" si="1"/>
        <x:v>蛋糕层数初始额外获得10 层</x:v>
      </x:c>
      <x:c r="K85"/>
      <x:c r="L85"/>
      <x:c r="M85"/>
      <x:c r="N85"/>
      <x:c r="O85"/>
      <x:c r="P85"/>
      <x:c r="Q85"/>
      <x:c r="R85"/>
      <x:c r="S85"/>
      <x:c r="T85"/>
      <x:c r="U85"/>
    </x:row>
    <x:row r="86" ht="17.25" customHeight="1">
      <x:c r="B86" s="4"/>
      <x:c r="C86" s="3"/>
      <x:c r="D86" s="3" t="s">
        <x:v>237</x:v>
      </x:c>
      <x:c r="E86" s="3" t="str">
        <x:v>蛋糕层数增加时，额外加1 层</x:v>
      </x:c>
      <x:c r="H86" s="1">
        <x:v>85</x:v>
      </x:c>
      <x:c r="I86" s="2" t="str">
        <x:f t="shared" si="1"/>
        <x:v>蛋糕层数增加时，额外加1 层</x:v>
      </x:c>
      <x:c r="K86"/>
      <x:c r="L86"/>
      <x:c r="M86"/>
      <x:c r="N86"/>
      <x:c r="O86"/>
      <x:c r="P86"/>
      <x:c r="Q86"/>
      <x:c r="R86"/>
      <x:c r="S86"/>
      <x:c r="T86"/>
      <x:c r="U86"/>
    </x:row>
    <x:row r="87" ht="17.25" customHeight="1">
      <x:c r="B87" s="4"/>
      <x:c r="C87" s="4"/>
      <x:c r="D87" s="3" t="s">
        <x:v>238</x:v>
      </x:c>
      <x:c r="E87" s="3" t="str">
        <x:v>蛋糕层数大于100 层时，获得10 金币</x:v>
      </x:c>
      <x:c r="H87" s="1">
        <x:v>86</x:v>
      </x:c>
      <x:c r="I87" s="2" t="str">
        <x:f t="shared" si="1"/>
        <x:v>蛋糕层数大于100 层时，获得10 金币</x:v>
      </x:c>
      <x:c r="K87"/>
      <x:c r="L87"/>
      <x:c r="M87"/>
      <x:c r="N87"/>
      <x:c r="O87"/>
      <x:c r="P87"/>
      <x:c r="Q87"/>
      <x:c r="R87"/>
      <x:c r="S87"/>
      <x:c r="T87"/>
      <x:c r="U87"/>
    </x:row>
    <x:row r="88" ht="17.25" customHeight="1">
      <x:c r="B88" s="4"/>
      <x:c r="C88" s="4"/>
      <x:c r="D88" s="3" t="s">
        <x:v>239</x:v>
      </x:c>
      <x:c r="E88" s="3" t="str">
        <x:v>蛋糕效果需求的层数 -10</x:v>
      </x:c>
      <x:c r="H88" s="1">
        <x:v>87</x:v>
      </x:c>
      <x:c r="I88" s="2" t="str">
        <x:f t="shared" si="1"/>
        <x:v>蛋糕效果需求的层数 -10</x:v>
      </x:c>
      <x:c r="K88"/>
      <x:c r="L88"/>
      <x:c r="M88"/>
      <x:c r="N88"/>
      <x:c r="O88"/>
      <x:c r="P88"/>
      <x:c r="Q88"/>
      <x:c r="R88"/>
      <x:c r="S88"/>
      <x:c r="T88"/>
      <x:c r="U88"/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  <x:c r="K89"/>
      <x:c r="L89"/>
      <x:c r="M89"/>
      <x:c r="N89"/>
      <x:c r="O89"/>
      <x:c r="P89"/>
      <x:c r="Q89"/>
      <x:c r="R89"/>
      <x:c r="S89"/>
      <x:c r="T89"/>
      <x:c r="U89"/>
    </x:row>
    <x:row r="90" ht="17.25" customHeight="1">
      <x:c r="C90" s="3"/>
      <x:c r="D90" s="3"/>
      <x:c r="E90" s="3"/>
      <x:c r="I90" s="2">
        <x:f t="shared" si="1"/>
        <x:v>0</x:v>
      </x:c>
      <x:c r="K90"/>
      <x:c r="L90"/>
      <x:c r="M90"/>
      <x:c r="N90"/>
      <x:c r="O90"/>
      <x:c r="P90"/>
      <x:c r="Q90"/>
      <x:c r="R90"/>
      <x:c r="S90"/>
      <x:c r="T90"/>
      <x:c r="U90"/>
    </x:row>
    <x:row r="91" ht="17.25" customHeight="1">
      <x:c r="B91" s="4"/>
      <x:c r="C91" s="4"/>
      <x:c r="D91" s="3"/>
      <x:c r="E91" s="3"/>
      <x:c r="I91" s="2">
        <x:f t="shared" si="1"/>
        <x:v>0</x:v>
      </x:c>
      <x:c r="K91"/>
      <x:c r="L91"/>
      <x:c r="M91"/>
      <x:c r="N91"/>
      <x:c r="O91"/>
      <x:c r="P91"/>
      <x:c r="Q91"/>
      <x:c r="R91"/>
      <x:c r="S91"/>
      <x:c r="T91"/>
      <x:c r="U91"/>
    </x:row>
    <x:row r="92" ht="17.25" customHeight="1">
      <x:c r="B92" s="4"/>
      <x:c r="C92" s="4"/>
      <x:c r="D92" s="3"/>
      <x:c r="E92" s="3"/>
      <x:c r="I92" s="2">
        <x:f t="shared" si="1"/>
        <x:v>0</x:v>
      </x:c>
      <x:c r="K92"/>
      <x:c r="L92"/>
      <x:c r="M92"/>
      <x:c r="N92"/>
      <x:c r="O92"/>
      <x:c r="P92"/>
      <x:c r="Q92"/>
      <x:c r="R92"/>
      <x:c r="S92"/>
      <x:c r="T92"/>
      <x:c r="U92"/>
    </x:row>
    <x:row r="93" ht="17.25" customHeight="1">
      <x:c r="B93" s="4"/>
      <x:c r="C93" s="4"/>
      <x:c r="D93" s="3"/>
      <x:c r="E93" s="3"/>
      <x:c r="I93" s="2">
        <x:f t="shared" si="1"/>
        <x:v>0</x:v>
      </x:c>
      <x:c r="K93"/>
      <x:c r="L93"/>
      <x:c r="M93"/>
      <x:c r="N93"/>
      <x:c r="O93"/>
      <x:c r="P93"/>
      <x:c r="Q93"/>
      <x:c r="R93"/>
      <x:c r="S93"/>
      <x:c r="T93"/>
      <x:c r="U93"/>
    </x:row>
    <x:row r="94" ht="17.25" customHeight="1">
      <x:c r="B94" s="4"/>
      <x:c r="C94" s="4"/>
      <x:c r="D94" s="3"/>
      <x:c r="E94" s="3"/>
      <x:c r="I94" s="2">
        <x:f t="shared" si="1"/>
        <x:v>0</x:v>
      </x:c>
      <x:c r="K94"/>
      <x:c r="L94"/>
      <x:c r="M94"/>
      <x:c r="N94"/>
      <x:c r="O94"/>
      <x:c r="P94"/>
      <x:c r="Q94"/>
      <x:c r="R94"/>
      <x:c r="S94"/>
      <x:c r="T94"/>
      <x:c r="U94"/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