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8acf83dfb24f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被动道具" sheetId="1" r:id="Rfc2a5b19df394865"/>
    <x:sheet xmlns:r="http://schemas.openxmlformats.org/officeDocument/2006/relationships" name="主动道具" sheetId="2" r:id="R3fd8ff8f6f154e9c"/>
    <x:sheet xmlns:r="http://schemas.openxmlformats.org/officeDocument/2006/relationships" name="道具设计" sheetId="3" r:id="R63500342532b42d4"/>
  </x:sheets>
</x:workbook>
</file>

<file path=xl/sharedStrings.xml><?xml version="1.0" encoding="utf-8"?>
<x:sst xmlns:x="http://schemas.openxmlformats.org/spreadsheetml/2006/main">
  <x:si>
    <x:t xml:space="preserve">2周</x:t>
  </x:si>
  <x:si>
    <x:t xml:space="preserve">3周</x:t>
  </x:si>
  <x:si>
    <x:t xml:space="preserve">4周</x:t>
  </x:si>
  <x:si>
    <x:t xml:space="preserve">统计</x:t>
  </x:si>
  <x:si>
    <x:t xml:space="preserve">common</x:t>
  </x:si>
  <x:si>
    <x:t xml:space="preserve">10,80</x:t>
  </x:si>
  <x:si>
    <x:t xml:space="preserve">uncommon</x:t>
  </x:si>
  <x:si>
    <x:t xml:space="preserve">20,80</x:t>
  </x:si>
  <x:si>
    <x:t xml:space="preserve">rare</x:t>
  </x:si>
  <x:si>
    <x:t xml:space="preserve">30,80</x:t>
  </x:si>
  <x:si>
    <x:t xml:space="preserve">epic</x:t>
  </x:si>
  <x:si>
    <x:t xml:space="preserve">40,80</x:t>
  </x:si>
  <x:si>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</x:si>
  <x:si>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</x:si>
  <x:si>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</x:si>
  <x:si>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</x:si>
  <x:si>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specialTags</x:t>
  </x:si>
  <x:si>
    <x:t xml:space="preserve">effectType</x:t>
  </x:si>
  <x:si>
    <x:t xml:space="preserve">effectValue</x:t>
  </x:si>
  <x:si>
    <x:t xml:space="preserve">effectParam</x:t>
  </x:si>
  <x:si>
    <x:t xml:space="preserve">baseWeight</x:t>
  </x:si>
  <x:si>
    <x:t xml:space="preserve">targetKind</x:t>
  </x:si>
  <x:si>
    <x:t xml:space="preserve">targetCount</x:t>
  </x:si>
  <x:si>
    <x:t xml:space="preserve">termId</x:t>
  </x:si>
  <x:si>
    <x:t xml:space="preserve">price</x:t>
  </x:si>
  <x:si>
    <x:t xml:space="preserve">##comment</x:t>
  </x:si>
  <x:si>
    <x:t xml:space="preserve">道具ID</x:t>
  </x:si>
  <x:si>
    <x:t xml:space="preserve">道具名称</x:t>
  </x:si>
  <x:si>
    <x:t xml:space="preserve">道具描述</x:t>
  </x:si>
  <x:si>
    <x:t xml:space="preserve">特殊标签标记</x:t>
  </x:si>
  <x:si>
    <x:t xml:space="preserve">效果类型</x:t>
  </x:si>
  <x:si>
    <x:t xml:space="preserve">效果数值</x:t>
  </x:si>
  <x:si>
    <x:t xml:space="preserve">效果参数</x:t>
  </x:si>
  <x:si>
    <x:t xml:space="preserve">随机基础权重</x:t>
  </x:si>
  <x:si>
    <x:t xml:space="preserve">主动道具目标类型(作用对象;决定可用情境)</x:t>
  </x:si>
  <x:si>
    <x:t xml:space="preserve">选目标数量(1/N;0=无目标或全部)</x:t>
  </x:si>
  <x:si>
    <x:t xml:space="preserve">关联术语ID(可空,| 分隔)</x:t>
  </x:si>
  <x:si>
    <x:t xml:space="preserve">商店基础价格</x:t>
  </x:si>
  <x:si>
    <x:t xml:space="preserve">##type</x:t>
  </x:si>
  <x:si>
    <x:t xml:space="preserve">string</x:t>
  </x:si>
  <x:si>
    <x:t xml:space="preserve">float</x:t>
  </x:si>
  <x:si>
    <x:t xml:space="preserve">ItemTargetKind</x:t>
  </x:si>
  <x:si>
    <x:t xml:space="preserve">int</x:t>
  </x:si>
  <x:si>
    <x:t xml:space="preserve">item_active_season_sweet</x:t>
  </x:si>
  <x:si>
    <x:t xml:space="preserve">加甜单</x:t>
  </x:si>
  <x:si>
    <x:t xml:space="preserve">选择1个食物
添加「甜」风味</x:t>
  </x:si>
  <x:si>
    <x:t xml:space="preserve">AddFlavor</x:t>
  </x:si>
  <x:si>
    <x:t xml:space="preserve">t_sweet</x:t>
  </x:si>
  <x:si>
    <x:t xml:space="preserve">RecipeDish</x:t>
  </x:si>
  <x:si>
    <x:t xml:space="preserve">item_active_season_bitter</x:t>
  </x:si>
  <x:si>
    <x:t xml:space="preserve">加苦单</x:t>
  </x:si>
  <x:si>
    <x:t xml:space="preserve">选择1个食物
添加「苦」风味</x:t>
  </x:si>
  <x:si>
    <x:t xml:space="preserve">t_bitter</x:t>
  </x:si>
  <x:si>
    <x:t xml:space="preserve">item_active_season_umami</x:t>
  </x:si>
  <x:si>
    <x:t xml:space="preserve">加鲜单</x:t>
  </x:si>
  <x:si>
    <x:t xml:space="preserve">选择1个食物
添加「鲜」风味</x:t>
  </x:si>
  <x:si>
    <x:t xml:space="preserve">t_rust</x:t>
  </x:si>
  <x:si>
    <x:t xml:space="preserve">item_active_season_numb</x:t>
  </x:si>
  <x:si>
    <x:t xml:space="preserve">加麻单</x:t>
  </x:si>
  <x:si>
    <x:t xml:space="preserve">选择1个食物
添加「麻」风味</x:t>
  </x:si>
  <x:si>
    <x:t xml:space="preserve">t_numb</x:t>
  </x:si>
  <x:si>
    <x:t xml:space="preserve">item_active_season_sour</x:t>
  </x:si>
  <x:si>
    <x:t xml:space="preserve">加酸单</x:t>
  </x:si>
  <x:si>
    <x:t xml:space="preserve">选择1个食物
添加「酸」风味</x:t>
  </x:si>
  <x:si>
    <x:t xml:space="preserve">t_sour</x:t>
  </x:si>
  <x:si>
    <x:t xml:space="preserve">item_active_season_salty</x:t>
  </x:si>
  <x:si>
    <x:t xml:space="preserve">加咸单</x:t>
  </x:si>
  <x:si>
    <x:t xml:space="preserve">选择1个食物
添加「咸」风味</x:t>
  </x:si>
  <x:si>
    <x:t xml:space="preserve">t_salty</x:t>
  </x:si>
  <x:si>
    <x:t xml:space="preserve">item_active_lay_cherry</x:t>
  </x:si>
  <x:si>
    <x:t xml:space="preserve">樱桃木采购单</x:t>
  </x:si>
  <x:si>
    <x:t xml:space="preserve">选择1个餐桌格子
强化「樱桃木」材质</x:t>
  </x:si>
  <x:si>
    <x:t xml:space="preserve">AddMaterial</x:t>
  </x:si>
  <x:si>
    <x:t xml:space="preserve">m_cherry</x:t>
  </x:si>
  <x:si>
    <x:t xml:space="preserve">DiningTableCell</x:t>
  </x:si>
  <x:si>
    <x:t xml:space="preserve">item_active_lay_walnut</x:t>
  </x:si>
  <x:si>
    <x:t xml:space="preserve">胡桃木采购单</x:t>
  </x:si>
  <x:si>
    <x:t xml:space="preserve">选择1个餐桌格子
强化「胡桃木」材质</x:t>
  </x:si>
  <x:si>
    <x:t xml:space="preserve">m_walnut</x:t>
  </x:si>
  <x:si>
    <x:t xml:space="preserve">item_active_lay_marble</x:t>
  </x:si>
  <x:si>
    <x:t xml:space="preserve">大理石采购单</x:t>
  </x:si>
  <x:si>
    <x:t xml:space="preserve">选择1个餐桌格子
强化「大理石」材质</x:t>
  </x:si>
  <x:si>
    <x:t xml:space="preserve">m_marble</x:t>
  </x:si>
  <x:si>
    <x:t xml:space="preserve">item_active_lay_obsidian</x:t>
  </x:si>
  <x:si>
    <x:t xml:space="preserve">黑曜石采购单</x:t>
  </x:si>
  <x:si>
    <x:t xml:space="preserve">选择1个餐桌格子
强化「黑曜石」材质</x:t>
  </x:si>
  <x:si>
    <x:t xml:space="preserve">m_obsidian</x:t>
  </x:si>
  <x:si>
    <x:t xml:space="preserve">item_active_lay_emerald</x:t>
  </x:si>
  <x:si>
    <x:t xml:space="preserve">翡翠采购单</x:t>
  </x:si>
  <x:si>
    <x:t xml:space="preserve">选择1个餐桌格子
强化「翡翠」材质</x:t>
  </x:si>
  <x:si>
    <x:t xml:space="preserve">m_emerald</x:t>
  </x:si>
  <x:si>
    <x:t xml:space="preserve">item_active_lay_gold</x:t>
  </x:si>
  <x:si>
    <x:t xml:space="preserve">金采购单</x:t>
  </x:si>
  <x:si>
    <x:t xml:space="preserve">选择1个餐桌格子
强化「金」材质</x:t>
  </x:si>
  <x:si>
    <x:t xml:space="preserve">m_gold</x:t>
  </x:si>
  <x:si>
    <x:t xml:space="preserve">item_active_lay_silver</x:t>
  </x:si>
  <x:si>
    <x:t xml:space="preserve">银采购单</x:t>
  </x:si>
  <x:si>
    <x:t xml:space="preserve">选择1个餐桌格子
强化「银」材质</x:t>
  </x:si>
  <x:si>
    <x:t xml:space="preserve">m_silver</x:t>
  </x:si>
  <x:si>
    <x:t xml:space="preserve">item_active_sched_reroll</x:t>
  </x:si>
  <x:si>
    <x:t xml:space="preserve">行动调整单</x:t>
  </x:si>
  <x:si>
    <x:t xml:space="preserve">重掷一次当前行动选项
Boss 行动除外</x:t>
  </x:si>
  <x:si>
    <x:t xml:space="preserve">RerollAction</x:t>
  </x:si>
  <x:si>
    <x:t xml:space="preserve">Global</x:t>
  </x:si>
  <x:si>
    <x:t xml:space="preserve">item_active_sched_feast</x:t>
  </x:si>
  <x:si>
    <x:t xml:space="preserve">盛宴调整单</x:t>
  </x:si>
  <x:si>
    <x:t xml:space="preserve">重置本周 Boss 类型</x:t>
  </x:si>
  <x:si>
    <x:t xml:space="preserve">ResetBossDebuff</x:t>
  </x:si>
  <x:si>
    <x:t xml:space="preserve">item_active_sched_rush</x:t>
  </x:si>
  <x:si>
    <x:t xml:space="preserve">加急单</x:t>
  </x:si>
  <x:si>
    <x:t xml:space="preserve">立即执行下一个节点事件</x:t>
  </x:si>
  <x:si>
    <x:t xml:space="preserve">TimelineExecuteNext</x:t>
  </x:si>
  <x:si>
    <x:t xml:space="preserve">item_active_sched_reward</x:t>
  </x:si>
  <x:si>
    <x:t xml:space="preserve">奖励单</x:t>
  </x:si>
  <x:si>
    <x:t xml:space="preserve">在时间轴上添加一个奖励节点</x:t>
  </x:si>
  <x:si>
    <x:t xml:space="preserve">TimelineAddRewardNode</x:t>
  </x:si>
  <x:si>
    <x:t xml:space="preserve">act_event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</x:si>
</x:sst>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6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1"/>
      <x:color theme="1"/>
      <x:name val="Linux Libertine G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5" fillId="0" borderId="0"/>
    <x:xf numFmtId="44" fontId="5" fillId="0" borderId="0"/>
    <x:xf numFmtId="9" fontId="5" fillId="0" borderId="0"/>
    <x:xf numFmtId="41" fontId="5" fillId="0" borderId="0"/>
    <x:xf numFmtId="42" fontId="5" fillId="0" borderId="0"/>
    <x:xf numFmtId="0" fontId="6" fillId="0" borderId="0">
      <x:alignment vertical="center"/>
    </x:xf>
    <x:xf numFmtId="0" fontId="7" fillId="0" borderId="0">
      <x:alignment vertical="center"/>
    </x:xf>
    <x:xf numFmtId="0" fontId="8" fillId="2" borderId="3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0">
      <x:alignment vertical="center"/>
    </x:xf>
    <x:xf numFmtId="0" fontId="12" fillId="0" borderId="4">
      <x:alignment vertical="center"/>
    </x:xf>
    <x:xf numFmtId="0" fontId="13" fillId="0" borderId="4">
      <x:alignment vertical="center"/>
    </x:xf>
    <x:xf numFmtId="0" fontId="14" fillId="0" borderId="5">
      <x:alignment vertical="center"/>
    </x:xf>
    <x:xf numFmtId="0" fontId="14" fillId="0" borderId="0">
      <x:alignment vertical="center"/>
    </x:xf>
    <x:xf numFmtId="0" fontId="15" fillId="3" borderId="6">
      <x:alignment vertical="center"/>
    </x:xf>
    <x:xf numFmtId="0" fontId="16" fillId="4" borderId="7">
      <x:alignment vertical="center"/>
    </x:xf>
    <x:xf numFmtId="0" fontId="17" fillId="4" borderId="6">
      <x:alignment vertical="center"/>
    </x:xf>
    <x:xf numFmtId="0" fontId="18" fillId="5" borderId="8">
      <x:alignment vertical="center"/>
    </x:xf>
    <x:xf numFmtId="0" fontId="19" fillId="0" borderId="9">
      <x:alignment vertical="center"/>
    </x:xf>
    <x:xf numFmtId="0" fontId="20" fillId="0" borderId="10">
      <x:alignment vertical="center"/>
    </x:xf>
    <x:xf numFmtId="0" fontId="21" fillId="6" borderId="0">
      <x:alignment vertical="center"/>
    </x:xf>
    <x:xf numFmtId="0" fontId="22" fillId="7" borderId="0">
      <x:alignment vertical="center"/>
    </x:xf>
    <x:xf numFmtId="0" fontId="23" fillId="8" borderId="0">
      <x:alignment vertical="center"/>
    </x:xf>
    <x:xf numFmtId="0" fontId="24" fillId="9" borderId="0">
      <x:alignment vertical="center"/>
    </x:xf>
    <x:xf numFmtId="0" fontId="25" fillId="10" borderId="0">
      <x:alignment vertical="center"/>
    </x:xf>
    <x:xf numFmtId="0" fontId="25" fillId="11" borderId="0">
      <x:alignment vertical="center"/>
    </x:xf>
    <x:xf numFmtId="0" fontId="24" fillId="12" borderId="0">
      <x:alignment vertical="center"/>
    </x:xf>
    <x:xf numFmtId="0" fontId="24" fillId="13" borderId="0">
      <x:alignment vertical="center"/>
    </x:xf>
    <x:xf numFmtId="0" fontId="25" fillId="14" borderId="0">
      <x:alignment vertical="center"/>
    </x:xf>
    <x:xf numFmtId="0" fontId="25" fillId="15" borderId="0">
      <x:alignment vertical="center"/>
    </x:xf>
    <x:xf numFmtId="0" fontId="24" fillId="16" borderId="0">
      <x:alignment vertical="center"/>
    </x:xf>
    <x:xf numFmtId="0" fontId="24" fillId="17" borderId="0">
      <x:alignment vertical="center"/>
    </x:xf>
    <x:xf numFmtId="0" fontId="25" fillId="18" borderId="0">
      <x:alignment vertical="center"/>
    </x:xf>
    <x:xf numFmtId="0" fontId="25" fillId="19" borderId="0">
      <x:alignment vertical="center"/>
    </x:xf>
    <x:xf numFmtId="0" fontId="24" fillId="20" borderId="0">
      <x:alignment vertical="center"/>
    </x:xf>
    <x:xf numFmtId="0" fontId="24" fillId="21" borderId="0">
      <x:alignment vertical="center"/>
    </x:xf>
    <x:xf numFmtId="0" fontId="25" fillId="22" borderId="0">
      <x:alignment vertical="center"/>
    </x:xf>
    <x:xf numFmtId="0" fontId="25" fillId="23" borderId="0">
      <x:alignment vertical="center"/>
    </x:xf>
    <x:xf numFmtId="0" fontId="24" fillId="24" borderId="0">
      <x:alignment vertical="center"/>
    </x:xf>
    <x:xf numFmtId="0" fontId="24" fillId="25" borderId="0">
      <x:alignment vertical="center"/>
    </x:xf>
    <x:xf numFmtId="0" fontId="25" fillId="26" borderId="0">
      <x:alignment vertical="center"/>
    </x:xf>
    <x:xf numFmtId="0" fontId="25" fillId="27" borderId="0">
      <x:alignment vertical="center"/>
    </x:xf>
    <x:xf numFmtId="0" fontId="24" fillId="28" borderId="0">
      <x:alignment vertical="center"/>
    </x:xf>
    <x:xf numFmtId="0" fontId="24" fillId="29" borderId="0">
      <x:alignment vertical="center"/>
    </x:xf>
    <x:xf numFmtId="0" fontId="25" fillId="30" borderId="0">
      <x:alignment vertical="center"/>
    </x:xf>
    <x:xf numFmtId="0" fontId="25" fillId="31" borderId="0">
      <x:alignment vertical="center"/>
    </x:xf>
    <x:xf numFmtId="0" fontId="24" fillId="32" borderId="0">
      <x:alignment vertical="center"/>
    </x:xf>
  </x:cellStyleXfs>
  <x:cellXfs count="11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0" borderId="0" xfId="0"/>
    <x:xf numFmtId="0" fontId="4" fillId="0" borderId="0" xfId="0" applyFont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29d297afa64df8" /><Relationship Type="http://schemas.openxmlformats.org/officeDocument/2006/relationships/theme" Target="/xl/theme/theme1.xml" Id="R4ea0101abb6d4f8c" /><Relationship Type="http://schemas.openxmlformats.org/officeDocument/2006/relationships/sharedStrings" Target="/xl/sharedStrings.xml" Id="R9dc59412ac3445d8" /><Relationship Type="http://schemas.openxmlformats.org/officeDocument/2006/relationships/worksheet" Target="/xl/worksheets/sheet1.xml" Id="Rfc2a5b19df394865" /><Relationship Type="http://schemas.openxmlformats.org/officeDocument/2006/relationships/worksheet" Target="/xl/worksheets/sheet2.xml" Id="R3fd8ff8f6f154e9c" /><Relationship Type="http://schemas.openxmlformats.org/officeDocument/2006/relationships/worksheet" Target="/xl/worksheets/sheet3.xml" Id="R63500342532b42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35.463233947753906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customWidth="1"/>
    <x:col min="12" max="12" width="18.080883026123047" style="1" customWidth="1"/>
    <x:col min="13" max="13" width="25.698530197143555" style="1" customWidth="1"/>
    <x:col min="14" max="14" width="24.53676414489746" style="1" customWidth="1"/>
    <x:col min="15" max="15" width="23" style="1" customWidth="1"/>
    <x:col min="16" max="16" width="18.301469802856445" style="1" customWidth="1"/>
    <x:col min="17" max="17" width="26.46323585510254" customWidth="1"/>
    <x:col min="20" max="20" width="11.772058486938477" customWidth="1"/>
  </x:cols>
  <x:sheetData>
    <x:row r="1" ht="16.5" customHeight="1">
      <x:c r="A1" s="1" t="str">
        <x:v>##var</x:v>
      </x:c>
      <x:c r="B1" s="1" t="str">
        <x:v>id</x:v>
      </x:c>
      <x:c r="C1" s="1" t="str">
        <x:v>name</x:v>
      </x:c>
      <x:c r="D1" s="1" t="str">
        <x:v>desc</x:v>
      </x:c>
      <x:c r="E1" s="1" t="str">
        <x:v>quality</x:v>
      </x:c>
      <x:c r="F1" s="1" t="str">
        <x:v>specialTags</x:v>
      </x:c>
      <x:c r="G1" s="1" t="str">
        <x:v>effectValue</x:v>
      </x:c>
      <x:c r="H1" s="1" t="str">
        <x:v>effectParam</x:v>
      </x:c>
      <x:c r="I1" s="1" t="str">
        <x:v>baseWeight</x:v>
      </x:c>
      <x:c r="J1" s="1" t="str">
        <x:v>hiddenRange</x:v>
      </x:c>
      <x:c r="K1" s="1" t="str">
        <x:v>targetScoreHiddenOffset</x:v>
      </x:c>
      <x:c r="L1" s="1" t="str">
        <x:v>dishHiddenOffset</x:v>
      </x:c>
      <x:c r="M1" s="1" t="str">
        <x:v>passiveItemHiddenOffset</x:v>
      </x:c>
      <x:c r="N1" s="1" t="str">
        <x:v>activeItemHiddenOffset</x:v>
      </x:c>
      <x:c r="O1" s="1" t="str">
        <x:v>fragmentHiddenOffset</x:v>
      </x:c>
      <x:c r="P1" s="1" t="str">
        <x:v>goldHiddenOffset</x:v>
      </x:c>
      <x:c r="Q1" t="str">
        <x:v>termId</x:v>
      </x:c>
      <x:c r="R1" t="str">
        <x:v>price</x:v>
      </x:c>
    </x:row>
    <x:row r="2" ht="16.5" customHeight="1">
      <x:c r="A2" s="1" t="str">
        <x:v>##comment</x:v>
      </x:c>
      <x:c r="B2" s="1" t="str">
        <x:v>道具ID</x:v>
      </x:c>
      <x:c r="C2" s="1" t="str">
        <x:v>道具名称</x:v>
      </x:c>
      <x:c r="D2" s="1" t="str">
        <x:v>道具描述</x:v>
      </x:c>
      <x:c r="E2" s="1" t="str">
        <x:v>道具品质</x:v>
      </x:c>
      <x:c r="F2" s="1" t="str">
        <x:v>特殊标签标记</x:v>
      </x:c>
      <x:c r="G2" s="1" t="str">
        <x:v>效果数值</x:v>
      </x:c>
      <x:c r="H2" s="1" t="str">
        <x:v>效果参数</x:v>
      </x:c>
      <x:c r="I2" s="1" t="str">
        <x:v>随机基础权重</x:v>
      </x:c>
      <x:c r="J2" s="1" t="str">
        <x:v>出现隐藏分区间(单元格: min,max)</x:v>
      </x:c>
      <x:c r="K2" s="1" t="str">
        <x:v>目标分隐藏分修正</x:v>
      </x:c>
      <x:c r="L2" s="1" t="str">
        <x:v>食物隐藏分修正</x:v>
      </x:c>
      <x:c r="M2" s="1" t="str">
        <x:v>被动道具隐藏分修正</x:v>
      </x:c>
      <x:c r="N2" s="1" t="str">
        <x:v>主动道具隐藏分修正</x:v>
      </x:c>
      <x:c r="O2" s="1" t="str">
        <x:v>餐桌格子隐藏分修正</x:v>
      </x:c>
      <x:c r="P2" s="1" t="str">
        <x:v>金币隐藏分修正</x:v>
      </x:c>
      <x:c r="Q2" t="str">
        <x:v>关联术语ID(可空,| 分隔)</x:v>
      </x:c>
      <x:c r="R2" t="str">
        <x:v>商店基础价格</x:v>
      </x:c>
      <x:c r="U2" s="1" t="s">
        <x:v>0</x:v>
      </x:c>
      <x:c r="V2" s="1">
        <x:v>30</x:v>
      </x:c>
      <x:c r="W2" s="1">
        <x:v>31</x:v>
      </x:c>
      <x:c r="X2" s="1">
        <x:v>32</x:v>
      </x:c>
      <x:c r="Y2" s="1">
        <x:v>33</x:v>
      </x:c>
      <x:c r="Z2" s="1">
        <x:v>34</x:v>
      </x:c>
      <x:c r="AA2" s="1">
        <x:v>35</x:v>
      </x:c>
      <x:c r="AB2" s="1">
        <x:v>36</x:v>
      </x:c>
      <x:c r="AC2" s="1">
        <x:v>37</x:v>
      </x:c>
    </x:row>
    <x:row r="3" ht="16.5" customHeight="1">
      <x:c r="A3" s="1" t="str">
        <x:v>##type</x:v>
      </x:c>
      <x:c r="B3" s="1" t="str">
        <x:v>string</x:v>
      </x:c>
      <x:c r="C3" s="1" t="str">
        <x:v>string</x:v>
      </x:c>
      <x:c r="D3" s="1" t="str">
        <x:v>string</x:v>
      </x:c>
      <x:c r="E3" s="1" t="str">
        <x:v>ItemQuality</x:v>
      </x:c>
      <x:c r="F3" s="1" t="str">
        <x:v>ItemSpecialTag</x:v>
      </x:c>
      <x:c r="G3" s="1" t="str">
        <x:v>float</x:v>
      </x:c>
      <x:c r="H3" s="1" t="str">
        <x:v>string</x:v>
      </x:c>
      <x:c r="I3" s="1" t="str">
        <x:v>float</x:v>
      </x:c>
      <x:c r="J3" s="1" t="str">
        <x:v>HiddenRange</x:v>
      </x:c>
      <x:c r="K3" s="1" t="str">
        <x:v>int</x:v>
      </x:c>
      <x:c r="L3" s="1" t="str">
        <x:v>int</x:v>
      </x:c>
      <x:c r="M3" s="1" t="str">
        <x:v>int</x:v>
      </x:c>
      <x:c r="N3" s="1" t="str">
        <x:v>int</x:v>
      </x:c>
      <x:c r="O3" s="1" t="str">
        <x:v>int</x:v>
      </x:c>
      <x:c r="P3" s="1" t="str">
        <x:v>int</x:v>
      </x:c>
      <x:c r="Q3" t="str">
        <x:v>string</x:v>
      </x:c>
      <x:c r="R3" t="str">
        <x:v>int</x:v>
      </x:c>
      <x:c r="U3" s="1" t="s">
        <x:v>1</x:v>
      </x:c>
      <x:c r="V3" s="1">
        <x:v>40</x:v>
      </x:c>
      <x:c r="W3" s="1">
        <x:v>41</x:v>
      </x:c>
      <x:c r="X3" s="1">
        <x:v>42</x:v>
      </x:c>
      <x:c r="Y3" s="1">
        <x:v>43</x:v>
      </x:c>
      <x:c r="Z3" s="1">
        <x:v>44</x:v>
      </x:c>
      <x:c r="AA3" s="1">
        <x:v>45</x:v>
      </x:c>
      <x:c r="AB3" s="1">
        <x:v>46</x:v>
      </x:c>
      <x:c r="AC3" s="1">
        <x:v>47</x:v>
      </x:c>
    </x:row>
    <x:row r="4" ht="16.5" customHeight="1">
      <x:c r="A4" s="1"/>
      <x:c r="B4" s="1" t="str">
        <x:v>item_grant_two_passive</x:v>
      </x:c>
      <x:c r="C4" s="1" t="str">
        <x:v>随机被动包</x:v>
      </x:c>
      <x:c r="D4" s="1" t="str">
        <x:v>随机获得2个被动道具</x:v>
      </x:c>
      <x:c r="E4" s="1" t="str">
        <x:v>Uncommon</x:v>
      </x:c>
      <x:c r="F4" s="1" t="str">
        <x:v>None</x:v>
      </x:c>
      <x:c r="G4" s="1"/>
      <x:c r="H4" s="1" t="str">
        <x:v>passive_grant_2</x:v>
      </x:c>
      <x:c r="I4" s="1" t="n">
        <x:v>100</x:v>
      </x:c>
      <x:c r="J4" s="1" t="str">
        <x:v>20,80</x:v>
      </x:c>
      <x:c r="K4" s="1" t="n">
        <x:v>0</x:v>
      </x:c>
      <x:c r="L4" s="1" t="n">
        <x:v>0</x:v>
      </x:c>
      <x:c r="M4" s="1" t="n">
        <x:v>0</x:v>
      </x:c>
      <x:c r="N4" s="1" t="n">
        <x:v>0</x:v>
      </x:c>
      <x:c r="O4" s="1" t="n">
        <x:v>0</x:v>
      </x:c>
      <x:c r="P4" s="1" t="n">
        <x:v>0</x:v>
      </x:c>
      <x:c r="Q4"/>
      <x:c r="R4" t="n">
        <x:v>80</x:v>
      </x:c>
      <x:c r="U4" s="1" t="s">
        <x:v>2</x:v>
      </x:c>
      <x:c r="V4" s="1">
        <x:v>50</x:v>
      </x:c>
      <x:c r="W4" s="1">
        <x:v>51</x:v>
      </x:c>
      <x:c r="X4" s="1">
        <x:v>52</x:v>
      </x:c>
      <x:c r="Y4" s="1">
        <x:v>53</x:v>
      </x:c>
      <x:c r="Z4" s="1">
        <x:v>54</x:v>
      </x:c>
      <x:c r="AA4" s="1">
        <x:v>55</x:v>
      </x:c>
      <x:c r="AB4" s="1">
        <x:v>56</x:v>
      </x:c>
      <x:c r="AC4" s="1">
        <x:v>57</x:v>
      </x:c>
    </x:row>
    <x:row r="5" ht="16.5" customHeight="1">
      <x:c r="A5" s="1"/>
      <x:c r="B5" s="1" t="str">
        <x:v>item_grant_two_active</x:v>
      </x:c>
      <x:c r="C5" s="1" t="str">
        <x:v>随机主动包</x:v>
      </x:c>
      <x:c r="D5" s="1" t="str">
        <x:v>随机获得2个主动道具</x:v>
      </x:c>
      <x:c r="E5" s="1" t="str">
        <x:v>Common</x:v>
      </x:c>
      <x:c r="F5" s="1" t="str">
        <x:v>None</x:v>
      </x:c>
      <x:c r="G5" s="1"/>
      <x:c r="H5" s="10" t="str">
        <x:v>active_grant_2</x:v>
      </x:c>
      <x:c r="I5" s="1" t="n">
        <x:v>300</x:v>
      </x:c>
      <x:c r="J5" s="1" t="str">
        <x:v>10,80</x:v>
      </x:c>
      <x:c r="K5" s="1" t="n">
        <x:v>0</x:v>
      </x:c>
      <x:c r="L5" s="1" t="n">
        <x:v>0</x:v>
      </x:c>
      <x:c r="M5" s="1" t="n">
        <x:v>0</x:v>
      </x:c>
      <x:c r="N5" s="1" t="n">
        <x:v>0</x:v>
      </x:c>
      <x:c r="O5" s="1" t="n">
        <x:v>0</x:v>
      </x:c>
      <x:c r="P5" s="1" t="n">
        <x:v>0</x:v>
      </x:c>
      <x:c r="Q5"/>
      <x:c r="R5" t="n">
        <x:f t="shared" ref="R5:R36" si="0">VLOOKUP(E5,$T$10:$AB$13,9,FALSE)</x:f>
        <x:v>50</x:v>
      </x:c>
    </x:row>
    <x:row r="6" ht="16.5" customHeight="1">
      <x:c r="A6"/>
      <x:c r="B6" s="1" t="str">
        <x:v>item_family_pack</x:v>
      </x:c>
      <x:c r="C6" s="1" t="str">
        <x:v>全家福</x:v>
      </x:c>
      <x:c r="D6" s="1" t="str">
        <x:v>获得1个被动道具、食物和50金币</x:v>
      </x:c>
      <x:c r="E6" s="1" t="str">
        <x:v>Rare</x:v>
      </x:c>
      <x:c r="F6" s="1" t="str">
        <x:v>None</x:v>
      </x:c>
      <x:c r="G6" s="1" t="n">
        <x:v>50</x:v>
      </x:c>
      <x:c r="H6" t="str">
        <x:v>passive_choice_1|dish_grant_1</x:v>
      </x:c>
      <x:c r="I6" s="1" t="n">
        <x:v>30</x:v>
      </x:c>
      <x:c r="J6" s="1" t="str">
        <x:v>30,80</x:v>
      </x:c>
      <x:c r="K6" s="1" t="n">
        <x:v>0</x:v>
      </x:c>
      <x:c r="L6" s="1" t="n">
        <x:v>0</x:v>
      </x:c>
      <x:c r="M6" s="1" t="n">
        <x:v>0</x:v>
      </x:c>
      <x:c r="N6" s="1" t="n">
        <x:v>0</x:v>
      </x:c>
      <x:c r="O6" s="1" t="n">
        <x:v>0</x:v>
      </x:c>
      <x:c r="P6" s="1" t="n">
        <x:v>0</x:v>
      </x:c>
      <x:c r="Q6"/>
      <x:c r="R6" t="n">
        <x:f t="shared" si="0"/>
        <x:v>120</x:v>
      </x:c>
    </x:row>
    <x:row r="7" ht="16.5" customHeight="1">
      <x:c r="A7"/>
      <x:c r="B7" s="1" t="str">
        <x:v>item_randomize_items</x:v>
      </x:c>
      <x:c r="C7" s="1" t="str">
        <x:v>混沌重置</x:v>
      </x:c>
      <x:c r="D7" s="1" t="str">
        <x:v>所有道具替换为随机道具</x:v>
      </x:c>
      <x:c r="E7" s="1" t="str">
        <x:v>Rare</x:v>
      </x:c>
      <x:c r="F7" s="1" t="str">
        <x:v>None</x:v>
      </x:c>
      <x:c r="G7" s="1" t="n">
        <x:v>0</x:v>
      </x:c>
      <x:c r="H7" s="1"/>
      <x:c r="I7" s="1" t="n">
        <x:v>30</x:v>
      </x:c>
      <x:c r="J7" s="1" t="str">
        <x:v>30,80</x:v>
      </x:c>
      <x:c r="K7" s="1" t="n">
        <x:v>0</x:v>
      </x:c>
      <x:c r="L7" s="1" t="n">
        <x:v>0</x:v>
      </x:c>
      <x:c r="M7" s="1" t="n">
        <x:v>0</x:v>
      </x:c>
      <x:c r="N7" s="1" t="n">
        <x:v>0</x:v>
      </x:c>
      <x:c r="O7" s="1" t="n">
        <x:v>0</x:v>
      </x:c>
      <x:c r="P7" s="1" t="n">
        <x:v>0</x:v>
      </x:c>
      <x:c r="Q7"/>
      <x:c r="R7" t="n">
        <x:f t="shared" si="0"/>
        <x:v>120</x:v>
      </x:c>
    </x:row>
    <x:row r="8" ht="16.5" customHeight="1">
      <x:c r="A8"/>
      <x:c r="B8" s="1" t="str">
        <x:v>item_gold_random</x:v>
      </x:c>
      <x:c r="C8" s="1" t="str">
        <x:v>随机金币</x:v>
      </x:c>
      <x:c r="D8" s="1" t="str">
        <x:v>获得 50~150金币</x:v>
      </x:c>
      <x:c r="E8" s="1" t="str">
        <x:v>Common</x:v>
      </x:c>
      <x:c r="F8" s="1" t="str">
        <x:v>None</x:v>
      </x:c>
      <x:c r="G8" s="1" t="n">
        <x:v>0</x:v>
      </x:c>
      <x:c r="H8" t="str">
        <x:v>range:50,150</x:v>
      </x:c>
      <x:c r="I8" s="1" t="n">
        <x:v>300</x:v>
      </x:c>
      <x:c r="J8" s="1" t="str">
        <x:v>10,80</x:v>
      </x:c>
      <x:c r="K8" s="1" t="n">
        <x:v>0</x:v>
      </x:c>
      <x:c r="L8" s="1" t="n">
        <x:v>0</x:v>
      </x:c>
      <x:c r="M8" s="1" t="n">
        <x:v>0</x:v>
      </x:c>
      <x:c r="N8" s="1" t="n">
        <x:v>0</x:v>
      </x:c>
      <x:c r="O8" s="1" t="n">
        <x:v>0</x:v>
      </x:c>
      <x:c r="P8" s="1" t="n">
        <x:v>0</x:v>
      </x:c>
      <x:c r="Q8"/>
      <x:c r="R8" t="n">
        <x:f t="shared" si="0"/>
        <x:v>50</x:v>
      </x:c>
    </x:row>
    <x:row r="9" ht="16.5" customHeight="1">
      <x:c r="A9"/>
      <x:c r="B9" s="1" t="str">
        <x:v>item_gold_meal_bonus</x:v>
      </x:c>
      <x:c r="C9" s="1" t="str">
        <x:v>美食分红</x:v>
      </x:c>
      <x:c r="D9" s="1" t="str">
        <x:v>接下来10局美食
额外获得20金币</x:v>
      </x:c>
      <x:c r="E9" s="1" t="str">
        <x:v>Common</x:v>
      </x:c>
      <x:c r="F9" s="1" t="str">
        <x:v>None</x:v>
      </x:c>
      <x:c r="G9" s="1" t="n">
        <x:v>20</x:v>
      </x:c>
      <x:c r="H9" s="1" t="str">
        <x:v>meals:10</x:v>
      </x:c>
      <x:c r="I9" s="1" t="n">
        <x:v>300</x:v>
      </x:c>
      <x:c r="J9" s="1" t="str">
        <x:v>10,80</x:v>
      </x:c>
      <x:c r="K9" s="1" t="n">
        <x:v>0</x:v>
      </x:c>
      <x:c r="L9" s="1" t="n">
        <x:v>0</x:v>
      </x:c>
      <x:c r="M9" s="1" t="n">
        <x:v>0</x:v>
      </x:c>
      <x:c r="N9" s="1" t="n">
        <x:v>0</x:v>
      </x:c>
      <x:c r="O9" s="1" t="n">
        <x:v>0</x:v>
      </x:c>
      <x:c r="P9" s="1" t="n">
        <x:v>0</x:v>
      </x:c>
      <x:c r="Q9"/>
      <x:c r="R9" t="n">
        <x:f t="shared" si="0"/>
        <x:v>50</x:v>
      </x:c>
      <x:c r="Z9" t="s">
        <x:v>3</x:v>
      </x:c>
    </x:row>
    <x:row r="10" ht="33.75" customHeight="1">
      <x:c r="A10"/>
      <x:c r="B10" s="1" t="str">
        <x:v>item_gold_boss</x:v>
      </x:c>
      <x:c r="C10" s="1" t="str">
        <x:v>Boss赏金</x:v>
      </x:c>
      <x:c r="D10" s="8" t="str">
        <x:v>完成下次盛宴
额外+100金币</x:v>
      </x:c>
      <x:c r="E10" s="1" t="str">
        <x:v>Common</x:v>
      </x:c>
      <x:c r="F10" s="1" t="str">
        <x:v>None</x:v>
      </x:c>
      <x:c r="G10" s="1" t="n">
        <x:v>100</x:v>
      </x:c>
      <x:c r="H10" s="1"/>
      <x:c r="I10" s="1" t="n">
        <x:v>300</x:v>
      </x:c>
      <x:c r="J10" s="1" t="str">
        <x:v>10,80</x:v>
      </x:c>
      <x:c r="K10" s="1" t="n">
        <x:v>0</x:v>
      </x:c>
      <x:c r="L10" s="1" t="n">
        <x:v>0</x:v>
      </x:c>
      <x:c r="M10" s="1" t="n">
        <x:v>0</x:v>
      </x:c>
      <x:c r="N10" s="1" t="n">
        <x:v>0</x:v>
      </x:c>
      <x:c r="O10" s="1" t="n">
        <x:v>0</x:v>
      </x:c>
      <x:c r="P10" s="1" t="n">
        <x:v>0</x:v>
      </x:c>
      <x:c r="Q10"/>
      <x:c r="R10" t="n">
        <x:f t="shared" si="0"/>
        <x:v>50</x:v>
      </x:c>
      <x:c r="T10" t="s">
        <x:v>4</x:v>
      </x:c>
      <x:c r="V10">
        <x:v>300</x:v>
      </x:c>
      <x:c r="X10" t="s">
        <x:v>5</x:v>
      </x:c>
      <x:c r="Z10" t="n">
        <x:f>COUNTIF($E$4:$E$86,T10)</x:f>
        <x:v>22</x:v>
      </x:c>
      <x:c r="AB10">
        <x:v>50</x:v>
      </x:c>
    </x:row>
    <x:row r="11" ht="33.75" customHeight="1">
      <x:c r="A11"/>
      <x:c r="B11" s="1" t="str">
        <x:v>item_gold_percent</x:v>
      </x:c>
      <x:c r="C11" s="1" t="str">
        <x:v>利润提成</x:v>
      </x:c>
      <x:c r="D11" s="8" t="str">
        <x:v>美食结束获得的金币
额外+20%</x:v>
      </x:c>
      <x:c r="E11" s="1" t="str">
        <x:v>Uncommon</x:v>
      </x:c>
      <x:c r="F11" s="1" t="str">
        <x:v>None</x:v>
      </x:c>
      <x:c r="G11" s="1" t="n">
        <x:v>0.2</x:v>
      </x:c>
      <x:c r="H11"/>
      <x:c r="I11" s="1" t="n">
        <x:v>100</x:v>
      </x:c>
      <x:c r="J11" s="1" t="str">
        <x:v>20,80</x:v>
      </x:c>
      <x:c r="K11" s="1" t="n">
        <x:v>0</x:v>
      </x:c>
      <x:c r="L11" s="1" t="n">
        <x:v>0</x:v>
      </x:c>
      <x:c r="M11" s="1" t="n">
        <x:v>0</x:v>
      </x:c>
      <x:c r="N11" s="1" t="n">
        <x:v>0</x:v>
      </x:c>
      <x:c r="O11" s="1" t="n">
        <x:v>0</x:v>
      </x:c>
      <x:c r="P11" s="1" t="n">
        <x:v>0</x:v>
      </x:c>
      <x:c r="Q11"/>
      <x:c r="R11" t="n">
        <x:f t="shared" si="0"/>
        <x:v>80</x:v>
      </x:c>
      <x:c r="T11" t="s">
        <x:v>6</x:v>
      </x:c>
      <x:c r="V11">
        <x:v>100</x:v>
      </x:c>
      <x:c r="X11" t="s">
        <x:v>7</x:v>
      </x:c>
      <x:c r="Z11" t="n">
        <x:f>COUNTIF($E$4:$E$86,T11)</x:f>
        <x:v>37</x:v>
      </x:c>
      <x:c r="AB11">
        <x:v>80</x:v>
      </x:c>
    </x:row>
    <x:row r="12" ht="33.75" customHeight="1">
      <x:c r="A12"/>
      <x:c r="B12" s="1" t="str">
        <x:v>item_discount_food</x:v>
      </x:c>
      <x:c r="C12" s="1" t="str">
        <x:v>食材优惠券</x:v>
      </x:c>
      <x:c r="D12" s="8" t="str">
        <x:v>食物价格-15%</x:v>
      </x:c>
      <x:c r="E12" s="1" t="str">
        <x:v>Uncommon</x:v>
      </x:c>
      <x:c r="F12" s="1" t="str">
        <x:v>None</x:v>
      </x:c>
      <x:c r="G12" s="1" t="n">
        <x:v>0.15</x:v>
      </x:c>
      <x:c r="H12"/>
      <x:c r="I12" s="1" t="n">
        <x:v>100</x:v>
      </x:c>
      <x:c r="J12" s="1" t="str">
        <x:v>20,80</x:v>
      </x:c>
      <x:c r="K12" s="1" t="n">
        <x:v>0</x:v>
      </x:c>
      <x:c r="L12" s="1" t="n">
        <x:v>0</x:v>
      </x:c>
      <x:c r="M12" s="1" t="n">
        <x:v>0</x:v>
      </x:c>
      <x:c r="N12" s="1" t="n">
        <x:v>0</x:v>
      </x:c>
      <x:c r="O12" s="1" t="n">
        <x:v>0</x:v>
      </x:c>
      <x:c r="P12" s="1" t="n">
        <x:v>0</x:v>
      </x:c>
      <x:c r="Q12"/>
      <x:c r="R12" t="n">
        <x:f t="shared" si="0"/>
        <x:v>80</x:v>
      </x:c>
      <x:c r="T12" t="s">
        <x:v>8</x:v>
      </x:c>
      <x:c r="V12">
        <x:v>30</x:v>
      </x:c>
      <x:c r="X12" t="s">
        <x:v>9</x:v>
      </x:c>
      <x:c r="Z12" t="n">
        <x:f>COUNTIF($E$4:$E$86,T12)</x:f>
        <x:v>12</x:v>
      </x:c>
      <x:c r="AB12">
        <x:v>120</x:v>
      </x:c>
    </x:row>
    <x:row r="13" ht="16.5" customHeight="1">
      <x:c r="A13"/>
      <x:c r="B13" s="1" t="str">
        <x:v>item_discount_fragment</x:v>
      </x:c>
      <x:c r="C13" s="1" t="str">
        <x:v>碎片优惠券</x:v>
      </x:c>
      <x:c r="D13" s="1" t="str">
        <x:v>餐桌格子包价格-20%</x:v>
      </x:c>
      <x:c r="E13" s="1" t="str">
        <x:v>Common</x:v>
      </x:c>
      <x:c r="F13" s="1" t="str">
        <x:v>None</x:v>
      </x:c>
      <x:c r="G13" s="1" t="n">
        <x:v>0.2</x:v>
      </x:c>
      <x:c r="H13"/>
      <x:c r="I13" s="1" t="n">
        <x:v>300</x:v>
      </x:c>
      <x:c r="J13" s="1" t="str">
        <x:v>10,80</x:v>
      </x:c>
      <x:c r="K13" s="1" t="n">
        <x:v>0</x:v>
      </x:c>
      <x:c r="L13" s="1" t="n">
        <x:v>0</x:v>
      </x:c>
      <x:c r="M13" s="1" t="n">
        <x:v>0</x:v>
      </x:c>
      <x:c r="N13" s="1" t="n">
        <x:v>0</x:v>
      </x:c>
      <x:c r="O13" s="1" t="n">
        <x:v>0</x:v>
      </x:c>
      <x:c r="P13" s="1" t="n">
        <x:v>0</x:v>
      </x:c>
      <x:c r="Q13"/>
      <x:c r="R13" t="n">
        <x:f t="shared" si="0"/>
        <x:v>50</x:v>
      </x:c>
      <x:c r="T13" t="s">
        <x:v>10</x:v>
      </x:c>
      <x:c r="V13">
        <x:v>10</x:v>
      </x:c>
      <x:c r="X13" t="s">
        <x:v>11</x:v>
      </x:c>
      <x:c r="Z13" t="n">
        <x:f>COUNTIF($E$4:$E$86,T13)</x:f>
        <x:v>6</x:v>
      </x:c>
      <x:c r="AB13">
        <x:v>200</x:v>
      </x:c>
    </x:row>
    <x:row r="14" ht="16.5" customHeight="1">
      <x:c r="A14" s="1"/>
      <x:c r="B14" s="1" t="str">
        <x:v>item_discount_active</x:v>
      </x:c>
      <x:c r="C14" s="1" t="str">
        <x:v>主动道具券</x:v>
      </x:c>
      <x:c r="D14" s="1" t="str">
        <x:v>主动道具价格-15%</x:v>
      </x:c>
      <x:c r="E14" s="1" t="str">
        <x:v>Uncommon</x:v>
      </x:c>
      <x:c r="F14" s="1" t="str">
        <x:v>None</x:v>
      </x:c>
      <x:c r="G14" s="1" t="n">
        <x:v>0.15</x:v>
      </x:c>
      <x:c r="H14" s="1"/>
      <x:c r="I14" s="1" t="n">
        <x:v>100</x:v>
      </x:c>
      <x:c r="J14" s="1" t="str">
        <x:v>20,80</x:v>
      </x:c>
      <x:c r="K14" s="1" t="n">
        <x:v>0</x:v>
      </x:c>
      <x:c r="L14" s="1" t="n">
        <x:v>0</x:v>
      </x:c>
      <x:c r="M14" s="1" t="n">
        <x:v>0</x:v>
      </x:c>
      <x:c r="N14" s="1" t="n">
        <x:v>0</x:v>
      </x:c>
      <x:c r="O14" s="1" t="n">
        <x:v>0</x:v>
      </x:c>
      <x:c r="P14" s="1" t="n">
        <x:v>0</x:v>
      </x:c>
      <x:c r="Q14"/>
      <x:c r="R14" t="n">
        <x:f t="shared" si="0"/>
        <x:v>80</x:v>
      </x:c>
    </x:row>
    <x:row r="15" ht="16.5" customHeight="1">
      <x:c r="A15" s="1"/>
      <x:c r="B15" s="1" t="str">
        <x:v>item_discount_passive</x:v>
      </x:c>
      <x:c r="C15" s="1" t="str">
        <x:v>被动道具券</x:v>
      </x:c>
      <x:c r="D15" s="1" t="str">
        <x:v>被动道具价格-15%</x:v>
      </x:c>
      <x:c r="E15" s="1" t="str">
        <x:v>Uncommon</x:v>
      </x:c>
      <x:c r="F15" s="1" t="str">
        <x:v>None</x:v>
      </x:c>
      <x:c r="G15" s="1" t="n">
        <x:v>0.15</x:v>
      </x:c>
      <x:c r="H15" s="1"/>
      <x:c r="I15" s="1" t="n">
        <x:v>100</x:v>
      </x:c>
      <x:c r="J15" s="1" t="str">
        <x:v>20,80</x:v>
      </x:c>
      <x:c r="K15" s="1" t="n">
        <x:v>0</x:v>
      </x:c>
      <x:c r="L15" s="1" t="n">
        <x:v>0</x:v>
      </x:c>
      <x:c r="M15" s="1" t="n">
        <x:v>0</x:v>
      </x:c>
      <x:c r="N15" s="1" t="n">
        <x:v>0</x:v>
      </x:c>
      <x:c r="O15" s="1" t="n">
        <x:v>0</x:v>
      </x:c>
      <x:c r="P15" s="1" t="n">
        <x:v>0</x:v>
      </x:c>
      <x:c r="Q15"/>
      <x:c r="R15" t="n">
        <x:f t="shared" si="0"/>
        <x:v>80</x:v>
      </x:c>
    </x:row>
    <x:row r="16" ht="16.5" customHeight="1">
      <x:c r="A16" s="1"/>
      <x:c r="B16" s="1" t="str">
        <x:v>item_discount_remove</x:v>
      </x:c>
      <x:c r="C16" s="1" t="str">
        <x:v>删牌优惠</x:v>
      </x:c>
      <x:c r="D16" s="1" t="str">
        <x:v>删牌价格-30%</x:v>
      </x:c>
      <x:c r="E16" s="1" t="str">
        <x:v>Common</x:v>
      </x:c>
      <x:c r="F16" s="1" t="str">
        <x:v>None</x:v>
      </x:c>
      <x:c r="G16" s="1" t="n">
        <x:v>0.3</x:v>
      </x:c>
      <x:c r="H16" s="1"/>
      <x:c r="I16" s="1" t="n">
        <x:v>300</x:v>
      </x:c>
      <x:c r="J16" s="1" t="str">
        <x:v>10,80</x:v>
      </x:c>
      <x:c r="K16" s="1" t="n">
        <x:v>0</x:v>
      </x:c>
      <x:c r="L16" s="1" t="n">
        <x:v>0</x:v>
      </x:c>
      <x:c r="M16" s="1" t="n">
        <x:v>0</x:v>
      </x:c>
      <x:c r="N16" s="1" t="n">
        <x:v>0</x:v>
      </x:c>
      <x:c r="O16" s="1" t="n">
        <x:v>0</x:v>
      </x:c>
      <x:c r="P16" s="1" t="n">
        <x:v>0</x:v>
      </x:c>
      <x:c r="Q16"/>
      <x:c r="R16" t="n">
        <x:f t="shared" si="0"/>
        <x:v>50</x:v>
      </x:c>
    </x:row>
    <x:row r="17" ht="16.5" customHeight="1">
      <x:c r="A17" s="1"/>
      <x:c r="B17" s="1" t="str">
        <x:v>item_remove_fixed_30</x:v>
      </x:c>
      <x:c r="C17" s="1" t="str">
        <x:v>固定删牌价</x:v>
      </x:c>
      <x:c r="D17" s="1" t="str">
        <x:v>删牌价格固定为30金币</x:v>
      </x:c>
      <x:c r="E17" s="1" t="str">
        <x:v>Rare</x:v>
      </x:c>
      <x:c r="F17" s="1" t="str">
        <x:v>None</x:v>
      </x:c>
      <x:c r="G17" s="1" t="n">
        <x:v>30</x:v>
      </x:c>
      <x:c r="H17" s="1"/>
      <x:c r="I17" s="1" t="n">
        <x:v>30</x:v>
      </x:c>
      <x:c r="J17" s="1" t="str">
        <x:v>30,80</x:v>
      </x:c>
      <x:c r="K17" s="1" t="n">
        <x:v>0</x:v>
      </x:c>
      <x:c r="L17" s="1" t="n">
        <x:v>0</x:v>
      </x:c>
      <x:c r="M17" s="1" t="n">
        <x:v>0</x:v>
      </x:c>
      <x:c r="N17" s="1" t="n">
        <x:v>0</x:v>
      </x:c>
      <x:c r="O17" s="1" t="n">
        <x:v>0</x:v>
      </x:c>
      <x:c r="P17" s="1" t="n">
        <x:v>0</x:v>
      </x:c>
      <x:c r="Q17"/>
      <x:c r="R17" t="n">
        <x:f t="shared" si="0"/>
        <x:v>120</x:v>
      </x:c>
    </x:row>
    <x:row r="18" ht="16.5" customHeight="1">
      <x:c r="A18" s="1"/>
      <x:c r="B18" s="1" t="str">
        <x:v>item_famous_knife</x:v>
      </x:c>
      <x:c r="C18" s="1" t="str">
        <x:v>名刀</x:v>
      </x:c>
      <x:c r="D18" s="1" t="str">
        <x:v>分数未达标时不失败
但会失去此道具</x:v>
      </x:c>
      <x:c r="E18" s="1" t="str">
        <x:v>Rare</x:v>
      </x:c>
      <x:c r="F18" s="1" t="str">
        <x:v>None</x:v>
      </x:c>
      <x:c r="G18" s="1" t="n">
        <x:v>0</x:v>
      </x:c>
      <x:c r="H18" s="1"/>
      <x:c r="I18" s="1" t="n">
        <x:v>30</x:v>
      </x:c>
      <x:c r="J18" s="1" t="str">
        <x:v>30,80</x:v>
      </x:c>
      <x:c r="K18" s="1" t="n">
        <x:v>0</x:v>
      </x:c>
      <x:c r="L18" s="1" t="n">
        <x:v>0</x:v>
      </x:c>
      <x:c r="M18" s="1" t="n">
        <x:v>0</x:v>
      </x:c>
      <x:c r="N18" s="1" t="n">
        <x:v>0</x:v>
      </x:c>
      <x:c r="O18" s="1" t="n">
        <x:v>0</x:v>
      </x:c>
      <x:c r="P18" s="1" t="n">
        <x:v>0</x:v>
      </x:c>
      <x:c r="Q18"/>
      <x:c r="R18" t="n">
        <x:f t="shared" si="0"/>
        <x:v>120</x:v>
      </x:c>
    </x:row>
    <x:row r="19" ht="16.5" customHeight="1">
      <x:c r="A19" s="1"/>
      <x:c r="B19" s="1" t="str">
        <x:v>item_score_to_one</x:v>
      </x:c>
      <x:c r="C19" s="1" t="str">
        <x:v>免检通行证</x:v>
      </x:c>
      <x:c r="D19" s="1" t="str">
        <x:v>接下来3局非盛宴美食
分数要求为1</x:v>
      </x:c>
      <x:c r="E19" s="1" t="str">
        <x:v>Common</x:v>
      </x:c>
      <x:c r="F19" s="1" t="str">
        <x:v>None</x:v>
      </x:c>
      <x:c r="G19" s="1" t="n">
        <x:v>0</x:v>
      </x:c>
      <x:c r="H19" s="1" t="str">
        <x:v>meals:3</x:v>
      </x:c>
      <x:c r="I19" s="1" t="n">
        <x:v>300</x:v>
      </x:c>
      <x:c r="J19" s="1" t="str">
        <x:v>10,80</x:v>
      </x:c>
      <x:c r="K19" s="1" t="n">
        <x:v>0</x:v>
      </x:c>
      <x:c r="L19" s="1" t="n">
        <x:v>0</x:v>
      </x:c>
      <x:c r="M19" s="1" t="n">
        <x:v>0</x:v>
      </x:c>
      <x:c r="N19" s="1" t="n">
        <x:v>0</x:v>
      </x:c>
      <x:c r="O19" s="1" t="n">
        <x:v>0</x:v>
      </x:c>
      <x:c r="P19" s="1" t="n">
        <x:v>0</x:v>
      </x:c>
      <x:c r="Q19"/>
      <x:c r="R19" t="n">
        <x:f t="shared" si="0"/>
        <x:v>50</x:v>
      </x:c>
    </x:row>
    <x:row r="20" ht="33.75" customHeight="1">
      <x:c r="A20" s="1"/>
      <x:c r="B20" s="1" t="str">
        <x:v>item_req_normal_down</x:v>
      </x:c>
      <x:c r="C20" s="1" t="str">
        <x:v>家常减负</x:v>
      </x:c>
      <x:c r="D20" s="8" t="str">
        <x:v>普通美食要求分数-15%</x:v>
      </x:c>
      <x:c r="E20" s="1" t="str">
        <x:v>Common</x:v>
      </x:c>
      <x:c r="F20" s="1" t="str">
        <x:v>None</x:v>
      </x:c>
      <x:c r="G20" s="1" t="n">
        <x:v>-0.1</x:v>
      </x:c>
      <x:c r="H20" s="1"/>
      <x:c r="I20" s="1" t="n">
        <x:v>300</x:v>
      </x:c>
      <x:c r="J20" s="1" t="str">
        <x:v>10,80</x:v>
      </x:c>
      <x:c r="K20" s="1" t="n">
        <x:v>0</x:v>
      </x:c>
      <x:c r="L20" s="1" t="n">
        <x:v>0</x:v>
      </x:c>
      <x:c r="M20" s="1" t="n">
        <x:v>0</x:v>
      </x:c>
      <x:c r="N20" s="1" t="n">
        <x:v>0</x:v>
      </x:c>
      <x:c r="O20" s="1" t="n">
        <x:v>0</x:v>
      </x:c>
      <x:c r="P20" s="1" t="n">
        <x:v>0</x:v>
      </x:c>
      <x:c r="Q20"/>
      <x:c r="R20" t="n">
        <x:f t="shared" si="0"/>
        <x:v>50</x:v>
      </x:c>
    </x:row>
    <x:row r="21" ht="33.75" customHeight="1">
      <x:c r="A21" s="1"/>
      <x:c r="B21" s="1" t="str">
        <x:v>item_req_super_down</x:v>
      </x:c>
      <x:c r="C21" s="1" t="str">
        <x:v>超级减负</x:v>
      </x:c>
      <x:c r="D21" s="8" t="str">
        <x:v>超级美食要求分数-15%</x:v>
      </x:c>
      <x:c r="E21" s="1" t="str">
        <x:v>Uncommon</x:v>
      </x:c>
      <x:c r="F21" s="1" t="str">
        <x:v>None</x:v>
      </x:c>
      <x:c r="G21" s="1" t="n">
        <x:v>-0.1</x:v>
      </x:c>
      <x:c r="H21" s="1"/>
      <x:c r="I21" s="1" t="n">
        <x:v>100</x:v>
      </x:c>
      <x:c r="J21" s="1" t="str">
        <x:v>20,80</x:v>
      </x:c>
      <x:c r="K21" s="1" t="n">
        <x:v>0</x:v>
      </x:c>
      <x:c r="L21" s="1" t="n">
        <x:v>0</x:v>
      </x:c>
      <x:c r="M21" s="1" t="n">
        <x:v>0</x:v>
      </x:c>
      <x:c r="N21" s="1" t="n">
        <x:v>0</x:v>
      </x:c>
      <x:c r="O21" s="1" t="n">
        <x:v>0</x:v>
      </x:c>
      <x:c r="P21" s="1" t="n">
        <x:v>0</x:v>
      </x:c>
      <x:c r="Q21"/>
      <x:c r="R21" t="n">
        <x:f t="shared" si="0"/>
        <x:v>80</x:v>
      </x:c>
    </x:row>
    <x:row r="22" ht="16.5" customHeight="1">
      <x:c r="A22" s="1"/>
      <x:c r="B22" s="1" t="str">
        <x:v>item_req_feast_down</x:v>
      </x:c>
      <x:c r="C22" s="1" t="str">
        <x:v>盛宴减负</x:v>
      </x:c>
      <x:c r="D22" s="1" t="str">
        <x:v>盛宴美食要求分数-10%</x:v>
      </x:c>
      <x:c r="E22" s="1" t="str">
        <x:v>Rare</x:v>
      </x:c>
      <x:c r="F22" s="1" t="str">
        <x:v>None</x:v>
      </x:c>
      <x:c r="G22" s="1" t="n">
        <x:v>-0.1</x:v>
      </x:c>
      <x:c r="H22" s="1"/>
      <x:c r="I22" s="1" t="n">
        <x:v>30</x:v>
      </x:c>
      <x:c r="J22" s="1" t="str">
        <x:v>30,80</x:v>
      </x:c>
      <x:c r="K22" s="1" t="n">
        <x:v>0</x:v>
      </x:c>
      <x:c r="L22" s="1" t="n">
        <x:v>0</x:v>
      </x:c>
      <x:c r="M22" s="1" t="n">
        <x:v>0</x:v>
      </x:c>
      <x:c r="N22" s="1" t="n">
        <x:v>0</x:v>
      </x:c>
      <x:c r="O22" s="1" t="n">
        <x:v>0</x:v>
      </x:c>
      <x:c r="P22" s="1" t="n">
        <x:v>0</x:v>
      </x:c>
      <x:c r="Q22"/>
      <x:c r="R22" t="n">
        <x:f t="shared" si="0"/>
        <x:v>120</x:v>
      </x:c>
    </x:row>
    <x:row r="23" ht="16.5" customHeight="1">
      <x:c r="A23" s="1"/>
      <x:c r="B23" s="1" t="str">
        <x:v>item_count_le_mult</x:v>
      </x:c>
      <x:c r="C23" s="1" t="str">
        <x:v>精致料理</x:v>
      </x:c>
      <x:c r="D23" s="1" t="str">
        <x:v>结算开始
若食物数量&lt;=10
所有美食倍率×1.2</x:v>
      </x:c>
      <x:c r="E23" s="1" t="str">
        <x:v>Uncommon</x:v>
      </x:c>
      <x:c r="F23" s="1" t="str">
        <x:v>None</x:v>
      </x:c>
      <x:c r="G23" s="1" t="n">
        <x:v>1.1</x:v>
      </x:c>
      <x:c r="H23" s="1" t="str">
        <x:v>lte:10</x:v>
      </x:c>
      <x:c r="I23" s="1" t="n">
        <x:v>100</x:v>
      </x:c>
      <x:c r="J23" s="1" t="str">
        <x:v>20,80</x:v>
      </x:c>
      <x:c r="K23" s="1" t="n">
        <x:v>0</x:v>
      </x:c>
      <x:c r="L23" s="1" t="n">
        <x:v>0</x:v>
      </x:c>
      <x:c r="M23" s="1" t="n">
        <x:v>0</x:v>
      </x:c>
      <x:c r="N23" s="1" t="n">
        <x:v>0</x:v>
      </x:c>
      <x:c r="O23" s="1" t="n">
        <x:v>0</x:v>
      </x:c>
      <x:c r="P23" s="1" t="n">
        <x:v>0</x:v>
      </x:c>
      <x:c r="Q23"/>
      <x:c r="R23" t="n">
        <x:f t="shared" si="0"/>
        <x:v>80</x:v>
      </x:c>
    </x:row>
    <x:row r="24" ht="16.5" customHeight="1">
      <x:c r="A24" s="1"/>
      <x:c r="B24" s="1" t="str">
        <x:v>item_count_ge_mult</x:v>
      </x:c>
      <x:c r="C24" s="1" t="str">
        <x:v>丰盛大餐</x:v>
      </x:c>
      <x:c r="D24" s="1" t="str">
        <x:v>结算开始
若食物数量&gt;=10
所有美食倍率×1.2</x:v>
      </x:c>
      <x:c r="E24" s="1" t="str">
        <x:v>Rare</x:v>
      </x:c>
      <x:c r="F24" s="1" t="str">
        <x:v>None</x:v>
      </x:c>
      <x:c r="G24" s="1" t="n">
        <x:v>1.1</x:v>
      </x:c>
      <x:c r="H24" s="1" t="str">
        <x:v>gte:10</x:v>
      </x:c>
      <x:c r="I24" s="1" t="n">
        <x:v>30</x:v>
      </x:c>
      <x:c r="J24" s="1" t="str">
        <x:v>30,80</x:v>
      </x:c>
      <x:c r="K24" s="1" t="n">
        <x:v>0</x:v>
      </x:c>
      <x:c r="L24" s="1" t="n">
        <x:v>0</x:v>
      </x:c>
      <x:c r="M24" s="1" t="n">
        <x:v>0</x:v>
      </x:c>
      <x:c r="N24" s="1" t="n">
        <x:v>0</x:v>
      </x:c>
      <x:c r="O24" s="1" t="n">
        <x:v>0</x:v>
      </x:c>
      <x:c r="P24" s="1" t="n">
        <x:v>0</x:v>
      </x:c>
      <x:c r="Q24"/>
      <x:c r="R24" t="n">
        <x:f t="shared" si="0"/>
        <x:v>120</x:v>
      </x:c>
    </x:row>
    <x:row r="25" ht="51">
      <x:c r="A25" s="1"/>
      <x:c r="B25" s="1" t="str">
        <x:v>item_perma_flat_all</x:v>
      </x:c>
      <x:c r="C25" s="1" t="str">
        <x:v>增鲜剂</x:v>
      </x:c>
      <x:c r="D25" s="8" t="str">
        <x:v>所有食物分数永久+10</x:v>
      </x:c>
      <x:c r="E25" s="1" t="str">
        <x:v>Uncommon</x:v>
      </x:c>
      <x:c r="F25" s="1" t="str">
        <x:v>None</x:v>
      </x:c>
      <x:c r="G25" s="1" t="n">
        <x:v>10</x:v>
      </x:c>
      <x:c r="H25" s="1"/>
      <x:c r="I25" s="1" t="n">
        <x:v>100</x:v>
      </x:c>
      <x:c r="J25" s="1" t="str">
        <x:v>20,80</x:v>
      </x:c>
      <x:c r="K25" s="1" t="n">
        <x:v>0</x:v>
      </x:c>
      <x:c r="L25" s="1" t="n">
        <x:v>0</x:v>
      </x:c>
      <x:c r="M25" s="1" t="n">
        <x:v>0</x:v>
      </x:c>
      <x:c r="N25" s="1" t="n">
        <x:v>0</x:v>
      </x:c>
      <x:c r="O25" s="1" t="n">
        <x:v>0</x:v>
      </x:c>
      <x:c r="P25" s="1" t="n">
        <x:v>0</x:v>
      </x:c>
      <x:c r="Q25"/>
      <x:c r="R25" t="n">
        <x:f t="shared" si="0"/>
        <x:v>80</x:v>
      </x:c>
    </x:row>
    <x:row r="26" ht="51">
      <x:c r="A26" s="1"/>
      <x:c r="B26" s="1" t="str">
        <x:v>item_stargaze_every5</x:v>
      </x:c>
      <x:c r="C26" s="1" t="str">
        <x:v>观星仪</x:v>
      </x:c>
      <x:c r="D26" s="8" t="str">
        <x:v>每5次上菜后
下次上菜可预见食物</x:v>
      </x:c>
      <x:c r="E26" s="1" t="str">
        <x:v>Uncommon</x:v>
      </x:c>
      <x:c r="F26" s="1" t="str">
        <x:v>None</x:v>
      </x:c>
      <x:c r="G26" s="1" t="n">
        <x:v>0</x:v>
      </x:c>
      <x:c r="H26" s="1" t="str">
        <x:v>every:5</x:v>
      </x:c>
      <x:c r="I26" s="1" t="n">
        <x:v>100</x:v>
      </x:c>
      <x:c r="J26" s="1" t="str">
        <x:v>20,80</x:v>
      </x:c>
      <x:c r="K26" s="1" t="n">
        <x:v>0</x:v>
      </x:c>
      <x:c r="L26" s="1" t="n">
        <x:v>0</x:v>
      </x:c>
      <x:c r="M26" s="1" t="n">
        <x:v>0</x:v>
      </x:c>
      <x:c r="N26" s="1" t="n">
        <x:v>0</x:v>
      </x:c>
      <x:c r="O26" s="1" t="n">
        <x:v>0</x:v>
      </x:c>
      <x:c r="P26" s="1" t="n">
        <x:v>0</x:v>
      </x:c>
      <x:c r="Q26"/>
      <x:c r="R26" t="n">
        <x:f t="shared" si="0"/>
        <x:v>80</x:v>
      </x:c>
    </x:row>
    <x:row r="27" ht="16.5" customHeight="1">
      <x:c r="A27" s="1"/>
      <x:c r="B27" s="1" t="str">
        <x:v>item_stargaze_first3</x:v>
      </x:c>
      <x:c r="C27" s="1" t="str">
        <x:v>开局观星</x:v>
      </x:c>
      <x:c r="D27" s="1" t="str">
        <x:v>每局前3次上菜
可预见食物</x:v>
      </x:c>
      <x:c r="E27" s="1" t="str">
        <x:v>Uncommon</x:v>
      </x:c>
      <x:c r="F27" s="1" t="str">
        <x:v>None</x:v>
      </x:c>
      <x:c r="G27" s="1" t="n">
        <x:v>0</x:v>
      </x:c>
      <x:c r="H27" s="1" t="str">
        <x:v>first:3</x:v>
      </x:c>
      <x:c r="I27" s="1" t="n">
        <x:v>100</x:v>
      </x:c>
      <x:c r="J27" s="1" t="str">
        <x:v>20,80</x:v>
      </x:c>
      <x:c r="K27" s="1" t="n">
        <x:v>0</x:v>
      </x:c>
      <x:c r="L27" s="1" t="n">
        <x:v>0</x:v>
      </x:c>
      <x:c r="M27" s="1" t="n">
        <x:v>0</x:v>
      </x:c>
      <x:c r="N27" s="1" t="n">
        <x:v>0</x:v>
      </x:c>
      <x:c r="O27" s="1" t="n">
        <x:v>0</x:v>
      </x:c>
      <x:c r="P27" s="1" t="n">
        <x:v>0</x:v>
      </x:c>
      <x:c r="Q27"/>
      <x:c r="R27" t="n">
        <x:f t="shared" si="0"/>
        <x:v>80</x:v>
      </x:c>
    </x:row>
    <x:row r="28" ht="33.75" customHeight="1">
      <x:c r="A28" s="1"/>
      <x:c r="B28" s="1" t="str">
        <x:v>item_gold_on_shop</x:v>
      </x:c>
      <x:c r="C28" s="1" t="str">
        <x:v>商会返利</x:v>
      </x:c>
      <x:c r="D28" s="8" t="str">
        <x:v>进入商店时
获得10金币</x:v>
      </x:c>
      <x:c r="E28" s="1" t="str">
        <x:v>Uncommon</x:v>
      </x:c>
      <x:c r="F28" s="1" t="str">
        <x:v>None</x:v>
      </x:c>
      <x:c r="G28" s="1" t="n">
        <x:v>10</x:v>
      </x:c>
      <x:c r="H28" s="1"/>
      <x:c r="I28" s="1" t="n">
        <x:v>100</x:v>
      </x:c>
      <x:c r="J28" s="1" t="str">
        <x:v>20,80</x:v>
      </x:c>
      <x:c r="K28" s="1" t="n">
        <x:v>0</x:v>
      </x:c>
      <x:c r="L28" s="1" t="n">
        <x:v>0</x:v>
      </x:c>
      <x:c r="M28" s="1" t="n">
        <x:v>0</x:v>
      </x:c>
      <x:c r="N28" s="1" t="n">
        <x:v>0</x:v>
      </x:c>
      <x:c r="O28" s="1" t="n">
        <x:v>0</x:v>
      </x:c>
      <x:c r="P28" s="1" t="n">
        <x:v>0</x:v>
      </x:c>
      <x:c r="Q28"/>
      <x:c r="R28" t="n">
        <x:f t="shared" si="0"/>
        <x:v>80</x:v>
      </x:c>
    </x:row>
    <x:row r="29" ht="33.75" customHeight="1">
      <x:c r="A29" s="1"/>
      <x:c r="B29" s="1" t="str">
        <x:v>item_extra_interest</x:v>
      </x:c>
      <x:c r="C29" s="1" t="str">
        <x:v>复利账户</x:v>
      </x:c>
      <x:c r="D29" s="8" t="str">
        <x:v>每周结束时
额外执行1次利息结算</x:v>
      </x:c>
      <x:c r="E29" s="1" t="str">
        <x:v>Uncommon</x:v>
      </x:c>
      <x:c r="F29" s="1" t="str">
        <x:v>None</x:v>
      </x:c>
      <x:c r="G29" s="1" t="n">
        <x:v>1</x:v>
      </x:c>
      <x:c r="H29" s="1"/>
      <x:c r="I29" s="1" t="n">
        <x:v>100</x:v>
      </x:c>
      <x:c r="J29" s="1" t="str">
        <x:v>20,80</x:v>
      </x:c>
      <x:c r="K29" s="1" t="n">
        <x:v>0</x:v>
      </x:c>
      <x:c r="L29" s="1" t="n">
        <x:v>0</x:v>
      </x:c>
      <x:c r="M29" s="1" t="n">
        <x:v>0</x:v>
      </x:c>
      <x:c r="N29" s="1" t="n">
        <x:v>0</x:v>
      </x:c>
      <x:c r="O29" s="1" t="n">
        <x:v>0</x:v>
      </x:c>
      <x:c r="P29" s="1" t="n">
        <x:v>0</x:v>
      </x:c>
      <x:c r="Q29"/>
      <x:c r="R29" t="n">
        <x:f t="shared" si="0"/>
        <x:v>80</x:v>
      </x:c>
    </x:row>
    <x:row r="30" ht="33.75" customHeight="1">
      <x:c r="A30" s="1"/>
      <x:c r="B30" s="1" t="str">
        <x:v>item_interest_cap</x:v>
      </x:c>
      <x:c r="C30" s="1" t="str">
        <x:v>高息账户</x:v>
      </x:c>
      <x:c r="D30" s="8" t="str">
        <x:v>利息上限扩展到40金币</x:v>
      </x:c>
      <x:c r="E30" s="1" t="str">
        <x:v>Rare</x:v>
      </x:c>
      <x:c r="F30" s="1" t="str">
        <x:v>None</x:v>
      </x:c>
      <x:c r="G30" s="1" t="n">
        <x:v>10</x:v>
      </x:c>
      <x:c r="H30" s="1"/>
      <x:c r="I30" s="1" t="n">
        <x:v>30</x:v>
      </x:c>
      <x:c r="J30" s="1" t="str">
        <x:v>30,80</x:v>
      </x:c>
      <x:c r="K30" s="1" t="n">
        <x:v>0</x:v>
      </x:c>
      <x:c r="L30" s="1" t="n">
        <x:v>0</x:v>
      </x:c>
      <x:c r="M30" s="1" t="n">
        <x:v>0</x:v>
      </x:c>
      <x:c r="N30" s="1" t="n">
        <x:v>0</x:v>
      </x:c>
      <x:c r="O30" s="1" t="n">
        <x:v>0</x:v>
      </x:c>
      <x:c r="P30" s="1" t="n">
        <x:v>0</x:v>
      </x:c>
      <x:c r="Q30"/>
      <x:c r="R30" t="n">
        <x:f t="shared" si="0"/>
        <x:v>120</x:v>
      </x:c>
    </x:row>
    <x:row r="31" ht="16.5" customHeight="1">
      <x:c r="A31" s="1"/>
      <x:c r="B31" s="1" t="str">
        <x:v>item_loan</x:v>
      </x:c>
      <x:c r="C31" s="1" t="str">
        <x:v>高利贷</x:v>
      </x:c>
      <x:c r="D31" s="1" t="str">
        <x:v>临时获得200金币
下一周开始失去400金币</x:v>
      </x:c>
      <x:c r="E31" s="1" t="str">
        <x:v>Uncommon</x:v>
      </x:c>
      <x:c r="F31" s="1" t="str">
        <x:v>None</x:v>
      </x:c>
      <x:c r="G31" s="1" t="n">
        <x:v>300</x:v>
      </x:c>
      <x:c r="H31" s="1" t="str">
        <x:v>repay:600</x:v>
      </x:c>
      <x:c r="I31" s="1" t="n">
        <x:v>100</x:v>
      </x:c>
      <x:c r="J31" s="1" t="str">
        <x:v>20,80</x:v>
      </x:c>
      <x:c r="K31" s="1" t="n">
        <x:v>0</x:v>
      </x:c>
      <x:c r="L31" s="1" t="n">
        <x:v>0</x:v>
      </x:c>
      <x:c r="M31" s="1" t="n">
        <x:v>0</x:v>
      </x:c>
      <x:c r="N31" s="1" t="n">
        <x:v>0</x:v>
      </x:c>
      <x:c r="O31" s="1" t="n">
        <x:v>0</x:v>
      </x:c>
      <x:c r="P31" s="1" t="n">
        <x:v>0</x:v>
      </x:c>
      <x:c r="Q31"/>
      <x:c r="R31" t="n">
        <x:f t="shared" si="0"/>
        <x:v>80</x:v>
      </x:c>
    </x:row>
    <x:row r="32" ht="51">
      <x:c r="A32" s="1"/>
      <x:c r="B32" s="1" t="str">
        <x:v>item_timeline_random</x:v>
      </x:c>
      <x:c r="C32" s="1" t="str">
        <x:v>命运骰子</x:v>
      </x:c>
      <x:c r="D32" s="8" t="str">
        <x:v>打乱时间轴的节点事件</x:v>
      </x:c>
      <x:c r="E32" s="1" t="str">
        <x:v>Uncommon</x:v>
      </x:c>
      <x:c r="F32" s="1" t="str">
        <x:v>None</x:v>
      </x:c>
      <x:c r="G32" s="1" t="n">
        <x:v>0</x:v>
      </x:c>
      <x:c r="H32" s="1"/>
      <x:c r="I32" s="1" t="n">
        <x:v>100</x:v>
      </x:c>
      <x:c r="J32" s="1" t="str">
        <x:v>20,80</x:v>
      </x:c>
      <x:c r="K32" s="1" t="n">
        <x:v>0</x:v>
      </x:c>
      <x:c r="L32" s="1" t="n">
        <x:v>0</x:v>
      </x:c>
      <x:c r="M32" s="1" t="n">
        <x:v>0</x:v>
      </x:c>
      <x:c r="N32" s="1" t="n">
        <x:v>0</x:v>
      </x:c>
      <x:c r="O32" s="1" t="n">
        <x:v>0</x:v>
      </x:c>
      <x:c r="P32" s="1" t="n">
        <x:v>0</x:v>
      </x:c>
      <x:c r="Q32"/>
      <x:c r="R32" t="n">
        <x:f t="shared" si="0"/>
        <x:v>80</x:v>
      </x:c>
    </x:row>
    <x:row r="33" ht="33.75" customHeight="1">
      <x:c r="A33" s="1"/>
      <x:c r="B33" s="1" t="str">
        <x:v>item_extra_day</x:v>
      </x:c>
      <x:c r="C33" s="1" t="str">
        <x:v>加班一天</x:v>
      </x:c>
      <x:c r="D33" s="8" t="str">
        <x:v>盛宴延后一天</x:v>
      </x:c>
      <x:c r="E33" s="1" t="str">
        <x:v>Uncommon</x:v>
      </x:c>
      <x:c r="F33" s="1" t="str">
        <x:v>None</x:v>
      </x:c>
      <x:c r="G33" s="1" t="n">
        <x:v>1</x:v>
      </x:c>
      <x:c r="H33" s="1"/>
      <x:c r="I33" s="1" t="n">
        <x:v>100</x:v>
      </x:c>
      <x:c r="J33" s="1" t="str">
        <x:v>20,80</x:v>
      </x:c>
      <x:c r="K33" s="1" t="n">
        <x:v>0</x:v>
      </x:c>
      <x:c r="L33" s="1" t="n">
        <x:v>0</x:v>
      </x:c>
      <x:c r="M33" s="1" t="n">
        <x:v>0</x:v>
      </x:c>
      <x:c r="N33" s="1" t="n">
        <x:v>0</x:v>
      </x:c>
      <x:c r="O33" s="1" t="n">
        <x:v>0</x:v>
      </x:c>
      <x:c r="P33" s="1" t="n">
        <x:v>0</x:v>
      </x:c>
      <x:c r="Q33"/>
      <x:c r="R33" t="n">
        <x:f t="shared" si="0"/>
        <x:v>80</x:v>
      </x:c>
    </x:row>
    <x:row r="34" ht="33.75" customHeight="1">
      <x:c r="A34" s="1"/>
      <x:c r="B34" s="1" t="str">
        <x:v>item_week_minus</x:v>
      </x:c>
      <x:c r="C34" s="1" t="str">
        <x:v>时光倒流</x:v>
      </x:c>
      <x:c r="D34" s="8" t="str">
        <x:v>周数-1</x:v>
      </x:c>
      <x:c r="E34" s="1" t="str">
        <x:v>Epic</x:v>
      </x:c>
      <x:c r="F34" s="1" t="str">
        <x:v>None</x:v>
      </x:c>
      <x:c r="G34" s="1" t="n">
        <x:v>1</x:v>
      </x:c>
      <x:c r="H34" s="1"/>
      <x:c r="I34" s="1" t="n">
        <x:v>10</x:v>
      </x:c>
      <x:c r="J34" s="1" t="str">
        <x:v>40,80</x:v>
      </x:c>
      <x:c r="K34" s="1" t="n">
        <x:v>0</x:v>
      </x:c>
      <x:c r="L34" s="1" t="n">
        <x:v>0</x:v>
      </x:c>
      <x:c r="M34" s="1" t="n">
        <x:v>0</x:v>
      </x:c>
      <x:c r="N34" s="1" t="n">
        <x:v>0</x:v>
      </x:c>
      <x:c r="O34" s="1" t="n">
        <x:v>0</x:v>
      </x:c>
      <x:c r="P34" s="1" t="n">
        <x:v>0</x:v>
      </x:c>
      <x:c r="Q34"/>
      <x:c r="R34" t="n">
        <x:f t="shared" si="0"/>
        <x:v>200</x:v>
      </x:c>
    </x:row>
    <x:row r="35" ht="33.75" customHeight="1">
      <x:c r="A35" s="1"/>
      <x:c r="B35" s="1" t="str">
        <x:v>item_add_reward_node</x:v>
      </x:c>
      <x:c r="C35" s="1" t="str">
        <x:v>额外奖励</x:v>
      </x:c>
      <x:c r="D35" s="8" t="str">
        <x:v>增加一个奖励节点到
未来时间轴上</x:v>
      </x:c>
      <x:c r="E35" s="1" t="str">
        <x:v>Uncommon</x:v>
      </x:c>
      <x:c r="F35" s="1" t="str">
        <x:v>None</x:v>
      </x:c>
      <x:c r="G35" s="1" t="n">
        <x:v>1</x:v>
      </x:c>
      <x:c r="H35" s="1"/>
      <x:c r="I35" s="1" t="n">
        <x:v>100</x:v>
      </x:c>
      <x:c r="J35" s="1" t="str">
        <x:v>20,80</x:v>
      </x:c>
      <x:c r="K35" s="1" t="n">
        <x:v>0</x:v>
      </x:c>
      <x:c r="L35" s="1" t="n">
        <x:v>0</x:v>
      </x:c>
      <x:c r="M35" s="1" t="n">
        <x:v>0</x:v>
      </x:c>
      <x:c r="N35" s="1" t="n">
        <x:v>0</x:v>
      </x:c>
      <x:c r="O35" s="1" t="n">
        <x:v>0</x:v>
      </x:c>
      <x:c r="P35" s="1" t="n">
        <x:v>0</x:v>
      </x:c>
      <x:c r="Q35"/>
      <x:c r="R35" t="n">
        <x:f t="shared" si="0"/>
        <x:v>80</x:v>
      </x:c>
    </x:row>
    <x:row r="36" ht="16.5" customHeight="1">
      <x:c r="A36" s="1"/>
      <x:c r="B36" s="1" t="str">
        <x:v>item_add_interest_node</x:v>
      </x:c>
      <x:c r="C36" s="1" t="str">
        <x:v>额外利息节点</x:v>
      </x:c>
      <x:c r="D36" s="1" t="str">
        <x:v>增加一个利息节点
到未来时间轴上</x:v>
      </x:c>
      <x:c r="E36" s="1" t="str">
        <x:v>Uncommon</x:v>
      </x:c>
      <x:c r="F36" s="1" t="str">
        <x:v>None</x:v>
      </x:c>
      <x:c r="G36" s="1" t="n">
        <x:v>1</x:v>
      </x:c>
      <x:c r="H36" s="1"/>
      <x:c r="I36" s="1" t="n">
        <x:v>100</x:v>
      </x:c>
      <x:c r="J36" s="1" t="str">
        <x:v>20,80</x:v>
      </x:c>
      <x:c r="K36" s="1" t="n">
        <x:v>0</x:v>
      </x:c>
      <x:c r="L36" s="1" t="n">
        <x:v>0</x:v>
      </x:c>
      <x:c r="M36" s="1" t="n">
        <x:v>0</x:v>
      </x:c>
      <x:c r="N36" s="1" t="n">
        <x:v>0</x:v>
      </x:c>
      <x:c r="O36" s="1" t="n">
        <x:v>0</x:v>
      </x:c>
      <x:c r="P36" s="1" t="n">
        <x:v>0</x:v>
      </x:c>
      <x:c r="Q36"/>
      <x:c r="R36" t="n">
        <x:f t="shared" si="0"/>
        <x:v>80</x:v>
      </x:c>
    </x:row>
    <x:row r="37" ht="33.75" customHeight="1">
      <x:c r="A37" s="1"/>
      <x:c r="B37" s="1" t="str">
        <x:v>item_every3_next_mult</x:v>
      </x:c>
      <x:c r="C37" s="1" t="str">
        <x:v>节奏大师</x:v>
      </x:c>
      <x:c r="D37" s="8" t="str">
        <x:v>每上3个食物后
下个食物倍率+1</x:v>
      </x:c>
      <x:c r="E37" s="1" t="str">
        <x:v>Uncommon</x:v>
      </x:c>
      <x:c r="F37" s="1" t="str">
        <x:v>None</x:v>
      </x:c>
      <x:c r="G37" s="1" t="n">
        <x:v>1</x:v>
      </x:c>
      <x:c r="H37" s="1" t="str">
        <x:v>every:3</x:v>
      </x:c>
      <x:c r="I37" s="1" t="n">
        <x:v>100</x:v>
      </x:c>
      <x:c r="J37" s="1" t="str">
        <x:v>20,80</x:v>
      </x:c>
      <x:c r="K37" s="1" t="n">
        <x:v>0</x:v>
      </x:c>
      <x:c r="L37" s="1" t="n">
        <x:v>0</x:v>
      </x:c>
      <x:c r="M37" s="1" t="n">
        <x:v>0</x:v>
      </x:c>
      <x:c r="N37" s="1" t="n">
        <x:v>0</x:v>
      </x:c>
      <x:c r="O37" s="1" t="n">
        <x:v>0</x:v>
      </x:c>
      <x:c r="P37" s="1" t="n">
        <x:v>0</x:v>
      </x:c>
      <x:c r="Q37"/>
      <x:c r="R37" t="n">
        <x:f t="shared" ref="R37:R68" si="1">VLOOKUP(E37,$T$10:$AB$13,9,FALSE)</x:f>
        <x:v>80</x:v>
      </x:c>
    </x:row>
    <x:row r="38" ht="16.5" customHeight="1">
      <x:c r="A38" s="1"/>
      <x:c r="B38" s="1" t="str">
        <x:v>item_first_+2</x:v>
      </x:c>
      <x:c r="C38" s="1" t="str">
        <x:v>开门红</x:v>
      </x:c>
      <x:c r="D38" s="1" t="str">
        <x:v>首个上的食物
倍率+2</x:v>
      </x:c>
      <x:c r="E38" s="1" t="str">
        <x:v>Common</x:v>
      </x:c>
      <x:c r="F38" s="1" t="str">
        <x:v>None</x:v>
      </x:c>
      <x:c r="G38" s="1" t="n">
        <x:v>2</x:v>
      </x:c>
      <x:c r="H38" s="1" t="str">
        <x:v>index:1</x:v>
      </x:c>
      <x:c r="I38" s="1" t="n">
        <x:v>300</x:v>
      </x:c>
      <x:c r="J38" s="1" t="str">
        <x:v>10,80</x:v>
      </x:c>
      <x:c r="K38" s="1" t="n">
        <x:v>0</x:v>
      </x:c>
      <x:c r="L38" s="1" t="n">
        <x:v>0</x:v>
      </x:c>
      <x:c r="M38" s="1" t="n">
        <x:v>0</x:v>
      </x:c>
      <x:c r="N38" s="1" t="n">
        <x:v>0</x:v>
      </x:c>
      <x:c r="O38" s="1" t="n">
        <x:v>0</x:v>
      </x:c>
      <x:c r="P38" s="1" t="n">
        <x:v>0</x:v>
      </x:c>
      <x:c r="Q38"/>
      <x:c r="R38" t="n">
        <x:f t="shared" si="1"/>
        <x:v>50</x:v>
      </x:c>
    </x:row>
    <x:row r="39" ht="16.5" customHeight="1">
      <x:c r="A39" s="1"/>
      <x:c r="B39" s="1" t="str">
        <x:v>item_last_+2</x:v>
      </x:c>
      <x:c r="C39" s="1" t="str">
        <x:v>压轴好戏</x:v>
      </x:c>
      <x:c r="D39" s="1" t="str">
        <x:v>最后上的食物
倍率+2</x:v>
      </x:c>
      <x:c r="E39" s="1" t="str">
        <x:v>Common</x:v>
      </x:c>
      <x:c r="F39" s="1" t="str">
        <x:v>None</x:v>
      </x:c>
      <x:c r="G39" s="1" t="n">
        <x:v>2</x:v>
      </x:c>
      <x:c r="H39" s="1" t="str">
        <x:v>index:-1</x:v>
      </x:c>
      <x:c r="I39" s="1" t="n">
        <x:v>300</x:v>
      </x:c>
      <x:c r="J39" s="1" t="str">
        <x:v>10,80</x:v>
      </x:c>
      <x:c r="K39" s="1" t="n">
        <x:v>0</x:v>
      </x:c>
      <x:c r="L39" s="1" t="n">
        <x:v>0</x:v>
      </x:c>
      <x:c r="M39" s="1" t="n">
        <x:v>0</x:v>
      </x:c>
      <x:c r="N39" s="1" t="n">
        <x:v>0</x:v>
      </x:c>
      <x:c r="O39" s="1" t="n">
        <x:v>0</x:v>
      </x:c>
      <x:c r="P39" s="1" t="n">
        <x:v>0</x:v>
      </x:c>
      <x:c r="Q39"/>
      <x:c r="R39" t="n">
        <x:f t="shared" si="1"/>
        <x:v>50</x:v>
      </x:c>
    </x:row>
    <x:row r="40" ht="16.5" customHeight="1">
      <x:c r="A40" s="1"/>
      <x:c r="B40" s="1" t="str">
        <x:v>item_extra_active_slots</x:v>
      </x:c>
      <x:c r="C40" s="1" t="str">
        <x:v>工具箱</x:v>
      </x:c>
      <x:c r="D40" s="1" t="str">
        <x:v>增加2个主动道具栏</x:v>
      </x:c>
      <x:c r="E40" s="1" t="str">
        <x:v>Uncommon</x:v>
      </x:c>
      <x:c r="F40" s="1" t="str">
        <x:v>None</x:v>
      </x:c>
      <x:c r="G40" s="1" t="n">
        <x:v>2</x:v>
      </x:c>
      <x:c r="H40" s="1"/>
      <x:c r="I40" s="1" t="n">
        <x:v>100</x:v>
      </x:c>
      <x:c r="J40" s="1" t="str">
        <x:v>20,80</x:v>
      </x:c>
      <x:c r="K40" s="1" t="n">
        <x:v>0</x:v>
      </x:c>
      <x:c r="L40" s="1" t="n">
        <x:v>0</x:v>
      </x:c>
      <x:c r="M40" s="1" t="n">
        <x:v>0</x:v>
      </x:c>
      <x:c r="N40" s="1" t="n">
        <x:v>0</x:v>
      </x:c>
      <x:c r="O40" s="1" t="n">
        <x:v>0</x:v>
      </x:c>
      <x:c r="P40" s="1" t="n">
        <x:v>0</x:v>
      </x:c>
      <x:c r="Q40"/>
      <x:c r="R40" t="n">
        <x:f t="shared" si="1"/>
        <x:v>80</x:v>
      </x:c>
    </x:row>
    <x:row r="41" ht="33.75" customHeight="1">
      <x:c r="A41" s="1"/>
      <x:c r="B41" s="1" t="str">
        <x:v>item_gold_on_active</x:v>
      </x:c>
      <x:c r="C41" s="1" t="str">
        <x:v>以用换钱</x:v>
      </x:c>
      <x:c r="D41" s="8" t="str">
        <x:v>使用主动道具时
获得5金币</x:v>
      </x:c>
      <x:c r="E41" s="1" t="str">
        <x:v>Uncommon</x:v>
      </x:c>
      <x:c r="F41" s="1" t="str">
        <x:v>None</x:v>
      </x:c>
      <x:c r="G41" s="1" t="n">
        <x:v>5</x:v>
      </x:c>
      <x:c r="H41" s="1"/>
      <x:c r="I41" s="1" t="n">
        <x:v>100</x:v>
      </x:c>
      <x:c r="J41" s="1" t="str">
        <x:v>20,80</x:v>
      </x:c>
      <x:c r="K41" s="1" t="n">
        <x:v>0</x:v>
      </x:c>
      <x:c r="L41" s="1" t="n">
        <x:v>0</x:v>
      </x:c>
      <x:c r="M41" s="1" t="n">
        <x:v>0</x:v>
      </x:c>
      <x:c r="N41" s="1" t="n">
        <x:v>0</x:v>
      </x:c>
      <x:c r="O41" s="1" t="n">
        <x:v>0</x:v>
      </x:c>
      <x:c r="P41" s="1" t="n">
        <x:v>0</x:v>
      </x:c>
      <x:c r="Q41"/>
      <x:c r="R41" t="n">
        <x:f t="shared" si="1"/>
        <x:v>80</x:v>
      </x:c>
    </x:row>
    <x:row r="42" ht="33.75" customHeight="1">
      <x:c r="A42" s="1"/>
      <x:c r="B42" s="1" t="str">
        <x:v>item_block_active</x:v>
      </x:c>
      <x:c r="C42" s="1" t="str">
        <x:v>极简主义</x:v>
      </x:c>
      <x:c r="D42" s="8" t="str">
        <x:v>无法再获得主动道具
立即获得600金币</x:v>
      </x:c>
      <x:c r="E42" s="1" t="str">
        <x:v>Uncommon</x:v>
      </x:c>
      <x:c r="F42" s="1" t="str">
        <x:v>None</x:v>
      </x:c>
      <x:c r="G42" s="1" t="n">
        <x:v>600</x:v>
      </x:c>
      <x:c r="H42" s="1"/>
      <x:c r="I42" s="1" t="n">
        <x:v>100</x:v>
      </x:c>
      <x:c r="J42" s="1" t="str">
        <x:v>20,80</x:v>
      </x:c>
      <x:c r="K42" s="1" t="n">
        <x:v>0</x:v>
      </x:c>
      <x:c r="L42" s="1" t="n">
        <x:v>0</x:v>
      </x:c>
      <x:c r="M42" s="1" t="n">
        <x:v>0</x:v>
      </x:c>
      <x:c r="N42" s="1" t="n">
        <x:v>0</x:v>
      </x:c>
      <x:c r="O42" s="1" t="n">
        <x:v>0</x:v>
      </x:c>
      <x:c r="P42" s="1" t="n">
        <x:v>0</x:v>
      </x:c>
      <x:c r="Q42"/>
      <x:c r="R42" t="n">
        <x:f t="shared" si="1"/>
        <x:v>80</x:v>
      </x:c>
    </x:row>
    <x:row r="43" ht="33.75" customHeight="1">
      <x:c r="A43" s="1"/>
      <x:c r="B43" s="1" t="str">
        <x:v>item_flavor_enhance</x:v>
      </x:c>
      <x:c r="C43" s="1" t="str">
        <x:v>风味喷雾</x:v>
      </x:c>
      <x:c r="D43" s="8" t="str">
        <x:v>为2个食物添加随机风味</x:v>
      </x:c>
      <x:c r="E43" s="1" t="str">
        <x:v>Uncommon</x:v>
      </x:c>
      <x:c r="F43" s="1" t="str">
        <x:v>None</x:v>
      </x:c>
      <x:c r="G43" s="1" t="n">
        <x:v>2</x:v>
      </x:c>
      <x:c r="H43" s="1"/>
      <x:c r="I43" s="1" t="n">
        <x:v>100</x:v>
      </x:c>
      <x:c r="J43" s="1" t="str">
        <x:v>20,80</x:v>
      </x:c>
      <x:c r="K43" s="1" t="n">
        <x:v>0</x:v>
      </x:c>
      <x:c r="L43" s="1" t="n">
        <x:v>0</x:v>
      </x:c>
      <x:c r="M43" s="1" t="n">
        <x:v>0</x:v>
      </x:c>
      <x:c r="N43" s="1" t="n">
        <x:v>0</x:v>
      </x:c>
      <x:c r="O43" s="1" t="n">
        <x:v>0</x:v>
      </x:c>
      <x:c r="P43" s="1" t="n">
        <x:v>0</x:v>
      </x:c>
      <x:c r="Q43"/>
      <x:c r="R43" t="n">
        <x:f t="shared" si="1"/>
        <x:v>80</x:v>
      </x:c>
    </x:row>
    <x:row r="44" ht="33.75" customHeight="1">
      <x:c r="A44" s="1"/>
      <x:c r="B44" s="1" t="str">
        <x:v>item_flavor_remove_gold</x:v>
      </x:c>
      <x:c r="C44" s="1" t="str">
        <x:v>风味回收</x:v>
      </x:c>
      <x:c r="D44" s="8" t="str">
        <x:v>移除1个食物的风味
获得200金币</x:v>
      </x:c>
      <x:c r="E44" s="1" t="str">
        <x:v>Uncommon</x:v>
      </x:c>
      <x:c r="F44" s="1" t="str">
        <x:v>None</x:v>
      </x:c>
      <x:c r="G44" s="1" t="n">
        <x:v>200</x:v>
      </x:c>
      <x:c r="H44" s="1"/>
      <x:c r="I44" s="1" t="n">
        <x:v>100</x:v>
      </x:c>
      <x:c r="J44" s="1" t="str">
        <x:v>20,80</x:v>
      </x:c>
      <x:c r="K44" s="1" t="n">
        <x:v>0</x:v>
      </x:c>
      <x:c r="L44" s="1" t="n">
        <x:v>0</x:v>
      </x:c>
      <x:c r="M44" s="1" t="n">
        <x:v>0</x:v>
      </x:c>
      <x:c r="N44" s="1" t="n">
        <x:v>0</x:v>
      </x:c>
      <x:c r="O44" s="1" t="n">
        <x:v>0</x:v>
      </x:c>
      <x:c r="P44" s="1" t="n">
        <x:v>0</x:v>
      </x:c>
      <x:c r="Q44"/>
      <x:c r="R44" t="n">
        <x:f t="shared" si="1"/>
        <x:v>80</x:v>
      </x:c>
    </x:row>
    <x:row r="45" ht="33.75" customHeight="1">
      <x:c r="A45" s="1"/>
      <x:c r="B45" s="1" t="str">
        <x:v>item_flavor_remove_double</x:v>
      </x:c>
      <x:c r="C45" s="1" t="str">
        <x:v>风味浓缩</x:v>
      </x:c>
      <x:c r="D45" s="8" t="str">
        <x:v>移除1个食物的风味
其分数翻倍</x:v>
      </x:c>
      <x:c r="E45" s="1" t="str">
        <x:v>Uncommon</x:v>
      </x:c>
      <x:c r="F45" s="1" t="str">
        <x:v>None</x:v>
      </x:c>
      <x:c r="G45" s="1" t="n">
        <x:v>2</x:v>
      </x:c>
      <x:c r="H45" s="1"/>
      <x:c r="I45" s="1" t="n">
        <x:v>100</x:v>
      </x:c>
      <x:c r="J45" s="1" t="str">
        <x:v>20,80</x:v>
      </x:c>
      <x:c r="K45" s="1" t="n">
        <x:v>0</x:v>
      </x:c>
      <x:c r="L45" s="1" t="n">
        <x:v>0</x:v>
      </x:c>
      <x:c r="M45" s="1" t="n">
        <x:v>0</x:v>
      </x:c>
      <x:c r="N45" s="1" t="n">
        <x:v>0</x:v>
      </x:c>
      <x:c r="O45" s="1" t="n">
        <x:v>0</x:v>
      </x:c>
      <x:c r="P45" s="1" t="n">
        <x:v>0</x:v>
      </x:c>
      <x:c r="Q45"/>
      <x:c r="R45" t="n">
        <x:f t="shared" si="1"/>
        <x:v>80</x:v>
      </x:c>
    </x:row>
    <x:row r="46" ht="16.5" customHeight="1">
      <x:c r="A46" s="1"/>
      <x:c r="B46" s="1" t="str">
        <x:v>item_flavor_double_slot</x:v>
      </x:c>
      <x:c r="C46" s="1" t="str">
        <x:v>双重风味</x:v>
      </x:c>
      <x:c r="D46" s="1" t="str">
        <x:v>食物风味上限变为2</x:v>
      </x:c>
      <x:c r="E46" s="1" t="str">
        <x:v>Epic</x:v>
      </x:c>
      <x:c r="F46" s="1" t="str">
        <x:v>None</x:v>
      </x:c>
      <x:c r="G46" s="1" t="n">
        <x:v>1</x:v>
      </x:c>
      <x:c r="H46" s="1"/>
      <x:c r="I46" s="1" t="n">
        <x:v>10</x:v>
      </x:c>
      <x:c r="J46" s="1" t="str">
        <x:v>40,80</x:v>
      </x:c>
      <x:c r="K46" s="1" t="n">
        <x:v>0</x:v>
      </x:c>
      <x:c r="L46" s="1" t="n">
        <x:v>0</x:v>
      </x:c>
      <x:c r="M46" s="1" t="n">
        <x:v>0</x:v>
      </x:c>
      <x:c r="N46" s="1" t="n">
        <x:v>0</x:v>
      </x:c>
      <x:c r="O46" s="1" t="n">
        <x:v>0</x:v>
      </x:c>
      <x:c r="P46" s="1" t="n">
        <x:v>0</x:v>
      </x:c>
      <x:c r="Q46"/>
      <x:c r="R46" t="n">
        <x:f t="shared" si="1"/>
        <x:v>200</x:v>
      </x:c>
    </x:row>
    <x:row r="47" ht="33.75" customHeight="1">
      <x:c r="A47" s="1"/>
      <x:c r="B47" s="1" t="str">
        <x:v>item_flavor_contagion</x:v>
      </x:c>
      <x:c r="C47" s="1" t="str">
        <x:v>风味传染</x:v>
      </x:c>
      <x:c r="D47" s="8" t="str">
        <x:v>使1个食物
拥有菜谱中另1个食物的风味</x:v>
      </x:c>
      <x:c r="E47" s="1" t="str">
        <x:v>Uncommon</x:v>
      </x:c>
      <x:c r="F47" s="1" t="str">
        <x:v>None</x:v>
      </x:c>
      <x:c r="G47" s="1" t="n">
        <x:v>1</x:v>
      </x:c>
      <x:c r="H47" s="1"/>
      <x:c r="I47" s="1" t="n">
        <x:v>100</x:v>
      </x:c>
      <x:c r="J47" s="1" t="str">
        <x:v>20,80</x:v>
      </x:c>
      <x:c r="K47" s="1" t="n">
        <x:v>0</x:v>
      </x:c>
      <x:c r="L47" s="1" t="n">
        <x:v>0</x:v>
      </x:c>
      <x:c r="M47" s="1" t="n">
        <x:v>0</x:v>
      </x:c>
      <x:c r="N47" s="1" t="n">
        <x:v>0</x:v>
      </x:c>
      <x:c r="O47" s="1" t="n">
        <x:v>0</x:v>
      </x:c>
      <x:c r="P47" s="1" t="n">
        <x:v>0</x:v>
      </x:c>
      <x:c r="Q47"/>
      <x:c r="R47" t="n">
        <x:f t="shared" si="1"/>
        <x:v>80</x:v>
      </x:c>
    </x:row>
    <x:row r="48" ht="33.75" customHeight="1">
      <x:c r="A48" s="1"/>
      <x:c r="B48" s="1" t="str">
        <x:v>item_celltag_enhance</x:v>
      </x:c>
      <x:c r="C48" s="1" t="str">
        <x:v>标签强化</x:v>
      </x:c>
      <x:c r="D48" s="8" t="str">
        <x:v>为2个餐桌格子
强化随机材质</x:v>
      </x:c>
      <x:c r="E48" s="1" t="str">
        <x:v>Uncommon</x:v>
      </x:c>
      <x:c r="F48" s="1" t="str">
        <x:v>None</x:v>
      </x:c>
      <x:c r="G48" s="1" t="n">
        <x:v>2</x:v>
      </x:c>
      <x:c r="H48" s="1"/>
      <x:c r="I48" s="1" t="n">
        <x:v>100</x:v>
      </x:c>
      <x:c r="J48" s="1" t="str">
        <x:v>20,80</x:v>
      </x:c>
      <x:c r="K48" s="1" t="n">
        <x:v>0</x:v>
      </x:c>
      <x:c r="L48" s="1" t="n">
        <x:v>0</x:v>
      </x:c>
      <x:c r="M48" s="1" t="n">
        <x:v>0</x:v>
      </x:c>
      <x:c r="N48" s="1" t="n">
        <x:v>0</x:v>
      </x:c>
      <x:c r="O48" s="1" t="n">
        <x:v>0</x:v>
      </x:c>
      <x:c r="P48" s="1" t="n">
        <x:v>0</x:v>
      </x:c>
      <x:c r="Q48"/>
      <x:c r="R48" t="n">
        <x:f t="shared" si="1"/>
        <x:v>80</x:v>
      </x:c>
    </x:row>
    <x:row r="49" ht="16.5" customHeight="1">
      <x:c r="A49" s="1"/>
      <x:c r="B49" s="1" t="str">
        <x:v>item_celltag_contagion</x:v>
      </x:c>
      <x:c r="C49" s="1" t="str">
        <x:v>标签传染</x:v>
      </x:c>
      <x:c r="D49" s="1" t="str">
        <x:v>使1个格子
拥有另1个格子的材质</x:v>
      </x:c>
      <x:c r="E49" s="1" t="str">
        <x:v>Uncommon</x:v>
      </x:c>
      <x:c r="F49" s="1" t="str">
        <x:v>None</x:v>
      </x:c>
      <x:c r="G49" s="1" t="n">
        <x:v>1</x:v>
      </x:c>
      <x:c r="H49" s="1"/>
      <x:c r="I49" s="1" t="n">
        <x:v>100</x:v>
      </x:c>
      <x:c r="J49" s="1" t="str">
        <x:v>20,80</x:v>
      </x:c>
      <x:c r="K49" s="1" t="n">
        <x:v>0</x:v>
      </x:c>
      <x:c r="L49" s="1" t="n">
        <x:v>0</x:v>
      </x:c>
      <x:c r="M49" s="1" t="n">
        <x:v>0</x:v>
      </x:c>
      <x:c r="N49" s="1" t="n">
        <x:v>0</x:v>
      </x:c>
      <x:c r="O49" s="1" t="n">
        <x:v>0</x:v>
      </x:c>
      <x:c r="P49" s="1" t="n">
        <x:v>0</x:v>
      </x:c>
      <x:c r="Q49"/>
      <x:c r="R49" t="n">
        <x:f t="shared" si="1"/>
        <x:v>80</x:v>
      </x:c>
    </x:row>
    <x:row r="50" ht="33.75" customHeight="1">
      <x:c r="A50" s="1"/>
      <x:c r="B50" s="1" t="str">
        <x:v>item_lucky_guarantee</x:v>
      </x:c>
      <x:c r="C50" s="1" t="str">
        <x:v>好运连连</x:v>
      </x:c>
      <x:c r="D50" s="8" t="str">
        <x:v>经历4个事件后
下个事件一定为奖励</x:v>
      </x:c>
      <x:c r="E50" s="1" t="str">
        <x:v>Rare</x:v>
      </x:c>
      <x:c r="F50" s="1" t="str">
        <x:v>None</x:v>
      </x:c>
      <x:c r="G50" s="1" t="n">
        <x:v>4</x:v>
      </x:c>
      <x:c r="H50" s="1"/>
      <x:c r="I50" s="1" t="n">
        <x:v>30</x:v>
      </x:c>
      <x:c r="J50" s="1" t="str">
        <x:v>30,80</x:v>
      </x:c>
      <x:c r="K50" s="1" t="n">
        <x:v>0</x:v>
      </x:c>
      <x:c r="L50" s="1" t="n">
        <x:v>0</x:v>
      </x:c>
      <x:c r="M50" s="1" t="n">
        <x:v>0</x:v>
      </x:c>
      <x:c r="N50" s="1" t="n">
        <x:v>0</x:v>
      </x:c>
      <x:c r="O50" s="1" t="n">
        <x:v>0</x:v>
      </x:c>
      <x:c r="P50" s="1" t="n">
        <x:v>0</x:v>
      </x:c>
      <x:c r="Q50"/>
      <x:c r="R50" t="n">
        <x:f t="shared" si="1"/>
        <x:v>120</x:v>
      </x:c>
    </x:row>
    <x:row r="51" ht="33.75" customHeight="1">
      <x:c r="A51" s="1"/>
      <x:c r="B51" s="1" t="str">
        <x:v>item_lucky_chance</x:v>
      </x:c>
      <x:c r="C51" s="1" t="str">
        <x:v>幸运符</x:v>
      </x:c>
      <x:c r="D51" s="8" t="str">
        <x:v>更容易在事件中遇到奖励</x:v>
      </x:c>
      <x:c r="E51" s="1" t="str">
        <x:v>Rare</x:v>
      </x:c>
      <x:c r="F51" s="1" t="str">
        <x:v>None</x:v>
      </x:c>
      <x:c r="G51" s="1" t="n">
        <x:v>0.2</x:v>
      </x:c>
      <x:c r="H51" s="1"/>
      <x:c r="I51" s="1" t="n">
        <x:v>30</x:v>
      </x:c>
      <x:c r="J51" s="1" t="str">
        <x:v>30,80</x:v>
      </x:c>
      <x:c r="K51" s="1" t="n">
        <x:v>0</x:v>
      </x:c>
      <x:c r="L51" s="1" t="n">
        <x:v>0</x:v>
      </x:c>
      <x:c r="M51" s="1" t="n">
        <x:v>0</x:v>
      </x:c>
      <x:c r="N51" s="1" t="n">
        <x:v>0</x:v>
      </x:c>
      <x:c r="O51" s="1" t="n">
        <x:v>0</x:v>
      </x:c>
      <x:c r="P51" s="1" t="n">
        <x:v>0</x:v>
      </x:c>
      <x:c r="Q51"/>
      <x:c r="R51" t="n">
        <x:f t="shared" si="1"/>
        <x:v>120</x:v>
      </x:c>
    </x:row>
    <x:row r="52" ht="16.5" customHeight="1">
      <x:c r="A52" s="1"/>
      <x:c r="B52" s="1" t="str">
        <x:v>item_more_events</x:v>
      </x:c>
      <x:c r="C52" s="1" t="str">
        <x:v>热闹街区</x:v>
      </x:c>
      <x:c r="D52" s="1" t="str">
        <x:v>更容易遇到事件</x:v>
      </x:c>
      <x:c r="E52" s="1" t="str">
        <x:v>Common</x:v>
      </x:c>
      <x:c r="F52" s="1" t="str">
        <x:v>None</x:v>
      </x:c>
      <x:c r="G52" s="1" t="n">
        <x:v>0.2</x:v>
      </x:c>
      <x:c r="H52" s="1"/>
      <x:c r="I52" s="1" t="n">
        <x:v>300</x:v>
      </x:c>
      <x:c r="J52" s="1" t="str">
        <x:v>10,80</x:v>
      </x:c>
      <x:c r="K52" s="1" t="n">
        <x:v>0</x:v>
      </x:c>
      <x:c r="L52" s="1" t="n">
        <x:v>0</x:v>
      </x:c>
      <x:c r="M52" s="1" t="n">
        <x:v>0</x:v>
      </x:c>
      <x:c r="N52" s="1" t="n">
        <x:v>0</x:v>
      </x:c>
      <x:c r="O52" s="1" t="n">
        <x:v>0</x:v>
      </x:c>
      <x:c r="P52" s="1" t="n">
        <x:v>0</x:v>
      </x:c>
      <x:c r="Q52"/>
      <x:c r="R52" t="n">
        <x:f t="shared" si="1"/>
        <x:v>50</x:v>
      </x:c>
    </x:row>
    <x:row r="53" ht="33.75" customHeight="1">
      <x:c r="A53" s="1"/>
      <x:c r="B53" s="1" t="str">
        <x:v>item_gold_on_event</x:v>
      </x:c>
      <x:c r="C53" s="1" t="str">
        <x:v>事件红包</x:v>
      </x:c>
      <x:c r="D53" s="8" t="str">
        <x:v>经历1个事件
获得10金币</x:v>
      </x:c>
      <x:c r="E53" s="1" t="str">
        <x:v>Common</x:v>
      </x:c>
      <x:c r="F53" s="1" t="str">
        <x:v>None</x:v>
      </x:c>
      <x:c r="G53" s="1" t="n">
        <x:v>10</x:v>
      </x:c>
      <x:c r="H53" s="1"/>
      <x:c r="I53" s="1" t="n">
        <x:v>300</x:v>
      </x:c>
      <x:c r="J53" s="1" t="str">
        <x:v>10,80</x:v>
      </x:c>
      <x:c r="K53" s="1" t="n">
        <x:v>0</x:v>
      </x:c>
      <x:c r="L53" s="1" t="n">
        <x:v>0</x:v>
      </x:c>
      <x:c r="M53" s="1" t="n">
        <x:v>0</x:v>
      </x:c>
      <x:c r="N53" s="1" t="n">
        <x:v>0</x:v>
      </x:c>
      <x:c r="O53" s="1" t="n">
        <x:v>0</x:v>
      </x:c>
      <x:c r="P53" s="1" t="n">
        <x:v>0</x:v>
      </x:c>
      <x:c r="Q53"/>
      <x:c r="R53" t="n">
        <x:f t="shared" si="1"/>
        <x:v>50</x:v>
      </x:c>
    </x:row>
    <x:row r="54" ht="33.75" customHeight="1">
      <x:c r="A54" s="1"/>
      <x:c r="B54" s="1" t="str">
        <x:v>item_shop_restock</x:v>
      </x:c>
      <x:c r="C54" s="1" t="str">
        <x:v>自动补货</x:v>
      </x:c>
      <x:c r="D54" s="8" t="str">
        <x:v>商店会自动补货</x:v>
      </x:c>
      <x:c r="E54" s="1" t="str">
        <x:v>Rare</x:v>
      </x:c>
      <x:c r="F54" s="1" t="str">
        <x:v>None</x:v>
      </x:c>
      <x:c r="G54" s="1" t="n">
        <x:v>0</x:v>
      </x:c>
      <x:c r="H54" s="1"/>
      <x:c r="I54" s="1" t="n">
        <x:v>30</x:v>
      </x:c>
      <x:c r="J54" s="1" t="str">
        <x:v>30,80</x:v>
      </x:c>
      <x:c r="K54" s="1" t="n">
        <x:v>0</x:v>
      </x:c>
      <x:c r="L54" s="1" t="n">
        <x:v>0</x:v>
      </x:c>
      <x:c r="M54" s="1" t="n">
        <x:v>0</x:v>
      </x:c>
      <x:c r="N54" s="1" t="n">
        <x:v>0</x:v>
      </x:c>
      <x:c r="O54" s="1" t="n">
        <x:v>0</x:v>
      </x:c>
      <x:c r="P54" s="1" t="n">
        <x:v>0</x:v>
      </x:c>
      <x:c r="Q54"/>
      <x:c r="R54" t="n">
        <x:f t="shared" si="1"/>
        <x:v>120</x:v>
      </x:c>
    </x:row>
    <x:row r="55" ht="33.75" customHeight="1">
      <x:c r="A55" s="1"/>
      <x:c r="B55" s="1" t="str">
        <x:v>item_choice_count_plus1</x:v>
      </x:c>
      <x:c r="C55" s="1" t="str">
        <x:v>琳琅满目</x:v>
      </x:c>
      <x:c r="D55" s="8" t="str">
        <x:v>选择食物时
可选数量+1</x:v>
      </x:c>
      <x:c r="E55" s="1" t="str">
        <x:v>Uncommon</x:v>
      </x:c>
      <x:c r="F55" s="1" t="str">
        <x:v>None</x:v>
      </x:c>
      <x:c r="G55" s="1" t="n">
        <x:v>1</x:v>
      </x:c>
      <x:c r="H55" s="1"/>
      <x:c r="I55" s="1" t="n">
        <x:v>100</x:v>
      </x:c>
      <x:c r="J55" s="1" t="str">
        <x:v>20,80</x:v>
      </x:c>
      <x:c r="K55" s="1" t="n">
        <x:v>0</x:v>
      </x:c>
      <x:c r="L55" s="1" t="n">
        <x:v>0</x:v>
      </x:c>
      <x:c r="M55" s="1" t="n">
        <x:v>0</x:v>
      </x:c>
      <x:c r="N55" s="1" t="n">
        <x:v>0</x:v>
      </x:c>
      <x:c r="O55" s="1" t="n">
        <x:v>0</x:v>
      </x:c>
      <x:c r="P55" s="1" t="n">
        <x:v>0</x:v>
      </x:c>
      <x:c r="Q55"/>
      <x:c r="R55" t="n">
        <x:f t="shared" si="1"/>
        <x:v>80</x:v>
      </x:c>
    </x:row>
    <x:row r="56" ht="33.75" customHeight="1">
      <x:c r="A56" s="1"/>
      <x:c r="B56" s="1" t="str">
        <x:v>item_choice_times_plus1</x:v>
      </x:c>
      <x:c r="C56" s="1" t="str">
        <x:v>细嚼慢咽</x:v>
      </x:c>
      <x:c r="D56" s="8" t="str">
        <x:v>选择食物时
可选次数+1，可选数量-1</x:v>
      </x:c>
      <x:c r="E56" s="1" t="str">
        <x:v>Rare</x:v>
      </x:c>
      <x:c r="F56" s="1" t="str">
        <x:v>None</x:v>
      </x:c>
      <x:c r="G56" s="1" t="n">
        <x:v>1</x:v>
      </x:c>
      <x:c r="H56" s="1"/>
      <x:c r="I56" s="1" t="n">
        <x:v>30</x:v>
      </x:c>
      <x:c r="J56" s="1" t="str">
        <x:v>30,80</x:v>
      </x:c>
      <x:c r="K56" s="1" t="n">
        <x:v>0</x:v>
      </x:c>
      <x:c r="L56" s="1" t="n">
        <x:v>0</x:v>
      </x:c>
      <x:c r="M56" s="1" t="n">
        <x:v>0</x:v>
      </x:c>
      <x:c r="N56" s="1" t="n">
        <x:v>0</x:v>
      </x:c>
      <x:c r="O56" s="1" t="n">
        <x:v>0</x:v>
      </x:c>
      <x:c r="P56" s="1" t="n">
        <x:v>0</x:v>
      </x:c>
      <x:c r="Q56"/>
      <x:c r="R56" t="n">
        <x:f t="shared" si="1"/>
        <x:v>120</x:v>
      </x:c>
    </x:row>
    <x:row r="57" ht="16.5" customHeight="1">
      <x:c r="A57" s="1"/>
      <x:c r="B57" s="1" t="str">
        <x:v>item_extra_food_choice</x:v>
      </x:c>
      <x:c r="C57" s="1" t="str">
        <x:v>加餐</x:v>
      </x:c>
      <x:c r="D57" s="1" t="str">
        <x:v>每6次普通美食
额外获得3选一美食</x:v>
      </x:c>
      <x:c r="E57" s="1" t="str">
        <x:v>Uncommon</x:v>
      </x:c>
      <x:c r="F57" s="1" t="str">
        <x:v>None</x:v>
      </x:c>
      <x:c r="G57" s="1" t="n">
        <x:v>0</x:v>
      </x:c>
      <x:c r="H57" s="1" t="str">
        <x:v>every:6</x:v>
      </x:c>
      <x:c r="I57" s="1" t="n">
        <x:v>100</x:v>
      </x:c>
      <x:c r="J57" s="1" t="str">
        <x:v>20,80</x:v>
      </x:c>
      <x:c r="K57" s="1" t="n">
        <x:v>0</x:v>
      </x:c>
      <x:c r="L57" s="1" t="n">
        <x:v>0</x:v>
      </x:c>
      <x:c r="M57" s="1" t="n">
        <x:v>0</x:v>
      </x:c>
      <x:c r="N57" s="1" t="n">
        <x:v>0</x:v>
      </x:c>
      <x:c r="O57" s="1" t="n">
        <x:v>0</x:v>
      </x:c>
      <x:c r="P57" s="1" t="n">
        <x:v>0</x:v>
      </x:c>
      <x:c r="Q57"/>
      <x:c r="R57" t="n">
        <x:f t="shared" si="1"/>
        <x:v>80</x:v>
      </x:c>
    </x:row>
    <x:row r="58" ht="16.5" customHeight="1">
      <x:c r="A58" s="1"/>
      <x:c r="B58" s="1" t="str">
        <x:v>item_extra_item_choice</x:v>
      </x:c>
      <x:c r="C58" s="1" t="str">
        <x:v>加料</x:v>
      </x:c>
      <x:c r="D58" s="1" t="str">
        <x:v>每4次超级美食
额外获得多选一道具</x:v>
      </x:c>
      <x:c r="E58" s="1" t="str">
        <x:v>Uncommon</x:v>
      </x:c>
      <x:c r="F58" s="1" t="str">
        <x:v>None</x:v>
      </x:c>
      <x:c r="G58" s="1" t="n">
        <x:v>0</x:v>
      </x:c>
      <x:c r="H58" s="1" t="str">
        <x:v>every:4</x:v>
      </x:c>
      <x:c r="I58" s="1" t="n">
        <x:v>100</x:v>
      </x:c>
      <x:c r="J58" s="1" t="str">
        <x:v>20,80</x:v>
      </x:c>
      <x:c r="K58" s="1" t="n">
        <x:v>0</x:v>
      </x:c>
      <x:c r="L58" s="1" t="n">
        <x:v>0</x:v>
      </x:c>
      <x:c r="M58" s="1" t="n">
        <x:v>0</x:v>
      </x:c>
      <x:c r="N58" s="1" t="n">
        <x:v>0</x:v>
      </x:c>
      <x:c r="O58" s="1" t="n">
        <x:v>0</x:v>
      </x:c>
      <x:c r="P58" s="1" t="n">
        <x:v>0</x:v>
      </x:c>
      <x:c r="Q58"/>
      <x:c r="R58" t="n">
        <x:f t="shared" si="1"/>
        <x:v>80</x:v>
      </x:c>
    </x:row>
    <x:row r="59" ht="33.75" customHeight="1">
      <x:c r="A59" s="1"/>
      <x:c r="B59" s="1" t="str">
        <x:v>item_copy_food</x:v>
      </x:c>
      <x:c r="C59" s="1" t="str">
        <x:v>复制美食</x:v>
      </x:c>
      <x:c r="D59" s="8" t="str">
        <x:v>随机复制一个食物</x:v>
      </x:c>
      <x:c r="E59" s="1" t="str">
        <x:v>Uncommon</x:v>
      </x:c>
      <x:c r="F59" s="1" t="str">
        <x:v>None</x:v>
      </x:c>
      <x:c r="G59" s="1" t="n">
        <x:v>1</x:v>
      </x:c>
      <x:c r="H59" s="1"/>
      <x:c r="I59" s="1" t="n">
        <x:v>100</x:v>
      </x:c>
      <x:c r="J59" s="1" t="str">
        <x:v>20,80</x:v>
      </x:c>
      <x:c r="K59" s="1" t="n">
        <x:v>0</x:v>
      </x:c>
      <x:c r="L59" s="1" t="n">
        <x:v>0</x:v>
      </x:c>
      <x:c r="M59" s="1" t="n">
        <x:v>0</x:v>
      </x:c>
      <x:c r="N59" s="1" t="n">
        <x:v>0</x:v>
      </x:c>
      <x:c r="O59" s="1" t="n">
        <x:v>0</x:v>
      </x:c>
      <x:c r="P59" s="1" t="n">
        <x:v>0</x:v>
      </x:c>
      <x:c r="Q59"/>
      <x:c r="R59" t="n">
        <x:f t="shared" si="1"/>
        <x:v>80</x:v>
      </x:c>
    </x:row>
    <x:row r="60" ht="16.5" customHeight="1">
      <x:c r="A60" s="1"/>
      <x:c r="B60" s="1" t="str">
        <x:v>item_discard_negative</x:v>
      </x:c>
      <x:c r="C60" s="1" t="str">
        <x:v>断舍离</x:v>
      </x:c>
      <x:c r="D60" s="1" t="str">
        <x:v>丢弃两个负面道具</x:v>
      </x:c>
      <x:c r="E60" s="1" t="str">
        <x:v>Common</x:v>
      </x:c>
      <x:c r="F60" s="1" t="str">
        <x:v>None</x:v>
      </x:c>
      <x:c r="G60" s="1" t="n">
        <x:v>2</x:v>
      </x:c>
      <x:c r="H60" s="1"/>
      <x:c r="I60" s="1" t="n">
        <x:v>300</x:v>
      </x:c>
      <x:c r="J60" s="1" t="str">
        <x:v>10,80</x:v>
      </x:c>
      <x:c r="K60" s="1" t="n">
        <x:v>0</x:v>
      </x:c>
      <x:c r="L60" s="1" t="n">
        <x:v>0</x:v>
      </x:c>
      <x:c r="M60" s="1" t="n">
        <x:v>0</x:v>
      </x:c>
      <x:c r="N60" s="1" t="n">
        <x:v>0</x:v>
      </x:c>
      <x:c r="O60" s="1" t="n">
        <x:v>0</x:v>
      </x:c>
      <x:c r="P60" s="1" t="n">
        <x:v>0</x:v>
      </x:c>
      <x:c r="Q60"/>
      <x:c r="R60" t="n">
        <x:f t="shared" si="1"/>
        <x:v>50</x:v>
      </x:c>
    </x:row>
    <x:row r="61" ht="33.75" customHeight="1">
      <x:c r="A61" s="1"/>
      <x:c r="B61" s="1" t="str">
        <x:v>item_discard_negative_gold</x:v>
      </x:c>
      <x:c r="C61" s="1" t="str">
        <x:v>变废为宝</x:v>
      </x:c>
      <x:c r="D61" s="8" t="str">
        <x:v>丢弃所有负面道具
每丢弃一个获得100金币</x:v>
      </x:c>
      <x:c r="E61" s="1" t="str">
        <x:v>Uncommon</x:v>
      </x:c>
      <x:c r="F61" s="1" t="str">
        <x:v>None</x:v>
      </x:c>
      <x:c r="G61" s="1" t="n">
        <x:v>100</x:v>
      </x:c>
      <x:c r="H61" s="1"/>
      <x:c r="I61" s="1" t="n">
        <x:v>100</x:v>
      </x:c>
      <x:c r="J61" s="1" t="str">
        <x:v>20,80</x:v>
      </x:c>
      <x:c r="K61" s="1" t="n">
        <x:v>0</x:v>
      </x:c>
      <x:c r="L61" s="1" t="n">
        <x:v>0</x:v>
      </x:c>
      <x:c r="M61" s="1" t="n">
        <x:v>0</x:v>
      </x:c>
      <x:c r="N61" s="1" t="n">
        <x:v>0</x:v>
      </x:c>
      <x:c r="O61" s="1" t="n">
        <x:v>0</x:v>
      </x:c>
      <x:c r="P61" s="1" t="n">
        <x:v>0</x:v>
      </x:c>
      <x:c r="Q61"/>
      <x:c r="R61" t="n">
        <x:f t="shared" si="1"/>
        <x:v>80</x:v>
      </x:c>
    </x:row>
    <x:row r="62" ht="33.75" customHeight="1">
      <x:c r="A62" s="1"/>
      <x:c r="B62" s="1" t="str">
        <x:v>item_gold_meal_penalty</x:v>
      </x:c>
      <x:c r="C62" s="1" t="str">
        <x:v>克扣工钱</x:v>
      </x:c>
      <x:c r="D62" s="8" t="str">
        <x:v>美食获得的金币-20%</x:v>
      </x:c>
      <x:c r="E62" s="1" t="str">
        <x:v>Common</x:v>
      </x:c>
      <x:c r="F62" s="1" t="str">
        <x:v>Negative</x:v>
      </x:c>
      <x:c r="G62" s="1" t="n">
        <x:v>-0.2</x:v>
      </x:c>
      <x:c r="H62" s="1"/>
      <x:c r="I62" s="1" t="n">
        <x:v>300</x:v>
      </x:c>
      <x:c r="J62" s="1" t="str">
        <x:v>10,80</x:v>
      </x:c>
      <x:c r="K62" s="1" t="n">
        <x:v>0</x:v>
      </x:c>
      <x:c r="L62" s="1" t="n">
        <x:v>0</x:v>
      </x:c>
      <x:c r="M62" s="1" t="n">
        <x:v>0</x:v>
      </x:c>
      <x:c r="N62" s="1" t="n">
        <x:v>0</x:v>
      </x:c>
      <x:c r="O62" s="1" t="n">
        <x:v>0</x:v>
      </x:c>
      <x:c r="P62" s="1" t="n">
        <x:v>0</x:v>
      </x:c>
      <x:c r="Q62"/>
      <x:c r="R62" t="n">
        <x:f t="shared" si="1"/>
        <x:v>50</x:v>
      </x:c>
    </x:row>
    <x:row r="63" ht="33.75" customHeight="1">
      <x:c r="A63" s="1"/>
      <x:c r="B63" s="1" t="str">
        <x:v>item_shop_price_up</x:v>
      </x:c>
      <x:c r="C63" s="1" t="str">
        <x:v>涨价</x:v>
      </x:c>
      <x:c r="D63" s="8" t="str">
        <x:v>商店的价格+20%</x:v>
      </x:c>
      <x:c r="E63" s="1" t="str">
        <x:v>Common</x:v>
      </x:c>
      <x:c r="F63" s="1" t="str">
        <x:v>Negative</x:v>
      </x:c>
      <x:c r="G63" s="1" t="n">
        <x:v>0.2</x:v>
      </x:c>
      <x:c r="H63" s="1"/>
      <x:c r="I63" s="1" t="n">
        <x:v>300</x:v>
      </x:c>
      <x:c r="J63" s="1" t="str">
        <x:v>10,80</x:v>
      </x:c>
      <x:c r="K63" s="1" t="n">
        <x:v>0</x:v>
      </x:c>
      <x:c r="L63" s="1" t="n">
        <x:v>0</x:v>
      </x:c>
      <x:c r="M63" s="1" t="n">
        <x:v>0</x:v>
      </x:c>
      <x:c r="N63" s="1" t="n">
        <x:v>0</x:v>
      </x:c>
      <x:c r="O63" s="1" t="n">
        <x:v>0</x:v>
      </x:c>
      <x:c r="P63" s="1" t="n">
        <x:v>0</x:v>
      </x:c>
      <x:c r="Q63"/>
      <x:c r="R63" t="n">
        <x:f t="shared" si="1"/>
        <x:v>50</x:v>
      </x:c>
    </x:row>
    <x:row r="64" ht="33.75" customHeight="1">
      <x:c r="A64" s="1"/>
      <x:c r="B64" s="1" t="str">
        <x:v>item_no_remove</x:v>
      </x:c>
      <x:c r="C64" s="1" t="str">
        <x:v>囤积癖</x:v>
      </x:c>
      <x:c r="D64" s="8" t="str">
        <x:v>无法再删除食物</x:v>
      </x:c>
      <x:c r="E64" s="1" t="str">
        <x:v>Common</x:v>
      </x:c>
      <x:c r="F64" s="1" t="str">
        <x:v>Negative</x:v>
      </x:c>
      <x:c r="G64" s="1" t="n">
        <x:v>0</x:v>
      </x:c>
      <x:c r="H64" s="1"/>
      <x:c r="I64" s="1" t="n">
        <x:v>300</x:v>
      </x:c>
      <x:c r="J64" s="1" t="str">
        <x:v>10,80</x:v>
      </x:c>
      <x:c r="K64" s="1" t="n">
        <x:v>0</x:v>
      </x:c>
      <x:c r="L64" s="1" t="n">
        <x:v>0</x:v>
      </x:c>
      <x:c r="M64" s="1" t="n">
        <x:v>0</x:v>
      </x:c>
      <x:c r="N64" s="1" t="n">
        <x:v>0</x:v>
      </x:c>
      <x:c r="O64" s="1" t="n">
        <x:v>0</x:v>
      </x:c>
      <x:c r="P64" s="1" t="n">
        <x:v>0</x:v>
      </x:c>
      <x:c r="Q64"/>
      <x:c r="R64" t="n">
        <x:f t="shared" si="1"/>
        <x:v>50</x:v>
      </x:c>
    </x:row>
    <x:row r="65" ht="16.5" customHeight="1">
      <x:c r="A65" s="1"/>
      <x:c r="B65" s="1" t="str">
        <x:v>item_skip_node</x:v>
      </x:c>
      <x:c r="C65" s="1" t="str">
        <x:v>停业整顿</x:v>
      </x:c>
      <x:c r="D65" s="1" t="str">
        <x:v>跳过下一个商店或利息节点</x:v>
      </x:c>
      <x:c r="E65" s="1" t="str">
        <x:v>Common</x:v>
      </x:c>
      <x:c r="F65" s="1" t="str">
        <x:v>Negative</x:v>
      </x:c>
      <x:c r="G65" s="1" t="n">
        <x:v>1</x:v>
      </x:c>
      <x:c r="H65" s="1"/>
      <x:c r="I65" s="1" t="n">
        <x:v>300</x:v>
      </x:c>
      <x:c r="J65" s="1" t="str">
        <x:v>10,80</x:v>
      </x:c>
      <x:c r="K65" s="1" t="n">
        <x:v>0</x:v>
      </x:c>
      <x:c r="L65" s="1" t="n">
        <x:v>0</x:v>
      </x:c>
      <x:c r="M65" s="1" t="n">
        <x:v>0</x:v>
      </x:c>
      <x:c r="N65" s="1" t="n">
        <x:v>0</x:v>
      </x:c>
      <x:c r="O65" s="1" t="n">
        <x:v>0</x:v>
      </x:c>
      <x:c r="P65" s="1" t="n">
        <x:v>0</x:v>
      </x:c>
      <x:c r="Q65"/>
      <x:c r="R65" t="n">
        <x:f t="shared" si="1"/>
        <x:v>50</x:v>
      </x:c>
    </x:row>
    <x:row r="66" ht="16.5" customHeight="1">
      <x:c r="A66" s="1"/>
      <x:c r="B66" s="1" t="str">
        <x:v>item_choice_minus1</x:v>
      </x:c>
      <x:c r="C66" s="1" t="str">
        <x:v>选择困难</x:v>
      </x:c>
      <x:c r="D66" s="1" t="str">
        <x:v>多选一食物时
可选数量-1</x:v>
      </x:c>
      <x:c r="E66" s="1" t="str">
        <x:v>Common</x:v>
      </x:c>
      <x:c r="F66" s="1" t="str">
        <x:v>Negative</x:v>
      </x:c>
      <x:c r="G66" s="1" t="n">
        <x:v>-1</x:v>
      </x:c>
      <x:c r="H66" s="1"/>
      <x:c r="I66" s="1" t="n">
        <x:v>300</x:v>
      </x:c>
      <x:c r="J66" s="1" t="str">
        <x:v>10,80</x:v>
      </x:c>
      <x:c r="K66" s="1" t="n">
        <x:v>0</x:v>
      </x:c>
      <x:c r="L66" s="1" t="n">
        <x:v>0</x:v>
      </x:c>
      <x:c r="M66" s="1" t="n">
        <x:v>0</x:v>
      </x:c>
      <x:c r="N66" s="1" t="n">
        <x:v>0</x:v>
      </x:c>
      <x:c r="O66" s="1" t="n">
        <x:v>0</x:v>
      </x:c>
      <x:c r="P66" s="1" t="n">
        <x:v>0</x:v>
      </x:c>
      <x:c r="Q66"/>
      <x:c r="R66" t="n">
        <x:f t="shared" si="1"/>
        <x:v>50</x:v>
      </x:c>
    </x:row>
    <x:row r="67" ht="33.75" customHeight="1">
      <x:c r="A67" s="1"/>
      <x:c r="B67" s="1" t="str">
        <x:v>item_req_normal_up</x:v>
      </x:c>
      <x:c r="C67" s="1" t="str">
        <x:v>家常加码</x:v>
      </x:c>
      <x:c r="D67" s="8" t="str">
        <x:v>普通美食要求分数+20%</x:v>
      </x:c>
      <x:c r="E67" s="1" t="str">
        <x:v>Common</x:v>
      </x:c>
      <x:c r="F67" s="1" t="str">
        <x:v>Negative</x:v>
      </x:c>
      <x:c r="G67" s="1" t="n">
        <x:v>0.2</x:v>
      </x:c>
      <x:c r="H67" s="1"/>
      <x:c r="I67" s="1" t="n">
        <x:v>300</x:v>
      </x:c>
      <x:c r="J67" s="1" t="str">
        <x:v>10,80</x:v>
      </x:c>
      <x:c r="K67" s="1" t="n">
        <x:v>0</x:v>
      </x:c>
      <x:c r="L67" s="1" t="n">
        <x:v>0</x:v>
      </x:c>
      <x:c r="M67" s="1" t="n">
        <x:v>0</x:v>
      </x:c>
      <x:c r="N67" s="1" t="n">
        <x:v>0</x:v>
      </x:c>
      <x:c r="O67" s="1" t="n">
        <x:v>0</x:v>
      </x:c>
      <x:c r="P67" s="1" t="n">
        <x:v>0</x:v>
      </x:c>
      <x:c r="Q67"/>
      <x:c r="R67" t="n">
        <x:f t="shared" si="1"/>
        <x:v>50</x:v>
      </x:c>
    </x:row>
    <x:row r="68" ht="16.5" customHeight="1">
      <x:c r="A68" s="1"/>
      <x:c r="B68" s="1" t="str">
        <x:v>item_req_super_up</x:v>
      </x:c>
      <x:c r="C68" s="1" t="str">
        <x:v>超级加码</x:v>
      </x:c>
      <x:c r="D68" s="1" t="str">
        <x:v>超级美食要求分数+15%</x:v>
      </x:c>
      <x:c r="E68" s="1" t="str">
        <x:v>Common</x:v>
      </x:c>
      <x:c r="F68" s="1" t="str">
        <x:v>Negative</x:v>
      </x:c>
      <x:c r="G68" s="1" t="n">
        <x:v>0.15</x:v>
      </x:c>
      <x:c r="H68" s="1"/>
      <x:c r="I68" s="1" t="n">
        <x:v>300</x:v>
      </x:c>
      <x:c r="J68" s="1" t="str">
        <x:v>10,80</x:v>
      </x:c>
      <x:c r="K68" s="1" t="n">
        <x:v>0</x:v>
      </x:c>
      <x:c r="L68" s="1" t="n">
        <x:v>0</x:v>
      </x:c>
      <x:c r="M68" s="1" t="n">
        <x:v>0</x:v>
      </x:c>
      <x:c r="N68" s="1" t="n">
        <x:v>0</x:v>
      </x:c>
      <x:c r="O68" s="1" t="n">
        <x:v>0</x:v>
      </x:c>
      <x:c r="P68" s="1" t="n">
        <x:v>0</x:v>
      </x:c>
      <x:c r="Q68"/>
      <x:c r="R68" t="n">
        <x:f t="shared" si="1"/>
        <x:v>50</x:v>
      </x:c>
    </x:row>
    <x:row r="69" ht="16.5" customHeight="1">
      <x:c r="A69" s="1"/>
      <x:c r="B69" s="1" t="str">
        <x:v>item_req_feast_up</x:v>
      </x:c>
      <x:c r="C69" s="1" t="str">
        <x:v>盛宴加码</x:v>
      </x:c>
      <x:c r="D69" s="1" t="str">
        <x:v>盛宴美食要求分数+15%</x:v>
      </x:c>
      <x:c r="E69" s="1" t="str">
        <x:v>Common</x:v>
      </x:c>
      <x:c r="F69" s="1" t="str">
        <x:v>Negative</x:v>
      </x:c>
      <x:c r="G69" s="1" t="n">
        <x:v>0.15</x:v>
      </x:c>
      <x:c r="H69" s="1"/>
      <x:c r="I69" s="1" t="n">
        <x:v>300</x:v>
      </x:c>
      <x:c r="J69" s="1" t="str">
        <x:v>10,80</x:v>
      </x:c>
      <x:c r="K69" s="1" t="n">
        <x:v>0</x:v>
      </x:c>
      <x:c r="L69" s="1" t="n">
        <x:v>0</x:v>
      </x:c>
      <x:c r="M69" s="1" t="n">
        <x:v>0</x:v>
      </x:c>
      <x:c r="N69" s="1" t="n">
        <x:v>0</x:v>
      </x:c>
      <x:c r="O69" s="1" t="n">
        <x:v>0</x:v>
      </x:c>
      <x:c r="P69" s="1" t="n">
        <x:v>0</x:v>
      </x:c>
      <x:c r="Q69"/>
      <x:c r="R69" t="n">
        <x:f t="shared" ref="R69:R86" si="2">VLOOKUP(E69,$T$10:$AB$13,9,FALSE)</x:f>
        <x:v>50</x:v>
      </x:c>
    </x:row>
    <x:row r="70" ht="16.5" customHeight="1">
      <x:c r="A70" s="1"/>
      <x:c r="B70" s="1" t="str">
        <x:v>item_gold_week_clear</x:v>
      </x:c>
      <x:c r="C70" s="1" t="str">
        <x:v>月光族</x:v>
      </x:c>
      <x:c r="D70" s="1" t="str">
        <x:v>本周结束时金币清空</x:v>
      </x:c>
      <x:c r="E70" s="1" t="str">
        <x:v>Common</x:v>
      </x:c>
      <x:c r="F70" s="1" t="str">
        <x:v>Negative</x:v>
      </x:c>
      <x:c r="G70" s="1" t="n">
        <x:v>0</x:v>
      </x:c>
      <x:c r="H70" s="1"/>
      <x:c r="I70" s="1" t="n">
        <x:v>300</x:v>
      </x:c>
      <x:c r="J70" s="1" t="str">
        <x:v>10,80</x:v>
      </x:c>
      <x:c r="K70" s="1" t="n">
        <x:v>0</x:v>
      </x:c>
      <x:c r="L70" s="1" t="n">
        <x:v>0</x:v>
      </x:c>
      <x:c r="M70" s="1" t="n">
        <x:v>0</x:v>
      </x:c>
      <x:c r="N70" s="1" t="n">
        <x:v>0</x:v>
      </x:c>
      <x:c r="O70" s="1" t="n">
        <x:v>0</x:v>
      </x:c>
      <x:c r="P70" s="1" t="n">
        <x:v>0</x:v>
      </x:c>
      <x:c r="Q70"/>
      <x:c r="R70" t="n">
        <x:f t="shared" si="2"/>
        <x:v>50</x:v>
      </x:c>
    </x:row>
    <x:row r="71" ht="16.5" customHeight="1">
      <x:c r="A71" s="1"/>
      <x:c r="B71" s="1" t="str">
        <x:v>item_count_as_all</x:v>
      </x:c>
      <x:c r="C71" s="1" t="str">
        <x:v>小份主义</x:v>
      </x:c>
      <x:c r="D71" s="1" t="str">
        <x:v>所有食物额外被视为2个食物</x:v>
      </x:c>
      <x:c r="E71" s="1" t="str">
        <x:v>Epic</x:v>
      </x:c>
      <x:c r="F71" s="1" t="str">
        <x:v>None</x:v>
      </x:c>
      <x:c r="G71" s="1" t="n">
        <x:v>2</x:v>
      </x:c>
      <x:c r="H71" s="1"/>
      <x:c r="I71" s="1" t="n">
        <x:v>10</x:v>
      </x:c>
      <x:c r="J71" s="1" t="str">
        <x:v>40,80</x:v>
      </x:c>
      <x:c r="K71" s="1" t="n">
        <x:v>0</x:v>
      </x:c>
      <x:c r="L71" s="1" t="n">
        <x:v>0</x:v>
      </x:c>
      <x:c r="M71" s="1" t="n">
        <x:v>0</x:v>
      </x:c>
      <x:c r="N71" s="1" t="n">
        <x:v>0</x:v>
      </x:c>
      <x:c r="O71" s="1" t="n">
        <x:v>0</x:v>
      </x:c>
      <x:c r="P71" s="1" t="n">
        <x:v>0</x:v>
      </x:c>
      <x:c r="Q71"/>
      <x:c r="R71" t="n">
        <x:f t="shared" si="2"/>
        <x:v>200</x:v>
      </x:c>
    </x:row>
    <x:row r="72" ht="33.75" customHeight="1">
      <x:c r="A72" s="1"/>
      <x:c r="B72" s="1" t="str">
        <x:v>item_transfer_target_mult</x:v>
      </x:c>
      <x:c r="C72" s="1" t="str">
        <x:v>传递受益</x:v>
      </x:c>
      <x:c r="D72" s="8" t="str">
        <x:v>甜蜜传递时
被传递方倍率×1.2</x:v>
      </x:c>
      <x:c r="E72" s="1" t="str">
        <x:v>Epic</x:v>
      </x:c>
      <x:c r="F72" s="1" t="str">
        <x:v>None</x:v>
      </x:c>
      <x:c r="G72" s="1" t="n">
        <x:v>1.2</x:v>
      </x:c>
      <x:c r="H72" s="1"/>
      <x:c r="I72" s="1" t="n">
        <x:v>10</x:v>
      </x:c>
      <x:c r="J72" s="1" t="str">
        <x:v>40,80</x:v>
      </x:c>
      <x:c r="K72" s="1" t="n">
        <x:v>0</x:v>
      </x:c>
      <x:c r="L72" s="1" t="n">
        <x:v>0</x:v>
      </x:c>
      <x:c r="M72" s="1" t="n">
        <x:v>0</x:v>
      </x:c>
      <x:c r="N72" s="1" t="n">
        <x:v>0</x:v>
      </x:c>
      <x:c r="O72" s="1" t="n">
        <x:v>0</x:v>
      </x:c>
      <x:c r="P72" s="1" t="n">
        <x:v>0</x:v>
      </x:c>
      <x:c r="Q72" t="str">
        <x:v>term_sweet_transfer</x:v>
      </x:c>
      <x:c r="R72" t="n">
        <x:f t="shared" si="2"/>
        <x:v>200</x:v>
      </x:c>
    </x:row>
    <x:row r="73" ht="16.5" customHeight="1">
      <x:c r="A73" s="1"/>
      <x:c r="B73" s="1" t="str">
        <x:v>item_transfer_source_mult</x:v>
      </x:c>
      <x:c r="C73" s="1" t="str">
        <x:v>传递奉献</x:v>
      </x:c>
      <x:c r="D73" s="1" t="str">
        <x:v>甜蜜传递时
传递方倍率×1.2</x:v>
      </x:c>
      <x:c r="E73" s="1" t="str">
        <x:v>Epic</x:v>
      </x:c>
      <x:c r="F73" s="1" t="str">
        <x:v>None</x:v>
      </x:c>
      <x:c r="G73" s="1" t="n">
        <x:v>1.2</x:v>
      </x:c>
      <x:c r="H73" s="1"/>
      <x:c r="I73" s="1" t="n">
        <x:v>10</x:v>
      </x:c>
      <x:c r="J73" s="1" t="str">
        <x:v>40,80</x:v>
      </x:c>
      <x:c r="K73" s="1" t="n">
        <x:v>0</x:v>
      </x:c>
      <x:c r="L73" s="1" t="n">
        <x:v>0</x:v>
      </x:c>
      <x:c r="M73" s="1" t="n">
        <x:v>0</x:v>
      </x:c>
      <x:c r="N73" s="1" t="n">
        <x:v>0</x:v>
      </x:c>
      <x:c r="O73" s="1" t="n">
        <x:v>0</x:v>
      </x:c>
      <x:c r="P73" s="1" t="n">
        <x:v>0</x:v>
      </x:c>
      <x:c r="Q73" t="str">
        <x:v>term_sweet_transfer</x:v>
      </x:c>
      <x:c r="R73" t="n">
        <x:f t="shared" si="2"/>
        <x:v>200</x:v>
      </x:c>
    </x:row>
    <x:row r="74" ht="16.5" customHeight="1">
      <x:c r="A74" s="1"/>
      <x:c r="B74" s="1" t="str">
        <x:v>item_skill_count_mult</x:v>
      </x:c>
      <x:c r="C74" s="1" t="str">
        <x:v>技法大师</x:v>
      </x:c>
      <x:c r="D74" s="1" t="str">
        <x:v>结算时每有1个技能
倍率+0.2</x:v>
      </x:c>
      <x:c r="E74" s="1" t="str">
        <x:v>Uncommon</x:v>
      </x:c>
      <x:c r="F74" s="1" t="str">
        <x:v>None</x:v>
      </x:c>
      <x:c r="G74" s="1" t="n">
        <x:v>0.2</x:v>
      </x:c>
      <x:c r="H74" s="1"/>
      <x:c r="I74" s="1" t="n">
        <x:v>100</x:v>
      </x:c>
      <x:c r="J74" s="1" t="str">
        <x:v>20,80</x:v>
      </x:c>
      <x:c r="K74" s="1" t="n">
        <x:v>0</x:v>
      </x:c>
      <x:c r="L74" s="1" t="n">
        <x:v>0</x:v>
      </x:c>
      <x:c r="M74" s="1" t="n">
        <x:v>0</x:v>
      </x:c>
      <x:c r="N74" s="1" t="n">
        <x:v>0</x:v>
      </x:c>
      <x:c r="O74" s="1" t="n">
        <x:v>0</x:v>
      </x:c>
      <x:c r="P74" s="1" t="n">
        <x:v>0</x:v>
      </x:c>
      <x:c r="Q74" t="str">
        <x:v>term_sweet_transfer</x:v>
      </x:c>
      <x:c r="R74" t="n">
        <x:f t="shared" si="2"/>
        <x:v>80</x:v>
      </x:c>
    </x:row>
    <x:row r="75" ht="16.5" customHeight="1">
      <x:c r="A75" s="1"/>
      <x:c r="B75" s="1" t="str">
        <x:v>item_gold_on_transfer</x:v>
      </x:c>
      <x:c r="C75" s="1" t="str">
        <x:v>传递分红</x:v>
      </x:c>
      <x:c r="D75" s="1" t="str">
        <x:v>甜蜜传递10次后
+10金币</x:v>
      </x:c>
      <x:c r="E75" s="1" t="str">
        <x:v>Uncommon</x:v>
      </x:c>
      <x:c r="F75" s="1" t="str">
        <x:v>None</x:v>
      </x:c>
      <x:c r="G75" s="1" t="n">
        <x:v>10</x:v>
      </x:c>
      <x:c r="H75" s="1" t="str">
        <x:v>count:10</x:v>
      </x:c>
      <x:c r="I75" s="1" t="n">
        <x:v>100</x:v>
      </x:c>
      <x:c r="J75" s="1" t="str">
        <x:v>20,80</x:v>
      </x:c>
      <x:c r="K75" s="1" t="n">
        <x:v>0</x:v>
      </x:c>
      <x:c r="L75" s="1" t="n">
        <x:v>0</x:v>
      </x:c>
      <x:c r="M75" s="1" t="n">
        <x:v>0</x:v>
      </x:c>
      <x:c r="N75" s="1" t="n">
        <x:v>0</x:v>
      </x:c>
      <x:c r="O75" s="1" t="n">
        <x:v>0</x:v>
      </x:c>
      <x:c r="P75" s="1" t="n">
        <x:v>0</x:v>
      </x:c>
      <x:c r="Q75" t="str">
        <x:v>term_sweet_transfer</x:v>
      </x:c>
      <x:c r="R75" t="n">
        <x:f t="shared" si="2"/>
        <x:v>80</x:v>
      </x:c>
    </x:row>
    <x:row r="76" ht="16.5" customHeight="1">
      <x:c r="A76" s="1"/>
      <x:c r="B76" s="1" t="str">
        <x:v>item_cake_retain</x:v>
      </x:c>
      <x:c r="C76" s="1" t="str">
        <x:v>蛋糕保鲜</x:v>
      </x:c>
      <x:c r="D76" s="1" t="str">
        <x:v>保留20%的蛋糕层数
至下一次美食</x:v>
      </x:c>
      <x:c r="E76" s="1" t="str">
        <x:v>Epic</x:v>
      </x:c>
      <x:c r="F76" s="1" t="str">
        <x:v>None</x:v>
      </x:c>
      <x:c r="G76" s="1" t="n">
        <x:v>0.2</x:v>
      </x:c>
      <x:c r="H76" s="1"/>
      <x:c r="I76" s="1" t="n">
        <x:v>10</x:v>
      </x:c>
      <x:c r="J76" s="1" t="str">
        <x:v>40,80</x:v>
      </x:c>
      <x:c r="K76" s="1" t="n">
        <x:v>0</x:v>
      </x:c>
      <x:c r="L76" s="1" t="n">
        <x:v>0</x:v>
      </x:c>
      <x:c r="M76" s="1" t="n">
        <x:v>0</x:v>
      </x:c>
      <x:c r="N76" s="1" t="n">
        <x:v>0</x:v>
      </x:c>
      <x:c r="O76" s="1" t="n">
        <x:v>0</x:v>
      </x:c>
      <x:c r="P76" s="1" t="n">
        <x:v>0</x:v>
      </x:c>
      <x:c r="Q76" t="str">
        <x:v>clb</x:v>
      </x:c>
      <x:c r="R76" t="n">
        <x:f t="shared" si="2"/>
        <x:v>200</x:v>
      </x:c>
    </x:row>
    <x:row r="77" ht="16.5" customHeight="1">
      <x:c r="A77" s="1"/>
      <x:c r="B77" s="1" t="str">
        <x:v>item_cake_init_bonus</x:v>
      </x:c>
      <x:c r="C77" s="1" t="str">
        <x:v>蛋糕打底</x:v>
      </x:c>
      <x:c r="D77" s="1" t="str">
        <x:v>蛋糕层数
初始额外获得10层</x:v>
      </x:c>
      <x:c r="E77" s="1" t="str">
        <x:v>Uncommon</x:v>
      </x:c>
      <x:c r="F77" s="1" t="str">
        <x:v>None</x:v>
      </x:c>
      <x:c r="G77" s="1" t="n">
        <x:v>10</x:v>
      </x:c>
      <x:c r="H77" s="1"/>
      <x:c r="I77" s="1" t="n">
        <x:v>100</x:v>
      </x:c>
      <x:c r="J77" s="1" t="str">
        <x:v>20,80</x:v>
      </x:c>
      <x:c r="K77" s="1" t="n">
        <x:v>0</x:v>
      </x:c>
      <x:c r="L77" s="1" t="n">
        <x:v>0</x:v>
      </x:c>
      <x:c r="M77" s="1" t="n">
        <x:v>0</x:v>
      </x:c>
      <x:c r="N77" s="1" t="n">
        <x:v>0</x:v>
      </x:c>
      <x:c r="O77" s="1" t="n">
        <x:v>0</x:v>
      </x:c>
      <x:c r="P77" s="1" t="n">
        <x:v>0</x:v>
      </x:c>
      <x:c r="Q77" t="str">
        <x:v>clb</x:v>
      </x:c>
      <x:c r="R77" t="n">
        <x:f t="shared" si="2"/>
        <x:v>80</x:v>
      </x:c>
    </x:row>
    <x:row r="78" ht="33.75" customHeight="1">
      <x:c r="A78" s="1"/>
      <x:c r="B78" s="1" t="str">
        <x:v>item_cake_accel</x:v>
      </x:c>
      <x:c r="C78" s="1" t="str">
        <x:v>蛋糕膨胀</x:v>
      </x:c>
      <x:c r="D78" s="8" t="str">
        <x:v>蛋糕层数增加时
额外加1层</x:v>
      </x:c>
      <x:c r="E78" s="1" t="str">
        <x:v>Rare</x:v>
      </x:c>
      <x:c r="F78" s="1" t="str">
        <x:v>None</x:v>
      </x:c>
      <x:c r="G78" s="1" t="n">
        <x:v>1</x:v>
      </x:c>
      <x:c r="H78" s="1"/>
      <x:c r="I78" s="1" t="n">
        <x:v>30</x:v>
      </x:c>
      <x:c r="J78" s="1" t="str">
        <x:v>30,80</x:v>
      </x:c>
      <x:c r="K78" s="1" t="n">
        <x:v>0</x:v>
      </x:c>
      <x:c r="L78" s="1" t="n">
        <x:v>0</x:v>
      </x:c>
      <x:c r="M78" s="1" t="n">
        <x:v>0</x:v>
      </x:c>
      <x:c r="N78" s="1" t="n">
        <x:v>0</x:v>
      </x:c>
      <x:c r="O78" s="1" t="n">
        <x:v>0</x:v>
      </x:c>
      <x:c r="P78" s="1" t="n">
        <x:v>0</x:v>
      </x:c>
      <x:c r="Q78" s="1" t="str">
        <x:v>clb</x:v>
      </x:c>
      <x:c r="R78" t="n">
        <x:f t="shared" si="2"/>
        <x:v>120</x:v>
      </x:c>
    </x:row>
    <x:row r="79" ht="33.75" customHeight="1">
      <x:c r="A79" s="1"/>
      <x:c r="B79" s="1" t="str">
        <x:v>item_cake_to_gold</x:v>
      </x:c>
      <x:c r="C79" s="1" t="str">
        <x:v>蛋糕变现</x:v>
      </x:c>
      <x:c r="D79" s="8" t="str">
        <x:v>蛋糕层数大于100层时
获得10金币</x:v>
      </x:c>
      <x:c r="E79" s="1" t="str">
        <x:v>Uncommon</x:v>
      </x:c>
      <x:c r="F79" s="1" t="str">
        <x:v>None</x:v>
      </x:c>
      <x:c r="G79" s="1" t="n">
        <x:v>10</x:v>
      </x:c>
      <x:c r="H79" s="1" t="str">
        <x:v>threshold:100</x:v>
      </x:c>
      <x:c r="I79" s="1" t="n">
        <x:v>100</x:v>
      </x:c>
      <x:c r="J79" s="1" t="str">
        <x:v>20,80</x:v>
      </x:c>
      <x:c r="K79" s="1" t="n">
        <x:v>0</x:v>
      </x:c>
      <x:c r="L79" s="1" t="n">
        <x:v>0</x:v>
      </x:c>
      <x:c r="M79" s="1" t="n">
        <x:v>0</x:v>
      </x:c>
      <x:c r="N79" s="1" t="n">
        <x:v>0</x:v>
      </x:c>
      <x:c r="O79" s="1" t="n">
        <x:v>0</x:v>
      </x:c>
      <x:c r="P79" s="1" t="n">
        <x:v>0</x:v>
      </x:c>
      <x:c r="Q79" s="1" t="str">
        <x:v>clb</x:v>
      </x:c>
      <x:c r="R79" t="n">
        <x:f t="shared" si="2"/>
        <x:v>80</x:v>
      </x:c>
    </x:row>
    <x:row r="80" ht="33.75" customHeight="1">
      <x:c r="A80" s="1"/>
      <x:c r="B80" s="1" t="str">
        <x:v>item_cake_req_minus</x:v>
      </x:c>
      <x:c r="C80" s="1" t="str">
        <x:v>蛋糕捷径</x:v>
      </x:c>
      <x:c r="D80" s="8" t="str">
        <x:v>蛋糕效果需求的层数-10</x:v>
      </x:c>
      <x:c r="E80" s="1" t="str">
        <x:v>Uncommon</x:v>
      </x:c>
      <x:c r="F80" s="1" t="str">
        <x:v>None</x:v>
      </x:c>
      <x:c r="G80" s="1" t="n">
        <x:v>10</x:v>
      </x:c>
      <x:c r="H80" s="1"/>
      <x:c r="I80" s="1" t="n">
        <x:v>100</x:v>
      </x:c>
      <x:c r="J80" s="1" t="str">
        <x:v>20,80</x:v>
      </x:c>
      <x:c r="K80" s="1" t="n">
        <x:v>0</x:v>
      </x:c>
      <x:c r="L80" s="1" t="n">
        <x:v>0</x:v>
      </x:c>
      <x:c r="M80" s="1" t="n">
        <x:v>0</x:v>
      </x:c>
      <x:c r="N80" s="1" t="n">
        <x:v>0</x:v>
      </x:c>
      <x:c r="O80" s="1" t="n">
        <x:v>0</x:v>
      </x:c>
      <x:c r="P80" s="1" t="n">
        <x:v>0</x:v>
      </x:c>
      <x:c r="Q80" s="1" t="str">
        <x:v>clb</x:v>
      </x:c>
      <x:c r="R80" t="n">
        <x:f t="shared" si="2"/>
        <x:v>80</x:v>
      </x:c>
    </x:row>
    <x:row r="81" ht="33.75" customHeight="1">
      <x:c r="A81" s="1"/>
      <x:c r="B81" s="1"/>
      <x:c r="C81" s="1"/>
      <x:c r="D81" s="8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>
        <x:f t="shared" si="2"/>
      </x:c>
    </x:row>
    <x:row r="82" ht="33.75" customHeight="1">
      <x:c r="A82" s="1"/>
      <x:c r="B82" s="1"/>
      <x:c r="C82" s="1"/>
      <x:c r="D82" s="8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>
        <x:f t="shared" si="2"/>
      </x:c>
    </x:row>
    <x:row r="83" ht="33.75" customHeight="1">
      <x:c r="A83" s="1"/>
      <x:c r="B83" s="1"/>
      <x:c r="C83" s="1"/>
      <x:c r="D83" s="8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>
        <x:f t="shared" si="2"/>
      </x:c>
    </x:row>
    <x:row r="84" ht="33.75" customHeight="1">
      <x:c r="A84" s="1"/>
      <x:c r="B84" s="1"/>
      <x:c r="C84" s="1"/>
      <x:c r="D84" s="8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>
        <x:f t="shared" si="2"/>
      </x:c>
    </x:row>
    <x:row r="85" ht="33.75" customHeight="1">
      <x:c r="A85" s="1"/>
      <x:c r="B85" s="1"/>
      <x:c r="C85" s="1"/>
      <x:c r="D85" s="8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>
        <x:f t="shared" si="2"/>
      </x:c>
    </x:row>
    <x:row r="86" ht="16.5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>
        <x:f t="shared" si="2"/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53.91911697387695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customWidth="1"/>
  </x:cols>
  <x:sheetData>
    <x:row r="1" ht="16.5" customHeight="1">
      <x:c r="A1" s="7" t="s">
        <x:v>12</x:v>
      </x:c>
      <x:c r="B1" s="7" t="s">
        <x:v>13</x:v>
      </x:c>
      <x:c r="C1" s="7" t="s">
        <x:v>14</x:v>
      </x:c>
      <x:c r="D1" s="7" t="s">
        <x:v>15</x:v>
      </x:c>
      <x:c r="E1" s="7" t="s">
        <x:v>16</x:v>
      </x:c>
      <x:c r="F1" s="7" t="s">
        <x:v>17</x:v>
      </x:c>
      <x:c r="G1" s="7" t="s">
        <x:v>18</x:v>
      </x:c>
      <x:c r="H1" s="7" t="s">
        <x:v>19</x:v>
      </x:c>
      <x:c r="I1" s="7" t="s">
        <x:v>20</x:v>
      </x:c>
      <x:c r="J1" s="7" t="s">
        <x:v>21</x:v>
      </x:c>
      <x:c r="K1" s="7" t="s">
        <x:v>22</x:v>
      </x:c>
      <x:c r="L1" s="9" t="s">
        <x:v>23</x:v>
      </x:c>
      <x:c r="M1" t="s">
        <x:v>24</x:v>
      </x:c>
    </x:row>
    <x:row r="2" ht="16.5" customHeight="1">
      <x:c r="A2" s="7" t="s">
        <x:v>25</x:v>
      </x:c>
      <x:c r="B2" s="1" t="s">
        <x:v>26</x:v>
      </x:c>
      <x:c r="C2" s="1" t="s">
        <x:v>27</x:v>
      </x:c>
      <x:c r="D2" s="1" t="s">
        <x:v>28</x:v>
      </x:c>
      <x:c r="E2" s="1" t="s">
        <x:v>29</x:v>
      </x:c>
      <x:c r="F2" s="1" t="s">
        <x:v>30</x:v>
      </x:c>
      <x:c r="G2" s="1" t="s">
        <x:v>31</x:v>
      </x:c>
      <x:c r="H2" s="1" t="s">
        <x:v>32</x:v>
      </x:c>
      <x:c r="I2" s="1" t="s">
        <x:v>33</x:v>
      </x:c>
      <x:c r="J2" s="1" t="s">
        <x:v>34</x:v>
      </x:c>
      <x:c r="K2" s="1" t="s">
        <x:v>35</x:v>
      </x:c>
      <x:c r="L2" t="s">
        <x:v>36</x:v>
      </x:c>
      <x:c r="M2" t="s">
        <x:v>37</x:v>
      </x:c>
    </x:row>
    <x:row r="3" ht="16.5" customHeight="1">
      <x:c r="A3" s="7" t="s">
        <x:v>38</x:v>
      </x:c>
      <x:c r="B3" s="7" t="s">
        <x:v>39</x:v>
      </x:c>
      <x:c r="C3" s="7" t="s">
        <x:v>39</x:v>
      </x:c>
      <x:c r="D3" s="7" t="s">
        <x:v>39</x:v>
      </x:c>
      <x:c r="E3" s="7" t="s">
        <x:v>39</x:v>
      </x:c>
      <x:c r="F3" s="7" t="s">
        <x:v>39</x:v>
      </x:c>
      <x:c r="G3" s="7" t="s">
        <x:v>40</x:v>
      </x:c>
      <x:c r="H3" s="7" t="s">
        <x:v>39</x:v>
      </x:c>
      <x:c r="I3" s="7" t="s">
        <x:v>40</x:v>
      </x:c>
      <x:c r="J3" s="7" t="s">
        <x:v>41</x:v>
      </x:c>
      <x:c r="K3" s="7" t="s">
        <x:v>42</x:v>
      </x:c>
      <x:c r="L3" s="9" t="s">
        <x:v>39</x:v>
      </x:c>
      <x:c r="M3" t="s">
        <x:v>42</x:v>
      </x:c>
    </x:row>
    <x:row r="4" ht="33.75" customHeight="1">
      <x:c r="B4" s="7" t="s">
        <x:v>43</x:v>
      </x:c>
      <x:c r="C4" s="1" t="s">
        <x:v>44</x:v>
      </x:c>
      <x:c r="D4" s="8" t="s">
        <x:v>45</x:v>
      </x:c>
      <x:c r="F4" s="7" t="s">
        <x:v>46</x:v>
      </x:c>
      <x:c r="G4" s="1">
        <x:v>0</x:v>
      </x:c>
      <x:c r="H4" s="7" t="s">
        <x:v>47</x:v>
      </x:c>
      <x:c r="I4" s="1">
        <x:v>1</x:v>
      </x:c>
      <x:c r="J4" s="7" t="s">
        <x:v>48</x:v>
      </x:c>
      <x:c r="K4" s="1">
        <x:v>1</x:v>
      </x:c>
      <x:c r="L4" s="7" t="s">
        <x:v>47</x:v>
      </x:c>
      <x:c r="M4">
        <x:v>35</x:v>
      </x:c>
    </x:row>
    <x:row r="5" ht="33.75" customHeight="1">
      <x:c r="B5" s="7" t="s">
        <x:v>49</x:v>
      </x:c>
      <x:c r="C5" s="1" t="s">
        <x:v>50</x:v>
      </x:c>
      <x:c r="D5" s="8" t="s">
        <x:v>51</x:v>
      </x:c>
      <x:c r="F5" s="7" t="s">
        <x:v>46</x:v>
      </x:c>
      <x:c r="G5" s="1">
        <x:v>0</x:v>
      </x:c>
      <x:c r="H5" s="7" t="s">
        <x:v>52</x:v>
      </x:c>
      <x:c r="I5" s="1">
        <x:v>1</x:v>
      </x:c>
      <x:c r="J5" s="7" t="s">
        <x:v>48</x:v>
      </x:c>
      <x:c r="K5" s="1">
        <x:v>1</x:v>
      </x:c>
      <x:c r="L5" s="7" t="s">
        <x:v>52</x:v>
      </x:c>
      <x:c r="M5">
        <x:v>35</x:v>
      </x:c>
    </x:row>
    <x:row r="6" ht="33.75" customHeight="1">
      <x:c r="B6" s="7" t="s">
        <x:v>53</x:v>
      </x:c>
      <x:c r="C6" s="1" t="s">
        <x:v>54</x:v>
      </x:c>
      <x:c r="D6" s="8" t="s">
        <x:v>55</x:v>
      </x:c>
      <x:c r="F6" s="7" t="s">
        <x:v>46</x:v>
      </x:c>
      <x:c r="G6" s="1">
        <x:v>0</x:v>
      </x:c>
      <x:c r="H6" s="7" t="s">
        <x:v>56</x:v>
      </x:c>
      <x:c r="I6" s="1">
        <x:v>1</x:v>
      </x:c>
      <x:c r="J6" s="7" t="s">
        <x:v>48</x:v>
      </x:c>
      <x:c r="K6" s="1">
        <x:v>1</x:v>
      </x:c>
      <x:c r="L6" s="7" t="s">
        <x:v>56</x:v>
      </x:c>
      <x:c r="M6">
        <x:v>35</x:v>
      </x:c>
    </x:row>
    <x:row r="7" ht="33.75" customHeight="1">
      <x:c r="B7" s="7" t="s">
        <x:v>57</x:v>
      </x:c>
      <x:c r="C7" s="1" t="s">
        <x:v>58</x:v>
      </x:c>
      <x:c r="D7" s="8" t="s">
        <x:v>59</x:v>
      </x:c>
      <x:c r="F7" s="7" t="s">
        <x:v>46</x:v>
      </x:c>
      <x:c r="G7" s="1">
        <x:v>0</x:v>
      </x:c>
      <x:c r="H7" s="7" t="s">
        <x:v>60</x:v>
      </x:c>
      <x:c r="I7" s="1">
        <x:v>1</x:v>
      </x:c>
      <x:c r="J7" s="7" t="s">
        <x:v>48</x:v>
      </x:c>
      <x:c r="K7" s="1">
        <x:v>1</x:v>
      </x:c>
      <x:c r="L7" s="7" t="s">
        <x:v>60</x:v>
      </x:c>
      <x:c r="M7">
        <x:v>35</x:v>
      </x:c>
    </x:row>
    <x:row r="8" ht="33.75" customHeight="1">
      <x:c r="B8" s="7" t="s">
        <x:v>61</x:v>
      </x:c>
      <x:c r="C8" s="1" t="s">
        <x:v>62</x:v>
      </x:c>
      <x:c r="D8" s="8" t="s">
        <x:v>63</x:v>
      </x:c>
      <x:c r="F8" s="7" t="s">
        <x:v>46</x:v>
      </x:c>
      <x:c r="G8" s="1">
        <x:v>0</x:v>
      </x:c>
      <x:c r="H8" s="7" t="s">
        <x:v>64</x:v>
      </x:c>
      <x:c r="I8" s="1">
        <x:v>1</x:v>
      </x:c>
      <x:c r="J8" s="7" t="s">
        <x:v>48</x:v>
      </x:c>
      <x:c r="K8" s="1">
        <x:v>1</x:v>
      </x:c>
      <x:c r="L8" s="7" t="s">
        <x:v>64</x:v>
      </x:c>
      <x:c r="M8">
        <x:v>35</x:v>
      </x:c>
    </x:row>
    <x:row r="9" ht="33.75" customHeight="1">
      <x:c r="B9" s="7" t="s">
        <x:v>65</x:v>
      </x:c>
      <x:c r="C9" s="1" t="s">
        <x:v>66</x:v>
      </x:c>
      <x:c r="D9" s="8" t="s">
        <x:v>67</x:v>
      </x:c>
      <x:c r="F9" s="7" t="s">
        <x:v>46</x:v>
      </x:c>
      <x:c r="G9" s="1">
        <x:v>0</x:v>
      </x:c>
      <x:c r="H9" s="7" t="s">
        <x:v>68</x:v>
      </x:c>
      <x:c r="I9" s="1">
        <x:v>1</x:v>
      </x:c>
      <x:c r="J9" s="7" t="s">
        <x:v>48</x:v>
      </x:c>
      <x:c r="K9" s="1">
        <x:v>1</x:v>
      </x:c>
      <x:c r="L9" s="7" t="s">
        <x:v>68</x:v>
      </x:c>
      <x:c r="M9">
        <x:v>35</x:v>
      </x:c>
    </x:row>
    <x:row r="10" ht="33.75" customHeight="1">
      <x:c r="B10" s="7" t="s">
        <x:v>69</x:v>
      </x:c>
      <x:c r="C10" s="1" t="s">
        <x:v>70</x:v>
      </x:c>
      <x:c r="D10" s="8" t="s">
        <x:v>71</x:v>
      </x:c>
      <x:c r="F10" s="7" t="s">
        <x:v>72</x:v>
      </x:c>
      <x:c r="G10" s="1">
        <x:v>0</x:v>
      </x:c>
      <x:c r="H10" s="7" t="s">
        <x:v>73</x:v>
      </x:c>
      <x:c r="I10" s="1">
        <x:v>1</x:v>
      </x:c>
      <x:c r="J10" s="7" t="s">
        <x:v>74</x:v>
      </x:c>
      <x:c r="K10" s="1">
        <x:v>1</x:v>
      </x:c>
      <x:c r="L10" s="7" t="s">
        <x:v>73</x:v>
      </x:c>
      <x:c r="M10">
        <x:v>35</x:v>
      </x:c>
    </x:row>
    <x:row r="11" ht="33.75" customHeight="1">
      <x:c r="B11" s="7" t="s">
        <x:v>75</x:v>
      </x:c>
      <x:c r="C11" s="1" t="s">
        <x:v>76</x:v>
      </x:c>
      <x:c r="D11" s="8" t="s">
        <x:v>77</x:v>
      </x:c>
      <x:c r="F11" s="7" t="s">
        <x:v>72</x:v>
      </x:c>
      <x:c r="G11" s="1">
        <x:v>0</x:v>
      </x:c>
      <x:c r="H11" s="7" t="s">
        <x:v>78</x:v>
      </x:c>
      <x:c r="I11" s="1">
        <x:v>1</x:v>
      </x:c>
      <x:c r="J11" s="7" t="s">
        <x:v>74</x:v>
      </x:c>
      <x:c r="K11" s="1">
        <x:v>1</x:v>
      </x:c>
      <x:c r="L11" s="7" t="s">
        <x:v>78</x:v>
      </x:c>
      <x:c r="M11">
        <x:v>35</x:v>
      </x:c>
    </x:row>
    <x:row r="12" ht="33.75" customHeight="1">
      <x:c r="B12" s="7" t="s">
        <x:v>79</x:v>
      </x:c>
      <x:c r="C12" s="1" t="s">
        <x:v>80</x:v>
      </x:c>
      <x:c r="D12" s="8" t="s">
        <x:v>81</x:v>
      </x:c>
      <x:c r="F12" s="7" t="s">
        <x:v>72</x:v>
      </x:c>
      <x:c r="G12" s="1">
        <x:v>0</x:v>
      </x:c>
      <x:c r="H12" s="7" t="s">
        <x:v>82</x:v>
      </x:c>
      <x:c r="I12" s="1">
        <x:v>1</x:v>
      </x:c>
      <x:c r="J12" s="7" t="s">
        <x:v>74</x:v>
      </x:c>
      <x:c r="K12" s="1">
        <x:v>1</x:v>
      </x:c>
      <x:c r="L12" s="7" t="s">
        <x:v>82</x:v>
      </x:c>
      <x:c r="M12">
        <x:v>35</x:v>
      </x:c>
    </x:row>
    <x:row r="13" ht="33.75" customHeight="1">
      <x:c r="B13" s="7" t="s">
        <x:v>83</x:v>
      </x:c>
      <x:c r="C13" s="1" t="s">
        <x:v>84</x:v>
      </x:c>
      <x:c r="D13" s="8" t="s">
        <x:v>85</x:v>
      </x:c>
      <x:c r="F13" s="7" t="s">
        <x:v>72</x:v>
      </x:c>
      <x:c r="G13" s="1">
        <x:v>0</x:v>
      </x:c>
      <x:c r="H13" s="7" t="s">
        <x:v>86</x:v>
      </x:c>
      <x:c r="I13" s="1">
        <x:v>1</x:v>
      </x:c>
      <x:c r="J13" s="7" t="s">
        <x:v>74</x:v>
      </x:c>
      <x:c r="K13" s="1">
        <x:v>1</x:v>
      </x:c>
      <x:c r="L13" s="7" t="s">
        <x:v>86</x:v>
      </x:c>
      <x:c r="M13">
        <x:v>35</x:v>
      </x:c>
    </x:row>
    <x:row r="14" ht="33.75" customHeight="1">
      <x:c r="B14" s="7" t="s">
        <x:v>87</x:v>
      </x:c>
      <x:c r="C14" s="1" t="s">
        <x:v>88</x:v>
      </x:c>
      <x:c r="D14" s="8" t="s">
        <x:v>89</x:v>
      </x:c>
      <x:c r="F14" s="7" t="s">
        <x:v>72</x:v>
      </x:c>
      <x:c r="G14" s="1">
        <x:v>0</x:v>
      </x:c>
      <x:c r="H14" s="7" t="s">
        <x:v>90</x:v>
      </x:c>
      <x:c r="I14" s="1">
        <x:v>1</x:v>
      </x:c>
      <x:c r="J14" s="7" t="s">
        <x:v>74</x:v>
      </x:c>
      <x:c r="K14" s="1">
        <x:v>1</x:v>
      </x:c>
      <x:c r="L14" s="7" t="s">
        <x:v>90</x:v>
      </x:c>
      <x:c r="M14">
        <x:v>35</x:v>
      </x:c>
    </x:row>
    <x:row r="15" ht="33.75" customHeight="1">
      <x:c r="B15" s="7" t="s">
        <x:v>91</x:v>
      </x:c>
      <x:c r="C15" s="1" t="s">
        <x:v>92</x:v>
      </x:c>
      <x:c r="D15" s="8" t="s">
        <x:v>93</x:v>
      </x:c>
      <x:c r="F15" s="7" t="s">
        <x:v>72</x:v>
      </x:c>
      <x:c r="G15" s="1">
        <x:v>0</x:v>
      </x:c>
      <x:c r="H15" s="7" t="s">
        <x:v>94</x:v>
      </x:c>
      <x:c r="I15" s="1">
        <x:v>1</x:v>
      </x:c>
      <x:c r="J15" s="7" t="s">
        <x:v>74</x:v>
      </x:c>
      <x:c r="K15" s="1">
        <x:v>1</x:v>
      </x:c>
      <x:c r="L15" s="7" t="s">
        <x:v>94</x:v>
      </x:c>
      <x:c r="M15">
        <x:v>35</x:v>
      </x:c>
    </x:row>
    <x:row r="16" ht="33.75" customHeight="1">
      <x:c r="B16" s="7" t="s">
        <x:v>95</x:v>
      </x:c>
      <x:c r="C16" s="1" t="s">
        <x:v>96</x:v>
      </x:c>
      <x:c r="D16" s="8" t="s">
        <x:v>97</x:v>
      </x:c>
      <x:c r="F16" s="7" t="s">
        <x:v>72</x:v>
      </x:c>
      <x:c r="G16" s="1">
        <x:v>0</x:v>
      </x:c>
      <x:c r="H16" s="7" t="s">
        <x:v>98</x:v>
      </x:c>
      <x:c r="I16" s="1">
        <x:v>1</x:v>
      </x:c>
      <x:c r="J16" s="7" t="s">
        <x:v>74</x:v>
      </x:c>
      <x:c r="K16" s="1">
        <x:v>1</x:v>
      </x:c>
      <x:c r="L16" s="7" t="s">
        <x:v>98</x:v>
      </x:c>
      <x:c r="M16">
        <x:v>35</x:v>
      </x:c>
    </x:row>
    <x:row r="17" ht="33.75" customHeight="1">
      <x:c r="B17" s="7" t="s">
        <x:v>99</x:v>
      </x:c>
      <x:c r="C17" s="1" t="s">
        <x:v>100</x:v>
      </x:c>
      <x:c r="D17" s="8" t="s">
        <x:v>101</x:v>
      </x:c>
      <x:c r="F17" s="7" t="s">
        <x:v>102</x:v>
      </x:c>
      <x:c r="G17" s="1">
        <x:v>0</x:v>
      </x:c>
      <x:c r="I17" s="1">
        <x:v>1</x:v>
      </x:c>
      <x:c r="J17" s="7" t="s">
        <x:v>103</x:v>
      </x:c>
      <x:c r="K17" s="1">
        <x:v>0</x:v>
      </x:c>
      <x:c r="M17">
        <x:v>35</x:v>
      </x:c>
    </x:row>
    <x:row r="18" ht="16.5" customHeight="1">
      <x:c r="B18" s="7" t="s">
        <x:v>104</x:v>
      </x:c>
      <x:c r="C18" s="1" t="s">
        <x:v>105</x:v>
      </x:c>
      <x:c r="D18" s="1" t="s">
        <x:v>106</x:v>
      </x:c>
      <x:c r="F18" s="7" t="s">
        <x:v>107</x:v>
      </x:c>
      <x:c r="G18" s="1">
        <x:v>0</x:v>
      </x:c>
      <x:c r="I18" s="1">
        <x:v>1</x:v>
      </x:c>
      <x:c r="J18" s="7" t="s">
        <x:v>103</x:v>
      </x:c>
      <x:c r="K18" s="1">
        <x:v>0</x:v>
      </x:c>
      <x:c r="M18">
        <x:v>35</x:v>
      </x:c>
    </x:row>
    <x:row r="19" ht="16.5" customHeight="1">
      <x:c r="B19" s="7" t="s">
        <x:v>108</x:v>
      </x:c>
      <x:c r="C19" s="1" t="s">
        <x:v>109</x:v>
      </x:c>
      <x:c r="D19" s="1" t="s">
        <x:v>110</x:v>
      </x:c>
      <x:c r="F19" s="7" t="s">
        <x:v>111</x:v>
      </x:c>
      <x:c r="G19" s="1">
        <x:v>0</x:v>
      </x:c>
      <x:c r="I19" s="1">
        <x:v>1</x:v>
      </x:c>
      <x:c r="J19" s="7" t="s">
        <x:v>103</x:v>
      </x:c>
      <x:c r="K19" s="1">
        <x:v>0</x:v>
      </x:c>
      <x:c r="M19">
        <x:v>35</x:v>
      </x:c>
    </x:row>
    <x:row r="20" ht="16.5" customHeight="1">
      <x:c r="B20" s="7" t="s">
        <x:v>112</x:v>
      </x:c>
      <x:c r="C20" s="1" t="s">
        <x:v>113</x:v>
      </x:c>
      <x:c r="D20" s="1" t="s">
        <x:v>114</x:v>
      </x:c>
      <x:c r="F20" s="7" t="s">
        <x:v>115</x:v>
      </x:c>
      <x:c r="G20" s="1">
        <x:v>0</x:v>
      </x:c>
      <x:c r="H20" s="7" t="s">
        <x:v>116</x:v>
      </x:c>
      <x:c r="I20" s="1">
        <x:v>1</x:v>
      </x:c>
      <x:c r="J20" s="7" t="s">
        <x:v>103</x:v>
      </x:c>
      <x:c r="K20" s="1">
        <x:v>0</x:v>
      </x:c>
      <x:c r="M20">
        <x:v>35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7.25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customHeight="1">
      <x:c r="B1" s="3" t="str">
        <x:v>是否通用</x:v>
      </x:c>
      <x:c r="C1" s="3" t="str">
        <x:v>类型</x:v>
      </x:c>
      <x:c r="D1" s="3" t="str">
        <x:v>机制</x:v>
      </x:c>
      <x:c r="E1" s="3" t="str">
        <x:v>描述</x:v>
      </x:c>
      <x:c r="H1" s="7" t="str">
        <x:v>id</x:v>
      </x:c>
      <x:c r="I1" s="2" t="str">
        <x:v>技能</x:v>
      </x:c>
    </x:row>
    <x:row r="2" customHeight="1">
      <x:c r="B2" s="3" t="str">
        <x:v>通用正面</x:v>
      </x:c>
      <x:c r="C2" s="3" t="str">
        <x:v>随机获得</x:v>
      </x:c>
      <x:c r="D2" s="3" t="str">
        <x:v>随机被动道具</x:v>
      </x:c>
      <x:c r="E2" s="3" t="str">
        <x:v>获得时，获得两个随机（xx品质）的被动道具</x:v>
      </x:c>
      <x:c r="H2" s="1" t="n">
        <x:v>1</x:v>
      </x:c>
      <x:c r="I2" s="2" t="str">
        <x:f t="shared" ref="I2:I65" si="0">E2</x:f>
        <x:v>获得时，获得两个随机（xx品质）的被动道具</x:v>
      </x:c>
    </x:row>
    <x:row r="3" customHeight="1">
      <x:c r="B3" s="4"/>
      <x:c r="C3" s="4"/>
      <x:c r="D3" s="3" t="str">
        <x:v>道具n选一</x:v>
      </x:c>
      <x:c r="E3" s="3" t="str">
        <x:v>获得时，从多个被动道具中选择一个获得</x:v>
      </x:c>
      <x:c r="H3" s="1" t="n">
        <x:v>2</x:v>
      </x:c>
      <x:c r="I3" s="2" t="str">
        <x:f t="shared" si="0"/>
        <x:v>获得时，从多个被动道具中选择一个获得</x:v>
      </x:c>
    </x:row>
    <x:row r="4" customHeight="1">
      <x:c r="B4" s="4"/>
      <x:c r="C4" s="4"/>
      <x:c r="D4" s="3" t="str">
        <x:v>随机主动道具</x:v>
      </x:c>
      <x:c r="E4" s="3" t="str">
        <x:v>获得时，获得两个随机（xx品质）的主动道具</x:v>
      </x:c>
      <x:c r="H4" s="1" t="n">
        <x:v>3</x:v>
      </x:c>
      <x:c r="I4" s="2" t="str">
        <x:f t="shared" si="0"/>
        <x:v>获得时，获得两个随机（xx品质）的主动道具</x:v>
      </x:c>
    </x:row>
    <x:row r="5" customHeight="1">
      <x:c r="B5" s="4"/>
      <x:c r="C5" s="4"/>
      <x:c r="D5" s="3" t="str">
        <x:v>道具n选一</x:v>
      </x:c>
      <x:c r="E5" s="3" t="str">
        <x:v>获得时，从多个主动道具中选择一个获得</x:v>
      </x:c>
      <x:c r="H5" s="1" t="n">
        <x:v>4</x:v>
      </x:c>
      <x:c r="I5" s="2" t="str">
        <x:f t="shared" si="0"/>
        <x:v>获得时，从多个主动道具中选择一个获得</x:v>
      </x:c>
    </x:row>
    <x:row r="6" customHeight="1">
      <x:c r="B6" s="4"/>
      <x:c r="C6" s="4"/>
      <x:c r="D6" s="3" t="str">
        <x:v>食物n选一</x:v>
      </x:c>
      <x:c r="E6" s="3" t="str">
        <x:v>获得时，从多个食物中选择一个获得</x:v>
      </x:c>
      <x:c r="H6" s="1" t="n">
        <x:v>5</x:v>
      </x:c>
      <x:c r="I6" s="2" t="str">
        <x:f t="shared" si="0"/>
        <x:v>获得时，从多个食物中选择一个获得</x:v>
      </x:c>
    </x:row>
    <x:row r="7" customHeight="1">
      <x:c r="B7" s="4"/>
      <x:c r="C7" s="4"/>
      <x:c r="D7" s="3" t="str">
        <x:v>三选一碎片</x:v>
      </x:c>
      <x:c r="E7" s="3" t="str">
        <x:v>获得时，从多个胃部碎片中选择一个获得</x:v>
      </x:c>
      <x:c r="H7" s="1" t="n">
        <x:v>6</x:v>
      </x:c>
      <x:c r="I7" s="2" t="str">
        <x:f t="shared" si="0"/>
        <x:v>获得时，从多个胃部碎片中选择一个获得</x:v>
      </x:c>
    </x:row>
    <x:row r="8" customHeight="1">
      <x:c r="B8" s="4"/>
      <x:c r="C8" s="4"/>
      <x:c r="D8" s="3" t="str">
        <x:v>全家福</x:v>
      </x:c>
      <x:c r="E8" s="3" t="str">
        <x:v>获得时，获得一个随机被动道具、随机食物、50金币</x:v>
      </x:c>
      <x:c r="H8" s="1" t="n">
        <x:v>7</x:v>
      </x:c>
      <x:c r="I8" s="2" t="str">
        <x:f t="shared" si="0"/>
        <x:v>获得时，获得一个随机被动道具、随机食物、50金币</x:v>
      </x:c>
    </x:row>
    <x:row r="9" customHeight="1">
      <x:c r="B9" s="4"/>
      <x:c r="C9" s="4"/>
      <x:c r="D9" s="3" t="str">
        <x:v>随机</x:v>
      </x:c>
      <x:c r="E9" s="3" t="str">
        <x:v>所有道具替换为随机道具</x:v>
      </x:c>
      <x:c r="H9" s="1" t="n">
        <x:v>8</x:v>
      </x:c>
      <x:c r="I9" s="2" t="str">
        <x:f t="shared" si="0"/>
        <x:v>所有道具替换为随机道具</x:v>
      </x:c>
    </x:row>
    <x:row r="10" customHeight="1">
      <x:c r="B10" s="4"/>
      <x:c r="C10" s="4" t="str">
        <x:v>给钱</x:v>
      </x:c>
      <x:c r="D10" s="3" t="str">
        <x:v>随机金币</x:v>
      </x:c>
      <x:c r="E10" s="3" t="str">
        <x:v>获得1～100个金币</x:v>
      </x:c>
      <x:c r="H10" s="1" t="n">
        <x:v>9</x:v>
      </x:c>
      <x:c r="I10" s="2" t="str">
        <x:f t="shared" si="0"/>
        <x:v>获得1～100个金币</x:v>
      </x:c>
    </x:row>
    <x:row r="11" customHeight="1">
      <x:c r="B11" s="4"/>
      <x:c r="C11" s="3"/>
      <x:c r="D11" s="3" t="str">
        <x:v>美食给钱</x:v>
      </x:c>
      <x:c r="E11" s="3" t="str">
        <x:v>接下来10局美食，额外获得15金币</x:v>
      </x:c>
      <x:c r="H11" s="1" t="n">
        <x:v>10</x:v>
      </x:c>
      <x:c r="I11" s="2" t="str">
        <x:f t="shared" si="0"/>
        <x:v>接下来10局美食，额外获得15金币</x:v>
      </x:c>
    </x:row>
    <x:row r="12" customHeight="1">
      <x:c r="B12" s="4"/>
      <x:c r="C12" s="4"/>
      <x:c r="D12" s="3" t="str">
        <x:v>Boss给钱</x:v>
      </x:c>
      <x:c r="E12" s="3" t="str">
        <x:v>完成本次boss后，额外获得100金币</x:v>
      </x:c>
      <x:c r="H12" s="1" t="n">
        <x:v>11</x:v>
      </x:c>
      <x:c r="I12" s="2" t="str">
        <x:f t="shared" si="0"/>
        <x:v>完成本次boss后，额外获得100金币</x:v>
      </x:c>
    </x:row>
    <x:row r="13" customHeight="1">
      <x:c r="B13" s="4"/>
      <x:c r="C13" s="4"/>
      <x:c r="D13" s="5" t="str">
        <x:v>百分比给钱</x:v>
      </x:c>
      <x:c r="E13" s="3" t="str">
        <x:v>美食结束获得的金币，额外获得20%</x:v>
      </x:c>
      <x:c r="H13" s="1" t="n">
        <x:v>12</x:v>
      </x:c>
      <x:c r="I13" s="2" t="str">
        <x:f t="shared" si="0"/>
        <x:v>美食结束获得的金币，额外获得20%</x:v>
      </x:c>
    </x:row>
    <x:row r="14" customHeight="1">
      <x:c r="B14" s="4"/>
      <x:c r="C14" s="4" t="str">
        <x:v>打折</x:v>
      </x:c>
      <x:c r="D14" s="3" t="str">
        <x:v>买食物</x:v>
      </x:c>
      <x:c r="E14" s="3" t="str">
        <x:v>购买食物打折20%</x:v>
      </x:c>
      <x:c r="H14" s="1" t="n">
        <x:v>13</x:v>
      </x:c>
      <x:c r="I14" s="2" t="str">
        <x:f t="shared" si="0"/>
        <x:v>购买食物打折20%</x:v>
      </x:c>
    </x:row>
    <x:row r="15" customHeight="1">
      <x:c r="B15" s="4"/>
      <x:c r="C15" s="3"/>
      <x:c r="D15" s="3" t="str">
        <x:v>买碎片</x:v>
      </x:c>
      <x:c r="E15" s="3" t="str">
        <x:v>购买碎片打折20%</x:v>
      </x:c>
      <x:c r="H15" s="1" t="n">
        <x:v>14</x:v>
      </x:c>
      <x:c r="I15" s="2" t="str">
        <x:f t="shared" si="0"/>
        <x:v>购买碎片打折20%</x:v>
      </x:c>
    </x:row>
    <x:row r="16" customHeight="1">
      <x:c r="B16" s="4"/>
      <x:c r="C16" s="4"/>
      <x:c r="D16" s="3" t="str">
        <x:v>买主动道具</x:v>
      </x:c>
      <x:c r="E16" s="3" t="str">
        <x:v>买主动道具打折20%</x:v>
      </x:c>
      <x:c r="H16" s="1" t="n">
        <x:v>15</x:v>
      </x:c>
      <x:c r="I16" s="2" t="str">
        <x:f t="shared" si="0"/>
        <x:v>买主动道具打折20%</x:v>
      </x:c>
    </x:row>
    <x:row r="17" customHeight="1">
      <x:c r="B17" s="4"/>
      <x:c r="C17" s="4"/>
      <x:c r="D17" s="3" t="str">
        <x:v>买被动道具</x:v>
      </x:c>
      <x:c r="E17" s="3" t="str">
        <x:v>买被动道具打折20%</x:v>
      </x:c>
      <x:c r="H17" s="1" t="n">
        <x:v>16</x:v>
      </x:c>
      <x:c r="I17" s="2" t="str">
        <x:f t="shared" si="0"/>
        <x:v>买被动道具打折20%</x:v>
      </x:c>
    </x:row>
    <x:row r="18" customHeight="1">
      <x:c r="B18" s="4"/>
      <x:c r="C18" s="4"/>
      <x:c r="D18" s="3" t="str">
        <x:v>删牌</x:v>
      </x:c>
      <x:c r="E18" s="3" t="str">
        <x:v>删牌价格打折20%</x:v>
      </x:c>
      <x:c r="H18" s="1" t="n">
        <x:v>17</x:v>
      </x:c>
      <x:c r="I18" s="2" t="str">
        <x:f t="shared" si="0"/>
        <x:v>删牌价格打折20%</x:v>
      </x:c>
    </x:row>
    <x:row r="19" customHeight="1">
      <x:c r="B19" s="4"/>
      <x:c r="C19" s="4"/>
      <x:c r="D19" s="3" t="str">
        <x:v>删牌</x:v>
      </x:c>
      <x:c r="E19" s="3" t="str">
        <x:v>删牌价格固定为30金币</x:v>
      </x:c>
      <x:c r="H19" s="1" t="n">
        <x:v>18</x:v>
      </x:c>
      <x:c r="I19" s="2" t="str">
        <x:f t="shared" si="0"/>
        <x:v>删牌价格固定为30金币</x:v>
      </x:c>
    </x:row>
    <x:row r="20" customHeight="1">
      <x:c r="B20" s="4"/>
      <x:c r="C20" s="4" t="str">
        <x:v>不死</x:v>
      </x:c>
      <x:c r="D20" s="3" t="str">
        <x:v>名刀</x:v>
      </x:c>
      <x:c r="E20" s="3" t="str">
        <x:v>分数未达标时，不失败，失去此道具</x:v>
      </x:c>
      <x:c r="H20" s="1" t="n">
        <x:v>19</x:v>
      </x:c>
      <x:c r="I20" s="2" t="str">
        <x:f t="shared" si="0"/>
        <x:v>分数未达标时，不失败，失去此道具</x:v>
      </x:c>
    </x:row>
    <x:row r="21" customHeight="1">
      <x:c r="B21" s="4"/>
      <x:c r="C21" s="4" t="str">
        <x:v>分数降低</x:v>
      </x:c>
      <x:c r="D21" s="3" t="str">
        <x:v>分数变1</x:v>
      </x:c>
      <x:c r="E21" s="3" t="str">
        <x:v>接下来3局非盛宴（boss），分数要求为1</x:v>
      </x:c>
      <x:c r="H21" s="1" t="n">
        <x:v>20</x:v>
      </x:c>
      <x:c r="I21" s="2" t="str">
        <x:f t="shared" si="0"/>
        <x:v>接下来3局非盛宴（boss），分数要求为1</x:v>
      </x:c>
    </x:row>
    <x:row r="22" customHeight="1">
      <x:c r="B22" s="4"/>
      <x:c r="C22" s="3"/>
      <x:c r="D22" s="3" t="str">
        <x:v>普通美食分数减少</x:v>
      </x:c>
      <x:c r="E22" s="3" t="str">
        <x:v>普通美食要求分数-10%</x:v>
      </x:c>
      <x:c r="H22" s="1" t="n">
        <x:v>21</x:v>
      </x:c>
      <x:c r="I22" s="2" t="str">
        <x:f t="shared" si="0"/>
        <x:v>普通美食要求分数-10%</x:v>
      </x:c>
    </x:row>
    <x:row r="23" customHeight="1">
      <x:c r="B23" s="4"/>
      <x:c r="C23" s="3"/>
      <x:c r="D23" s="3" t="str">
        <x:v>超级美食分数减少</x:v>
      </x:c>
      <x:c r="E23" s="3" t="str">
        <x:v>超级美食要求分数-10%</x:v>
      </x:c>
      <x:c r="H23" s="1" t="n">
        <x:v>22</x:v>
      </x:c>
      <x:c r="I23" s="2" t="str">
        <x:f t="shared" si="0"/>
        <x:v>超级美食要求分数-10%</x:v>
      </x:c>
    </x:row>
    <x:row r="24" customHeight="1">
      <x:c r="B24" s="4"/>
      <x:c r="C24" s="4"/>
      <x:c r="D24" s="3" t="str">
        <x:v>盛宴美食分数减少</x:v>
      </x:c>
      <x:c r="E24" s="3" t="str">
        <x:v>盛宴美食要求分数-10%</x:v>
      </x:c>
      <x:c r="H24" s="1" t="n">
        <x:v>23</x:v>
      </x:c>
      <x:c r="I24" s="2" t="str">
        <x:f t="shared" si="0"/>
        <x:v>盛宴美食要求分数-10%</x:v>
      </x:c>
    </x:row>
    <x:row r="25" customHeight="1">
      <x:c r="B25" s="4"/>
      <x:c r="C25" s="4" t="str">
        <x:v>数量检测</x:v>
      </x:c>
      <x:c r="D25" s="3" t="str">
        <x:v>胃部食物数量</x:v>
      </x:c>
      <x:c r="E25" s="3" t="str">
        <x:v>结算时，食物数量小于等于10，所有美食倍率x1.1</x:v>
      </x:c>
      <x:c r="H25" s="1" t="n">
        <x:v>24</x:v>
      </x:c>
      <x:c r="I25" s="2" t="str">
        <x:f t="shared" si="0"/>
        <x:v>结算时，食物数量小于等于10，所有美食倍率x1.1</x:v>
      </x:c>
    </x:row>
    <x:row r="26" customHeight="1">
      <x:c r="B26" s="4"/>
      <x:c r="C26" s="4"/>
      <x:c r="D26" s="3" t="str">
        <x:v>胃部食物数量</x:v>
      </x:c>
      <x:c r="E26" s="3" t="str">
        <x:v>结算时，食物数量大于等于10，所有美食倍率x1.1</x:v>
      </x:c>
      <x:c r="H26" s="1" t="n">
        <x:v>25</x:v>
      </x:c>
      <x:c r="I26" s="2" t="str">
        <x:f t="shared" si="0"/>
        <x:v>结算时，食物数量大于等于10，所有美食倍率x1.1</x:v>
      </x:c>
    </x:row>
    <x:row r="27" customHeight="1">
      <x:c r="B27" s="4"/>
      <x:c r="C27" s="3" t="str">
        <x:v>结算次数</x:v>
      </x:c>
      <x:c r="D27" s="3" t="str">
        <x:v>每次结算倍数增加</x:v>
      </x:c>
      <x:c r="E27" s="3" t="str">
        <x:v>结算时，食物倍率+0倍（每结算1个食物+0.1倍）</x:v>
      </x:c>
      <x:c r="H27" s="1" t="n">
        <x:v>26</x:v>
      </x:c>
      <x:c r="I27" s="2" t="str">
        <x:f t="shared" si="0"/>
        <x:v>结算时，食物倍率+0倍（每结算1个食物+0.1倍）</x:v>
      </x:c>
    </x:row>
    <x:row r="28" customHeight="1">
      <x:c r="B28" s="4"/>
      <x:c r="C28" s="4" t="str">
        <x:v>分数增加</x:v>
      </x:c>
      <x:c r="D28" s="3" t="str">
        <x:v>永久增加</x:v>
      </x:c>
      <x:c r="E28" s="3" t="str">
        <x:v>所有食物基础分数永久+10</x:v>
      </x:c>
      <x:c r="H28" s="1" t="n">
        <x:v>27</x:v>
      </x:c>
      <x:c r="I28" s="2" t="str">
        <x:f t="shared" si="0"/>
        <x:v>所有食物基础分数永久+10</x:v>
      </x:c>
    </x:row>
    <x:row r="29" customHeight="1">
      <x:c r="B29" s="4"/>
      <x:c r="C29" s="3" t="str">
        <x:v>倍率增加</x:v>
      </x:c>
      <x:c r="D29" s="3" t="str">
        <x:v>永久增加</x:v>
      </x:c>
      <x:c r="E29" s="3" t="str">
        <x:v>所有食物基础倍率永久+0.2</x:v>
      </x:c>
      <x:c r="H29" s="1" t="n">
        <x:v>28</x:v>
      </x:c>
      <x:c r="I29" s="2" t="str">
        <x:f t="shared" si="0"/>
        <x:v>所有食物基础倍率永久+0.2</x:v>
      </x:c>
    </x:row>
    <x:row r="30" customHeight="1">
      <x:c r="B30" s="4"/>
      <x:c r="C30" s="3" t="str">
        <x:v>上菜</x:v>
      </x:c>
      <x:c r="D30" s="3" t="str">
        <x:v>观星</x:v>
      </x:c>
      <x:c r="E30" s="3" t="str">
        <x:v>每5次上菜后，下一次上菜，可以看见食物是什么</x:v>
      </x:c>
      <x:c r="H30" s="1" t="n">
        <x:v>29</x:v>
      </x:c>
      <x:c r="I30" s="2" t="str">
        <x:f t="shared" si="0"/>
        <x:v>每5次上菜后，下一次上菜，可以看见食物是什么</x:v>
      </x:c>
    </x:row>
    <x:row r="31" customHeight="1">
      <x:c r="B31" s="4"/>
      <x:c r="C31" s="3"/>
      <x:c r="D31" s="3" t="str">
        <x:v>观星</x:v>
      </x:c>
      <x:c r="E31" s="3" t="str">
        <x:v>每局前三次上菜，可以看见食物</x:v>
      </x:c>
      <x:c r="H31" s="1" t="n">
        <x:v>30</x:v>
      </x:c>
      <x:c r="I31" s="2" t="str">
        <x:f t="shared" si="0"/>
        <x:v>每局前三次上菜，可以看见食物</x:v>
      </x:c>
    </x:row>
    <x:row r="32" customHeight="1">
      <x:c r="B32" s="4"/>
      <x:c r="C32" s="3" t="str">
        <x:v>食物转换</x:v>
      </x:c>
      <x:c r="D32" s="3" t="str">
        <x:v>食物转换</x:v>
      </x:c>
      <x:c r="E32" s="3" t="str">
        <x:v>随机将5个食物，变为至少同品质的食物</x:v>
      </x:c>
      <x:c r="H32" s="1" t="n">
        <x:v>31</x:v>
      </x:c>
      <x:c r="I32" s="2" t="str">
        <x:f t="shared" si="0"/>
        <x:v>随机将5个食物，变为至少同品质的食物</x:v>
      </x:c>
    </x:row>
    <x:row r="33" customHeight="1">
      <x:c r="B33" s="4"/>
      <x:c r="C33" s="4"/>
      <x:c r="D33" s="3" t="str">
        <x:v>商店给钱</x:v>
      </x:c>
      <x:c r="E33" s="3" t="str">
        <x:v>进入商店时，获得10金币</x:v>
      </x:c>
      <x:c r="H33" s="1" t="n">
        <x:v>32</x:v>
      </x:c>
      <x:c r="I33" s="2" t="str">
        <x:f t="shared" si="0"/>
        <x:v>进入商店时，获得10金币</x:v>
      </x:c>
    </x:row>
    <x:row r="34" customHeight="1">
      <x:c r="B34" s="4"/>
      <x:c r="C34" s="4"/>
      <x:c r="D34" s="3" t="str">
        <x:v>利息</x:v>
      </x:c>
      <x:c r="E34" s="3" t="str">
        <x:v>每周结束，额外执行一次利息</x:v>
      </x:c>
      <x:c r="H34" s="1" t="n">
        <x:v>33</x:v>
      </x:c>
      <x:c r="I34" s="2" t="str">
        <x:f t="shared" si="0"/>
        <x:v>每周结束，额外执行一次利息</x:v>
      </x:c>
    </x:row>
    <x:row r="35" customHeight="1">
      <x:c r="B35" s="4"/>
      <x:c r="C35" s="3"/>
      <x:c r="D35" s="3" t="str">
        <x:v>保底钱</x:v>
      </x:c>
      <x:c r="E35" s="3" t="str">
        <x:v>回合结束金币小于10时，获得10金币</x:v>
      </x:c>
      <x:c r="H35" s="1" t="n">
        <x:v>34</x:v>
      </x:c>
      <x:c r="I35" s="2" t="str">
        <x:f t="shared" si="0"/>
        <x:v>回合结束金币小于10时，获得10金币</x:v>
      </x:c>
    </x:row>
    <x:row r="36" customHeight="1">
      <x:c r="B36" s="4"/>
      <x:c r="C36" s="3"/>
      <x:c r="D36" s="6" t="str">
        <x:v>利息上限</x:v>
      </x:c>
      <x:c r="E36" s="3" t="str">
        <x:v>利息上限扩展到10金币</x:v>
      </x:c>
      <x:c r="H36" s="1" t="n">
        <x:v>35</x:v>
      </x:c>
      <x:c r="I36" s="2" t="str">
        <x:f t="shared" si="0"/>
        <x:v>利息上限扩展到10金币</x:v>
      </x:c>
    </x:row>
    <x:row r="37" customHeight="1">
      <x:c r="B37" s="4"/>
      <x:c r="C37" s="3"/>
      <x:c r="D37" s="3" t="str">
        <x:v>贷款</x:v>
      </x:c>
      <x:c r="E37" s="3" t="str">
        <x:v>临时获得300金币，下一周失去600金币</x:v>
      </x:c>
      <x:c r="H37" s="1" t="n">
        <x:v>36</x:v>
      </x:c>
      <x:c r="I37" s="2" t="str">
        <x:f t="shared" si="0"/>
        <x:v>临时获得300金币，下一周失去600金币</x:v>
      </x:c>
    </x:row>
    <x:row r="38" customHeight="1">
      <x:c r="B38" s="4"/>
      <x:c r="C38" s="3" t="str">
        <x:v>时间轴</x:v>
      </x:c>
      <x:c r="D38" s="3" t="str">
        <x:v>随机</x:v>
      </x:c>
      <x:c r="E38" s="3" t="str">
        <x:v>随机化时间轴的节点事件。</x:v>
      </x:c>
      <x:c r="H38" s="1" t="n">
        <x:v>37</x:v>
      </x:c>
      <x:c r="I38" s="2" t="str">
        <x:f t="shared" si="0"/>
        <x:v>随机化时间轴的节点事件。</x:v>
      </x:c>
    </x:row>
    <x:row r="39" customHeight="1">
      <x:c r="B39" s="4"/>
      <x:c r="C39" s="4"/>
      <x:c r="D39" s="3" t="str">
        <x:v>增加第八天</x:v>
      </x:c>
      <x:c r="E39" s="3" t="str">
        <x:v>延后所有Boss一天</x:v>
      </x:c>
      <x:c r="H39" s="1" t="n">
        <x:v>38</x:v>
      </x:c>
      <x:c r="I39" s="2" t="str">
        <x:f t="shared" si="0"/>
        <x:v>延后所有Boss一天</x:v>
      </x:c>
    </x:row>
    <x:row r="40" customHeight="1">
      <x:c r="B40" s="4"/>
      <x:c r="C40" s="4"/>
      <x:c r="D40" s="3" t="str">
        <x:v>周数-1</x:v>
      </x:c>
      <x:c r="E40" s="3" t="str">
        <x:v>周数-1</x:v>
      </x:c>
      <x:c r="H40" s="1" t="n">
        <x:v>39</x:v>
      </x:c>
      <x:c r="I40" s="2" t="str">
        <x:f t="shared" si="0"/>
        <x:v>周数-1</x:v>
      </x:c>
    </x:row>
    <x:row r="41" customHeight="1">
      <x:c r="B41" s="4"/>
      <x:c r="C41" s="4"/>
      <x:c r="D41" s="3" t="str">
        <x:v>增加奖励节点</x:v>
      </x:c>
      <x:c r="E41" s="3" t="str">
        <x:v>增加一个奖励节点到时间轴上</x:v>
      </x:c>
      <x:c r="H41" s="1" t="n">
        <x:v>40</x:v>
      </x:c>
      <x:c r="I41" s="2" t="str">
        <x:f t="shared" si="0"/>
        <x:v>增加一个奖励节点到时间轴上</x:v>
      </x:c>
    </x:row>
    <x:row r="42" customHeight="1">
      <x:c r="B42" s="4"/>
      <x:c r="C42" s="4"/>
      <x:c r="D42" s="3" t="str">
        <x:v>增加利息节点</x:v>
      </x:c>
      <x:c r="E42" s="3" t="str">
        <x:v>增加一个利息节点到时间轴上</x:v>
      </x:c>
      <x:c r="H42" s="1" t="n">
        <x:v>41</x:v>
      </x:c>
      <x:c r="I42" s="2" t="str">
        <x:f t="shared" si="0"/>
        <x:v>增加一个利息节点到时间轴上</x:v>
      </x:c>
    </x:row>
    <x:row r="43" customHeight="1">
      <x:c r="B43" s="4"/>
      <x:c r="C43" s="4" t="str">
        <x:v>分数加倍</x:v>
      </x:c>
      <x:c r="D43" s="3" t="str">
        <x:v>每3个</x:v>
      </x:c>
      <x:c r="E43" s="3" t="str">
        <x:v>每上3个食物后，下一个食物倍率+2</x:v>
      </x:c>
      <x:c r="H43" s="1" t="n">
        <x:v>42</x:v>
      </x:c>
      <x:c r="I43" s="2" t="str">
        <x:f t="shared" si="0"/>
        <x:v>每上3个食物后，下一个食物倍率+2</x:v>
      </x:c>
    </x:row>
    <x:row r="44" customHeight="1">
      <x:c r="B44" s="4"/>
      <x:c r="C44" s="3"/>
      <x:c r="D44" s="3" t="str">
        <x:v>第一个</x:v>
      </x:c>
      <x:c r="E44" s="3" t="str">
        <x:v>第一个上的食物，倍率x2</x:v>
      </x:c>
      <x:c r="H44" s="1" t="n">
        <x:v>43</x:v>
      </x:c>
      <x:c r="I44" s="2" t="str">
        <x:f t="shared" si="0"/>
        <x:v>第一个上的食物，倍率x2</x:v>
      </x:c>
    </x:row>
    <x:row r="45" customHeight="1">
      <x:c r="B45" s="4"/>
      <x:c r="C45" s="4"/>
      <x:c r="D45" s="3" t="str">
        <x:v>最后一个</x:v>
      </x:c>
      <x:c r="E45" s="3" t="str">
        <x:v>最后一个上的食物，倍率x2</x:v>
      </x:c>
      <x:c r="H45" s="1" t="n">
        <x:v>44</x:v>
      </x:c>
      <x:c r="I45" s="2" t="str">
        <x:f t="shared" si="0"/>
        <x:v>最后一个上的食物，倍率x2</x:v>
      </x:c>
    </x:row>
    <x:row r="46" customHeight="1">
      <x:c r="B46" s="4"/>
      <x:c r="C46" s="4" t="str">
        <x:v>主动道具</x:v>
      </x:c>
      <x:c r="D46" s="3" t="str">
        <x:v>额外道具栏</x:v>
      </x:c>
      <x:c r="E46" s="3" t="str">
        <x:v>增加2个额外主动道具栏</x:v>
      </x:c>
      <x:c r="H46" s="1" t="n">
        <x:v>45</x:v>
      </x:c>
      <x:c r="I46" s="2" t="str">
        <x:f t="shared" si="0"/>
        <x:v>增加2个额外主动道具栏</x:v>
      </x:c>
    </x:row>
    <x:row r="47" customHeight="1">
      <x:c r="B47" s="4"/>
      <x:c r="C47" s="4"/>
      <x:c r="D47" s="3" t="str">
        <x:v>给钱</x:v>
      </x:c>
      <x:c r="E47" s="3" t="str">
        <x:v>使用主动道具时，获得20金币</x:v>
      </x:c>
      <x:c r="H47" s="1" t="n">
        <x:v>46</x:v>
      </x:c>
      <x:c r="I47" s="2" t="str">
        <x:f t="shared" si="0"/>
        <x:v>使用主动道具时，获得20金币</x:v>
      </x:c>
    </x:row>
    <x:row r="48" customHeight="1">
      <x:c r="B48" s="4"/>
      <x:c r="C48" s="4"/>
      <x:c r="D48" s="3" t="str">
        <x:v>屏蔽</x:v>
      </x:c>
      <x:c r="E48" s="3" t="str">
        <x:v>无法获得主动道具，获得1000金币</x:v>
      </x:c>
      <x:c r="H48" s="1" t="n">
        <x:v>47</x:v>
      </x:c>
      <x:c r="I48" s="2" t="str">
        <x:f t="shared" si="0"/>
        <x:v>无法获得主动道具，获得1000金币</x:v>
      </x:c>
    </x:row>
    <x:row r="49" customHeight="1">
      <x:c r="B49" s="4"/>
      <x:c r="C49" s="3" t="str">
        <x:v>风味</x:v>
      </x:c>
      <x:c r="D49" s="3" t="str">
        <x:v>强化风味</x:v>
      </x:c>
      <x:c r="E49" s="3" t="str">
        <x:v>强化两个随机风味到无风味食物上</x:v>
      </x:c>
      <x:c r="H49" s="1" t="n">
        <x:v>48</x:v>
      </x:c>
      <x:c r="I49" s="2" t="str">
        <x:f t="shared" si="0"/>
        <x:v>强化两个随机风味到无风味食物上</x:v>
      </x:c>
    </x:row>
    <x:row r="50" customHeight="1">
      <x:c r="B50" s="4"/>
      <x:c r="C50" s="4"/>
      <x:c r="D50" s="3" t="str">
        <x:v>移除风味+获得钱</x:v>
      </x:c>
      <x:c r="E50" s="3" t="str">
        <x:v>移除一个食物的风味，获得200金币</x:v>
      </x:c>
      <x:c r="H50" s="1" t="n">
        <x:v>49</x:v>
      </x:c>
      <x:c r="I50" s="2" t="str">
        <x:f t="shared" si="0"/>
        <x:v>移除一个食物的风味，获得200金币</x:v>
      </x:c>
    </x:row>
    <x:row r="51" customHeight="1">
      <x:c r="B51" s="4"/>
      <x:c r="C51" s="4"/>
      <x:c r="D51" s="3" t="str">
        <x:v>移除风味+技能x2</x:v>
      </x:c>
      <x:c r="E51" s="3" t="str">
        <x:v>移除一个食物的风味，其技能复制</x:v>
      </x:c>
      <x:c r="H51" s="1" t="n">
        <x:v>50</x:v>
      </x:c>
      <x:c r="I51" s="2" t="str">
        <x:f t="shared" si="0"/>
        <x:v>移除一个食物的风味，其技能复制</x:v>
      </x:c>
    </x:row>
    <x:row r="52" customHeight="1">
      <x:c r="B52" s="4"/>
      <x:c r="C52" s="3"/>
      <x:c r="D52" s="3" t="str">
        <x:v>基础风味+分数x2</x:v>
      </x:c>
      <x:c r="E52" s="3" t="str">
        <x:v>移除一个食物的风味，其分数翻倍</x:v>
      </x:c>
      <x:c r="H52" s="1" t="n">
        <x:v>51</x:v>
      </x:c>
      <x:c r="I52" s="2" t="str">
        <x:f t="shared" si="0"/>
        <x:v>移除一个食物的风味，其分数翻倍</x:v>
      </x:c>
    </x:row>
    <x:row r="53" customHeight="1">
      <x:c r="B53" s="4"/>
      <x:c r="C53" s="4"/>
      <x:c r="D53" s="3" t="str">
        <x:v>风味上限</x:v>
      </x:c>
      <x:c r="E53" s="3" t="str">
        <x:v>允许一个食物拥有两个风味</x:v>
      </x:c>
      <x:c r="H53" s="1" t="n">
        <x:v>52</x:v>
      </x:c>
      <x:c r="I53" s="2" t="str">
        <x:f t="shared" si="0"/>
        <x:v>允许一个食物拥有两个风味</x:v>
      </x:c>
    </x:row>
    <x:row r="54" customHeight="1">
      <x:c r="B54" s="4"/>
      <x:c r="C54" s="4"/>
      <x:c r="D54" s="3" t="str">
        <x:v>风味传染</x:v>
      </x:c>
      <x:c r="E54" s="3" t="str">
        <x:v>将一个食物的风味强化到无风味食物上</x:v>
      </x:c>
      <x:c r="H54" s="1" t="n">
        <x:v>53</x:v>
      </x:c>
      <x:c r="I54" s="2" t="str">
        <x:f t="shared" si="0"/>
        <x:v>将一个食物的风味强化到无风味食物上</x:v>
      </x:c>
    </x:row>
    <x:row r="55" customHeight="1">
      <x:c r="B55" s="4"/>
      <x:c r="C55" s="3" t="str">
        <x:v>标签</x:v>
      </x:c>
      <x:c r="D55" s="3" t="str">
        <x:v>强化标签</x:v>
      </x:c>
      <x:c r="E55" s="3" t="str">
        <x:v>强化两个随机标签到胃部格子上</x:v>
      </x:c>
      <x:c r="H55" s="1" t="n">
        <x:v>54</x:v>
      </x:c>
      <x:c r="I55" s="2" t="str">
        <x:f t="shared" si="0"/>
        <x:v>强化两个随机标签到胃部格子上</x:v>
      </x:c>
    </x:row>
    <x:row r="56" customHeight="1">
      <x:c r="B56" s="4"/>
      <x:c r="C56" s="4"/>
      <x:c r="D56" s="3" t="str">
        <x:v>标签传染</x:v>
      </x:c>
      <x:c r="E56" s="3" t="str">
        <x:v>将一个格子的标签强化到其他格子上</x:v>
      </x:c>
      <x:c r="H56" s="1" t="n">
        <x:v>55</x:v>
      </x:c>
      <x:c r="I56" s="2" t="str">
        <x:f t="shared" si="0"/>
        <x:v>将一个格子的标签强化到其他格子上</x:v>
      </x:c>
    </x:row>
    <x:row r="57" customHeight="1">
      <x:c r="B57" s="4"/>
      <x:c r="C57" s="4" t="str">
        <x:v>行动</x:v>
      </x:c>
      <x:c r="D57" s="3" t="str">
        <x:v>好运</x:v>
      </x:c>
      <x:c r="E57" s="3" t="str">
        <x:v>每4个事件的最后一个是奖励事件</x:v>
      </x:c>
      <x:c r="H57" s="1" t="n">
        <x:v>56</x:v>
      </x:c>
      <x:c r="I57" s="2" t="str">
        <x:f t="shared" si="0"/>
        <x:v>每4个事件的最后一个是奖励事件</x:v>
      </x:c>
    </x:row>
    <x:row r="58" customHeight="1">
      <x:c r="B58" s="4"/>
      <x:c r="C58" s="4"/>
      <x:c r="D58" s="3" t="str">
        <x:v>好运</x:v>
      </x:c>
      <x:c r="E58" s="3" t="str">
        <x:v>事件中遇到奖励的概率提高</x:v>
      </x:c>
      <x:c r="H58" s="1" t="n">
        <x:v>57</x:v>
      </x:c>
      <x:c r="I58" s="2" t="str">
        <x:f t="shared" si="0"/>
        <x:v>事件中遇到奖励的概率提高</x:v>
      </x:c>
    </x:row>
    <x:row r="59" customHeight="1">
      <x:c r="B59" s="4"/>
      <x:c r="C59" s="4"/>
      <x:c r="D59" s="3" t="str">
        <x:v>事件变多</x:v>
      </x:c>
      <x:c r="E59" s="3" t="str">
        <x:v>遇到事件的概率提高</x:v>
      </x:c>
      <x:c r="H59" s="1" t="n">
        <x:v>58</x:v>
      </x:c>
      <x:c r="I59" s="2" t="str">
        <x:f t="shared" si="0"/>
        <x:v>遇到事件的概率提高</x:v>
      </x:c>
    </x:row>
    <x:row r="60" customHeight="1">
      <x:c r="B60" s="4"/>
      <x:c r="C60" s="4"/>
      <x:c r="D60" s="3" t="str">
        <x:v>事件给钱</x:v>
      </x:c>
      <x:c r="E60" s="3" t="str">
        <x:v>完成一个事件，获得10金币</x:v>
      </x:c>
      <x:c r="H60" s="1" t="n">
        <x:v>59</x:v>
      </x:c>
      <x:c r="I60" s="2" t="str">
        <x:f t="shared" si="0"/>
        <x:v>完成一个事件，获得10金币</x:v>
      </x:c>
    </x:row>
    <x:row r="61" customHeight="1">
      <x:c r="B61" s="4"/>
      <x:c r="C61" s="3"/>
      <x:c r="D61" s="3" t="str">
        <x:v>重新随机</x:v>
      </x:c>
      <x:c r="E61" s="3" t="str">
        <x:v>获得2次重新随机行动的</x:v>
      </x:c>
      <x:c r="H61" s="1" t="n">
        <x:v>60</x:v>
      </x:c>
      <x:c r="I61" s="2" t="str">
        <x:f t="shared" si="0"/>
        <x:v>商店会自动补货</x:v>
      </x:c>
    </x:row>
    <x:row r="62" customHeight="1">
      <x:c r="B62" s="4"/>
      <x:c r="C62" s="4" t="str">
        <x:v>商店</x:v>
      </x:c>
      <x:c r="D62" s="3" t="str">
        <x:v>补货</x:v>
      </x:c>
      <x:c r="E62" s="3" t="str">
        <x:v>商店会自动补货</x:v>
      </x:c>
      <x:c r="H62" s="1" t="n">
        <x:v>61</x:v>
      </x:c>
      <x:c r="I62" s="2" t="str">
        <x:f t="shared" si="0"/>
        <x:v>每3次超级美食，额外获得一个多选一物品</x:v>
      </x:c>
    </x:row>
    <x:row r="63" customHeight="1">
      <x:c r="B63" s="4"/>
      <x:c r="C63" s="3" t="str">
        <x:v>美食</x:v>
      </x:c>
      <x:c r="D63" s="3" t="str">
        <x:v>选择变多</x:v>
      </x:c>
      <x:c r="E63" s="3" t="str">
        <x:v>多选一食物时，可选数量+1</x:v>
      </x:c>
      <x:c r="H63" s="1" t="n">
        <x:v>62</x:v>
      </x:c>
      <x:c r="I63" s="2" t="str">
        <x:f t="shared" si="0"/>
        <x:v>多选一食物时，可选数量+1</x:v>
      </x:c>
    </x:row>
    <x:row r="64" customHeight="1">
      <x:c r="B64" s="4"/>
      <x:c r="C64" s="4"/>
      <x:c r="D64" s="3" t="str">
        <x:v>多选择</x:v>
      </x:c>
      <x:c r="E64" s="3" t="str">
        <x:v>多选一食物时，可选次数+1，可选数量-1</x:v>
      </x:c>
      <x:c r="H64" s="1" t="n">
        <x:v>63</x:v>
      </x:c>
      <x:c r="I64" s="2" t="str">
        <x:f t="shared" si="0"/>
        <x:v>多选一食物时，可选次数+1，可选数量-1</x:v>
      </x:c>
    </x:row>
    <x:row r="65" customHeight="1">
      <x:c r="B65" s="4"/>
      <x:c r="C65" s="4"/>
      <x:c r="D65" s="3" t="str">
        <x:v>额外美食</x:v>
      </x:c>
      <x:c r="E65" s="3" t="str">
        <x:v>每3次普通美食，额外获得一个多选一美食</x:v>
      </x:c>
      <x:c r="H65" s="1" t="n">
        <x:v>64</x:v>
      </x:c>
      <x:c r="I65" s="2" t="str">
        <x:f t="shared" si="0"/>
        <x:v>每3次普通美食，额外获得一个多选一美食</x:v>
      </x:c>
    </x:row>
    <x:row r="66" customHeight="1">
      <x:c r="B66" s="4"/>
      <x:c r="C66" s="4"/>
      <x:c r="D66" s="3" t="str">
        <x:v>额外物品</x:v>
      </x:c>
      <x:c r="E66" s="3" t="str">
        <x:v>每3次超级美食，额外获得一个多选一物品</x:v>
      </x:c>
      <x:c r="H66" s="1" t="n">
        <x:v>65</x:v>
      </x:c>
      <x:c r="I66" s="2" t="str">
        <x:f t="shared" ref="I66:I94" si="1">E66</x:f>
        <x:v>每3次超级美食，额外获得一个多选一物品</x:v>
      </x:c>
    </x:row>
    <x:row r="67" customHeight="1">
      <x:c r="B67" s="4"/>
      <x:c r="C67" s="4"/>
      <x:c r="D67" s="3" t="str">
        <x:v>复制美食</x:v>
      </x:c>
      <x:c r="E67" s="3" t="str">
        <x:v>随机复制一个美食</x:v>
      </x:c>
      <x:c r="H67" s="1" t="n">
        <x:v>66</x:v>
      </x:c>
      <x:c r="I67" s="2" t="str">
        <x:f t="shared" si="1"/>
        <x:v>随机复制一个美食</x:v>
      </x:c>
    </x:row>
    <x:row r="68" customHeight="1">
      <x:c r="B68" s="4"/>
      <x:c r="C68" s="3" t="str">
        <x:v>负面</x:v>
      </x:c>
      <x:c r="D68" s="3" t="str">
        <x:v>丢弃</x:v>
      </x:c>
      <x:c r="E68" s="3" t="str">
        <x:v>丢弃两个负面道具</x:v>
      </x:c>
      <x:c r="H68" s="1" t="n">
        <x:v>67</x:v>
      </x:c>
      <x:c r="I68" s="2" t="str">
        <x:f t="shared" si="1"/>
        <x:v>丢弃两个负面道具</x:v>
      </x:c>
    </x:row>
    <x:row r="69" customHeight="1">
      <x:c r="B69" s="4"/>
      <x:c r="C69" s="3"/>
      <x:c r="D69" s="3" t="str">
        <x:v>转化</x:v>
      </x:c>
      <x:c r="E69" s="3" t="str">
        <x:v>丢弃所有负面道具，每丢弃一个获得100金币</x:v>
      </x:c>
      <x:c r="H69" s="1" t="n">
        <x:v>68</x:v>
      </x:c>
      <x:c r="I69" s="2" t="str">
        <x:f t="shared" si="1"/>
        <x:v>丢弃所有负面道具，每丢弃一个获得100金币</x:v>
      </x:c>
    </x:row>
    <x:row r="70" customHeight="1">
      <x:c r="B70" s="4" t="str">
        <x:v>通用负面</x:v>
      </x:c>
      <x:c r="C70" s="4" t="str">
        <x:v>运营</x:v>
      </x:c>
      <x:c r="D70" s="3" t="str">
        <x:v>金币减少</x:v>
      </x:c>
      <x:c r="E70" s="3" t="str">
        <x:v>美食获得的金币减少25%</x:v>
      </x:c>
      <x:c r="H70" s="1" t="n">
        <x:v>69</x:v>
      </x:c>
      <x:c r="I70" s="2" t="str">
        <x:f t="shared" si="1"/>
        <x:v>美食获得的金币减少25%</x:v>
      </x:c>
    </x:row>
    <x:row r="71" customHeight="1">
      <x:c r="B71" s="4"/>
      <x:c r="C71" s="4"/>
      <x:c r="D71" s="3" t="str">
        <x:v>价格变高</x:v>
      </x:c>
      <x:c r="E71" s="3" t="str">
        <x:v>商店的价格变高25%</x:v>
      </x:c>
      <x:c r="H71" s="1" t="n">
        <x:v>70</x:v>
      </x:c>
      <x:c r="I71" s="2" t="str">
        <x:f t="shared" si="1"/>
        <x:v>商店的价格变高25%</x:v>
      </x:c>
    </x:row>
    <x:row r="72" customHeight="1">
      <x:c r="B72" s="4"/>
      <x:c r="C72" s="4"/>
      <x:c r="D72" s="3" t="str">
        <x:v>无法删菜</x:v>
      </x:c>
      <x:c r="E72" s="3" t="str">
        <x:v>无法再删除食物</x:v>
      </x:c>
      <x:c r="H72" s="1" t="n">
        <x:v>71</x:v>
      </x:c>
      <x:c r="I72" s="2" t="str">
        <x:f t="shared" si="1"/>
        <x:v>无法再删除食物</x:v>
      </x:c>
    </x:row>
    <x:row r="73" customHeight="1">
      <x:c r="B73" s="4"/>
      <x:c r="C73" s="4"/>
      <x:c r="D73" s="3" t="str">
        <x:v>节点失效</x:v>
      </x:c>
      <x:c r="E73" s="3" t="str">
        <x:v>跳过下一个商店或利息节点</x:v>
      </x:c>
      <x:c r="H73" s="1" t="n">
        <x:v>72</x:v>
      </x:c>
      <x:c r="I73" s="2" t="str">
        <x:f t="shared" si="1"/>
        <x:v>跳过下一个商店或利息节点</x:v>
      </x:c>
    </x:row>
    <x:row r="74" customHeight="1">
      <x:c r="B74" s="4"/>
      <x:c r="C74" s="3"/>
      <x:c r="D74" s="3" t="str">
        <x:v>少选择</x:v>
      </x:c>
      <x:c r="E74" s="3" t="str">
        <x:v>多选一食物时，可选数量-1</x:v>
      </x:c>
      <x:c r="H74" s="1" t="n">
        <x:v>73</x:v>
      </x:c>
      <x:c r="I74" s="2" t="str">
        <x:f t="shared" si="1"/>
        <x:v>多选一食物时，可选数量-1</x:v>
      </x:c>
    </x:row>
    <x:row r="75" customHeight="1">
      <x:c r="B75" s="4"/>
      <x:c r="C75" s="3"/>
      <x:c r="D75" s="3" t="str">
        <x:v>普通美食分数增多</x:v>
      </x:c>
      <x:c r="E75" s="3" t="str">
        <x:v>普通美食要求分数+10%</x:v>
      </x:c>
      <x:c r="H75" s="1" t="n">
        <x:v>74</x:v>
      </x:c>
      <x:c r="I75" s="2" t="str">
        <x:f t="shared" si="1"/>
        <x:v>普通美食要求分数+10%</x:v>
      </x:c>
    </x:row>
    <x:row r="76" customHeight="1">
      <x:c r="B76" s="3"/>
      <x:c r="C76" s="3"/>
      <x:c r="D76" s="3" t="str">
        <x:v>超级美食分数增多</x:v>
      </x:c>
      <x:c r="E76" s="3" t="str">
        <x:v>超级美食要求分数+10%</x:v>
      </x:c>
      <x:c r="H76" s="1" t="n">
        <x:v>75</x:v>
      </x:c>
      <x:c r="I76" s="2" t="str">
        <x:f t="shared" si="1"/>
        <x:v>超级美食要求分数+10%</x:v>
      </x:c>
    </x:row>
    <x:row r="77" customHeight="1">
      <x:c r="B77" s="4"/>
      <x:c r="C77" s="4"/>
      <x:c r="D77" s="3" t="str">
        <x:v>盛宴美食分数增多</x:v>
      </x:c>
      <x:c r="E77" s="3" t="str">
        <x:v>盛宴美食要求分数+10%</x:v>
      </x:c>
      <x:c r="H77" s="1" t="n">
        <x:v>76</x:v>
      </x:c>
      <x:c r="I77" s="2" t="str">
        <x:f t="shared" si="1"/>
        <x:v>盛宴美食要求分数+10%</x:v>
      </x:c>
    </x:row>
    <x:row r="78" customHeight="1">
      <x:c r="B78" s="4"/>
      <x:c r="C78" s="4"/>
      <x:c r="D78" s="3" t="str">
        <x:v>金币清空</x:v>
      </x:c>
      <x:c r="E78" s="3" t="str">
        <x:v>本周结束时，金币清空</x:v>
      </x:c>
      <x:c r="H78" s="1" t="n">
        <x:v>77</x:v>
      </x:c>
      <x:c r="I78" s="2" t="str">
        <x:f t="shared" si="1"/>
        <x:v>本周结束时，金币清空</x:v>
      </x:c>
    </x:row>
    <x:row r="79" customHeight="1">
      <x:c r="B79" s="4" t="str">
        <x:v>专有</x:v>
      </x:c>
      <x:c r="C79" s="4" t="str">
        <x:v>小而多</x:v>
      </x:c>
      <x:c r="D79" s="3" t="str">
        <x:v>额外视为</x:v>
      </x:c>
      <x:c r="E79" s="3" t="str">
        <x:v>所有食物额外被视为1个食物</x:v>
      </x:c>
      <x:c r="H79" s="1" t="n">
        <x:v>78</x:v>
      </x:c>
      <x:c r="I79" s="2" t="str">
        <x:f t="shared" si="1"/>
        <x:v>所有食物额外被视为1个食物</x:v>
      </x:c>
    </x:row>
    <x:row r="80" customHeight="1">
      <x:c r="B80" s="4"/>
      <x:c r="C80" s="4" t="str">
        <x:v>传递</x:v>
      </x:c>
      <x:c r="D80" s="3" t="str">
        <x:v>传递加分</x:v>
      </x:c>
      <x:c r="E80" s="3" t="str">
        <x:v>传递时，被传递方倍率x1.1</x:v>
      </x:c>
      <x:c r="H80" s="1" t="n">
        <x:v>79</x:v>
      </x:c>
      <x:c r="I80" s="2" t="str">
        <x:f t="shared" si="1"/>
        <x:v>传递时，被传递方倍率x1.1</x:v>
      </x:c>
    </x:row>
    <x:row r="81" customHeight="1">
      <x:c r="B81" s="4"/>
      <x:c r="C81" s="4"/>
      <x:c r="D81" s="3" t="str">
        <x:v>传递加分</x:v>
      </x:c>
      <x:c r="E81" s="3" t="str">
        <x:v>传递时，传递方倍率x1.1</x:v>
      </x:c>
      <x:c r="H81" s="1" t="n">
        <x:v>80</x:v>
      </x:c>
      <x:c r="I81" s="2" t="str">
        <x:f t="shared" si="1"/>
        <x:v>传递时，传递方倍率x1.1</x:v>
      </x:c>
    </x:row>
    <x:row r="82" customHeight="1">
      <x:c r="B82" s="4"/>
      <x:c r="C82" s="4"/>
      <x:c r="D82" s="3" t="str">
        <x:v>技能数加分</x:v>
      </x:c>
      <x:c r="E82" s="3" t="str">
        <x:v>结算时，倍率x1（每一个技能+0.1倍）</x:v>
      </x:c>
      <x:c r="H82" s="1" t="n">
        <x:v>81</x:v>
      </x:c>
      <x:c r="I82" s="2" t="str">
        <x:f t="shared" si="1"/>
        <x:v>结算时，倍率x1（每一个技能+0.1倍）</x:v>
      </x:c>
    </x:row>
    <x:row r="83" customHeight="1">
      <x:c r="B83" s="4"/>
      <x:c r="C83" s="4"/>
      <x:c r="D83" s="3" t="str">
        <x:v>传递加钱</x:v>
      </x:c>
      <x:c r="E83" s="3" t="str">
        <x:v>传递10次后，获得10金币</x:v>
      </x:c>
      <x:c r="H83" s="1" t="n">
        <x:v>82</x:v>
      </x:c>
      <x:c r="I83" s="2" t="str">
        <x:f t="shared" si="1"/>
        <x:v>传递10次后，获得10金币</x:v>
      </x:c>
    </x:row>
    <x:row r="84" customHeight="1">
      <x:c r="B84" s="4"/>
      <x:c r="C84" s="4" t="str">
        <x:v>蛋糕</x:v>
      </x:c>
      <x:c r="D84" s="3" t="str">
        <x:v>层数保留</x:v>
      </x:c>
      <x:c r="E84" s="3" t="str">
        <x:v>每次保留10%的蛋糕层数至下一次美食</x:v>
      </x:c>
      <x:c r="H84" s="1" t="n">
        <x:v>83</x:v>
      </x:c>
      <x:c r="I84" s="2" t="str">
        <x:f t="shared" si="1"/>
        <x:v>每次保留10%的蛋糕层数至下一次美食</x:v>
      </x:c>
    </x:row>
    <x:row r="85" customHeight="1">
      <x:c r="B85" s="3"/>
      <x:c r="C85" s="3"/>
      <x:c r="D85" s="3" t="str">
        <x:v>层数保底</x:v>
      </x:c>
      <x:c r="E85" s="3" t="str">
        <x:v>蛋糕层数初始额外获得10层</x:v>
      </x:c>
      <x:c r="H85" s="1" t="n">
        <x:v>84</x:v>
      </x:c>
      <x:c r="I85" s="2" t="str">
        <x:f t="shared" si="1"/>
        <x:v>蛋糕层数初始额外获得10层</x:v>
      </x:c>
    </x:row>
    <x:row r="86" customHeight="1">
      <x:c r="B86" s="4"/>
      <x:c r="C86" s="3"/>
      <x:c r="D86" s="3" t="str">
        <x:v>加速叠层</x:v>
      </x:c>
      <x:c r="E86" s="3" t="str">
        <x:v>蛋糕层数增加时，额外加1层</x:v>
      </x:c>
      <x:c r="H86" s="1" t="n">
        <x:v>85</x:v>
      </x:c>
      <x:c r="I86" s="2" t="str">
        <x:f t="shared" si="1"/>
        <x:v>蛋糕层数增加时，额外加1层</x:v>
      </x:c>
    </x:row>
    <x:row r="87" customHeight="1">
      <x:c r="B87" s="4"/>
      <x:c r="C87" s="4"/>
      <x:c r="D87" s="3" t="str">
        <x:v>层数转钱</x:v>
      </x:c>
      <x:c r="E87" s="3" t="str">
        <x:v>蛋糕层数大于100层时，获得10金币</x:v>
      </x:c>
      <x:c r="H87" s="1" t="n">
        <x:v>86</x:v>
      </x:c>
      <x:c r="I87" s="2" t="str">
        <x:f t="shared" si="1"/>
        <x:v>蛋糕层数大于100层时，获得10金币</x:v>
      </x:c>
    </x:row>
    <x:row r="88" customHeight="1">
      <x:c r="B88" s="4"/>
      <x:c r="C88" s="4"/>
      <x:c r="D88" s="3" t="str">
        <x:v>要求减少</x:v>
      </x:c>
      <x:c r="E88" s="3" t="str">
        <x:v>蛋糕效果需求的层数-10</x:v>
      </x:c>
      <x:c r="H88" s="1" t="n">
        <x:v>87</x:v>
      </x:c>
      <x:c r="I88" s="2" t="str">
        <x:f t="shared" si="1"/>
        <x:v>蛋糕效果需求的层数-10</x:v>
      </x:c>
    </x:row>
    <x:row r="89" customHeight="1">
      <x:c r="B89" s="4"/>
      <x:c r="C89" s="4"/>
      <x:c r="D89" s="3"/>
      <x:c r="E89" s="3"/>
      <x:c r="H89" s="1" t="n">
        <x:v>88</x:v>
      </x:c>
      <x:c r="I89" s="2">
        <x:f t="shared" si="1"/>
      </x:c>
    </x:row>
    <x:row r="90" customHeight="1">
      <x:c r="B90"/>
      <x:c r="C90" s="3"/>
      <x:c r="D90" s="3"/>
      <x:c r="E90" s="3"/>
      <x:c r="H90" s="1"/>
      <x:c r="I90" s="2">
        <x:f t="shared" si="1"/>
      </x:c>
    </x:row>
    <x:row r="91" customHeight="1">
      <x:c r="B91" s="4"/>
      <x:c r="C91" s="4"/>
      <x:c r="D91" s="3"/>
      <x:c r="E91" s="3"/>
      <x:c r="H91" s="1"/>
      <x:c r="I91" s="2">
        <x:f t="shared" si="1"/>
      </x:c>
    </x:row>
    <x:row r="92" customHeight="1">
      <x:c r="B92" s="4"/>
      <x:c r="C92" s="4"/>
      <x:c r="D92" s="3"/>
      <x:c r="E92" s="3"/>
      <x:c r="H92" s="1"/>
      <x:c r="I92" s="2">
        <x:f t="shared" si="1"/>
      </x:c>
    </x:row>
    <x:row r="93" customHeight="1">
      <x:c r="B93" s="4"/>
      <x:c r="C93" s="4"/>
      <x:c r="D93" s="3"/>
      <x:c r="E93" s="3"/>
      <x:c r="H93" s="1"/>
      <x:c r="I93" s="2">
        <x:f t="shared" si="1"/>
      </x:c>
    </x:row>
    <x:row r="94" customHeight="1">
      <x:c r="B94" s="4"/>
      <x:c r="C94" s="4"/>
      <x:c r="D94" s="3"/>
      <x:c r="E94" s="3"/>
      <x:c r="H94" s="1"/>
      <x:c r="I94" s="2">
        <x:f t="shared" si="1"/>
      </x:c>
    </x:row>
    <x:row r="95" customHeight="1">
      <x:c r="B95" s="4"/>
      <x:c r="C95" s="4"/>
      <x:c r="D95" s="3"/>
      <x:c r="E95" s="3"/>
    </x:row>
    <x:row r="96" customHeight="1">
      <x:c r="B96" s="4"/>
    </x:row>
    <x:row r="97" customHeight="1">
      <x:c r="B97" s="4"/>
    </x:row>
    <x:row r="98" customHeight="1">
      <x:c r="B98" s="4"/>
    </x:row>
    <x:row r="99" customHeight="1">
      <x:c r="B99" s="4"/>
    </x:row>
    <x:row r="100" customHeight="1">
      <x:c r="B100" s="4"/>
    </x:row>
    <x:row r="101" customHeight="1">
      <x:c r="B101" s="4"/>
    </x:row>
    <x:row r="102" customHeight="1">
      <x:c r="B102" s="4"/>
    </x:row>
    <x:row r="103" customHeight="1">
      <x:c r="B103" s="4"/>
    </x:row>
    <x:row r="104" customHeight="1">
      <x:c r="B104" s="4"/>
    </x:row>
    <x:row r="105" customHeight="1">
      <x:c r="B105" s="4"/>
      <x:c r="C105" s="4"/>
      <x:c r="D105" s="3"/>
      <x:c r="E105" s="3"/>
    </x:row>
  </x:sheetData>
  <x:pageMargins left="0.7" right="0.7" top="0.75" bottom="0.75" header="0.3" footer="0.3"/>
</x:worksheet>
</file>