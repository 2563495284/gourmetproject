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<sst xmlns="http://schemas.openxmlformats.org/spreadsheetml/2006/main" count="1033" uniqueCount="632">
  <si>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</si>
  <si>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</si>
  <si>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</si>
  <si>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</si>
  <si>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</si>
  <si>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</si>
  <si>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</si>
  <si>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</si>
  <si>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</si>
  <si>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</si>
  <si>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</si>
  <si>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</si>
  <si>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</si>
  <si>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</si>
  <si>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</si>
  <si>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</si>
  <si>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</si>
  <si>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</si>
  <si>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2周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</si>
  <si>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</si>
  <si>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</si>
  <si>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</si>
  <si>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</si>
  <si>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</si>
  <si>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</si>
  <si>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</si>
  <si>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</si>
  <si>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</si>
  <si>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</si>
  <si>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</si>
  <si>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</si>
  <si>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</si>
  <si>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</si>
  <si>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</si>
  <si>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</si>
  <si>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关联术语ID(,| 分隔)</t>
  </si>
  <si>
    <t>商店基础价格</t>
  </si>
  <si>
    <t>3周</t>
  </si>
  <si>
    <t>##type</t>
  </si>
  <si>
    <t>string</t>
  </si>
  <si>
    <t>ItemQuality</t>
  </si>
  <si>
    <t>ItemSpecialTag</t>
  </si>
  <si>
    <t>float</t>
  </si>
  <si>
    <t>HiddenRange</t>
  </si>
  <si>
    <t>int</t>
  </si>
  <si>
    <t>4周</t>
  </si>
  <si>
    <t>item_randomize_items</t>
  </si>
  <si>
    <t>洗牌</t>
  </si>
  <si>
    <t>所有道具替换为随机道具</t>
  </si>
  <si>
    <t>Rare</t>
  </si>
  <si>
    <t>None</t>
  </si>
  <si>
    <t>30,80</t>
  </si>
  <si>
    <t>item_gold_random</t>
  </si>
  <si>
    <t>意外之财</t>
  </si>
  <si>
    <t>获得 20~140金币</t>
  </si>
  <si>
    <t>Common</t>
  </si>
  <si>
    <t>range:20,140</t>
  </si>
  <si>
    <t>10,80</t>
  </si>
  <si>
    <t>item_gold_meal_bonus</t>
  </si>
  <si>
    <t>营业提升</t>
  </si>
  <si>
    <t>接下来10次普通营业
额外获得10金币</t>
  </si>
  <si>
    <t>meals:10</t>
  </si>
  <si>
    <t>统计</t>
  </si>
  <si>
    <t>item_gold_boss</t>
  </si>
  <si>
    <t>星级奖金</t>
  </si>
  <si>
    <t>完成下次星级评鉴
额外+90金币</t>
  </si>
  <si>
    <t>common</t>
  </si>
  <si>
    <t>item_gold_percent</t>
  </si>
  <si>
    <t>利润提升</t>
  </si>
  <si>
    <t>营业结束获得的金币
额外+15%</t>
  </si>
  <si>
    <t>Uncommon</t>
  </si>
  <si>
    <t>20,80</t>
  </si>
  <si>
    <t>uncommon</t>
  </si>
  <si>
    <t>item_trash_upgrade</t>
  </si>
  <si>
    <t>垃圾桶强化</t>
  </si>
  <si>
    <t>丢弃次数+1</t>
  </si>
  <si>
    <t>rare</t>
  </si>
  <si>
    <t>item_trash_expand</t>
  </si>
  <si>
    <t>垃圾桶扩容</t>
  </si>
  <si>
    <t>epic</t>
  </si>
  <si>
    <t>40,80</t>
  </si>
  <si>
    <t>item_trash_evolve</t>
  </si>
  <si>
    <t>垃圾桶进化</t>
  </si>
  <si>
    <t>丢弃次数+2</t>
  </si>
  <si>
    <t>item_trash_mutate</t>
  </si>
  <si>
    <t>垃圾桶突变</t>
  </si>
  <si>
    <t>金币收益</t>
  </si>
  <si>
    <t>分数收益</t>
  </si>
  <si>
    <t>倍数收益</t>
  </si>
  <si>
    <t>item_discount_food</t>
  </si>
  <si>
    <t>食物券</t>
  </si>
  <si>
    <t>食物价格-10%</t>
  </si>
  <si>
    <t>被动传说</t>
  </si>
  <si>
    <t>item_discount_fragment</t>
  </si>
  <si>
    <t>餐桌券</t>
  </si>
  <si>
    <t>餐桌格价格-15%</t>
  </si>
  <si>
    <t>被动顶级</t>
  </si>
  <si>
    <t>##</t>
  </si>
  <si>
    <t>item_discount_active</t>
  </si>
  <si>
    <t>强化箱券</t>
  </si>
  <si>
    <t>强化箱价格-15%</t>
  </si>
  <si>
    <t>被动高级</t>
  </si>
  <si>
    <t>调整单券</t>
  </si>
  <si>
    <t>调整单价格-15%</t>
  </si>
  <si>
    <t>被动普通</t>
  </si>
  <si>
    <t>item_discount_passive</t>
  </si>
  <si>
    <t>道具券</t>
  </si>
  <si>
    <t>道具价格-15%</t>
  </si>
  <si>
    <t>item_discount_remove</t>
  </si>
  <si>
    <t>删牌券</t>
  </si>
  <si>
    <t>删牌价格-15%</t>
  </si>
  <si>
    <t>延迟性</t>
  </si>
  <si>
    <t>食物狂欢</t>
  </si>
  <si>
    <t>食物价格-20%</t>
  </si>
  <si>
    <t>餐桌狂欢</t>
  </si>
  <si>
    <t>餐桌格价格-25%</t>
  </si>
  <si>
    <t>强化箱狂欢</t>
  </si>
  <si>
    <t>强化箱价格-25%</t>
  </si>
  <si>
    <t>调整单狂欢</t>
  </si>
  <si>
    <t>调整单价格-25%</t>
  </si>
  <si>
    <t>道具狂欢</t>
  </si>
  <si>
    <t>道具价格-25%</t>
  </si>
  <si>
    <t>移除狂欢</t>
  </si>
  <si>
    <t>删牌价格-25%</t>
  </si>
  <si>
    <t>item_famous_knife</t>
  </si>
  <si>
    <t>名刀</t>
  </si>
  <si>
    <r>
      <rPr>
        <sz val="11"/>
        <color theme="1"/>
        <rFont val="Linux Libertine G"/>
        <charset val="134"/>
      </rPr>
      <t>即将失败时</t>
    </r>
    <r>
      <rPr>
        <sz val="11"/>
        <color theme="1"/>
        <rFont val="宋体-简"/>
        <charset val="134"/>
      </rPr>
      <t xml:space="preserve">
恢复至1个红心
生效1次后失效</t>
    </r>
  </si>
  <si>
    <t>每拥有1个红心
所有食物分数+5</t>
  </si>
  <si>
    <t>每拥有1个空红心
所有食物倍率+0.1</t>
  </si>
  <si>
    <t>item_score_to_one</t>
  </si>
  <si>
    <t>接下来2次营业
美味值要求为1</t>
  </si>
  <si>
    <t>meals:2</t>
  </si>
  <si>
    <t>item_req_normal_down</t>
  </si>
  <si>
    <t>普通营业要求美味值-10%</t>
  </si>
  <si>
    <t>item_req_super_down</t>
  </si>
  <si>
    <t>火热营业要求美味值-10%</t>
  </si>
  <si>
    <t>item_req_feast_down</t>
  </si>
  <si>
    <t>星级评鉴要求美味值-10%</t>
  </si>
  <si>
    <t>item_count_le_mult</t>
  </si>
  <si>
    <t>精致料理</t>
  </si>
  <si>
    <t>结算开始
若食物个数&lt;=15
所有食物倍率×1.2</t>
  </si>
  <si>
    <t>lte:15</t>
  </si>
  <si>
    <t>item_count_ge_mult</t>
  </si>
  <si>
    <t>丰盛大餐</t>
  </si>
  <si>
    <t>结算开始
若食物数量&gt;=25
所有食物倍率×1.2</t>
  </si>
  <si>
    <t>gte:25</t>
  </si>
  <si>
    <t>item_perma_flat_all</t>
  </si>
  <si>
    <t>拾取时
所有食物分数永久+5</t>
  </si>
  <si>
    <t>拾取时
所有食物分数永久+10</t>
  </si>
  <si>
    <t>item_gold_on_shop</t>
  </si>
  <si>
    <t>购物礼金</t>
  </si>
  <si>
    <t>进入商店采购
获得15金币</t>
  </si>
  <si>
    <t>item_extra_interest</t>
  </si>
  <si>
    <t>复利账户</t>
  </si>
  <si>
    <t>将收取利息
添加至每周末尾</t>
  </si>
  <si>
    <t>item_interest_cap</t>
  </si>
  <si>
    <t>高息账户</t>
  </si>
  <si>
    <t>利息上限扩展到100金币</t>
  </si>
  <si>
    <t>item_loan</t>
  </si>
  <si>
    <t>高利贷</t>
  </si>
  <si>
    <t>获得100金币
将失去200金币的节点行动
添加至本周末尾</t>
  </si>
  <si>
    <t>repay:200</t>
  </si>
  <si>
    <t>item_timeline_random</t>
  </si>
  <si>
    <t>命运骰子</t>
  </si>
  <si>
    <t>打乱未来的节点行动</t>
  </si>
  <si>
    <t>星级评鉴不参与打乱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</si>
  <si>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</si>
  <si>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</si>
  <si>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</si>
  <si>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</si>
  <si>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</si>
  <si>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</si>
  <si>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</si>
  <si>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</si>
  <si>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</si>
  <si>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下个食物倍率+0.5</t>
  </si>
  <si>
    <t>every:3</t>
  </si>
  <si>
    <t>item_first_+2</t>
  </si>
  <si>
    <t>开门红</t>
  </si>
  <si>
    <t>首个上菜的食物
倍率+1</t>
  </si>
  <si>
    <t>index:1</t>
  </si>
  <si>
    <t>item_last_+2</t>
  </si>
  <si>
    <t>压轴好戏</t>
  </si>
  <si>
    <t>最后上菜的食物
倍率+1</t>
  </si>
  <si>
    <t>index:-1</t>
  </si>
  <si>
    <t>item_extra_active_slots</t>
  </si>
  <si>
    <t>工具箱pro</t>
  </si>
  <si>
    <t>增加2个主动道具栏</t>
  </si>
  <si>
    <t>工具箱max</t>
  </si>
  <si>
    <t>增加3个主动道具栏</t>
  </si>
  <si>
    <t>item_gold_on_active</t>
  </si>
  <si>
    <t>使用主动道具时
获得5金币</t>
  </si>
  <si>
    <t>item_block_active</t>
  </si>
  <si>
    <t>无法再使用主动道具
立即获得300金币</t>
  </si>
  <si>
    <t>item_flavor_enhance</t>
  </si>
  <si>
    <t>调味料包</t>
  </si>
  <si>
    <t>为2个食物添加随机风味</t>
  </si>
  <si>
    <t>item_flavor_remove_gold</t>
  </si>
  <si>
    <t>风味回收</t>
  </si>
  <si>
    <t>移除1个食物的风味
获得90金币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</si>
  <si>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</si>
  <si>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</si>
  <si>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</si>
  <si>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</si>
  <si>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</si>
  <si>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</si>
  <si>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item_celltag_enhance</t>
  </si>
  <si>
    <t>标签强化</t>
  </si>
  <si>
    <t>为2个餐桌格子
强化随机材质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</si>
  <si>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</si>
  <si>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</si>
  <si>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</si>
  <si>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</si>
  <si>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</si>
  <si>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</si>
  <si>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</si>
  <si>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</si>
  <si>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</si>
  <si>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更容易遇到火热营业</t>
  </si>
  <si>
    <t>抽奖机更容易中奖</t>
  </si>
  <si>
    <t>更容易获得好更好的食物</t>
  </si>
  <si>
    <t>更容易获得更大的餐桌格</t>
  </si>
  <si>
    <t>更容易获得更好的装饰品</t>
  </si>
  <si>
    <t>item_gold_on_event</t>
  </si>
  <si>
    <t>事件红包</t>
  </si>
  <si>
    <t>经历1个事件
获得15金币</t>
  </si>
  <si>
    <t>item_shop_restock</t>
  </si>
  <si>
    <t>自动补货</t>
  </si>
  <si>
    <t>商店会自动补货食物</t>
  </si>
  <si>
    <t>item_shop_restock_active</t>
  </si>
  <si>
    <t>主动补货</t>
  </si>
  <si>
    <t>商店会自动补货主动道具</t>
  </si>
  <si>
    <t>item_shop_restock_passive</t>
  </si>
  <si>
    <t>被动补货</t>
  </si>
  <si>
    <t>商店会自动补货装饰品</t>
  </si>
  <si>
    <t>item_choice_count_plus1</t>
  </si>
  <si>
    <t>琳琅满目</t>
  </si>
  <si>
    <t>选择食物时
可选数量+1</t>
  </si>
  <si>
    <t>item_extra_food_choice</t>
  </si>
  <si>
    <t>加餐</t>
  </si>
  <si>
    <t>每6次普通营业
额外获得3选一美食</t>
  </si>
  <si>
    <t>every:6</t>
  </si>
  <si>
    <t>item_extra_item_choice</t>
  </si>
  <si>
    <t>加料</t>
  </si>
  <si>
    <t>每4次火热营业
额外获得3选一道具</t>
  </si>
  <si>
    <t>every:4</t>
  </si>
  <si>
    <t>item_copy_food</t>
  </si>
  <si>
    <t>复制美食</t>
  </si>
  <si>
    <t>随机获得一个已有的食物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</si>
  <si>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</si>
  <si>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</si>
  <si>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</si>
  <si>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</si>
  <si>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</si>
  <si>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每丢弃一个获得30金币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</si>
  <si>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</si>
  <si>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</si>
  <si>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</si>
  <si>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</si>
  <si>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</si>
  <si>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</si>
  <si>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</si>
  <si>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</si>
  <si>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</si>
  <si>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</si>
  <si>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</si>
  <si>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</si>
  <si>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</si>
  <si>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item_skip_reward_node</t>
  </si>
  <si>
    <t>错失良机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</si>
  <si>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</si>
  <si>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</si>
  <si>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</si>
  <si>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</si>
  <si>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</si>
  <si>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</si>
  <si>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日常营业要求分数+20%</t>
  </si>
  <si>
    <t>item_req_super_up</t>
  </si>
  <si>
    <t>超级加码</t>
  </si>
  <si>
    <t>火热营业要求分数+20%</t>
  </si>
  <si>
    <t>item_req_feast_up</t>
  </si>
  <si>
    <t>盛宴加码</t>
  </si>
  <si>
    <t>星级评鉴要求分数+20%</t>
  </si>
  <si>
    <t>item_gold_week_clear</t>
  </si>
  <si>
    <t>月光族</t>
  </si>
  <si>
    <t>将失去所有金币的节点行动
添加至本周末尾</t>
  </si>
  <si>
    <t>item_double_daily_cost_repeat_node</t>
  </si>
  <si>
    <t>时间透支</t>
  </si>
  <si>
    <t>普通行动消耗天数加倍
节点事件可以执行2次</t>
  </si>
  <si>
    <t>repeat:2</t>
  </si>
  <si>
    <t>item_timeline_stop_chance</t>
  </si>
  <si>
    <t>时间停摆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</si>
  <si>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</si>
  <si>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</si>
  <si>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</si>
  <si>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</si>
  <si>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</si>
  <si>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</si>
  <si>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被传递方倍率×1.1</t>
  </si>
  <si>
    <t>term_sweet_transfer</t>
  </si>
  <si>
    <t>item_transfer_source_mult</t>
  </si>
  <si>
    <t>传递奉献</t>
  </si>
  <si>
    <t>甜蜜传递时
传递方倍率×1.1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</si>
  <si>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</si>
  <si>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</si>
  <si>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</si>
  <si>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</si>
  <si>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</si>
  <si>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</si>
  <si>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</si>
  <si>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</si>
  <si>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</si>
  <si>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</si>
  <si>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</si>
  <si>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</si>
  <si>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</si>
  <si>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</si>
  <si>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</si>
  <si>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</si>
  <si>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</si>
  <si>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</si>
  <si>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</si>
  <si>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</si>
  <si>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</si>
  <si>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</si>
  <si>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</si>
  <si>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</si>
  <si>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</si>
  <si>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</si>
  <si>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</si>
  <si>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category</t>
  </si>
  <si>
    <t>效果类型</t>
  </si>
  <si>
    <t>主动道具目标类型(作用对象;决定可用情境)</t>
  </si>
  <si>
    <t>选目标数量(1/N;0=无目标或全部)</t>
  </si>
  <si>
    <t>关联术语ID(可空,| 分隔)</t>
  </si>
  <si>
    <t>主动道具分类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</si>
  <si>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</si>
  <si>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</si>
  <si>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</si>
  <si>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</si>
  <si>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</si>
  <si>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</si>
  <si>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</si>
  <si>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</si>
  <si>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</si>
  <si>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</si>
  <si>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</si>
  <si>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</si>
  <si>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</si>
  <si>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</si>
  <si>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</si>
  <si>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</si>
  <si>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</si>
  <si>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</si>
  <si>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</si>
  <si>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</si>
  <si>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</si>
  <si>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</si>
  <si>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</si>
  <si>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</si>
  <si>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</si>
  <si>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</si>
  <si>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</si>
  <si>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</si>
  <si>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</si>
  <si>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</si>
  <si>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</si>
  <si>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选择1个餐桌格子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</si>
  <si>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</si>
  <si>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</si>
  <si>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</si>
  <si>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</si>
  <si>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</si>
  <si>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</si>
  <si>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选择1个餐桌格子
将其铺装为「胡桃木」材质</t>
  </si>
  <si>
    <t>m_walnut</t>
  </si>
  <si>
    <t>item_active_lay_marble</t>
  </si>
  <si>
    <t>大理石箱</t>
  </si>
  <si>
    <t>选择1个餐桌格子
将其铺装为「大理石」材质</t>
  </si>
  <si>
    <t>LayStone</t>
  </si>
  <si>
    <t>m_marble</t>
  </si>
  <si>
    <t>item_active_lay_obsidian</t>
  </si>
  <si>
    <t>黑曜石箱</t>
  </si>
  <si>
    <t>选择1个餐桌格子
将其铺装为「黑曜石」材质</t>
  </si>
  <si>
    <t>m_obsidian</t>
  </si>
  <si>
    <t>item_active_lay_emerald</t>
  </si>
  <si>
    <t>翡翠箱</t>
  </si>
  <si>
    <t>选择1个餐桌格子
将其铺装为「翡翠」材质</t>
  </si>
  <si>
    <t>m_emerald</t>
  </si>
  <si>
    <t>item_active_lay_gold</t>
  </si>
  <si>
    <t>金质箱</t>
  </si>
  <si>
    <t>选择1个餐桌格子
将其铺装为「金」材质</t>
  </si>
  <si>
    <t>LayMetal</t>
  </si>
  <si>
    <t>m_gold</t>
  </si>
  <si>
    <t>item_active_lay_silver</t>
  </si>
  <si>
    <t>银质箱</t>
  </si>
  <si>
    <t>选择1个餐桌格子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</si>
  <si>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</si>
  <si>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</si>
  <si>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</si>
  <si>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</si>
  <si>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</si>
  <si>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</si>
  <si>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</si>
  <si>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</si>
  <si>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</si>
  <si>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</si>
  <si>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</si>
  <si>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</si>
  <si>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</si>
  <si>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重掷最近一个尚未触发的星级评鉴餐食类别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</si>
  <si>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</si>
  <si>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</si>
  <si>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</si>
  <si>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</si>
  <si>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</si>
  <si>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</si>
  <si>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</si>
  <si>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</si>
  <si>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</si>
  <si>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</si>
  <si>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</si>
  <si>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</si>
  <si>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</si>
  <si>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添加商店进货至指定节点上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</si>
  <si>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</si>
  <si>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</si>
  <si>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</si>
  <si>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</si>
  <si>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</si>
  <si>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</si>
  <si>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</si>
  <si>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</si>
  <si>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删除单</t>
  </si>
  <si>
    <t>删除1个节点行动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</si>
  <si>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</si>
  <si>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</si>
  <si>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</si>
  <si>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</si>
  <si>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</si>
  <si>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</si>
  <si>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</si>
  <si>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</si>
  <si>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</si>
  <si>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</si>
  <si>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</si>
  <si>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</si>
  <si>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</si>
  <si>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</si>
  <si>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</si>
  <si>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</si>
  <si>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</si>
  <si>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</si>
  <si>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</si>
  <si>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</si>
  <si>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</si>
  <si>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</si>
  <si>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</si>
  <si>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</si>
  <si>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</si>
  <si>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</si>
  <si>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</si>
  <si>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全家福</t>
  </si>
  <si>
    <t>获得时，获得一个随机被动道具、随机食物、50金币</t>
  </si>
  <si>
    <t>随机</t>
  </si>
  <si>
    <t>给钱</t>
  </si>
  <si>
    <t>随机金币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</si>
  <si>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</si>
  <si>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</si>
  <si>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</si>
  <si>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</si>
  <si>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</si>
  <si>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</si>
  <si>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</si>
  <si>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</si>
  <si>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</si>
  <si>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</si>
  <si>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</si>
  <si>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</si>
  <si>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</si>
  <si>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</si>
  <si>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</si>
  <si>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</si>
  <si>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</si>
  <si>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</si>
  <si>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</si>
  <si>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</si>
  <si>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</si>
  <si>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</si>
  <si>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</si>
  <si>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</si>
  <si>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</si>
  <si>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</si>
  <si>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</si>
  <si>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</si>
  <si>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</si>
  <si>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</si>
  <si>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</si>
  <si>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</si>
  <si>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</si>
  <si>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</si>
  <si>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</si>
  <si>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</si>
  <si>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</si>
  <si>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</si>
  <si>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</si>
  <si>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</si>
  <si>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</si>
  <si>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</si>
  <si>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</si>
  <si>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</si>
  <si>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</si>
  <si>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</si>
  <si>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</si>
  <si>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</si>
  <si>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</si>
  <si>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</si>
  <si>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</si>
  <si>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</si>
  <si>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</si>
  <si>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</si>
  <si>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</si>
  <si>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</si>
  <si>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</si>
  <si>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</si>
  <si>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</si>
  <si>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</si>
  <si>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</si>
  <si>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</si>
  <si>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</si>
  <si>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</si>
  <si>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</si>
  <si>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</si>
  <si>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</si>
  <si>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</si>
  <si>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</si>
  <si>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</si>
  <si>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</si>
  <si>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</si>
  <si>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</si>
  <si>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</si>
  <si>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</si>
  <si>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</si>
  <si>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</si>
  <si>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</si>
  <si>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</si>
  <si>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</si>
  <si>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</si>
  <si>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</si>
  <si>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</si>
  <si>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</si>
  <si>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</si>
  <si>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</si>
  <si>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</si>
  <si>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</si>
  <si>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</si>
  <si>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</si>
  <si>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风味传染</t>
  </si>
  <si>
    <t>将一个食物的风味强化到无风味食物上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</si>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</sst>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color theme="1"/>
      <name val="宋体-简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4"/>
  <sheetViews>
    <sheetView tabSelected="1" workbookViewId="0">
      <selection activeCell="A1" sqref="$A1:$XFD1048576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hidden="1" customWidth="1"/>
    <col min="12" max="12" width="18.0808823529412" style="1" hidden="1" customWidth="1"/>
    <col min="13" max="13" width="25.6985294117647" style="1" hidden="1" customWidth="1"/>
    <col min="14" max="14" width="24.5367647058824" style="1" hidden="1" customWidth="1"/>
    <col min="15" max="15" width="23" style="1" hidden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 t="s">
        <v>18</v>
      </c>
      <c r="V1" s="1">
        <v>30</v>
      </c>
      <c r="W1" s="1">
        <v>31</v>
      </c>
      <c r="X1" s="1">
        <v>32</v>
      </c>
      <c r="Y1" s="1">
        <v>33</v>
      </c>
      <c r="Z1" s="1">
        <v>34</v>
      </c>
      <c r="AA1" s="1">
        <v>35</v>
      </c>
      <c r="AB1" s="1">
        <v>36</v>
      </c>
      <c r="AC1" s="1">
        <v>37</v>
      </c>
    </row>
    <row r="2" s="1" customFormat="1" ht="16.5" customHeight="1" spans="1:29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 t="s">
        <v>30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36</v>
      </c>
      <c r="S2" s="1"/>
      <c r="T2" s="1"/>
      <c r="U2" s="1" t="s">
        <v>37</v>
      </c>
      <c r="V2" s="1">
        <v>40</v>
      </c>
      <c r="W2" s="1">
        <v>41</v>
      </c>
      <c r="X2" s="1">
        <v>42</v>
      </c>
      <c r="Y2" s="1">
        <v>43</v>
      </c>
      <c r="Z2" s="1">
        <v>44</v>
      </c>
      <c r="AA2" s="1">
        <v>45</v>
      </c>
      <c r="AB2" s="1">
        <v>46</v>
      </c>
      <c r="AC2" s="1">
        <v>47</v>
      </c>
    </row>
    <row r="3" s="1" customFormat="1" ht="16.5" customHeight="1" spans="1:29">
      <c r="A3" s="1" t="s">
        <v>38</v>
      </c>
      <c r="B3" s="1" t="s">
        <v>39</v>
      </c>
      <c r="C3" s="1" t="s">
        <v>39</v>
      </c>
      <c r="D3" s="1" t="s">
        <v>39</v>
      </c>
      <c r="E3" s="1" t="s">
        <v>40</v>
      </c>
      <c r="F3" s="1" t="s">
        <v>41</v>
      </c>
      <c r="G3" s="1" t="s">
        <v>42</v>
      </c>
      <c r="H3" s="1" t="s">
        <v>39</v>
      </c>
      <c r="I3" s="1" t="s">
        <v>42</v>
      </c>
      <c r="J3" s="1" t="s">
        <v>43</v>
      </c>
      <c r="K3" s="1" t="s">
        <v>44</v>
      </c>
      <c r="L3" s="1" t="s">
        <v>44</v>
      </c>
      <c r="M3" s="1" t="s">
        <v>44</v>
      </c>
      <c r="N3" s="1" t="s">
        <v>44</v>
      </c>
      <c r="O3" s="1" t="s">
        <v>44</v>
      </c>
      <c r="P3" s="1" t="s">
        <v>44</v>
      </c>
      <c r="Q3" s="1" t="s">
        <v>39</v>
      </c>
      <c r="R3" s="1" t="s">
        <v>44</v>
      </c>
      <c r="S3" s="1"/>
      <c r="T3" s="1"/>
      <c r="U3" s="1" t="s">
        <v>45</v>
      </c>
      <c r="V3" s="1">
        <v>50</v>
      </c>
      <c r="W3" s="1">
        <v>51</v>
      </c>
      <c r="X3" s="1">
        <v>52</v>
      </c>
      <c r="Y3" s="1">
        <v>53</v>
      </c>
      <c r="Z3" s="1">
        <v>54</v>
      </c>
      <c r="AA3" s="1">
        <v>55</v>
      </c>
      <c r="AB3" s="1">
        <v>56</v>
      </c>
      <c r="AC3" s="1">
        <v>57</v>
      </c>
    </row>
    <row r="4" s="1" customFormat="1" spans="2:18">
      <c r="B4" s="1" t="s">
        <v>46</v>
      </c>
      <c r="C4" s="1" t="s">
        <v>47</v>
      </c>
      <c r="D4" s="1" t="s">
        <v>48</v>
      </c>
      <c r="E4" s="1" t="s">
        <v>49</v>
      </c>
      <c r="F4" s="1" t="s">
        <v>50</v>
      </c>
      <c r="G4" s="1">
        <v>0</v>
      </c>
      <c r="H4" s="1"/>
      <c r="I4" s="1">
        <v>30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/>
      <c r="R4" s="1">
        <f t="shared" ref="R4:R8" si="0">VLOOKUP(E4,$T$7:$AB$12,9,FALSE)</f>
        <v>150</v>
      </c>
    </row>
    <row r="5" s="1" customFormat="1" spans="2:18">
      <c r="B5" s="1" t="s">
        <v>52</v>
      </c>
      <c r="C5" s="1" t="s">
        <v>53</v>
      </c>
      <c r="D5" s="1" t="s">
        <v>54</v>
      </c>
      <c r="E5" s="1" t="s">
        <v>55</v>
      </c>
      <c r="F5" s="1" t="s">
        <v>50</v>
      </c>
      <c r="G5" s="1">
        <v>0</v>
      </c>
      <c r="H5" s="1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f t="shared" si="0"/>
        <v>40</v>
      </c>
    </row>
    <row r="6" s="1" customFormat="1" ht="34" spans="2:26">
      <c r="B6" s="1" t="s">
        <v>58</v>
      </c>
      <c r="C6" s="1" t="s">
        <v>59</v>
      </c>
      <c r="D6" s="9" t="s">
        <v>60</v>
      </c>
      <c r="E6" s="1" t="s">
        <v>55</v>
      </c>
      <c r="F6" s="1" t="s">
        <v>50</v>
      </c>
      <c r="G6" s="1">
        <v>20</v>
      </c>
      <c r="H6" s="1" t="s">
        <v>61</v>
      </c>
      <c r="I6" s="1">
        <v>300</v>
      </c>
      <c r="J6" s="1" t="s">
        <v>57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/>
      <c r="R6" s="1">
        <f t="shared" si="0"/>
        <v>40</v>
      </c>
      <c r="Z6" s="1" t="s">
        <v>62</v>
      </c>
    </row>
    <row r="7" s="1" customFormat="1" ht="34" spans="2:30">
      <c r="B7" s="1" t="s">
        <v>63</v>
      </c>
      <c r="C7" s="1" t="s">
        <v>64</v>
      </c>
      <c r="D7" s="9" t="s">
        <v>65</v>
      </c>
      <c r="E7" s="1" t="s">
        <v>55</v>
      </c>
      <c r="F7" s="1" t="s">
        <v>50</v>
      </c>
      <c r="G7" s="1">
        <v>90</v>
      </c>
      <c r="H7" s="1"/>
      <c r="I7" s="1">
        <v>300</v>
      </c>
      <c r="J7" s="1" t="s">
        <v>57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/>
      <c r="R7" s="1">
        <f t="shared" si="0"/>
        <v>40</v>
      </c>
      <c r="T7" s="1" t="s">
        <v>66</v>
      </c>
      <c r="U7" s="1"/>
      <c r="V7" s="1">
        <v>300</v>
      </c>
      <c r="W7" s="1"/>
      <c r="X7" s="1" t="s">
        <v>57</v>
      </c>
      <c r="Y7" s="1"/>
      <c r="Z7" s="1">
        <f>COUNTIF($E$4:$E$94,T7)</f>
        <v>43</v>
      </c>
      <c r="AB7" s="1">
        <v>40</v>
      </c>
      <c r="AC7" s="1"/>
      <c r="AD7" s="19">
        <f t="shared" ref="AD7:AD10" si="1">Z7/SUM($Z$7:$Z$10)</f>
        <v>0.472527472527473</v>
      </c>
    </row>
    <row r="8" s="1" customFormat="1" ht="34" spans="2:30">
      <c r="B8" s="1" t="s">
        <v>67</v>
      </c>
      <c r="C8" s="1" t="s">
        <v>68</v>
      </c>
      <c r="D8" s="9" t="s">
        <v>69</v>
      </c>
      <c r="E8" s="1" t="s">
        <v>70</v>
      </c>
      <c r="F8" s="1" t="s">
        <v>50</v>
      </c>
      <c r="G8" s="1">
        <v>0.15</v>
      </c>
      <c r="H8" s="1"/>
      <c r="I8" s="1">
        <v>100</v>
      </c>
      <c r="J8" s="1" t="s">
        <v>71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/>
      <c r="R8" s="1">
        <f t="shared" si="0"/>
        <v>80</v>
      </c>
      <c r="T8" s="1" t="s">
        <v>72</v>
      </c>
      <c r="U8" s="1"/>
      <c r="V8" s="1">
        <v>100</v>
      </c>
      <c r="W8" s="1"/>
      <c r="X8" s="1" t="s">
        <v>71</v>
      </c>
      <c r="Y8" s="1"/>
      <c r="Z8" s="1">
        <f>COUNTIF($E$4:$E$94,T8)</f>
        <v>33</v>
      </c>
      <c r="AB8" s="1">
        <v>80</v>
      </c>
      <c r="AC8" s="1"/>
      <c r="AD8" s="19">
        <f t="shared" si="1"/>
        <v>0.362637362637363</v>
      </c>
    </row>
    <row r="9" s="12" customFormat="1" ht="17" spans="2:30">
      <c r="B9" s="12" t="s">
        <v>73</v>
      </c>
      <c r="C9" s="12" t="s">
        <v>74</v>
      </c>
      <c r="D9" s="14" t="s">
        <v>75</v>
      </c>
      <c r="E9" s="12" t="s">
        <v>55</v>
      </c>
      <c r="F9" s="12" t="s">
        <v>50</v>
      </c>
      <c r="G9" s="12">
        <v>1</v>
      </c>
      <c r="H9" s="12"/>
      <c r="I9" s="12">
        <v>300</v>
      </c>
      <c r="J9" s="12" t="s">
        <v>57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R9" s="12">
        <v>50</v>
      </c>
      <c r="T9" s="12" t="s">
        <v>76</v>
      </c>
      <c r="V9" s="12">
        <v>30</v>
      </c>
      <c r="X9" s="12" t="s">
        <v>51</v>
      </c>
      <c r="Z9" s="12">
        <f>COUNTIF($E$4:$E$94,T9)</f>
        <v>11</v>
      </c>
      <c r="AB9" s="12">
        <v>150</v>
      </c>
      <c r="AD9" s="19">
        <f t="shared" si="1"/>
        <v>0.120879120879121</v>
      </c>
    </row>
    <row r="10" s="12" customFormat="1" ht="17" spans="2:30">
      <c r="B10" s="12" t="s">
        <v>77</v>
      </c>
      <c r="C10" s="12" t="s">
        <v>78</v>
      </c>
      <c r="D10" s="14" t="s">
        <v>75</v>
      </c>
      <c r="E10" s="12" t="s">
        <v>70</v>
      </c>
      <c r="F10" s="12" t="s">
        <v>50</v>
      </c>
      <c r="G10" s="12">
        <v>1</v>
      </c>
      <c r="I10" s="12">
        <v>300</v>
      </c>
      <c r="J10" s="12" t="s">
        <v>57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R10" s="12">
        <v>50</v>
      </c>
      <c r="T10" s="12" t="s">
        <v>79</v>
      </c>
      <c r="V10" s="12">
        <v>10</v>
      </c>
      <c r="X10" s="12" t="s">
        <v>80</v>
      </c>
      <c r="Z10" s="12">
        <f>COUNTIF($E$4:$E$94,T10)</f>
        <v>4</v>
      </c>
      <c r="AB10" s="12">
        <v>240</v>
      </c>
      <c r="AD10" s="19">
        <f t="shared" si="1"/>
        <v>0.043956043956044</v>
      </c>
    </row>
    <row r="11" s="12" customFormat="1" ht="17" spans="2:18">
      <c r="B11" s="12" t="s">
        <v>81</v>
      </c>
      <c r="C11" s="12" t="s">
        <v>82</v>
      </c>
      <c r="D11" s="14" t="s">
        <v>83</v>
      </c>
      <c r="E11" s="12" t="s">
        <v>49</v>
      </c>
      <c r="F11" s="12" t="s">
        <v>50</v>
      </c>
      <c r="G11" s="12">
        <v>2</v>
      </c>
      <c r="H11" s="12"/>
      <c r="I11" s="12">
        <v>100</v>
      </c>
      <c r="J11" s="12" t="s">
        <v>71</v>
      </c>
      <c r="K11" s="12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R11" s="12">
        <v>80</v>
      </c>
    </row>
    <row r="12" s="12" customFormat="1" ht="17" spans="2:27">
      <c r="B12" s="12" t="s">
        <v>84</v>
      </c>
      <c r="C12" s="12" t="s">
        <v>85</v>
      </c>
      <c r="D12" s="14" t="s">
        <v>83</v>
      </c>
      <c r="E12" s="12" t="s">
        <v>49</v>
      </c>
      <c r="F12" s="12" t="s">
        <v>50</v>
      </c>
      <c r="G12" s="12">
        <v>2</v>
      </c>
      <c r="I12" s="12">
        <v>30</v>
      </c>
      <c r="J12" s="12" t="s">
        <v>51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R12" s="12">
        <v>120</v>
      </c>
      <c r="Y12" s="12" t="s">
        <v>86</v>
      </c>
      <c r="Z12" s="12" t="s">
        <v>87</v>
      </c>
      <c r="AA12" s="12" t="s">
        <v>88</v>
      </c>
    </row>
    <row r="13" s="12" customFormat="1" ht="17" spans="2:23">
      <c r="B13" s="12" t="s">
        <v>89</v>
      </c>
      <c r="C13" s="12" t="s">
        <v>90</v>
      </c>
      <c r="D13" s="14" t="s">
        <v>91</v>
      </c>
      <c r="E13" s="12" t="s">
        <v>55</v>
      </c>
      <c r="F13" s="12" t="s">
        <v>50</v>
      </c>
      <c r="G13" s="12">
        <v>0.1</v>
      </c>
      <c r="I13" s="12">
        <v>100</v>
      </c>
      <c r="J13" s="12" t="s">
        <v>71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R13" s="12">
        <f t="shared" ref="R13:R15" si="2">VLOOKUP(E13,$T$7:$AB$12,9,FALSE)</f>
        <v>40</v>
      </c>
      <c r="T13" s="12">
        <f>100*0.1*6</f>
        <v>60</v>
      </c>
      <c r="V13" s="18" t="s">
        <v>92</v>
      </c>
      <c r="W13" s="18">
        <v>240</v>
      </c>
    </row>
    <row r="14" s="12" customFormat="1" spans="2:25">
      <c r="B14" s="12" t="s">
        <v>93</v>
      </c>
      <c r="C14" s="12" t="s">
        <v>94</v>
      </c>
      <c r="D14" s="12" t="s">
        <v>95</v>
      </c>
      <c r="E14" s="12" t="s">
        <v>55</v>
      </c>
      <c r="F14" s="12" t="s">
        <v>50</v>
      </c>
      <c r="G14" s="12">
        <v>0.15</v>
      </c>
      <c r="I14" s="12">
        <v>300</v>
      </c>
      <c r="J14" s="12" t="s">
        <v>57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R14" s="12">
        <f t="shared" si="2"/>
        <v>40</v>
      </c>
      <c r="T14" s="1">
        <f>80*5*0.2</f>
        <v>80</v>
      </c>
      <c r="V14" s="18" t="s">
        <v>96</v>
      </c>
      <c r="W14" s="18">
        <v>150</v>
      </c>
      <c r="Y14" s="12">
        <v>250</v>
      </c>
    </row>
    <row r="15" s="13" customFormat="1" spans="1:30">
      <c r="A15" s="15" t="s">
        <v>97</v>
      </c>
      <c r="B15" s="15" t="s">
        <v>98</v>
      </c>
      <c r="C15" s="15" t="s">
        <v>99</v>
      </c>
      <c r="D15" s="15" t="s">
        <v>100</v>
      </c>
      <c r="E15" s="15" t="s">
        <v>55</v>
      </c>
      <c r="F15" s="15" t="s">
        <v>50</v>
      </c>
      <c r="G15" s="15">
        <v>0.15</v>
      </c>
      <c r="H15" s="15"/>
      <c r="I15" s="15">
        <v>100</v>
      </c>
      <c r="J15" s="15" t="s">
        <v>71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  <c r="R15" s="15">
        <f t="shared" si="2"/>
        <v>40</v>
      </c>
      <c r="S15" s="1"/>
      <c r="T15" s="1">
        <f>0.15*40*10</f>
        <v>60</v>
      </c>
      <c r="U15" s="1"/>
      <c r="V15" s="18" t="s">
        <v>101</v>
      </c>
      <c r="W15" s="18">
        <v>80</v>
      </c>
      <c r="X15" s="1"/>
      <c r="Y15" s="1">
        <v>150</v>
      </c>
      <c r="Z15" s="1">
        <v>10</v>
      </c>
      <c r="AA15" s="1"/>
      <c r="AB15" s="1"/>
      <c r="AC15" s="1"/>
      <c r="AD15" s="1"/>
    </row>
    <row r="16" s="13" customFormat="1" spans="1:30">
      <c r="A16" s="15" t="s">
        <v>97</v>
      </c>
      <c r="B16" s="15"/>
      <c r="C16" s="15" t="s">
        <v>102</v>
      </c>
      <c r="D16" s="15" t="s">
        <v>103</v>
      </c>
      <c r="E16" s="15" t="s">
        <v>55</v>
      </c>
      <c r="F16" s="15" t="s">
        <v>50</v>
      </c>
      <c r="G16" s="15">
        <v>0.15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"/>
      <c r="T16" s="1"/>
      <c r="U16" s="1"/>
      <c r="V16" s="18" t="s">
        <v>104</v>
      </c>
      <c r="W16" s="18">
        <v>40</v>
      </c>
      <c r="X16" s="1"/>
      <c r="Y16" s="1">
        <v>70</v>
      </c>
      <c r="Z16" s="1">
        <v>5</v>
      </c>
      <c r="AA16" s="1"/>
      <c r="AB16" s="1"/>
      <c r="AC16" s="1"/>
      <c r="AD16" s="1"/>
    </row>
    <row r="17" s="13" customFormat="1" spans="1:30">
      <c r="A17" s="1"/>
      <c r="B17" s="1" t="s">
        <v>105</v>
      </c>
      <c r="C17" s="1" t="s">
        <v>106</v>
      </c>
      <c r="D17" s="1" t="s">
        <v>107</v>
      </c>
      <c r="E17" s="12" t="s">
        <v>55</v>
      </c>
      <c r="F17" s="1" t="s">
        <v>50</v>
      </c>
      <c r="G17" s="1">
        <v>0.15</v>
      </c>
      <c r="H17" s="1"/>
      <c r="I17" s="1">
        <v>100</v>
      </c>
      <c r="J17" s="1" t="s">
        <v>71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/>
      <c r="R17" s="1">
        <f t="shared" ref="R17:R21" si="3">VLOOKUP(E17,$T$7:$AB$12,9,FALSE)</f>
        <v>40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="1" customFormat="1" spans="2:23">
      <c r="B18" s="1" t="s">
        <v>108</v>
      </c>
      <c r="C18" s="1" t="s">
        <v>109</v>
      </c>
      <c r="D18" s="1" t="s">
        <v>110</v>
      </c>
      <c r="E18" s="1" t="s">
        <v>55</v>
      </c>
      <c r="F18" s="1" t="s">
        <v>50</v>
      </c>
      <c r="G18" s="1">
        <v>0.15</v>
      </c>
      <c r="H18" s="1"/>
      <c r="I18" s="1">
        <v>300</v>
      </c>
      <c r="J18" s="1" t="s">
        <v>57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/>
      <c r="R18" s="1">
        <f t="shared" si="3"/>
        <v>40</v>
      </c>
      <c r="V18" s="1" t="s">
        <v>111</v>
      </c>
      <c r="W18" s="19">
        <v>1.4</v>
      </c>
    </row>
    <row r="19" s="1" customFormat="1" ht="17" spans="2:18">
      <c r="B19" s="12" t="s">
        <v>89</v>
      </c>
      <c r="C19" s="12" t="s">
        <v>112</v>
      </c>
      <c r="D19" s="14" t="s">
        <v>113</v>
      </c>
      <c r="E19" s="1" t="s">
        <v>70</v>
      </c>
      <c r="F19" s="12" t="s">
        <v>50</v>
      </c>
      <c r="G19" s="12">
        <v>0.2</v>
      </c>
      <c r="H19" s="12"/>
      <c r="I19" s="12">
        <v>100</v>
      </c>
      <c r="J19" s="12" t="s">
        <v>71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/>
      <c r="R19" s="12">
        <f t="shared" si="3"/>
        <v>80</v>
      </c>
    </row>
    <row r="20" s="1" customFormat="1" spans="2:23">
      <c r="B20" s="12" t="s">
        <v>93</v>
      </c>
      <c r="C20" s="12" t="s">
        <v>114</v>
      </c>
      <c r="D20" s="12" t="s">
        <v>115</v>
      </c>
      <c r="E20" s="1" t="s">
        <v>70</v>
      </c>
      <c r="F20" s="12" t="s">
        <v>50</v>
      </c>
      <c r="G20" s="12">
        <v>0.25</v>
      </c>
      <c r="H20" s="12"/>
      <c r="I20" s="12">
        <v>300</v>
      </c>
      <c r="J20" s="12" t="s">
        <v>57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/>
      <c r="R20" s="12">
        <f t="shared" si="3"/>
        <v>80</v>
      </c>
      <c r="T20" s="1">
        <f>0.9*0.8</f>
        <v>0.72</v>
      </c>
      <c r="W20" s="1">
        <f>280*5</f>
        <v>1400</v>
      </c>
    </row>
    <row r="21" s="1" customFormat="1" spans="1:23">
      <c r="A21" s="15" t="s">
        <v>97</v>
      </c>
      <c r="B21" s="15" t="s">
        <v>98</v>
      </c>
      <c r="C21" s="15" t="s">
        <v>116</v>
      </c>
      <c r="D21" s="15" t="s">
        <v>117</v>
      </c>
      <c r="E21" s="15" t="s">
        <v>70</v>
      </c>
      <c r="F21" s="15" t="s">
        <v>50</v>
      </c>
      <c r="G21" s="15">
        <v>0.25</v>
      </c>
      <c r="H21" s="15"/>
      <c r="I21" s="15">
        <v>100</v>
      </c>
      <c r="J21" s="15" t="s">
        <v>71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/>
      <c r="R21" s="15">
        <f t="shared" si="3"/>
        <v>80</v>
      </c>
      <c r="W21" s="1">
        <f>W20*0.8</f>
        <v>1120</v>
      </c>
    </row>
    <row r="22" s="1" customFormat="1" spans="1:23">
      <c r="A22" s="15" t="s">
        <v>97</v>
      </c>
      <c r="B22" s="15"/>
      <c r="C22" s="15" t="s">
        <v>118</v>
      </c>
      <c r="D22" s="15" t="s">
        <v>119</v>
      </c>
      <c r="E22" s="15" t="s">
        <v>70</v>
      </c>
      <c r="F22" s="15" t="s">
        <v>50</v>
      </c>
      <c r="G22" s="15">
        <v>0.25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"/>
      <c r="T22" s="1"/>
      <c r="U22" s="1"/>
      <c r="V22" s="1"/>
      <c r="W22" s="1">
        <f>W21*0.15</f>
        <v>168</v>
      </c>
    </row>
    <row r="23" s="1" customFormat="1" spans="2:18">
      <c r="B23" s="1" t="s">
        <v>105</v>
      </c>
      <c r="C23" s="1" t="s">
        <v>120</v>
      </c>
      <c r="D23" s="1" t="s">
        <v>121</v>
      </c>
      <c r="E23" s="1" t="s">
        <v>70</v>
      </c>
      <c r="F23" s="1" t="s">
        <v>50</v>
      </c>
      <c r="G23" s="1">
        <v>0.25</v>
      </c>
      <c r="H23" s="1"/>
      <c r="I23" s="1">
        <v>100</v>
      </c>
      <c r="J23" s="1" t="s">
        <v>71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f t="shared" ref="R23:R25" si="4">VLOOKUP(E23,$T$7:$AB$12,9,FALSE)</f>
        <v>80</v>
      </c>
    </row>
    <row r="24" s="1" customFormat="1" spans="2:18">
      <c r="B24" s="1" t="s">
        <v>108</v>
      </c>
      <c r="C24" s="1" t="s">
        <v>122</v>
      </c>
      <c r="D24" s="1" t="s">
        <v>123</v>
      </c>
      <c r="E24" s="1" t="s">
        <v>70</v>
      </c>
      <c r="F24" s="1" t="s">
        <v>50</v>
      </c>
      <c r="G24" s="12">
        <v>0.25</v>
      </c>
      <c r="H24" s="1"/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/>
      <c r="R24" s="1">
        <f t="shared" si="4"/>
        <v>80</v>
      </c>
    </row>
    <row r="25" s="1" customFormat="1" ht="51" spans="1:18">
      <c r="A25" s="15" t="s">
        <v>97</v>
      </c>
      <c r="B25" s="15" t="s">
        <v>124</v>
      </c>
      <c r="C25" s="15" t="s">
        <v>125</v>
      </c>
      <c r="D25" s="16" t="s">
        <v>126</v>
      </c>
      <c r="E25" s="15" t="s">
        <v>49</v>
      </c>
      <c r="F25" s="15" t="s">
        <v>50</v>
      </c>
      <c r="G25" s="15">
        <v>0</v>
      </c>
      <c r="H25" s="15"/>
      <c r="I25" s="15">
        <v>30</v>
      </c>
      <c r="J25" s="15" t="s">
        <v>51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/>
      <c r="R25" s="15">
        <f t="shared" si="4"/>
        <v>150</v>
      </c>
    </row>
    <row r="26" s="1" customFormat="1" ht="34" spans="1:25">
      <c r="A26" s="15" t="s">
        <v>97</v>
      </c>
      <c r="B26" s="15"/>
      <c r="C26" s="15"/>
      <c r="D26" s="16" t="s">
        <v>127</v>
      </c>
      <c r="E26" s="1" t="s">
        <v>70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"/>
      <c r="T26" s="1"/>
      <c r="U26" s="1"/>
      <c r="V26" s="1"/>
      <c r="W26" s="1"/>
      <c r="X26" s="1"/>
      <c r="Y26" s="1">
        <v>180</v>
      </c>
    </row>
    <row r="27" s="1" customFormat="1" ht="34" spans="1:27">
      <c r="A27" s="15" t="s">
        <v>97</v>
      </c>
      <c r="B27" s="15"/>
      <c r="C27" s="15"/>
      <c r="D27" s="16" t="s">
        <v>128</v>
      </c>
      <c r="E27" s="1" t="s">
        <v>70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"/>
      <c r="T27" s="1"/>
      <c r="U27" s="1"/>
      <c r="V27" s="1"/>
      <c r="W27" s="1"/>
      <c r="X27" s="1"/>
      <c r="Y27" s="1"/>
      <c r="Z27" s="1"/>
      <c r="AA27" s="1">
        <v>60</v>
      </c>
    </row>
    <row r="28" s="1" customFormat="1" ht="34" spans="2:18">
      <c r="B28" s="1" t="s">
        <v>129</v>
      </c>
      <c r="C28" s="1"/>
      <c r="D28" s="9" t="s">
        <v>130</v>
      </c>
      <c r="E28" s="1" t="s">
        <v>70</v>
      </c>
      <c r="F28" s="1" t="s">
        <v>50</v>
      </c>
      <c r="G28" s="1">
        <v>0</v>
      </c>
      <c r="H28" s="1" t="s">
        <v>131</v>
      </c>
      <c r="I28" s="1">
        <v>300</v>
      </c>
      <c r="J28" s="1" t="s">
        <v>57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/>
      <c r="R28" s="1">
        <f t="shared" ref="R28:R34" si="5">VLOOKUP(E28,$T$7:$AB$12,9,FALSE)</f>
        <v>80</v>
      </c>
    </row>
    <row r="29" s="12" customFormat="1" ht="17" spans="2:18">
      <c r="B29" s="12" t="s">
        <v>132</v>
      </c>
      <c r="C29" s="12"/>
      <c r="D29" s="14" t="s">
        <v>133</v>
      </c>
      <c r="E29" s="12" t="s">
        <v>55</v>
      </c>
      <c r="F29" s="12" t="s">
        <v>50</v>
      </c>
      <c r="G29" s="12">
        <v>-0.2</v>
      </c>
      <c r="I29" s="12">
        <v>300</v>
      </c>
      <c r="J29" s="12" t="s">
        <v>57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R29" s="12">
        <f t="shared" si="5"/>
        <v>40</v>
      </c>
    </row>
    <row r="30" s="12" customFormat="1" ht="17" spans="2:18">
      <c r="B30" s="12" t="s">
        <v>134</v>
      </c>
      <c r="C30" s="12"/>
      <c r="D30" s="14" t="s">
        <v>135</v>
      </c>
      <c r="E30" s="12" t="s">
        <v>55</v>
      </c>
      <c r="F30" s="12" t="s">
        <v>50</v>
      </c>
      <c r="G30" s="12">
        <v>-0.2</v>
      </c>
      <c r="I30" s="12">
        <v>100</v>
      </c>
      <c r="J30" s="12" t="s">
        <v>71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R30" s="12">
        <f t="shared" si="5"/>
        <v>40</v>
      </c>
    </row>
    <row r="31" s="12" customFormat="1" spans="2:18">
      <c r="B31" s="12" t="s">
        <v>136</v>
      </c>
      <c r="C31" s="12"/>
      <c r="D31" s="12" t="s">
        <v>137</v>
      </c>
      <c r="E31" s="1" t="s">
        <v>70</v>
      </c>
      <c r="F31" s="12" t="s">
        <v>50</v>
      </c>
      <c r="G31" s="12">
        <v>-0.15</v>
      </c>
      <c r="H31" s="12"/>
      <c r="I31" s="12">
        <v>30</v>
      </c>
      <c r="J31" s="12" t="s">
        <v>51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R31" s="12">
        <f t="shared" si="5"/>
        <v>80</v>
      </c>
    </row>
    <row r="32" s="12" customFormat="1" ht="51" spans="2:18">
      <c r="B32" s="12" t="s">
        <v>138</v>
      </c>
      <c r="C32" s="12" t="s">
        <v>139</v>
      </c>
      <c r="D32" s="14" t="s">
        <v>140</v>
      </c>
      <c r="E32" s="12" t="s">
        <v>70</v>
      </c>
      <c r="F32" s="12" t="s">
        <v>50</v>
      </c>
      <c r="G32" s="12">
        <v>1.2</v>
      </c>
      <c r="H32" s="12" t="s">
        <v>141</v>
      </c>
      <c r="I32" s="12">
        <v>100</v>
      </c>
      <c r="J32" s="12" t="s">
        <v>71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R32" s="12">
        <f t="shared" si="5"/>
        <v>80</v>
      </c>
    </row>
    <row r="33" s="12" customFormat="1" ht="51" spans="2:18">
      <c r="B33" s="12" t="s">
        <v>142</v>
      </c>
      <c r="C33" s="12" t="s">
        <v>143</v>
      </c>
      <c r="D33" s="14" t="s">
        <v>144</v>
      </c>
      <c r="E33" s="12" t="s">
        <v>70</v>
      </c>
      <c r="F33" s="12" t="s">
        <v>50</v>
      </c>
      <c r="G33" s="12">
        <v>1.2</v>
      </c>
      <c r="H33" s="12" t="s">
        <v>145</v>
      </c>
      <c r="I33" s="12">
        <v>30</v>
      </c>
      <c r="J33" s="12" t="s">
        <v>51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R33" s="12">
        <f t="shared" si="5"/>
        <v>80</v>
      </c>
    </row>
    <row r="34" s="12" customFormat="1" ht="34" spans="2:18">
      <c r="B34" s="12" t="s">
        <v>146</v>
      </c>
      <c r="C34" s="12"/>
      <c r="D34" s="14" t="s">
        <v>147</v>
      </c>
      <c r="E34" s="12" t="s">
        <v>55</v>
      </c>
      <c r="F34" s="12" t="s">
        <v>50</v>
      </c>
      <c r="G34" s="12">
        <v>5</v>
      </c>
      <c r="H34" s="12"/>
      <c r="I34" s="12">
        <v>100</v>
      </c>
      <c r="J34" s="12" t="s">
        <v>71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R34" s="12">
        <f t="shared" si="5"/>
        <v>40</v>
      </c>
    </row>
    <row r="35" s="12" customFormat="1" ht="34" spans="4:5">
      <c r="D35" s="14" t="s">
        <v>148</v>
      </c>
      <c r="E35" s="12" t="s">
        <v>55</v>
      </c>
    </row>
    <row r="36" s="12" customFormat="1" ht="34" spans="2:20">
      <c r="B36" s="12" t="s">
        <v>149</v>
      </c>
      <c r="C36" s="12" t="s">
        <v>150</v>
      </c>
      <c r="D36" s="14" t="s">
        <v>151</v>
      </c>
      <c r="E36" s="12" t="s">
        <v>55</v>
      </c>
      <c r="F36" s="12" t="s">
        <v>50</v>
      </c>
      <c r="G36" s="12">
        <v>10</v>
      </c>
      <c r="I36" s="12">
        <v>100</v>
      </c>
      <c r="J36" s="12" t="s">
        <v>71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R36" s="12">
        <f t="shared" ref="R36:R46" si="6">VLOOKUP(E36,$T$7:$AB$12,9,FALSE)</f>
        <v>40</v>
      </c>
      <c r="T36" s="12">
        <f>15*6</f>
        <v>90</v>
      </c>
    </row>
    <row r="37" s="12" customFormat="1" ht="34" spans="2:18">
      <c r="B37" s="12" t="s">
        <v>152</v>
      </c>
      <c r="C37" s="12" t="s">
        <v>153</v>
      </c>
      <c r="D37" s="14" t="s">
        <v>154</v>
      </c>
      <c r="E37" s="12" t="s">
        <v>70</v>
      </c>
      <c r="F37" s="12" t="s">
        <v>50</v>
      </c>
      <c r="G37" s="12">
        <v>1</v>
      </c>
      <c r="H37" s="12"/>
      <c r="I37" s="12">
        <v>100</v>
      </c>
      <c r="J37" s="12" t="s">
        <v>71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R37" s="12">
        <f t="shared" si="6"/>
        <v>80</v>
      </c>
    </row>
    <row r="38" s="12" customFormat="1" ht="17" spans="2:20">
      <c r="B38" s="12" t="s">
        <v>155</v>
      </c>
      <c r="C38" s="12" t="s">
        <v>156</v>
      </c>
      <c r="D38" s="14" t="s">
        <v>157</v>
      </c>
      <c r="E38" s="12" t="s">
        <v>70</v>
      </c>
      <c r="F38" s="12" t="s">
        <v>50</v>
      </c>
      <c r="G38" s="12">
        <v>100</v>
      </c>
      <c r="H38" s="12"/>
      <c r="I38" s="12">
        <v>30</v>
      </c>
      <c r="J38" s="12" t="s">
        <v>51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R38" s="12">
        <f t="shared" si="6"/>
        <v>80</v>
      </c>
      <c r="T38" s="12">
        <f>3*50</f>
        <v>150</v>
      </c>
    </row>
    <row r="39" s="12" customFormat="1" ht="51" spans="2:18">
      <c r="B39" s="12" t="s">
        <v>158</v>
      </c>
      <c r="C39" s="12" t="s">
        <v>159</v>
      </c>
      <c r="D39" s="14" t="s">
        <v>160</v>
      </c>
      <c r="E39" s="12" t="s">
        <v>55</v>
      </c>
      <c r="F39" s="12" t="s">
        <v>50</v>
      </c>
      <c r="G39" s="12">
        <v>100</v>
      </c>
      <c r="H39" s="12" t="s">
        <v>161</v>
      </c>
      <c r="I39" s="12">
        <v>100</v>
      </c>
      <c r="J39" s="12" t="s">
        <v>71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R39" s="12">
        <f t="shared" si="6"/>
        <v>40</v>
      </c>
    </row>
    <row r="40" s="12" customFormat="1" ht="17" spans="1:20">
      <c r="A40" s="15" t="s">
        <v>97</v>
      </c>
      <c r="B40" s="15" t="s">
        <v>162</v>
      </c>
      <c r="C40" s="15" t="s">
        <v>163</v>
      </c>
      <c r="D40" s="17" t="s">
        <v>164</v>
      </c>
      <c r="E40" s="15" t="s">
        <v>55</v>
      </c>
      <c r="F40" s="15" t="s">
        <v>50</v>
      </c>
      <c r="G40" s="15">
        <v>0</v>
      </c>
      <c r="H40" s="15"/>
      <c r="I40" s="15">
        <v>100</v>
      </c>
      <c r="J40" s="15" t="s">
        <v>71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/>
      <c r="R40" s="15">
        <f t="shared" si="6"/>
        <v>40</v>
      </c>
      <c r="S40" s="15"/>
      <c r="T40" s="15" t="s">
        <v>165</v>
      </c>
    </row>
    <row r="41" s="12" customFormat="1" ht="17" spans="2:18">
      <c r="B41" s="12" t="s">
        <v>166</v>
      </c>
      <c r="C41" s="12" t="s">
        <v>167</v>
      </c>
      <c r="D41" s="14" t="s">
        <v>168</v>
      </c>
      <c r="E41" s="12" t="s">
        <v>70</v>
      </c>
      <c r="F41" s="12" t="s">
        <v>50</v>
      </c>
      <c r="G41" s="12">
        <v>8</v>
      </c>
      <c r="I41" s="12">
        <v>100</v>
      </c>
      <c r="J41" s="12" t="s">
        <v>71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R41" s="12">
        <f t="shared" si="6"/>
        <v>80</v>
      </c>
    </row>
    <row r="42" s="12" customFormat="1" ht="17" spans="2:18">
      <c r="B42" s="12" t="s">
        <v>169</v>
      </c>
      <c r="C42" s="12" t="s">
        <v>170</v>
      </c>
      <c r="D42" s="14" t="s">
        <v>171</v>
      </c>
      <c r="E42" s="12" t="s">
        <v>172</v>
      </c>
      <c r="F42" s="12" t="s">
        <v>50</v>
      </c>
      <c r="G42" s="12">
        <v>1</v>
      </c>
      <c r="H42" s="12"/>
      <c r="I42" s="12">
        <v>10</v>
      </c>
      <c r="J42" s="12" t="s">
        <v>80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R42" s="12">
        <f t="shared" si="6"/>
        <v>240</v>
      </c>
    </row>
    <row r="43" s="12" customFormat="1" ht="34" spans="2:18">
      <c r="B43" s="12" t="s">
        <v>173</v>
      </c>
      <c r="C43" s="12" t="s">
        <v>174</v>
      </c>
      <c r="D43" s="14" t="s">
        <v>175</v>
      </c>
      <c r="E43" s="12" t="s">
        <v>70</v>
      </c>
      <c r="F43" s="12" t="s">
        <v>50</v>
      </c>
      <c r="G43" s="12">
        <v>0.5</v>
      </c>
      <c r="H43" s="12" t="s">
        <v>176</v>
      </c>
      <c r="I43" s="12">
        <v>100</v>
      </c>
      <c r="J43" s="12" t="s">
        <v>71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R43" s="12">
        <f t="shared" si="6"/>
        <v>80</v>
      </c>
    </row>
    <row r="44" s="12" customFormat="1" ht="34" spans="2:18">
      <c r="B44" s="12" t="s">
        <v>177</v>
      </c>
      <c r="C44" s="12" t="s">
        <v>178</v>
      </c>
      <c r="D44" s="14" t="s">
        <v>179</v>
      </c>
      <c r="E44" s="12" t="s">
        <v>55</v>
      </c>
      <c r="F44" s="12" t="s">
        <v>50</v>
      </c>
      <c r="G44" s="12">
        <v>1</v>
      </c>
      <c r="H44" s="12" t="s">
        <v>180</v>
      </c>
      <c r="I44" s="12">
        <v>300</v>
      </c>
      <c r="J44" s="12" t="s">
        <v>57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R44" s="12">
        <f t="shared" si="6"/>
        <v>40</v>
      </c>
    </row>
    <row r="45" s="12" customFormat="1" ht="34" spans="2:18">
      <c r="B45" s="12" t="s">
        <v>181</v>
      </c>
      <c r="C45" s="12" t="s">
        <v>182</v>
      </c>
      <c r="D45" s="14" t="s">
        <v>183</v>
      </c>
      <c r="E45" s="12" t="s">
        <v>55</v>
      </c>
      <c r="F45" s="12" t="s">
        <v>50</v>
      </c>
      <c r="G45" s="12">
        <v>1</v>
      </c>
      <c r="H45" s="12" t="s">
        <v>184</v>
      </c>
      <c r="I45" s="12">
        <v>300</v>
      </c>
      <c r="J45" s="12" t="s">
        <v>57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R45" s="12">
        <f t="shared" si="6"/>
        <v>40</v>
      </c>
    </row>
    <row r="46" s="12" customFormat="1" spans="2:24">
      <c r="B46" s="12" t="s">
        <v>185</v>
      </c>
      <c r="C46" s="12" t="s">
        <v>186</v>
      </c>
      <c r="D46" s="12" t="s">
        <v>187</v>
      </c>
      <c r="E46" s="12" t="s">
        <v>55</v>
      </c>
      <c r="F46" s="12" t="s">
        <v>50</v>
      </c>
      <c r="G46" s="12">
        <v>2</v>
      </c>
      <c r="I46" s="12">
        <v>100</v>
      </c>
      <c r="J46" s="12" t="s">
        <v>71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R46" s="12">
        <f t="shared" si="6"/>
        <v>40</v>
      </c>
      <c r="U46" s="12">
        <v>4</v>
      </c>
      <c r="W46" s="12">
        <v>2</v>
      </c>
      <c r="X46" s="12">
        <v>3</v>
      </c>
    </row>
    <row r="47" s="12" customFormat="1" spans="3:21">
      <c r="C47" s="12" t="s">
        <v>188</v>
      </c>
      <c r="D47" s="12" t="s">
        <v>189</v>
      </c>
      <c r="E47" s="12" t="s">
        <v>70</v>
      </c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U47" s="12">
        <v>9</v>
      </c>
    </row>
    <row r="48" s="12" customFormat="1" ht="34" spans="2:18">
      <c r="B48" s="12" t="s">
        <v>190</v>
      </c>
      <c r="C48" s="12"/>
      <c r="D48" s="14" t="s">
        <v>191</v>
      </c>
      <c r="E48" s="12" t="s">
        <v>55</v>
      </c>
      <c r="F48" s="12" t="s">
        <v>50</v>
      </c>
      <c r="G48" s="12">
        <v>5</v>
      </c>
      <c r="I48" s="12">
        <v>100</v>
      </c>
      <c r="J48" s="12" t="s">
        <v>71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R48" s="12">
        <f t="shared" ref="R48:R57" si="7">VLOOKUP(E48,$T$7:$AB$12,9,FALSE)</f>
        <v>40</v>
      </c>
    </row>
    <row r="49" s="12" customFormat="1" ht="34" spans="2:18">
      <c r="B49" s="12" t="s">
        <v>192</v>
      </c>
      <c r="C49" s="12"/>
      <c r="D49" s="14" t="s">
        <v>193</v>
      </c>
      <c r="E49" s="12" t="s">
        <v>70</v>
      </c>
      <c r="F49" s="12" t="s">
        <v>50</v>
      </c>
      <c r="G49" s="12">
        <v>300</v>
      </c>
      <c r="I49" s="12">
        <v>100</v>
      </c>
      <c r="J49" s="12" t="s">
        <v>71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R49" s="12">
        <f t="shared" si="7"/>
        <v>80</v>
      </c>
    </row>
    <row r="50" s="12" customFormat="1" ht="17" spans="2:18">
      <c r="B50" s="12" t="s">
        <v>194</v>
      </c>
      <c r="C50" s="12" t="s">
        <v>195</v>
      </c>
      <c r="D50" s="14" t="s">
        <v>196</v>
      </c>
      <c r="E50" s="12" t="s">
        <v>55</v>
      </c>
      <c r="F50" s="12" t="s">
        <v>50</v>
      </c>
      <c r="G50" s="12">
        <v>2</v>
      </c>
      <c r="I50" s="12">
        <v>100</v>
      </c>
      <c r="J50" s="12" t="s">
        <v>71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R50" s="12">
        <f t="shared" si="7"/>
        <v>40</v>
      </c>
    </row>
    <row r="51" s="12" customFormat="1" ht="34" spans="2:18">
      <c r="B51" s="12" t="s">
        <v>197</v>
      </c>
      <c r="C51" s="12" t="s">
        <v>198</v>
      </c>
      <c r="D51" s="14" t="s">
        <v>199</v>
      </c>
      <c r="E51" s="12" t="s">
        <v>55</v>
      </c>
      <c r="F51" s="12" t="s">
        <v>50</v>
      </c>
      <c r="G51" s="12">
        <v>90</v>
      </c>
      <c r="I51" s="12">
        <v>100</v>
      </c>
      <c r="J51" s="12" t="s">
        <v>71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R51" s="12">
        <f t="shared" si="7"/>
        <v>40</v>
      </c>
    </row>
    <row r="52" s="12" customFormat="1" ht="34" spans="2:18">
      <c r="B52" s="12" t="s">
        <v>200</v>
      </c>
      <c r="C52" s="12" t="s">
        <v>201</v>
      </c>
      <c r="D52" s="14" t="s">
        <v>202</v>
      </c>
      <c r="E52" s="12" t="s">
        <v>55</v>
      </c>
      <c r="F52" s="12" t="s">
        <v>50</v>
      </c>
      <c r="G52" s="12">
        <v>2</v>
      </c>
      <c r="I52" s="12">
        <v>100</v>
      </c>
      <c r="J52" s="12" t="s">
        <v>71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R52" s="12">
        <f t="shared" si="7"/>
        <v>40</v>
      </c>
    </row>
    <row r="53" s="12" customFormat="1" spans="2:18">
      <c r="B53" s="12" t="s">
        <v>203</v>
      </c>
      <c r="C53" s="12" t="s">
        <v>204</v>
      </c>
      <c r="D53" s="12" t="s">
        <v>205</v>
      </c>
      <c r="E53" s="12" t="s">
        <v>172</v>
      </c>
      <c r="F53" s="12" t="s">
        <v>50</v>
      </c>
      <c r="G53" s="12">
        <v>1</v>
      </c>
      <c r="I53" s="12">
        <v>10</v>
      </c>
      <c r="J53" s="12" t="s">
        <v>80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R53" s="12">
        <f t="shared" si="7"/>
        <v>240</v>
      </c>
    </row>
    <row r="54" s="12" customFormat="1" ht="34" spans="2:18">
      <c r="B54" s="12" t="s">
        <v>206</v>
      </c>
      <c r="C54" s="12" t="s">
        <v>207</v>
      </c>
      <c r="D54" s="14" t="s">
        <v>208</v>
      </c>
      <c r="E54" s="12" t="s">
        <v>55</v>
      </c>
      <c r="F54" s="12" t="s">
        <v>50</v>
      </c>
      <c r="G54" s="12">
        <v>2</v>
      </c>
      <c r="H54" s="12"/>
      <c r="I54" s="12">
        <v>100</v>
      </c>
      <c r="J54" s="12" t="s">
        <v>71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R54" s="12">
        <f t="shared" si="7"/>
        <v>40</v>
      </c>
    </row>
    <row r="55" s="12" customFormat="1" ht="34" spans="2:18">
      <c r="B55" s="12" t="s">
        <v>209</v>
      </c>
      <c r="C55" s="12" t="s">
        <v>210</v>
      </c>
      <c r="D55" s="14" t="s">
        <v>211</v>
      </c>
      <c r="E55" s="12" t="s">
        <v>49</v>
      </c>
      <c r="F55" s="12" t="s">
        <v>50</v>
      </c>
      <c r="G55" s="12">
        <v>4</v>
      </c>
      <c r="H55" s="12"/>
      <c r="I55" s="12">
        <v>30</v>
      </c>
      <c r="J55" s="12" t="s">
        <v>51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/>
      <c r="R55" s="12">
        <f t="shared" si="7"/>
        <v>150</v>
      </c>
    </row>
    <row r="56" s="12" customFormat="1" ht="17" spans="1:18">
      <c r="A56" s="15" t="s">
        <v>97</v>
      </c>
      <c r="B56" s="15" t="s">
        <v>212</v>
      </c>
      <c r="C56" s="15" t="s">
        <v>213</v>
      </c>
      <c r="D56" s="17" t="s">
        <v>214</v>
      </c>
      <c r="E56" s="15" t="s">
        <v>49</v>
      </c>
      <c r="F56" s="15" t="s">
        <v>50</v>
      </c>
      <c r="G56" s="15">
        <v>0.2</v>
      </c>
      <c r="H56" s="15"/>
      <c r="I56" s="15">
        <v>30</v>
      </c>
      <c r="J56" s="15" t="s">
        <v>51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/>
      <c r="R56" s="15">
        <f t="shared" si="7"/>
        <v>150</v>
      </c>
    </row>
    <row r="57" s="12" customFormat="1" spans="1:18">
      <c r="A57" s="15" t="s">
        <v>97</v>
      </c>
      <c r="B57" s="15" t="s">
        <v>215</v>
      </c>
      <c r="C57" s="15" t="s">
        <v>216</v>
      </c>
      <c r="D57" s="15" t="s">
        <v>217</v>
      </c>
      <c r="E57" s="15" t="s">
        <v>55</v>
      </c>
      <c r="F57" s="15" t="s">
        <v>50</v>
      </c>
      <c r="G57" s="15">
        <v>0.2</v>
      </c>
      <c r="H57" s="15"/>
      <c r="I57" s="15">
        <v>300</v>
      </c>
      <c r="J57" s="15" t="s">
        <v>57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/>
      <c r="R57" s="15">
        <f t="shared" si="7"/>
        <v>40</v>
      </c>
    </row>
    <row r="58" s="12" customFormat="1" spans="1:18">
      <c r="A58" s="15"/>
      <c r="B58" s="15"/>
      <c r="C58" s="15"/>
      <c r="D58" s="15" t="s">
        <v>218</v>
      </c>
      <c r="E58" s="15" t="s">
        <v>55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</row>
    <row r="59" s="12" customFormat="1" spans="1:18">
      <c r="A59" s="15"/>
      <c r="B59" s="15"/>
      <c r="C59" s="15"/>
      <c r="D59" s="15" t="s">
        <v>219</v>
      </c>
      <c r="E59" s="12" t="s">
        <v>70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</row>
    <row r="60" s="12" customFormat="1" spans="1:18">
      <c r="A60" s="15"/>
      <c r="B60" s="15"/>
      <c r="C60" s="15"/>
      <c r="D60" s="15" t="s">
        <v>220</v>
      </c>
      <c r="E60" s="12" t="s">
        <v>70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</row>
    <row r="61" s="12" customFormat="1" spans="1:18">
      <c r="A61" s="15"/>
      <c r="B61" s="15"/>
      <c r="C61" s="15"/>
      <c r="D61" s="15" t="s">
        <v>221</v>
      </c>
      <c r="E61" s="12" t="s">
        <v>70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</row>
    <row r="62" s="12" customFormat="1" spans="1:18">
      <c r="A62" s="15"/>
      <c r="B62" s="15"/>
      <c r="C62" s="15"/>
      <c r="D62" s="15" t="s">
        <v>222</v>
      </c>
      <c r="E62" s="12" t="s">
        <v>70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</row>
    <row r="63" s="12" customFormat="1" ht="34" spans="2:18">
      <c r="B63" s="12" t="s">
        <v>223</v>
      </c>
      <c r="C63" s="12" t="s">
        <v>224</v>
      </c>
      <c r="D63" s="14" t="s">
        <v>225</v>
      </c>
      <c r="E63" s="12" t="s">
        <v>70</v>
      </c>
      <c r="F63" s="12" t="s">
        <v>50</v>
      </c>
      <c r="G63" s="12">
        <v>15</v>
      </c>
      <c r="H63" s="12"/>
      <c r="I63" s="12">
        <v>300</v>
      </c>
      <c r="J63" s="12" t="s">
        <v>57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R63" s="12">
        <f t="shared" ref="R63:R76" si="8">VLOOKUP(E63,$T$7:$AB$12,9,FALSE)</f>
        <v>80</v>
      </c>
    </row>
    <row r="64" s="12" customFormat="1" ht="17" spans="2:18">
      <c r="B64" s="12" t="s">
        <v>226</v>
      </c>
      <c r="C64" s="12" t="s">
        <v>227</v>
      </c>
      <c r="D64" s="14" t="s">
        <v>228</v>
      </c>
      <c r="E64" s="12" t="s">
        <v>55</v>
      </c>
      <c r="F64" s="12" t="s">
        <v>50</v>
      </c>
      <c r="G64" s="12">
        <v>0</v>
      </c>
      <c r="I64" s="12">
        <v>30</v>
      </c>
      <c r="J64" s="12" t="s">
        <v>51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R64" s="12">
        <f t="shared" si="8"/>
        <v>40</v>
      </c>
    </row>
    <row r="65" s="12" customFormat="1" spans="2:18">
      <c r="B65" s="12" t="s">
        <v>229</v>
      </c>
      <c r="C65" s="12" t="s">
        <v>230</v>
      </c>
      <c r="D65" s="12" t="s">
        <v>231</v>
      </c>
      <c r="E65" s="12" t="s">
        <v>55</v>
      </c>
      <c r="F65" s="12" t="s">
        <v>50</v>
      </c>
      <c r="G65" s="12">
        <v>0</v>
      </c>
      <c r="I65" s="12">
        <v>30</v>
      </c>
      <c r="J65" s="12" t="s">
        <v>51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R65" s="12">
        <v>50</v>
      </c>
    </row>
    <row r="66" s="12" customFormat="1" spans="2:18">
      <c r="B66" s="12" t="s">
        <v>232</v>
      </c>
      <c r="C66" s="12" t="s">
        <v>233</v>
      </c>
      <c r="D66" s="12" t="s">
        <v>234</v>
      </c>
      <c r="E66" s="12" t="s">
        <v>55</v>
      </c>
      <c r="F66" s="12" t="s">
        <v>50</v>
      </c>
      <c r="G66" s="12">
        <v>0</v>
      </c>
      <c r="H66" s="12"/>
      <c r="I66" s="12">
        <v>30</v>
      </c>
      <c r="J66" s="12" t="s">
        <v>51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R66" s="12">
        <v>50</v>
      </c>
    </row>
    <row r="67" s="12" customFormat="1" ht="34" spans="2:18">
      <c r="B67" s="12" t="s">
        <v>235</v>
      </c>
      <c r="C67" s="12" t="s">
        <v>236</v>
      </c>
      <c r="D67" s="14" t="s">
        <v>237</v>
      </c>
      <c r="E67" s="12" t="s">
        <v>70</v>
      </c>
      <c r="F67" s="12" t="s">
        <v>50</v>
      </c>
      <c r="G67" s="12">
        <v>1</v>
      </c>
      <c r="H67" s="12"/>
      <c r="I67" s="12">
        <v>100</v>
      </c>
      <c r="J67" s="12" t="s">
        <v>71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/>
      <c r="R67" s="12">
        <f t="shared" si="8"/>
        <v>80</v>
      </c>
    </row>
    <row r="68" s="12" customFormat="1" ht="34" spans="2:18">
      <c r="B68" s="12" t="s">
        <v>238</v>
      </c>
      <c r="C68" s="12" t="s">
        <v>239</v>
      </c>
      <c r="D68" s="14" t="s">
        <v>240</v>
      </c>
      <c r="E68" s="12" t="s">
        <v>70</v>
      </c>
      <c r="F68" s="12" t="s">
        <v>50</v>
      </c>
      <c r="G68" s="12">
        <v>0</v>
      </c>
      <c r="H68" s="12" t="s">
        <v>241</v>
      </c>
      <c r="I68" s="12">
        <v>100</v>
      </c>
      <c r="J68" s="12" t="s">
        <v>71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R68" s="12">
        <f t="shared" si="8"/>
        <v>80</v>
      </c>
    </row>
    <row r="69" s="12" customFormat="1" ht="34" spans="2:18">
      <c r="B69" s="12" t="s">
        <v>242</v>
      </c>
      <c r="C69" s="12" t="s">
        <v>243</v>
      </c>
      <c r="D69" s="14" t="s">
        <v>244</v>
      </c>
      <c r="E69" s="12" t="s">
        <v>70</v>
      </c>
      <c r="F69" s="12" t="s">
        <v>50</v>
      </c>
      <c r="G69" s="12">
        <v>0</v>
      </c>
      <c r="H69" s="12" t="s">
        <v>245</v>
      </c>
      <c r="I69" s="12">
        <v>100</v>
      </c>
      <c r="J69" s="12" t="s">
        <v>71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R69" s="12">
        <f t="shared" si="8"/>
        <v>80</v>
      </c>
    </row>
    <row r="70" s="12" customFormat="1" ht="17" spans="1:18">
      <c r="A70" s="15" t="s">
        <v>97</v>
      </c>
      <c r="B70" s="15" t="s">
        <v>246</v>
      </c>
      <c r="C70" s="15" t="s">
        <v>247</v>
      </c>
      <c r="D70" s="17" t="s">
        <v>248</v>
      </c>
      <c r="E70" s="15" t="s">
        <v>55</v>
      </c>
      <c r="F70" s="15" t="s">
        <v>50</v>
      </c>
      <c r="G70" s="15">
        <v>1</v>
      </c>
      <c r="H70" s="15"/>
      <c r="I70" s="15">
        <v>100</v>
      </c>
      <c r="J70" s="15" t="s">
        <v>71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/>
      <c r="R70" s="15">
        <f t="shared" si="8"/>
        <v>40</v>
      </c>
    </row>
    <row r="71" s="12" customFormat="1" spans="2:18">
      <c r="B71" s="12" t="s">
        <v>249</v>
      </c>
      <c r="C71" s="12" t="s">
        <v>250</v>
      </c>
      <c r="D71" s="12" t="s">
        <v>251</v>
      </c>
      <c r="E71" s="12" t="s">
        <v>55</v>
      </c>
      <c r="F71" s="12" t="s">
        <v>50</v>
      </c>
      <c r="G71" s="12">
        <v>2</v>
      </c>
      <c r="I71" s="12">
        <v>300</v>
      </c>
      <c r="J71" s="12" t="s">
        <v>57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R71" s="12">
        <f t="shared" si="8"/>
        <v>40</v>
      </c>
    </row>
    <row r="72" s="12" customFormat="1" ht="34" spans="2:18">
      <c r="B72" s="12" t="s">
        <v>252</v>
      </c>
      <c r="C72" s="12" t="s">
        <v>253</v>
      </c>
      <c r="D72" s="14" t="s">
        <v>254</v>
      </c>
      <c r="E72" s="12" t="s">
        <v>70</v>
      </c>
      <c r="F72" s="12" t="s">
        <v>50</v>
      </c>
      <c r="G72" s="12">
        <v>30</v>
      </c>
      <c r="H72" s="12"/>
      <c r="I72" s="12">
        <v>100</v>
      </c>
      <c r="J72" s="12" t="s">
        <v>71</v>
      </c>
      <c r="K72" s="12">
        <v>0</v>
      </c>
      <c r="L72" s="12">
        <v>0</v>
      </c>
      <c r="M72" s="12">
        <v>0</v>
      </c>
      <c r="N72" s="12">
        <v>0</v>
      </c>
      <c r="O72" s="12">
        <v>0</v>
      </c>
      <c r="P72" s="12">
        <v>0</v>
      </c>
      <c r="R72" s="12">
        <f t="shared" si="8"/>
        <v>80</v>
      </c>
    </row>
    <row r="73" s="12" customFormat="1" ht="17" spans="2:18">
      <c r="B73" s="12" t="s">
        <v>255</v>
      </c>
      <c r="C73" s="12" t="s">
        <v>256</v>
      </c>
      <c r="D73" s="14" t="s">
        <v>257</v>
      </c>
      <c r="E73" s="12" t="s">
        <v>55</v>
      </c>
      <c r="F73" s="12" t="s">
        <v>258</v>
      </c>
      <c r="G73" s="12">
        <v>-0.2</v>
      </c>
      <c r="H73" s="12"/>
      <c r="I73" s="12">
        <v>300</v>
      </c>
      <c r="J73" s="12" t="s">
        <v>57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/>
      <c r="R73" s="12">
        <f t="shared" si="8"/>
        <v>40</v>
      </c>
    </row>
    <row r="74" s="12" customFormat="1" ht="17" spans="2:18">
      <c r="B74" s="12" t="s">
        <v>259</v>
      </c>
      <c r="C74" s="12" t="s">
        <v>260</v>
      </c>
      <c r="D74" s="14" t="s">
        <v>261</v>
      </c>
      <c r="E74" s="12" t="s">
        <v>55</v>
      </c>
      <c r="F74" s="12" t="s">
        <v>258</v>
      </c>
      <c r="G74" s="12">
        <v>0.2</v>
      </c>
      <c r="H74" s="12"/>
      <c r="I74" s="12">
        <v>300</v>
      </c>
      <c r="J74" s="12" t="s">
        <v>57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/>
      <c r="R74" s="12">
        <f t="shared" si="8"/>
        <v>40</v>
      </c>
    </row>
    <row r="75" s="12" customFormat="1" ht="17" spans="2:18">
      <c r="B75" s="12" t="s">
        <v>262</v>
      </c>
      <c r="C75" s="12" t="s">
        <v>263</v>
      </c>
      <c r="D75" s="14" t="s">
        <v>264</v>
      </c>
      <c r="E75" s="12" t="s">
        <v>55</v>
      </c>
      <c r="F75" s="12" t="s">
        <v>258</v>
      </c>
      <c r="G75" s="12">
        <v>0</v>
      </c>
      <c r="I75" s="12">
        <v>300</v>
      </c>
      <c r="J75" s="12" t="s">
        <v>57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R75" s="12">
        <f t="shared" si="8"/>
        <v>40</v>
      </c>
    </row>
    <row r="76" s="12" customFormat="1" spans="2:18">
      <c r="B76" s="12" t="s">
        <v>265</v>
      </c>
      <c r="C76" s="12" t="s">
        <v>266</v>
      </c>
      <c r="D76" s="12" t="s">
        <v>267</v>
      </c>
      <c r="E76" s="12" t="s">
        <v>55</v>
      </c>
      <c r="F76" s="12" t="s">
        <v>258</v>
      </c>
      <c r="G76" s="12">
        <v>1</v>
      </c>
      <c r="I76" s="12">
        <v>300</v>
      </c>
      <c r="J76" s="12" t="s">
        <v>57</v>
      </c>
      <c r="K76" s="12">
        <v>0</v>
      </c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/>
      <c r="R76" s="12">
        <f t="shared" si="8"/>
        <v>40</v>
      </c>
    </row>
    <row r="77" s="12" customFormat="1" spans="2:18">
      <c r="B77" s="12" t="s">
        <v>268</v>
      </c>
      <c r="C77" s="12" t="s">
        <v>269</v>
      </c>
      <c r="D77" s="12" t="s">
        <v>270</v>
      </c>
      <c r="E77" s="12" t="s">
        <v>55</v>
      </c>
      <c r="F77" s="12" t="s">
        <v>258</v>
      </c>
      <c r="G77" s="12">
        <v>1</v>
      </c>
      <c r="I77" s="12">
        <v>300</v>
      </c>
      <c r="J77" s="12" t="s">
        <v>57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/>
      <c r="R77" s="12">
        <v>50</v>
      </c>
    </row>
    <row r="78" s="12" customFormat="1" spans="2:18">
      <c r="B78" s="12" t="s">
        <v>271</v>
      </c>
      <c r="C78" s="12" t="s">
        <v>272</v>
      </c>
      <c r="D78" s="12" t="s">
        <v>273</v>
      </c>
      <c r="E78" s="12" t="s">
        <v>55</v>
      </c>
      <c r="F78" s="12" t="s">
        <v>258</v>
      </c>
      <c r="G78" s="12">
        <v>-1</v>
      </c>
      <c r="I78" s="12">
        <v>300</v>
      </c>
      <c r="J78" s="12" t="s">
        <v>57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/>
      <c r="R78" s="12">
        <f t="shared" ref="R78:R82" si="9">VLOOKUP(E78,$T$7:$AB$12,9,FALSE)</f>
        <v>40</v>
      </c>
    </row>
    <row r="79" s="12" customFormat="1" ht="17" spans="2:18">
      <c r="B79" s="12" t="s">
        <v>274</v>
      </c>
      <c r="C79" s="12" t="s">
        <v>275</v>
      </c>
      <c r="D79" s="14" t="s">
        <v>276</v>
      </c>
      <c r="E79" s="12" t="s">
        <v>55</v>
      </c>
      <c r="F79" s="12" t="s">
        <v>258</v>
      </c>
      <c r="G79" s="12">
        <v>0.2</v>
      </c>
      <c r="H79" s="12"/>
      <c r="I79" s="12">
        <v>300</v>
      </c>
      <c r="J79" s="12" t="s">
        <v>57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/>
      <c r="R79" s="12">
        <f t="shared" si="9"/>
        <v>40</v>
      </c>
    </row>
    <row r="80" s="12" customFormat="1" spans="2:18">
      <c r="B80" s="12" t="s">
        <v>277</v>
      </c>
      <c r="C80" s="12" t="s">
        <v>278</v>
      </c>
      <c r="D80" s="12" t="s">
        <v>279</v>
      </c>
      <c r="E80" s="12" t="s">
        <v>55</v>
      </c>
      <c r="F80" s="12" t="s">
        <v>258</v>
      </c>
      <c r="G80" s="12">
        <v>0.2</v>
      </c>
      <c r="I80" s="12">
        <v>300</v>
      </c>
      <c r="J80" s="12" t="s">
        <v>57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/>
      <c r="R80" s="12">
        <f t="shared" si="9"/>
        <v>40</v>
      </c>
    </row>
    <row r="81" s="12" customFormat="1" spans="2:18">
      <c r="B81" s="12" t="s">
        <v>280</v>
      </c>
      <c r="C81" s="12" t="s">
        <v>281</v>
      </c>
      <c r="D81" s="12" t="s">
        <v>282</v>
      </c>
      <c r="E81" s="12" t="s">
        <v>55</v>
      </c>
      <c r="F81" s="12" t="s">
        <v>258</v>
      </c>
      <c r="G81" s="12">
        <v>0.2</v>
      </c>
      <c r="I81" s="12">
        <v>300</v>
      </c>
      <c r="J81" s="12" t="s">
        <v>57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/>
      <c r="R81" s="12">
        <f t="shared" si="9"/>
        <v>40</v>
      </c>
    </row>
    <row r="82" s="12" customFormat="1" ht="34" spans="2:18">
      <c r="B82" s="12" t="s">
        <v>283</v>
      </c>
      <c r="C82" s="12" t="s">
        <v>284</v>
      </c>
      <c r="D82" s="14" t="s">
        <v>285</v>
      </c>
      <c r="E82" s="12" t="s">
        <v>55</v>
      </c>
      <c r="F82" s="12" t="s">
        <v>258</v>
      </c>
      <c r="G82" s="12">
        <v>0</v>
      </c>
      <c r="I82" s="12">
        <v>300</v>
      </c>
      <c r="J82" s="12" t="s">
        <v>57</v>
      </c>
      <c r="K82" s="12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/>
      <c r="R82" s="12">
        <f t="shared" si="9"/>
        <v>40</v>
      </c>
    </row>
    <row r="83" s="12" customFormat="1" ht="34" spans="2:18">
      <c r="B83" s="12" t="s">
        <v>286</v>
      </c>
      <c r="C83" s="12" t="s">
        <v>287</v>
      </c>
      <c r="D83" s="14" t="s">
        <v>288</v>
      </c>
      <c r="E83" s="12" t="s">
        <v>55</v>
      </c>
      <c r="F83" s="12" t="s">
        <v>50</v>
      </c>
      <c r="G83" s="12">
        <v>2</v>
      </c>
      <c r="H83" s="12" t="s">
        <v>289</v>
      </c>
      <c r="I83" s="12">
        <v>300</v>
      </c>
      <c r="J83" s="12" t="s">
        <v>57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/>
      <c r="R83" s="12">
        <v>50</v>
      </c>
    </row>
    <row r="84" s="12" customFormat="1" ht="34" spans="2:18">
      <c r="B84" s="12" t="s">
        <v>290</v>
      </c>
      <c r="C84" s="12" t="s">
        <v>291</v>
      </c>
      <c r="D84" s="14" t="s">
        <v>292</v>
      </c>
      <c r="E84" s="12" t="s">
        <v>49</v>
      </c>
      <c r="F84" s="12" t="s">
        <v>50</v>
      </c>
      <c r="G84" s="12">
        <v>0.3</v>
      </c>
      <c r="I84" s="12">
        <v>100</v>
      </c>
      <c r="J84" s="12" t="s">
        <v>71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/>
      <c r="R84" s="12">
        <v>80</v>
      </c>
    </row>
    <row r="85" s="12" customFormat="1" spans="2:18">
      <c r="B85" s="12" t="s">
        <v>293</v>
      </c>
      <c r="C85" s="12" t="s">
        <v>294</v>
      </c>
      <c r="D85" s="12" t="s">
        <v>295</v>
      </c>
      <c r="E85" s="12" t="s">
        <v>172</v>
      </c>
      <c r="F85" s="12" t="s">
        <v>50</v>
      </c>
      <c r="G85" s="12">
        <v>2</v>
      </c>
      <c r="I85" s="12">
        <v>10</v>
      </c>
      <c r="J85" s="12" t="s">
        <v>80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R85" s="12">
        <f t="shared" ref="R85:R94" si="10">VLOOKUP(E85,$T$7:$AB$12,9,FALSE)</f>
        <v>240</v>
      </c>
    </row>
    <row r="86" s="12" customFormat="1" ht="34" spans="2:18">
      <c r="B86" s="12" t="s">
        <v>296</v>
      </c>
      <c r="C86" s="12" t="s">
        <v>297</v>
      </c>
      <c r="D86" s="14" t="s">
        <v>298</v>
      </c>
      <c r="E86" s="12" t="s">
        <v>49</v>
      </c>
      <c r="F86" s="12" t="s">
        <v>50</v>
      </c>
      <c r="G86" s="12">
        <v>1.1</v>
      </c>
      <c r="I86" s="12">
        <v>10</v>
      </c>
      <c r="J86" s="12" t="s">
        <v>80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 t="s">
        <v>299</v>
      </c>
      <c r="R86" s="12">
        <f t="shared" si="10"/>
        <v>150</v>
      </c>
    </row>
    <row r="87" s="12" customFormat="1" ht="34" spans="2:18">
      <c r="B87" s="12" t="s">
        <v>300</v>
      </c>
      <c r="C87" s="12" t="s">
        <v>301</v>
      </c>
      <c r="D87" s="14" t="s">
        <v>302</v>
      </c>
      <c r="E87" s="12" t="s">
        <v>49</v>
      </c>
      <c r="F87" s="12" t="s">
        <v>50</v>
      </c>
      <c r="G87" s="12">
        <v>1.1</v>
      </c>
      <c r="I87" s="12">
        <v>10</v>
      </c>
      <c r="J87" s="12" t="s">
        <v>80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 t="s">
        <v>299</v>
      </c>
      <c r="R87" s="12">
        <f t="shared" si="10"/>
        <v>150</v>
      </c>
    </row>
    <row r="88" s="12" customFormat="1" ht="34" spans="2:18">
      <c r="B88" s="12" t="s">
        <v>303</v>
      </c>
      <c r="C88" s="12" t="s">
        <v>304</v>
      </c>
      <c r="D88" s="14" t="s">
        <v>305</v>
      </c>
      <c r="E88" s="12" t="s">
        <v>49</v>
      </c>
      <c r="F88" s="12" t="s">
        <v>50</v>
      </c>
      <c r="G88" s="12">
        <v>0.2</v>
      </c>
      <c r="I88" s="12">
        <v>100</v>
      </c>
      <c r="J88" s="12" t="s">
        <v>71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 t="s">
        <v>299</v>
      </c>
      <c r="R88" s="12">
        <f t="shared" si="10"/>
        <v>150</v>
      </c>
    </row>
    <row r="89" s="12" customFormat="1" ht="34" spans="2:18">
      <c r="B89" s="12" t="s">
        <v>306</v>
      </c>
      <c r="C89" s="12" t="s">
        <v>307</v>
      </c>
      <c r="D89" s="14" t="s">
        <v>308</v>
      </c>
      <c r="E89" s="12" t="s">
        <v>70</v>
      </c>
      <c r="F89" s="12" t="s">
        <v>50</v>
      </c>
      <c r="G89" s="12">
        <v>10</v>
      </c>
      <c r="H89" s="12" t="s">
        <v>309</v>
      </c>
      <c r="I89" s="12">
        <v>100</v>
      </c>
      <c r="J89" s="12" t="s">
        <v>71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 t="s">
        <v>299</v>
      </c>
      <c r="R89" s="12">
        <f t="shared" si="10"/>
        <v>80</v>
      </c>
    </row>
    <row r="90" s="12" customFormat="1" ht="34" spans="2:18">
      <c r="B90" s="12" t="s">
        <v>310</v>
      </c>
      <c r="C90" s="12" t="s">
        <v>311</v>
      </c>
      <c r="D90" s="14" t="s">
        <v>312</v>
      </c>
      <c r="E90" s="12" t="s">
        <v>172</v>
      </c>
      <c r="F90" s="12" t="s">
        <v>50</v>
      </c>
      <c r="G90" s="12">
        <v>0.2</v>
      </c>
      <c r="I90" s="12">
        <v>10</v>
      </c>
      <c r="J90" s="12" t="s">
        <v>80</v>
      </c>
      <c r="K90" s="12">
        <v>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 t="s">
        <v>313</v>
      </c>
      <c r="R90" s="12">
        <f t="shared" si="10"/>
        <v>240</v>
      </c>
    </row>
    <row r="91" s="12" customFormat="1" ht="34" spans="2:18">
      <c r="B91" s="12" t="s">
        <v>314</v>
      </c>
      <c r="C91" s="12" t="s">
        <v>315</v>
      </c>
      <c r="D91" s="14" t="s">
        <v>316</v>
      </c>
      <c r="E91" s="12" t="s">
        <v>70</v>
      </c>
      <c r="F91" s="12" t="s">
        <v>50</v>
      </c>
      <c r="G91" s="12">
        <v>10</v>
      </c>
      <c r="I91" s="12">
        <v>100</v>
      </c>
      <c r="J91" s="12" t="s">
        <v>71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 t="s">
        <v>313</v>
      </c>
      <c r="R91" s="12">
        <f t="shared" si="10"/>
        <v>80</v>
      </c>
    </row>
    <row r="92" s="12" customFormat="1" ht="34" spans="2:18">
      <c r="B92" s="12" t="s">
        <v>317</v>
      </c>
      <c r="C92" s="12" t="s">
        <v>318</v>
      </c>
      <c r="D92" s="14" t="s">
        <v>319</v>
      </c>
      <c r="E92" s="12" t="s">
        <v>49</v>
      </c>
      <c r="F92" s="12" t="s">
        <v>50</v>
      </c>
      <c r="G92" s="12">
        <v>1</v>
      </c>
      <c r="I92" s="12">
        <v>30</v>
      </c>
      <c r="J92" s="12" t="s">
        <v>51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 t="s">
        <v>313</v>
      </c>
      <c r="R92" s="12">
        <f t="shared" si="10"/>
        <v>150</v>
      </c>
    </row>
    <row r="93" s="12" customFormat="1" ht="34" spans="2:18">
      <c r="B93" s="12" t="s">
        <v>320</v>
      </c>
      <c r="C93" s="12" t="s">
        <v>321</v>
      </c>
      <c r="D93" s="14" t="s">
        <v>322</v>
      </c>
      <c r="E93" s="12" t="s">
        <v>70</v>
      </c>
      <c r="F93" s="12" t="s">
        <v>50</v>
      </c>
      <c r="G93" s="12">
        <v>10</v>
      </c>
      <c r="H93" s="12" t="s">
        <v>323</v>
      </c>
      <c r="I93" s="12">
        <v>100</v>
      </c>
      <c r="J93" s="12" t="s">
        <v>71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 t="s">
        <v>313</v>
      </c>
      <c r="R93" s="12">
        <f t="shared" si="10"/>
        <v>80</v>
      </c>
    </row>
    <row r="94" s="12" customFormat="1" ht="17" spans="2:18">
      <c r="B94" s="12" t="s">
        <v>324</v>
      </c>
      <c r="C94" s="12" t="s">
        <v>325</v>
      </c>
      <c r="D94" s="14" t="s">
        <v>326</v>
      </c>
      <c r="E94" s="12" t="s">
        <v>70</v>
      </c>
      <c r="F94" s="12" t="s">
        <v>50</v>
      </c>
      <c r="G94" s="12">
        <v>10</v>
      </c>
      <c r="I94" s="12">
        <v>100</v>
      </c>
      <c r="J94" s="12" t="s">
        <v>71</v>
      </c>
      <c r="K94" s="12">
        <v>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 t="s">
        <v>313</v>
      </c>
      <c r="R94" s="12">
        <f t="shared" si="10"/>
        <v>80</v>
      </c>
    </row>
    <row r="95" s="12" customFormat="1"/>
    <row r="96" s="12" customFormat="1"/>
    <row r="97" s="12" customFormat="1"/>
    <row r="98" s="12" customFormat="1"/>
    <row r="99" s="12" customFormat="1"/>
    <row r="100" s="12" customFormat="1"/>
    <row r="101" s="12" customFormat="1"/>
    <row r="102" s="12" customFormat="1"/>
    <row r="103" s="12" customFormat="1"/>
    <row r="104" s="1" customFormat="1" spans="2:18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327</v>
      </c>
      <c r="G1" s="7" t="s">
        <v>6</v>
      </c>
      <c r="H1" s="7" t="s">
        <v>7</v>
      </c>
      <c r="I1" s="7" t="s">
        <v>8</v>
      </c>
      <c r="J1" s="7" t="s">
        <v>328</v>
      </c>
      <c r="K1" s="7" t="s">
        <v>329</v>
      </c>
      <c r="L1" s="7" t="s">
        <v>16</v>
      </c>
      <c r="M1" s="1" t="s">
        <v>17</v>
      </c>
      <c r="N1" s="1" t="s">
        <v>330</v>
      </c>
    </row>
    <row r="2" ht="16.5" customHeight="1" spans="1:14">
      <c r="A2" s="7" t="s">
        <v>19</v>
      </c>
      <c r="B2" s="1" t="s">
        <v>20</v>
      </c>
      <c r="C2" s="1" t="s">
        <v>21</v>
      </c>
      <c r="D2" s="1" t="s">
        <v>22</v>
      </c>
      <c r="E2" s="1" t="s">
        <v>24</v>
      </c>
      <c r="F2" s="1" t="s">
        <v>331</v>
      </c>
      <c r="G2" s="1" t="s">
        <v>25</v>
      </c>
      <c r="H2" s="1" t="s">
        <v>26</v>
      </c>
      <c r="I2" s="1" t="s">
        <v>27</v>
      </c>
      <c r="J2" s="1" t="s">
        <v>332</v>
      </c>
      <c r="K2" s="1" t="s">
        <v>333</v>
      </c>
      <c r="L2" s="1" t="s">
        <v>334</v>
      </c>
      <c r="M2" s="1" t="s">
        <v>36</v>
      </c>
      <c r="N2" s="1" t="s">
        <v>335</v>
      </c>
    </row>
    <row r="3" ht="16.5" customHeight="1" spans="1:14">
      <c r="A3" s="7" t="s">
        <v>38</v>
      </c>
      <c r="B3" s="7" t="s">
        <v>39</v>
      </c>
      <c r="C3" s="7" t="s">
        <v>39</v>
      </c>
      <c r="D3" s="7" t="s">
        <v>39</v>
      </c>
      <c r="E3" s="7" t="s">
        <v>39</v>
      </c>
      <c r="F3" s="7" t="s">
        <v>39</v>
      </c>
      <c r="G3" s="7" t="s">
        <v>42</v>
      </c>
      <c r="H3" s="7" t="s">
        <v>39</v>
      </c>
      <c r="I3" s="7" t="s">
        <v>42</v>
      </c>
      <c r="J3" s="7" t="s">
        <v>336</v>
      </c>
      <c r="K3" s="7" t="s">
        <v>44</v>
      </c>
      <c r="L3" s="7" t="s">
        <v>39</v>
      </c>
      <c r="M3" s="1" t="s">
        <v>44</v>
      </c>
      <c r="N3" s="1" t="s">
        <v>337</v>
      </c>
    </row>
    <row r="4" ht="33.75" customHeight="1" spans="2:14">
      <c r="B4" s="7" t="s">
        <v>338</v>
      </c>
      <c r="C4" s="1" t="s">
        <v>339</v>
      </c>
      <c r="D4" s="9" t="s">
        <v>340</v>
      </c>
      <c r="F4" s="7" t="s">
        <v>341</v>
      </c>
      <c r="G4" s="1">
        <v>0</v>
      </c>
      <c r="H4" s="7" t="s">
        <v>342</v>
      </c>
      <c r="I4" s="1">
        <v>1</v>
      </c>
      <c r="J4" s="7" t="s">
        <v>343</v>
      </c>
      <c r="K4" s="1">
        <v>1</v>
      </c>
      <c r="L4" s="7" t="s">
        <v>342</v>
      </c>
      <c r="M4" s="1">
        <v>50</v>
      </c>
      <c r="N4" s="1" t="s">
        <v>344</v>
      </c>
    </row>
    <row r="5" ht="33.75" customHeight="1" spans="2:14">
      <c r="B5" s="7" t="s">
        <v>345</v>
      </c>
      <c r="C5" s="1" t="s">
        <v>346</v>
      </c>
      <c r="D5" s="9" t="s">
        <v>347</v>
      </c>
      <c r="F5" s="7" t="s">
        <v>341</v>
      </c>
      <c r="G5" s="1">
        <v>0</v>
      </c>
      <c r="H5" s="7" t="s">
        <v>348</v>
      </c>
      <c r="I5" s="1">
        <v>1</v>
      </c>
      <c r="J5" s="7" t="s">
        <v>343</v>
      </c>
      <c r="K5" s="1">
        <v>1</v>
      </c>
      <c r="L5" s="7" t="s">
        <v>348</v>
      </c>
      <c r="M5" s="1">
        <v>50</v>
      </c>
      <c r="N5" s="1" t="s">
        <v>344</v>
      </c>
    </row>
    <row r="6" ht="33.75" customHeight="1" spans="2:14">
      <c r="B6" s="7" t="s">
        <v>349</v>
      </c>
      <c r="C6" s="1" t="s">
        <v>350</v>
      </c>
      <c r="D6" s="9" t="s">
        <v>351</v>
      </c>
      <c r="F6" s="7" t="s">
        <v>341</v>
      </c>
      <c r="G6" s="1">
        <v>0</v>
      </c>
      <c r="H6" s="7" t="s">
        <v>352</v>
      </c>
      <c r="I6" s="1">
        <v>1</v>
      </c>
      <c r="J6" s="7" t="s">
        <v>343</v>
      </c>
      <c r="K6" s="1">
        <v>1</v>
      </c>
      <c r="L6" s="7" t="s">
        <v>352</v>
      </c>
      <c r="M6" s="1">
        <v>50</v>
      </c>
      <c r="N6" s="1" t="s">
        <v>344</v>
      </c>
    </row>
    <row r="7" ht="33.75" customHeight="1" spans="2:14">
      <c r="B7" s="7" t="s">
        <v>353</v>
      </c>
      <c r="C7" s="1" t="s">
        <v>354</v>
      </c>
      <c r="D7" s="9" t="s">
        <v>355</v>
      </c>
      <c r="F7" s="7" t="s">
        <v>341</v>
      </c>
      <c r="G7" s="1">
        <v>0</v>
      </c>
      <c r="H7" s="7" t="s">
        <v>356</v>
      </c>
      <c r="I7" s="1">
        <v>1</v>
      </c>
      <c r="J7" s="7" t="s">
        <v>343</v>
      </c>
      <c r="K7" s="1">
        <v>1</v>
      </c>
      <c r="L7" s="7" t="s">
        <v>356</v>
      </c>
      <c r="M7" s="1">
        <v>50</v>
      </c>
      <c r="N7" s="1" t="s">
        <v>344</v>
      </c>
    </row>
    <row r="8" ht="33.75" customHeight="1" spans="2:14">
      <c r="B8" s="7" t="s">
        <v>357</v>
      </c>
      <c r="C8" s="1" t="s">
        <v>358</v>
      </c>
      <c r="D8" s="9" t="s">
        <v>359</v>
      </c>
      <c r="F8" s="7" t="s">
        <v>341</v>
      </c>
      <c r="G8" s="1">
        <v>0</v>
      </c>
      <c r="H8" s="7" t="s">
        <v>360</v>
      </c>
      <c r="I8" s="1">
        <v>1</v>
      </c>
      <c r="J8" s="7" t="s">
        <v>343</v>
      </c>
      <c r="K8" s="1">
        <v>1</v>
      </c>
      <c r="L8" s="7" t="s">
        <v>360</v>
      </c>
      <c r="M8" s="1">
        <v>50</v>
      </c>
      <c r="N8" s="1" t="s">
        <v>344</v>
      </c>
    </row>
    <row r="9" ht="33.75" customHeight="1" spans="2:14">
      <c r="B9" s="7" t="s">
        <v>361</v>
      </c>
      <c r="C9" s="1" t="s">
        <v>362</v>
      </c>
      <c r="D9" s="9" t="s">
        <v>363</v>
      </c>
      <c r="F9" s="7" t="s">
        <v>341</v>
      </c>
      <c r="G9" s="1">
        <v>0</v>
      </c>
      <c r="H9" s="7" t="s">
        <v>364</v>
      </c>
      <c r="I9" s="1">
        <v>1</v>
      </c>
      <c r="J9" s="7" t="s">
        <v>343</v>
      </c>
      <c r="K9" s="1">
        <v>1</v>
      </c>
      <c r="L9" s="7" t="s">
        <v>364</v>
      </c>
      <c r="M9" s="1">
        <v>50</v>
      </c>
      <c r="N9" s="1" t="s">
        <v>344</v>
      </c>
    </row>
    <row r="10" ht="33.75" customHeight="1" spans="2:14">
      <c r="B10" s="7" t="s">
        <v>365</v>
      </c>
      <c r="C10" s="1" t="s">
        <v>366</v>
      </c>
      <c r="D10" s="9" t="s">
        <v>367</v>
      </c>
      <c r="E10" t="s">
        <v>368</v>
      </c>
      <c r="F10" s="7" t="s">
        <v>369</v>
      </c>
      <c r="G10" s="1">
        <v>0</v>
      </c>
      <c r="H10" s="7" t="s">
        <v>370</v>
      </c>
      <c r="I10" s="1">
        <v>1</v>
      </c>
      <c r="J10" s="7" t="s">
        <v>371</v>
      </c>
      <c r="K10" s="1">
        <v>1</v>
      </c>
      <c r="L10" s="7" t="s">
        <v>370</v>
      </c>
      <c r="M10" s="1">
        <v>50</v>
      </c>
      <c r="N10" s="1" t="s">
        <v>344</v>
      </c>
    </row>
    <row r="11" ht="33.75" customHeight="1" spans="2:14">
      <c r="B11" s="7" t="s">
        <v>372</v>
      </c>
      <c r="C11" s="1" t="s">
        <v>373</v>
      </c>
      <c r="D11" s="9" t="s">
        <v>374</v>
      </c>
      <c r="E11" t="s">
        <v>368</v>
      </c>
      <c r="F11" s="7" t="s">
        <v>369</v>
      </c>
      <c r="G11" s="1">
        <v>0</v>
      </c>
      <c r="H11" s="7" t="s">
        <v>375</v>
      </c>
      <c r="I11" s="1">
        <v>1</v>
      </c>
      <c r="J11" s="7" t="s">
        <v>371</v>
      </c>
      <c r="K11" s="1">
        <v>1</v>
      </c>
      <c r="L11" s="7" t="s">
        <v>375</v>
      </c>
      <c r="M11" s="1">
        <v>50</v>
      </c>
      <c r="N11" s="1" t="s">
        <v>344</v>
      </c>
    </row>
    <row r="12" ht="33.75" customHeight="1" spans="2:14">
      <c r="B12" s="7" t="s">
        <v>376</v>
      </c>
      <c r="C12" s="1" t="s">
        <v>377</v>
      </c>
      <c r="D12" s="9" t="s">
        <v>378</v>
      </c>
      <c r="E12" t="s">
        <v>379</v>
      </c>
      <c r="F12" s="7" t="s">
        <v>369</v>
      </c>
      <c r="G12" s="1">
        <v>0</v>
      </c>
      <c r="H12" s="7" t="s">
        <v>380</v>
      </c>
      <c r="I12" s="1">
        <v>1</v>
      </c>
      <c r="J12" s="7" t="s">
        <v>371</v>
      </c>
      <c r="K12" s="1">
        <v>1</v>
      </c>
      <c r="L12" s="7" t="s">
        <v>380</v>
      </c>
      <c r="M12" s="1">
        <v>50</v>
      </c>
      <c r="N12" s="1" t="s">
        <v>344</v>
      </c>
    </row>
    <row r="13" ht="33.75" customHeight="1" spans="2:14">
      <c r="B13" s="7" t="s">
        <v>381</v>
      </c>
      <c r="C13" s="1" t="s">
        <v>382</v>
      </c>
      <c r="D13" s="9" t="s">
        <v>383</v>
      </c>
      <c r="E13" t="s">
        <v>379</v>
      </c>
      <c r="F13" s="7" t="s">
        <v>369</v>
      </c>
      <c r="G13" s="1">
        <v>0</v>
      </c>
      <c r="H13" s="7" t="s">
        <v>384</v>
      </c>
      <c r="I13" s="1">
        <v>1</v>
      </c>
      <c r="J13" s="7" t="s">
        <v>371</v>
      </c>
      <c r="K13" s="1">
        <v>1</v>
      </c>
      <c r="L13" s="7" t="s">
        <v>384</v>
      </c>
      <c r="M13" s="1">
        <v>50</v>
      </c>
      <c r="N13" s="1" t="s">
        <v>344</v>
      </c>
    </row>
    <row r="14" ht="33.75" customHeight="1" spans="2:14">
      <c r="B14" s="7" t="s">
        <v>385</v>
      </c>
      <c r="C14" s="1" t="s">
        <v>386</v>
      </c>
      <c r="D14" s="9" t="s">
        <v>387</v>
      </c>
      <c r="E14" t="s">
        <v>379</v>
      </c>
      <c r="F14" s="7" t="s">
        <v>369</v>
      </c>
      <c r="G14" s="1">
        <v>0</v>
      </c>
      <c r="H14" s="7" t="s">
        <v>388</v>
      </c>
      <c r="I14" s="1">
        <v>1</v>
      </c>
      <c r="J14" s="7" t="s">
        <v>371</v>
      </c>
      <c r="K14" s="1">
        <v>1</v>
      </c>
      <c r="L14" s="7" t="s">
        <v>388</v>
      </c>
      <c r="M14" s="1">
        <v>50</v>
      </c>
      <c r="N14" s="1" t="s">
        <v>344</v>
      </c>
    </row>
    <row r="15" ht="33.75" customHeight="1" spans="2:14">
      <c r="B15" s="7" t="s">
        <v>389</v>
      </c>
      <c r="C15" s="1" t="s">
        <v>390</v>
      </c>
      <c r="D15" s="9" t="s">
        <v>391</v>
      </c>
      <c r="E15" t="s">
        <v>392</v>
      </c>
      <c r="F15" s="7" t="s">
        <v>369</v>
      </c>
      <c r="G15" s="1">
        <v>0</v>
      </c>
      <c r="H15" s="7" t="s">
        <v>393</v>
      </c>
      <c r="I15" s="1">
        <v>1</v>
      </c>
      <c r="J15" s="7" t="s">
        <v>371</v>
      </c>
      <c r="K15" s="1">
        <v>1</v>
      </c>
      <c r="L15" s="7" t="s">
        <v>393</v>
      </c>
      <c r="M15" s="1">
        <v>50</v>
      </c>
      <c r="N15" s="1" t="s">
        <v>344</v>
      </c>
    </row>
    <row r="16" ht="33.75" customHeight="1" spans="2:14">
      <c r="B16" s="7" t="s">
        <v>394</v>
      </c>
      <c r="C16" s="1" t="s">
        <v>395</v>
      </c>
      <c r="D16" s="9" t="s">
        <v>396</v>
      </c>
      <c r="E16" t="s">
        <v>392</v>
      </c>
      <c r="F16" s="7" t="s">
        <v>369</v>
      </c>
      <c r="G16" s="1">
        <v>0</v>
      </c>
      <c r="H16" s="7" t="s">
        <v>397</v>
      </c>
      <c r="I16" s="1">
        <v>1</v>
      </c>
      <c r="J16" s="7" t="s">
        <v>371</v>
      </c>
      <c r="K16" s="1">
        <v>1</v>
      </c>
      <c r="L16" s="7" t="s">
        <v>397</v>
      </c>
      <c r="M16" s="1">
        <v>50</v>
      </c>
      <c r="N16" s="1" t="s">
        <v>344</v>
      </c>
    </row>
    <row r="17" s="8" customFormat="1" ht="17" spans="2:14">
      <c r="B17" s="10" t="s">
        <v>398</v>
      </c>
      <c r="C17" s="8" t="s">
        <v>399</v>
      </c>
      <c r="D17" s="11" t="s">
        <v>400</v>
      </c>
      <c r="F17" s="8" t="s">
        <v>401</v>
      </c>
      <c r="G17" s="8">
        <v>0</v>
      </c>
      <c r="I17" s="8">
        <v>1</v>
      </c>
      <c r="J17" s="8" t="s">
        <v>402</v>
      </c>
      <c r="K17" s="8">
        <v>0</v>
      </c>
      <c r="L17" s="1"/>
      <c r="M17" s="8">
        <v>50</v>
      </c>
      <c r="N17" s="1" t="s">
        <v>403</v>
      </c>
    </row>
    <row r="18" s="8" customFormat="1" ht="16.5" customHeight="1" spans="2:14">
      <c r="B18" s="10" t="s">
        <v>404</v>
      </c>
      <c r="C18" s="8" t="s">
        <v>405</v>
      </c>
      <c r="D18" s="8" t="s">
        <v>406</v>
      </c>
      <c r="F18" s="8" t="s">
        <v>407</v>
      </c>
      <c r="G18" s="8">
        <v>0.5</v>
      </c>
      <c r="I18" s="8">
        <v>1</v>
      </c>
      <c r="J18" s="8" t="s">
        <v>402</v>
      </c>
      <c r="K18" s="8">
        <v>0</v>
      </c>
      <c r="L18" s="1"/>
      <c r="M18" s="8">
        <v>50</v>
      </c>
      <c r="N18" s="1" t="s">
        <v>403</v>
      </c>
    </row>
    <row r="19" s="8" customFormat="1" ht="16.5" customHeight="1" spans="2:14">
      <c r="B19" s="10" t="s">
        <v>408</v>
      </c>
      <c r="C19" s="8" t="s">
        <v>409</v>
      </c>
      <c r="D19" s="8" t="s">
        <v>410</v>
      </c>
      <c r="F19" s="8" t="s">
        <v>411</v>
      </c>
      <c r="G19" s="8">
        <v>0</v>
      </c>
      <c r="I19" s="8">
        <v>1</v>
      </c>
      <c r="J19" s="8" t="s">
        <v>402</v>
      </c>
      <c r="K19" s="8">
        <v>0</v>
      </c>
      <c r="L19" s="1"/>
      <c r="M19" s="8">
        <v>50</v>
      </c>
      <c r="N19" s="1" t="s">
        <v>403</v>
      </c>
    </row>
    <row r="20" s="8" customFormat="1" ht="16.5" customHeight="1" spans="2:14">
      <c r="B20" s="10" t="s">
        <v>412</v>
      </c>
      <c r="C20" s="8" t="s">
        <v>413</v>
      </c>
      <c r="D20" s="8" t="s">
        <v>414</v>
      </c>
      <c r="F20" s="8" t="s">
        <v>415</v>
      </c>
      <c r="G20" s="8">
        <v>0</v>
      </c>
      <c r="H20" s="8" t="s">
        <v>416</v>
      </c>
      <c r="I20" s="8">
        <v>1</v>
      </c>
      <c r="J20" s="8" t="s">
        <v>402</v>
      </c>
      <c r="K20" s="8">
        <v>1</v>
      </c>
      <c r="L20" s="1"/>
      <c r="M20" s="8">
        <v>50</v>
      </c>
      <c r="N20" s="1" t="s">
        <v>403</v>
      </c>
    </row>
    <row r="21" s="8" customFormat="1" spans="2:14">
      <c r="B21" s="8" t="s">
        <v>417</v>
      </c>
      <c r="C21" s="8" t="s">
        <v>418</v>
      </c>
      <c r="D21" s="8" t="s">
        <v>419</v>
      </c>
      <c r="F21" s="8" t="s">
        <v>420</v>
      </c>
      <c r="G21" s="8">
        <v>0</v>
      </c>
      <c r="H21" s="8" t="s">
        <v>421</v>
      </c>
      <c r="I21" s="8">
        <v>1</v>
      </c>
      <c r="J21" s="8" t="s">
        <v>402</v>
      </c>
      <c r="K21" s="8">
        <v>1</v>
      </c>
      <c r="L21" s="1"/>
      <c r="M21" s="1">
        <v>50</v>
      </c>
      <c r="N21" s="1" t="s">
        <v>403</v>
      </c>
    </row>
    <row r="22" s="8" customFormat="1" spans="2:14">
      <c r="B22" s="8" t="s">
        <v>422</v>
      </c>
      <c r="C22" s="8" t="s">
        <v>423</v>
      </c>
      <c r="D22" s="8" t="s">
        <v>424</v>
      </c>
      <c r="F22" s="8" t="s">
        <v>425</v>
      </c>
      <c r="G22" s="8">
        <v>0</v>
      </c>
      <c r="H22" s="8" t="s">
        <v>426</v>
      </c>
      <c r="I22" s="8">
        <v>1</v>
      </c>
      <c r="J22" s="8" t="s">
        <v>402</v>
      </c>
      <c r="K22" s="8">
        <v>1</v>
      </c>
      <c r="L22" s="1"/>
      <c r="M22" s="1">
        <v>50</v>
      </c>
      <c r="N22" s="1" t="s">
        <v>403</v>
      </c>
    </row>
    <row r="23" s="8" customFormat="1" spans="2:14">
      <c r="B23" s="8" t="s">
        <v>427</v>
      </c>
      <c r="C23" s="8" t="s">
        <v>428</v>
      </c>
      <c r="D23" s="8" t="s">
        <v>429</v>
      </c>
      <c r="F23" s="8" t="s">
        <v>430</v>
      </c>
      <c r="G23" s="8">
        <v>0</v>
      </c>
      <c r="H23" t="s">
        <v>431</v>
      </c>
      <c r="I23" s="8">
        <v>1</v>
      </c>
      <c r="J23" s="8" t="s">
        <v>402</v>
      </c>
      <c r="K23" s="8">
        <v>1</v>
      </c>
      <c r="L23" s="1"/>
      <c r="M23" s="1">
        <v>50</v>
      </c>
      <c r="N23" s="1" t="s">
        <v>403</v>
      </c>
    </row>
    <row r="24" s="8" customFormat="1" spans="2:14">
      <c r="B24" s="8" t="s">
        <v>432</v>
      </c>
      <c r="C24" s="8" t="s">
        <v>433</v>
      </c>
      <c r="D24" s="8" t="s">
        <v>434</v>
      </c>
      <c r="F24" s="8" t="s">
        <v>435</v>
      </c>
      <c r="G24" s="8">
        <v>0</v>
      </c>
      <c r="I24" s="8">
        <v>1</v>
      </c>
      <c r="J24" s="8" t="s">
        <v>402</v>
      </c>
      <c r="K24" s="8">
        <v>1</v>
      </c>
      <c r="L24" s="1"/>
      <c r="M24" s="1">
        <v>50</v>
      </c>
      <c r="N24" s="1" t="s">
        <v>403</v>
      </c>
    </row>
    <row r="25" s="8" customFormat="1" ht="34" spans="2:14">
      <c r="B25" s="8" t="s">
        <v>436</v>
      </c>
      <c r="C25" s="8" t="s">
        <v>437</v>
      </c>
      <c r="D25" s="11" t="s">
        <v>438</v>
      </c>
      <c r="F25" s="8" t="s">
        <v>439</v>
      </c>
      <c r="G25" s="8">
        <v>0</v>
      </c>
      <c r="I25" s="8">
        <v>1</v>
      </c>
      <c r="J25" s="8" t="s">
        <v>402</v>
      </c>
      <c r="K25" s="8">
        <v>1</v>
      </c>
      <c r="L25" s="1"/>
      <c r="M25" s="1">
        <v>50</v>
      </c>
      <c r="N25" s="1" t="s">
        <v>403</v>
      </c>
    </row>
    <row r="26" s="8" customFormat="1" ht="34" spans="2:14">
      <c r="B26" s="8" t="s">
        <v>440</v>
      </c>
      <c r="C26" s="8" t="s">
        <v>441</v>
      </c>
      <c r="D26" s="11" t="s">
        <v>442</v>
      </c>
      <c r="F26" s="8" t="s">
        <v>443</v>
      </c>
      <c r="G26" s="8">
        <v>0</v>
      </c>
      <c r="I26" s="8">
        <v>1</v>
      </c>
      <c r="J26" s="8" t="s">
        <v>402</v>
      </c>
      <c r="K26" s="8">
        <v>1</v>
      </c>
      <c r="L26" s="1"/>
      <c r="M26" s="1">
        <v>50</v>
      </c>
      <c r="N26" s="1" t="s">
        <v>403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444</v>
      </c>
      <c r="C1" s="3" t="s">
        <v>445</v>
      </c>
      <c r="D1" s="3" t="s">
        <v>446</v>
      </c>
      <c r="E1" s="3" t="s">
        <v>447</v>
      </c>
      <c r="H1" s="7" t="s">
        <v>1</v>
      </c>
      <c r="I1" s="2" t="s">
        <v>448</v>
      </c>
    </row>
    <row r="2" ht="17.25" customHeight="1" spans="2:9">
      <c r="B2" s="3" t="s">
        <v>449</v>
      </c>
      <c r="C2" s="3" t="s">
        <v>450</v>
      </c>
      <c r="D2" s="3" t="s">
        <v>451</v>
      </c>
      <c r="E2" s="3" t="s">
        <v>452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453</v>
      </c>
      <c r="E3" s="3" t="s">
        <v>454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455</v>
      </c>
      <c r="E4" s="3" t="s">
        <v>456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453</v>
      </c>
      <c r="E5" s="3" t="s">
        <v>457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458</v>
      </c>
      <c r="E6" s="3" t="s">
        <v>459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460</v>
      </c>
      <c r="E7" s="3" t="s">
        <v>461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462</v>
      </c>
      <c r="E8" s="3" t="s">
        <v>463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464</v>
      </c>
      <c r="E9" s="3" t="s">
        <v>48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465</v>
      </c>
      <c r="D10" s="3" t="s">
        <v>466</v>
      </c>
      <c r="E10" s="3" t="s">
        <v>467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468</v>
      </c>
      <c r="E11" s="3" t="s">
        <v>469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470</v>
      </c>
      <c r="E12" s="3" t="s">
        <v>471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472</v>
      </c>
      <c r="E13" s="3" t="s">
        <v>473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474</v>
      </c>
      <c r="D14" s="3" t="s">
        <v>475</v>
      </c>
      <c r="E14" s="3" t="s">
        <v>476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477</v>
      </c>
      <c r="E15" s="3" t="s">
        <v>478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479</v>
      </c>
      <c r="E16" s="3" t="s">
        <v>480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481</v>
      </c>
      <c r="E17" s="3" t="s">
        <v>482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483</v>
      </c>
      <c r="E18" s="3" t="s">
        <v>484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483</v>
      </c>
      <c r="E19" s="3" t="s">
        <v>485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486</v>
      </c>
      <c r="D20" s="3" t="s">
        <v>125</v>
      </c>
      <c r="E20" s="3" t="s">
        <v>487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488</v>
      </c>
      <c r="D21" s="3" t="s">
        <v>489</v>
      </c>
      <c r="E21" s="3" t="s">
        <v>490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491</v>
      </c>
      <c r="E22" s="3" t="s">
        <v>492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493</v>
      </c>
      <c r="E23" s="3" t="s">
        <v>494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495</v>
      </c>
      <c r="E24" s="3" t="s">
        <v>496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497</v>
      </c>
      <c r="D25" s="3" t="s">
        <v>498</v>
      </c>
      <c r="E25" s="3" t="s">
        <v>499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498</v>
      </c>
      <c r="E26" s="3" t="s">
        <v>500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501</v>
      </c>
      <c r="D27" s="3" t="s">
        <v>502</v>
      </c>
      <c r="E27" s="3" t="s">
        <v>503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504</v>
      </c>
      <c r="D28" s="3" t="s">
        <v>505</v>
      </c>
      <c r="E28" s="3" t="s">
        <v>506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507</v>
      </c>
      <c r="D29" s="3" t="s">
        <v>505</v>
      </c>
      <c r="E29" s="3" t="s">
        <v>508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509</v>
      </c>
      <c r="D30" s="3" t="s">
        <v>510</v>
      </c>
      <c r="E30" s="3" t="s">
        <v>511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510</v>
      </c>
      <c r="E31" s="3" t="s">
        <v>512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513</v>
      </c>
      <c r="D32" s="3" t="s">
        <v>513</v>
      </c>
      <c r="E32" s="3" t="s">
        <v>514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515</v>
      </c>
      <c r="E33" s="3" t="s">
        <v>516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517</v>
      </c>
      <c r="E34" s="3" t="s">
        <v>518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519</v>
      </c>
      <c r="E35" s="3" t="s">
        <v>520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521</v>
      </c>
      <c r="E36" s="3" t="s">
        <v>522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523</v>
      </c>
      <c r="E37" s="3" t="s">
        <v>524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525</v>
      </c>
      <c r="D38" s="3" t="s">
        <v>464</v>
      </c>
      <c r="E38" s="3" t="s">
        <v>526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527</v>
      </c>
      <c r="E39" s="3" t="s">
        <v>528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171</v>
      </c>
      <c r="E40" s="3" t="s">
        <v>171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529</v>
      </c>
      <c r="E41" s="3" t="s">
        <v>530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531</v>
      </c>
      <c r="E42" s="3" t="s">
        <v>532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533</v>
      </c>
      <c r="D43" s="3" t="s">
        <v>534</v>
      </c>
      <c r="E43" s="3" t="s">
        <v>535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536</v>
      </c>
      <c r="E44" s="3" t="s">
        <v>537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538</v>
      </c>
      <c r="E45" s="3" t="s">
        <v>539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540</v>
      </c>
      <c r="D46" s="3" t="s">
        <v>541</v>
      </c>
      <c r="E46" s="3" t="s">
        <v>542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465</v>
      </c>
      <c r="E47" s="3" t="s">
        <v>543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544</v>
      </c>
      <c r="E48" s="3" t="s">
        <v>545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546</v>
      </c>
      <c r="D49" s="3" t="s">
        <v>547</v>
      </c>
      <c r="E49" s="3" t="s">
        <v>548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549</v>
      </c>
      <c r="E50" s="3" t="s">
        <v>550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551</v>
      </c>
      <c r="E51" s="3" t="s">
        <v>552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553</v>
      </c>
      <c r="E52" s="3" t="s">
        <v>554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555</v>
      </c>
      <c r="E53" s="3" t="s">
        <v>556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557</v>
      </c>
      <c r="E54" s="3" t="s">
        <v>558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559</v>
      </c>
      <c r="D55" s="3" t="s">
        <v>560</v>
      </c>
      <c r="E55" s="3" t="s">
        <v>561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562</v>
      </c>
      <c r="E56" s="3" t="s">
        <v>563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564</v>
      </c>
      <c r="D57" s="3" t="s">
        <v>565</v>
      </c>
      <c r="E57" s="3" t="s">
        <v>566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565</v>
      </c>
      <c r="E58" s="3" t="s">
        <v>567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568</v>
      </c>
      <c r="E59" s="3" t="s">
        <v>569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570</v>
      </c>
      <c r="E60" s="3" t="s">
        <v>571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572</v>
      </c>
      <c r="E61" s="3" t="s">
        <v>573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574</v>
      </c>
      <c r="D62" s="3" t="s">
        <v>575</v>
      </c>
      <c r="E62" s="3" t="s">
        <v>576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577</v>
      </c>
      <c r="D63" s="3" t="s">
        <v>578</v>
      </c>
      <c r="E63" s="3" t="s">
        <v>579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580</v>
      </c>
      <c r="E64" s="3" t="s">
        <v>581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582</v>
      </c>
      <c r="E65" s="3" t="s">
        <v>583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584</v>
      </c>
      <c r="E66" s="3" t="s">
        <v>585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247</v>
      </c>
      <c r="E67" s="3" t="s">
        <v>586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587</v>
      </c>
      <c r="D68" s="3" t="s">
        <v>588</v>
      </c>
      <c r="E68" s="3" t="s">
        <v>251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589</v>
      </c>
      <c r="E69" s="3" t="s">
        <v>590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591</v>
      </c>
      <c r="C70" s="4" t="s">
        <v>592</v>
      </c>
      <c r="D70" s="3" t="s">
        <v>593</v>
      </c>
      <c r="E70" s="3" t="s">
        <v>594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595</v>
      </c>
      <c r="E71" s="3" t="s">
        <v>596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597</v>
      </c>
      <c r="E72" s="3" t="s">
        <v>264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598</v>
      </c>
      <c r="E73" s="3" t="s">
        <v>599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600</v>
      </c>
      <c r="E74" s="3" t="s">
        <v>601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602</v>
      </c>
      <c r="E75" s="3" t="s">
        <v>603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604</v>
      </c>
      <c r="E76" s="3" t="s">
        <v>605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606</v>
      </c>
      <c r="E77" s="3" t="s">
        <v>607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608</v>
      </c>
      <c r="E78" s="3" t="s">
        <v>609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610</v>
      </c>
      <c r="C79" s="4" t="s">
        <v>611</v>
      </c>
      <c r="D79" s="3" t="s">
        <v>612</v>
      </c>
      <c r="E79" s="3" t="s">
        <v>613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614</v>
      </c>
      <c r="D80" s="3" t="s">
        <v>615</v>
      </c>
      <c r="E80" s="3" t="s">
        <v>616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615</v>
      </c>
      <c r="E81" s="3" t="s">
        <v>617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618</v>
      </c>
      <c r="E82" s="3" t="s">
        <v>619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620</v>
      </c>
      <c r="E83" s="3" t="s">
        <v>621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622</v>
      </c>
      <c r="D84" s="3" t="s">
        <v>623</v>
      </c>
      <c r="E84" s="3" t="s">
        <v>624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625</v>
      </c>
      <c r="E85" s="3" t="s">
        <v>626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627</v>
      </c>
      <c r="E86" s="3" t="s">
        <v>628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629</v>
      </c>
      <c r="E87" s="3" t="s">
        <v>630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631</v>
      </c>
      <c r="E88" s="3" t="s">
        <v>326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2026-08-03T17:18:43Z</dcterms:created>
  <dcterms:modified xsi:type="dcterms:W3CDTF">2026-08-03T17:18:52Z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DCEAEA353B9BA7CFFC5C706AA2149F36_42</vt:lpwstr>
  </property>
  <property fmtid="{D5CDD505-2E9C-101B-9397-08002B2CF9AE}" pid="3" name="KSOProductBuildVer">
    <vt:lpwstr>2052-6.1.0.8274</vt:lpwstr>
  </property>
</Properties>
</file>