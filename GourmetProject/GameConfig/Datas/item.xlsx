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<sst xmlns="http://schemas.openxmlformats.org/spreadsheetml/2006/main" count="1062" uniqueCount="665">
  <si>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</si>
  <si>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</si>
  <si>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</si>
  <si>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</si>
  <si>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</si>
  <si>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</si>
  <si>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</si>
  <si>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</si>
  <si>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</si>
  <si>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</si>
  <si>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</si>
  <si>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</si>
  <si>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</si>
  <si>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</si>
  <si>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</si>
  <si>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</si>
  <si>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</si>
  <si>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</si>
  <si>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</si>
  <si>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</si>
  <si>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</si>
  <si>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</si>
  <si>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</si>
  <si>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</si>
  <si>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</si>
  <si>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</si>
  <si>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</si>
  <si>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</si>
  <si>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</si>
  <si>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</si>
  <si>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</si>
  <si>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</si>
  <si>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</si>
  <si>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</si>
  <si>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</si>
  <si>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</si>
  <si>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</si>
  <si>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</si>
  <si>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</si>
  <si>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</si>
  <si>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</si>
  <si>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</si>
  <si>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</si>
  <si>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</si>
  <si>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</si>
  <si>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</si>
  <si>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</si>
  <si>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获得30～200金币</t>
  </si>
  <si>
    <t>Common</t>
  </si>
  <si>
    <t>range:30,200</t>
  </si>
  <si>
    <t>10,80</t>
  </si>
  <si>
    <t>item_gold_meal_bonus</t>
  </si>
  <si>
    <t>柜台小费罐</t>
  </si>
  <si>
    <t>接下来10次日常营业
额外获得15金币</t>
  </si>
  <si>
    <t>meals:10</t>
  </si>
  <si>
    <t>item_gold_boss</t>
  </si>
  <si>
    <t>金边奖杯</t>
  </si>
  <si>
    <t>完成下次星级评鉴
额外+120金币</t>
  </si>
  <si>
    <t>item_gold_percent</t>
  </si>
  <si>
    <t>黄铜算盘</t>
  </si>
  <si>
    <t>营业获得的金币
额外+15%</t>
  </si>
  <si>
    <t>Uncommon</t>
  </si>
  <si>
    <t>20,80</t>
  </si>
  <si>
    <t>item_trash_upgrade</t>
  </si>
  <si>
    <t>藤编纸篓</t>
  </si>
  <si>
    <t>丢弃次数+1</t>
  </si>
  <si>
    <t>item_trash_expand</t>
  </si>
  <si>
    <t>壁挂废物桶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</si>
  <si>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</si>
  <si>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</si>
  <si>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</si>
  <si>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</si>
  <si>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</si>
  <si>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</si>
  <si>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</si>
  <si>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食物价格-10%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</si>
  <si>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</si>
  <si>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</si>
  <si>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</si>
  <si>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</si>
  <si>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</si>
  <si>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</si>
  <si>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</si>
  <si>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</si>
  <si>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</si>
  <si>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</si>
  <si>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</si>
  <si>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</si>
  <si>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</si>
  <si>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</si>
  <si>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删除食物价格-15%</t>
  </si>
  <si>
    <t>item_discount_food_festival</t>
  </si>
  <si>
    <t>丰收菜篮</t>
  </si>
  <si>
    <t>食物价格-20%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</si>
  <si>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</si>
  <si>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</si>
  <si>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</si>
  <si>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</si>
  <si>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</si>
  <si>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</si>
  <si>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</si>
  <si>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</si>
  <si>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</si>
  <si>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</si>
  <si>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</si>
  <si>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装饰品价格-30%</t>
  </si>
  <si>
    <t>item_discount_remove_festival</t>
  </si>
  <si>
    <t>可擦食谱板</t>
  </si>
  <si>
    <t>删除食物价格-30%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</si>
  <si>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</si>
  <si>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</si>
  <si>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</si>
  <si>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</si>
  <si>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</si>
  <si>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所有食物分数+10</t>
  </si>
  <si>
    <t>item_empty_heart_mult_all</t>
  </si>
  <si>
    <t>裂纹心形镜</t>
  </si>
  <si>
    <t>结算开始
每拥有1个空红心
所有食物倍率+0.3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</si>
  <si>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</si>
  <si>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</si>
  <si>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</si>
  <si>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</si>
  <si>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</si>
  <si>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</si>
  <si>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目标美味值-25%</t>
  </si>
  <si>
    <t>item_req_super_down</t>
  </si>
  <si>
    <t>红格桌布</t>
  </si>
  <si>
    <t>火热营业
目标美味值-25%</t>
  </si>
  <si>
    <t>item_req_feast_down</t>
  </si>
  <si>
    <t>金边证书框</t>
  </si>
  <si>
    <t>星级评鉴
目标美味值-20%</t>
  </si>
  <si>
    <t>item_count_le_mult</t>
  </si>
  <si>
    <t>素色桌旗</t>
  </si>
  <si>
    <t>结算开始
若食物数量≤15
所有食物倍率×1.5</t>
  </si>
  <si>
    <t>lte:15</t>
  </si>
  <si>
    <t>item_count_ge_mult</t>
  </si>
  <si>
    <t>多层餐盘架</t>
  </si>
  <si>
    <t>结算开始
若食物数量≥25
所有食物倍率×1.5</t>
  </si>
  <si>
    <t>gte:25</t>
  </si>
  <si>
    <t>item_perma_flat_all</t>
  </si>
  <si>
    <t>青花调味罐</t>
  </si>
  <si>
    <t>获得时
所有食物分数永久+10</t>
  </si>
  <si>
    <t>item_perma_flat_all_plus</t>
  </si>
  <si>
    <t>成套调味罐</t>
  </si>
  <si>
    <t>获得时
所有食物分数永久+30</t>
  </si>
  <si>
    <t>item_gold_on_shop</t>
  </si>
  <si>
    <t>供货商合影</t>
  </si>
  <si>
    <t>进入商店采购
获得15金币</t>
  </si>
  <si>
    <t>item_extra_interest</t>
  </si>
  <si>
    <t>挂墙周历</t>
  </si>
  <si>
    <t>将收取利息
添加至每周末尾</t>
  </si>
  <si>
    <t>item_interest_cap</t>
  </si>
  <si>
    <t>聚宝盆摆件</t>
  </si>
  <si>
    <t>利息上限扩展到150金币</t>
  </si>
  <si>
    <t>item_loan</t>
  </si>
  <si>
    <t>挂账记录板</t>
  </si>
  <si>
    <t>获得150金币
将失去300金币的节点行动
添加至本周末尾</t>
  </si>
  <si>
    <t>repay:300</t>
  </si>
  <si>
    <t>item_timeline_random</t>
  </si>
  <si>
    <t>命运骰子</t>
  </si>
  <si>
    <t>获得时
打乱未来节点的行动</t>
  </si>
  <si>
    <t>item_extra_day</t>
  </si>
  <si>
    <t>第八日启程</t>
  </si>
  <si>
    <t>每周长度变为8天</t>
  </si>
  <si>
    <t>item_week_minus</t>
  </si>
  <si>
    <t>黄铜沙漏</t>
  </si>
  <si>
    <t>周数-1</t>
  </si>
  <si>
    <t>Epic</t>
  </si>
  <si>
    <t>40,80</t>
  </si>
  <si>
    <t>item_every3_next_mult</t>
  </si>
  <si>
    <t>木制节拍器</t>
  </si>
  <si>
    <t>每上菜3个食物后
下个食物倍率+1</t>
  </si>
  <si>
    <t>every:3</t>
  </si>
  <si>
    <t>item_first_+2</t>
  </si>
  <si>
    <t>迎客灯笼</t>
  </si>
  <si>
    <t>结算开始
首个上菜的食物
倍率+3</t>
  </si>
  <si>
    <t>index:1</t>
  </si>
  <si>
    <t>item_last_+2</t>
  </si>
  <si>
    <t>餐后茶具</t>
  </si>
  <si>
    <t>结算开始
最后上菜的食物
倍率+3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</si>
  <si>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</si>
  <si>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</si>
  <si>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</si>
  <si>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</si>
  <si>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</si>
  <si>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</si>
  <si>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</si>
  <si>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</si>
  <si>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</si>
  <si>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获得10金币</t>
  </si>
  <si>
    <t>item_block_active</t>
  </si>
  <si>
    <t>封条备品柜</t>
  </si>
  <si>
    <t>无法再使用消耗品
立即获得400金币</t>
  </si>
  <si>
    <t>item_flavor_enhance</t>
  </si>
  <si>
    <t>彩釉调料瓶组</t>
  </si>
  <si>
    <t>为2个食物添加随机风味</t>
  </si>
  <si>
    <t>item_flavor_remove_gold</t>
  </si>
  <si>
    <t>复古台秤</t>
  </si>
  <si>
    <t>移除1个食物的风味
获得100金币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</si>
  <si>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</si>
  <si>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</si>
  <si>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</si>
  <si>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</si>
  <si>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</si>
  <si>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</si>
  <si>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item_celltag_enhance</t>
  </si>
  <si>
    <t>拼花砖壁饰</t>
  </si>
  <si>
    <t>为3个餐桌格
强化随机材质</t>
  </si>
  <si>
    <t>item_lucky_guarantee</t>
  </si>
  <si>
    <t>四叶草标本框</t>
  </si>
  <si>
    <t>经历3个事件后
下个事件一定为奖励</t>
  </si>
  <si>
    <t>item_lucky_chance</t>
  </si>
  <si>
    <t>四叶草福袋</t>
  </si>
  <si>
    <t>事件行动中
奖励事件随机权重+40%</t>
  </si>
  <si>
    <t>item_more_events</t>
  </si>
  <si>
    <t>街角路牌</t>
  </si>
  <si>
    <t>事件行动大组
随机权重+40%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</si>
  <si>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</si>
  <si>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</si>
  <si>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</si>
  <si>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</si>
  <si>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</si>
  <si>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</si>
  <si>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</si>
  <si>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</si>
  <si>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</si>
  <si>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</si>
  <si>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</si>
  <si>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</si>
  <si>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</si>
  <si>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</si>
  <si>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</si>
  <si>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</si>
  <si>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</si>
  <si>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</si>
  <si>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</si>
  <si>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</si>
  <si>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</si>
  <si>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</si>
  <si>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</si>
  <si>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</si>
  <si>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</si>
  <si>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</si>
  <si>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</si>
  <si>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</si>
  <si>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</si>
  <si>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</si>
  <si>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</si>
  <si>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</si>
  <si>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每4次日常营业
额外获得3选1食物</t>
  </si>
  <si>
    <t>every:4</t>
  </si>
  <si>
    <t>item_extra_item_choice</t>
  </si>
  <si>
    <t>杂货展示架</t>
  </si>
  <si>
    <t>每2次火热营业
额外获得3选1装饰品</t>
  </si>
  <si>
    <t>every:2</t>
  </si>
  <si>
    <t>item_copy_food</t>
  </si>
  <si>
    <t>双盖餐盘</t>
  </si>
  <si>
    <t>获得时
随机复制3个已有食物</t>
  </si>
  <si>
    <t>item_discard_negative</t>
  </si>
  <si>
    <t>藤编收纳筐</t>
  </si>
  <si>
    <t>丢弃两个诅咒装饰品</t>
  </si>
  <si>
    <t>item_discard_negative_gold</t>
  </si>
  <si>
    <t>旧餐具寄卖架</t>
  </si>
  <si>
    <t>丢弃所有诅咒装饰品
每丢弃一个获得40金币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</si>
  <si>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</si>
  <si>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</si>
  <si>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</si>
  <si>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</si>
  <si>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</si>
  <si>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</si>
  <si>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商店与删除食物价格+20%</t>
  </si>
  <si>
    <t>item_no_remove</t>
  </si>
  <si>
    <t>上锁食品柜</t>
  </si>
  <si>
    <t>无法再删除食物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</si>
  <si>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</si>
  <si>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</si>
  <si>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</si>
  <si>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</si>
  <si>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</si>
  <si>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</si>
  <si>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</si>
  <si>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</si>
  <si>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</si>
  <si>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</si>
  <si>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</si>
  <si>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</si>
  <si>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</si>
  <si>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</si>
  <si>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</si>
  <si>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</si>
  <si>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</si>
  <si>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</si>
  <si>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</si>
  <si>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</si>
  <si>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</si>
  <si>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</si>
  <si>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</si>
  <si>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普通行动消耗天数加倍
节点行动可以执行2次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</si>
  <si>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</si>
  <si>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</si>
  <si>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</si>
  <si>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</si>
  <si>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</si>
  <si>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</si>
  <si>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所有食物额外被视为3个食物</t>
  </si>
  <si>
    <t>term_food_count_as</t>
  </si>
  <si>
    <t>item_transfer_target_mult</t>
  </si>
  <si>
    <t>大号糖果盘</t>
  </si>
  <si>
    <t>甜蜜传递时
每个被传递方倍率+0.2</t>
  </si>
  <si>
    <t>term_sweet_transfer</t>
  </si>
  <si>
    <t>item_transfer_source_mult</t>
  </si>
  <si>
    <t>长嘴糖浆壶</t>
  </si>
  <si>
    <t>甜蜜传递时
传递方每成功传递1个目标
倍率+0.2</t>
  </si>
  <si>
    <t>item_skill_count_mult</t>
  </si>
  <si>
    <t>主厨刀架</t>
  </si>
  <si>
    <t>结算结束
每个食物每有1个技能
自身倍率+1</t>
  </si>
  <si>
    <t>item_gold_on_transfer</t>
  </si>
  <si>
    <t>黄铜传菜铃</t>
  </si>
  <si>
    <t>累计甜蜜传递10次后
获得15金币</t>
  </si>
  <si>
    <t>count:10</t>
  </si>
  <si>
    <t>item_cake_retain</t>
  </si>
  <si>
    <t>玻璃蛋糕罩</t>
  </si>
  <si>
    <t>保留20%的蛋糕层数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</si>
  <si>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</si>
  <si>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</si>
  <si>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</si>
  <si>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</si>
  <si>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</si>
  <si>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</si>
  <si>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额外加1层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</si>
  <si>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</si>
  <si>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</si>
  <si>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</si>
  <si>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</si>
  <si>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</si>
  <si>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</si>
  <si>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蛋糕效果需求的层数-10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</si>
  <si>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</si>
  <si>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</si>
  <si>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</si>
  <si>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</si>
  <si>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</si>
  <si>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</si>
  <si>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</si>
  <si>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</si>
  <si>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</si>
  <si>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</si>
  <si>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</si>
  <si>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</si>
  <si>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</si>
  <si>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</si>
  <si>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</si>
  <si>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</si>
  <si>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</si>
  <si>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</si>
  <si>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</si>
  <si>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</si>
  <si>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</si>
  <si>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</si>
  <si>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</si>
  <si>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</si>
  <si>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</si>
  <si>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</si>
  <si>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</si>
  <si>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</si>
  <si>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</si>
  <si>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</si>
  <si>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</si>
  <si>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</si>
  <si>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</si>
  <si>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</si>
  <si>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</si>
  <si>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</si>
  <si>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</si>
  <si>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</si>
  <si>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</si>
  <si>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</si>
  <si>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</si>
  <si>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</si>
  <si>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</si>
  <si>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</si>
  <si>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</si>
  <si>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</si>
  <si>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</si>
  <si>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</si>
  <si>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</si>
  <si>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</si>
  <si>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</si>
  <si>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</si>
  <si>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</si>
  <si>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</si>
  <si>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</si>
  <si>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</si>
  <si>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</si>
  <si>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</si>
  <si>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</si>
  <si>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</si>
  <si>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</si>
  <si>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</si>
  <si>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</si>
  <si>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</si>
  <si>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</si>
  <si>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</si>
  <si>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</si>
  <si>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</si>
  <si>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</si>
  <si>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</si>
  <si>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</si>
  <si>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</si>
  <si>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</si>
  <si>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</si>
  <si>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</si>
  <si>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</si>
  <si>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</si>
  <si>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</si>
  <si>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</si>
  <si>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</si>
  <si>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</si>
  <si>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</si>
  <si>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</si>
  <si>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</si>
  <si>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</si>
  <si>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</si>
  <si>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</si>
  <si>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</si>
  <si>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</si>
  <si>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</si>
  <si>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</si>
  <si>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</si>
  <si>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</si>
  <si>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</si>
  <si>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</si>
  <si>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</si>
  <si>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</si>
  <si>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</si>
  <si>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</si>
  <si>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</si>
  <si>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</si>
  <si>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</si>
  <si>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</si>
  <si>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</si>
  <si>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</si>
  <si>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</si>
  <si>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</si>
  <si>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</si>
  <si>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</si>
  <si>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</si>
  <si>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</si>
  <si>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</si>
  <si>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</si>
  <si>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</si>
  <si>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</si>
  <si>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</si>
  <si>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</si>
  <si>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</si>
  <si>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</si>
  <si>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</si>
  <si>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</si>
  <si>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</si>
  <si>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</si>
  <si>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</si>
  <si>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</si>
  <si>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</si>
  <si>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</si>
  <si>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</si>
  <si>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</si>
  <si>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</si>
  <si>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</si>
  <si>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</si>
  <si>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</si>
  <si>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</si>
  <si>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</si>
  <si>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</si>
  <si>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</si>
  <si>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</si>
  <si>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</si>
  <si>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</si>
  <si>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</si>
  <si>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</si>
  <si>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</si>
  <si>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</si>
  <si>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</si>
  <si>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</si>
  <si>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</si>
  <si>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</si>
  <si>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</si>
  <si>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</si>
  <si>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</si>
  <si>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</si>
  <si>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</si>
  <si>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</si>
  <si>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</si>
  <si>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</si>
  <si>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</si>
  <si>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</si>
  <si>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</si>
  <si>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</si>
  <si>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</si>
  <si>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</si>
  <si>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</si>
  <si>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</si>
  <si>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</si>
  <si>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</si>
  <si>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</si>
  <si>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</si>
  <si>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</si>
  <si>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</si>
  <si>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</si>
  <si>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</si>
  <si>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</si>
  <si>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</si>
  <si>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</si>
  <si>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删除食物</t>
  </si>
  <si>
    <t>删除食物价格打折20%</t>
  </si>
  <si>
    <t>延迟性</t>
  </si>
  <si>
    <t>删除食物价格固定为30金币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</si>
  <si>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</si>
  <si>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</si>
  <si>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</si>
  <si>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</si>
  <si>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</si>
  <si>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</si>
  <si>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</si>
  <si>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</si>
  <si>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</si>
  <si>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</si>
  <si>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</si>
  <si>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</si>
  <si>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</si>
  <si>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</si>
  <si>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</si>
  <si>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</si>
  <si>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</si>
  <si>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</si>
  <si>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</si>
  <si>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</si>
  <si>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</si>
  <si>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</si>
  <si>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</si>
  <si>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</si>
  <si>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</si>
  <si>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</si>
  <si>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</si>
  <si>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</si>
  <si>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</si>
  <si>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</si>
  <si>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</si>
  <si>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</si>
  <si>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</si>
  <si>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</si>
  <si>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</si>
  <si>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</si>
  <si>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</si>
  <si>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</si>
  <si>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</si>
  <si>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</si>
  <si>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</si>
  <si>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</si>
  <si>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</si>
  <si>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</si>
  <si>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</si>
  <si>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</si>
  <si>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</si>
  <si>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</si>
  <si>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</si>
  <si>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</si>
  <si>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</si>
  <si>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</si>
  <si>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</si>
  <si>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</si>
  <si>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</si>
  <si>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</si>
  <si>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</si>
  <si>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</si>
  <si>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</si>
  <si>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</si>
  <si>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</si>
  <si>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</si>
  <si>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</si>
  <si>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</si>
  <si>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</si>
  <si>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</si>
  <si>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</si>
  <si>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</si>
  <si>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</si>
  <si>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</si>
  <si>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</si>
  <si>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</si>
  <si>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</si>
  <si>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</si>
  <si>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</si>
  <si>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</si>
  <si>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</si>
  <si>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</si>
  <si>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</si>
  <si>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</si>
  <si>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</si>
  <si>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</si>
  <si>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</si>
  <si>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</si>
  <si>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</si>
  <si>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</si>
  <si>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</si>
  <si>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</si>
  <si>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</si>
  <si>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</si>
  <si>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</si>
  <si>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</si>
  <si>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</si>
  <si>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</si>
  <si>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</si>
  <si>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</si>
  <si>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</si>
  <si>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</si>
  <si>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</si>
  <si>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</si>
  <si>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</si>
  <si>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</si>
  <si>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</si>
  <si>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</si>
  <si>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</si>
  <si>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丢弃</t>
  </si>
  <si>
    <t>转化</t>
  </si>
  <si>
    <t>丢弃所有诅咒装饰品，每丢弃一个获得100金币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</si>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</sst>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4"/>
  <sheetViews>
    <sheetView tabSelected="1" topLeftCell="A15" workbookViewId="0">
      <selection activeCell="F90" sqref="F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/>
      <c r="R1"/>
      <c r="T1"/>
      <c r="U1"/>
      <c r="V1"/>
      <c r="W1"/>
      <c r="X1"/>
      <c r="Y1"/>
      <c r="Z1"/>
      <c r="AA1"/>
      <c r="AB1"/>
      <c r="AC1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/>
      <c r="R2"/>
      <c r="T2"/>
      <c r="U2"/>
      <c r="V2"/>
      <c r="W2"/>
      <c r="X2"/>
      <c r="Y2"/>
      <c r="Z2"/>
      <c r="AA2"/>
      <c r="AB2"/>
      <c r="AC2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/>
      <c r="R3"/>
      <c r="T3"/>
      <c r="U3"/>
      <c r="V3"/>
      <c r="W3"/>
      <c r="X3"/>
      <c r="Y3"/>
      <c r="Z3"/>
      <c r="AA3"/>
      <c r="AB3"/>
      <c r="AC3"/>
    </row>
    <row r="4" s="1" customFormat="1" ht="34" spans="1:18">
      <c r="A4"/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/>
      <c r="R4">
        <f t="shared" ref="R4:R8" si="0">IFERROR(VLOOKUP(E4,$T$7:$AB$12,9,FALSE),0)</f>
        <v>0</v>
      </c>
    </row>
    <row r="5" s="1" customFormat="1" spans="1:18">
      <c r="A5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/>
      <c r="R5">
        <f t="shared" si="0"/>
        <v>0</v>
      </c>
    </row>
    <row r="6" s="1" customFormat="1" ht="34" spans="1:26">
      <c r="A6"/>
      <c r="B6" s="1" t="s">
        <v>51</v>
      </c>
      <c r="C6" s="1" t="s">
        <v>52</v>
      </c>
      <c r="D6" s="9" t="s">
        <v>53</v>
      </c>
      <c r="E6" s="1" t="s">
        <v>48</v>
      </c>
      <c r="F6" s="1" t="s">
        <v>43</v>
      </c>
      <c r="G6" s="1">
        <v>15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/>
      <c r="R6">
        <f t="shared" si="0"/>
        <v>0</v>
      </c>
      <c r="Z6"/>
    </row>
    <row r="7" s="1" customFormat="1" ht="34" spans="1:30">
      <c r="A7"/>
      <c r="B7" s="1" t="s">
        <v>55</v>
      </c>
      <c r="C7" s="1" t="s">
        <v>56</v>
      </c>
      <c r="D7" s="9" t="s">
        <v>57</v>
      </c>
      <c r="E7" s="1" t="s">
        <v>48</v>
      </c>
      <c r="F7" s="1" t="s">
        <v>43</v>
      </c>
      <c r="G7" s="1">
        <v>120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/>
      <c r="R7">
        <f t="shared" si="0"/>
        <v>0</v>
      </c>
      <c r="T7"/>
      <c r="U7"/>
      <c r="V7"/>
      <c r="W7"/>
      <c r="X7"/>
      <c r="Y7"/>
      <c r="Z7"/>
      <c r="AB7"/>
      <c r="AC7"/>
      <c r="AD7">
        <f t="shared" ref="AD7:AD10" si="1">IFERROR(Z7/SUM($Z$7:$Z$10),0)</f>
        <v>0</v>
      </c>
    </row>
    <row r="8" s="1" customFormat="1" ht="34" spans="1:30">
      <c r="A8"/>
      <c r="B8" s="1" t="s">
        <v>58</v>
      </c>
      <c r="C8" s="1" t="s">
        <v>59</v>
      </c>
      <c r="D8" s="9" t="s">
        <v>60</v>
      </c>
      <c r="E8" s="1" t="s">
        <v>61</v>
      </c>
      <c r="F8" s="1" t="s">
        <v>43</v>
      </c>
      <c r="G8" s="1">
        <v>0.15</v>
      </c>
      <c r="I8" s="1">
        <v>100</v>
      </c>
      <c r="J8" s="1" t="s">
        <v>62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/>
      <c r="R8">
        <f t="shared" si="0"/>
        <v>0</v>
      </c>
      <c r="T8"/>
      <c r="U8"/>
      <c r="V8"/>
      <c r="W8"/>
      <c r="X8"/>
      <c r="Y8"/>
      <c r="Z8"/>
      <c r="AB8"/>
      <c r="AC8"/>
      <c r="AD8">
        <f t="shared" si="1"/>
        <v>0</v>
      </c>
    </row>
    <row r="9" s="12" customFormat="1" ht="17" spans="1:30">
      <c r="A9"/>
      <c r="B9" s="12" t="s">
        <v>63</v>
      </c>
      <c r="C9" s="12" t="s">
        <v>64</v>
      </c>
      <c r="D9" s="13" t="s">
        <v>65</v>
      </c>
      <c r="E9" s="12" t="s">
        <v>48</v>
      </c>
      <c r="F9" s="12" t="s">
        <v>43</v>
      </c>
      <c r="G9" s="12">
        <v>1</v>
      </c>
      <c r="I9" s="12">
        <v>300</v>
      </c>
      <c r="J9" s="12" t="s">
        <v>50</v>
      </c>
      <c r="K9" s="12">
        <v>0</v>
      </c>
      <c r="L9" s="12">
        <v>0</v>
      </c>
      <c r="M9" s="12">
        <v>0</v>
      </c>
      <c r="N9" s="12">
        <v>0</v>
      </c>
      <c r="P9" s="12">
        <v>50</v>
      </c>
      <c r="R9"/>
      <c r="T9"/>
      <c r="V9"/>
      <c r="X9"/>
      <c r="Z9"/>
      <c r="AB9"/>
      <c r="AD9">
        <f t="shared" si="1"/>
        <v>0</v>
      </c>
    </row>
    <row r="10" s="12" customFormat="1" ht="17" spans="1:30">
      <c r="A10"/>
      <c r="B10" s="12" t="s">
        <v>66</v>
      </c>
      <c r="C10" s="12" t="s">
        <v>67</v>
      </c>
      <c r="D10" s="13" t="s">
        <v>65</v>
      </c>
      <c r="E10" s="12" t="s">
        <v>61</v>
      </c>
      <c r="F10" s="12" t="s">
        <v>43</v>
      </c>
      <c r="G10" s="12">
        <v>1</v>
      </c>
      <c r="H10"/>
      <c r="I10" s="12">
        <v>300</v>
      </c>
      <c r="J10" s="12" t="s">
        <v>50</v>
      </c>
      <c r="K10" s="12">
        <v>0</v>
      </c>
      <c r="L10" s="12">
        <v>0</v>
      </c>
      <c r="M10" s="12">
        <v>0</v>
      </c>
      <c r="N10" s="12">
        <v>0</v>
      </c>
      <c r="P10" s="12">
        <v>50</v>
      </c>
      <c r="R10"/>
      <c r="T10"/>
      <c r="V10"/>
      <c r="X10"/>
      <c r="Z10"/>
      <c r="AB10"/>
      <c r="AD10">
        <f t="shared" si="1"/>
        <v>0</v>
      </c>
    </row>
    <row r="11" s="12" customFormat="1" ht="17" spans="1:18">
      <c r="A11"/>
      <c r="B11" s="12" t="s">
        <v>68</v>
      </c>
      <c r="C11" s="12" t="s">
        <v>69</v>
      </c>
      <c r="D11" s="13" t="s">
        <v>70</v>
      </c>
      <c r="E11" s="12" t="s">
        <v>42</v>
      </c>
      <c r="F11" s="12" t="s">
        <v>43</v>
      </c>
      <c r="G11" s="12">
        <v>2</v>
      </c>
      <c r="I11" s="12">
        <v>100</v>
      </c>
      <c r="J11" s="12" t="s">
        <v>62</v>
      </c>
      <c r="K11" s="12">
        <v>0</v>
      </c>
      <c r="L11" s="12">
        <v>0</v>
      </c>
      <c r="M11" s="12">
        <v>0</v>
      </c>
      <c r="N11" s="12">
        <v>0</v>
      </c>
      <c r="P11" s="12">
        <v>80</v>
      </c>
      <c r="R11"/>
    </row>
    <row r="12" s="12" customFormat="1" ht="17" spans="1:27">
      <c r="A12"/>
      <c r="B12" s="12" t="s">
        <v>71</v>
      </c>
      <c r="C12" s="12" t="s">
        <v>72</v>
      </c>
      <c r="D12" s="13" t="s">
        <v>70</v>
      </c>
      <c r="E12" s="12" t="s">
        <v>42</v>
      </c>
      <c r="F12" s="12" t="s">
        <v>43</v>
      </c>
      <c r="G12" s="12">
        <v>2</v>
      </c>
      <c r="H12"/>
      <c r="I12" s="12">
        <v>30</v>
      </c>
      <c r="J12" s="12" t="s">
        <v>44</v>
      </c>
      <c r="K12" s="12">
        <v>0</v>
      </c>
      <c r="L12" s="12">
        <v>0</v>
      </c>
      <c r="M12" s="12">
        <v>0</v>
      </c>
      <c r="N12" s="12">
        <v>0</v>
      </c>
      <c r="P12" s="12">
        <v>120</v>
      </c>
      <c r="R12"/>
      <c r="Y12"/>
      <c r="Z12"/>
      <c r="AA12"/>
    </row>
    <row r="13" s="12" customFormat="1" ht="17" spans="1:23">
      <c r="A13"/>
      <c r="B13" s="12" t="s">
        <v>73</v>
      </c>
      <c r="C13" s="12" t="s">
        <v>74</v>
      </c>
      <c r="D13" s="13" t="s">
        <v>75</v>
      </c>
      <c r="E13" s="12" t="s">
        <v>48</v>
      </c>
      <c r="F13" s="12" t="s">
        <v>43</v>
      </c>
      <c r="G13" s="12">
        <v>0.1</v>
      </c>
      <c r="H13"/>
      <c r="I13" s="12">
        <v>100</v>
      </c>
      <c r="J13" s="12" t="s">
        <v>62</v>
      </c>
      <c r="K13" s="12">
        <v>0</v>
      </c>
      <c r="L13" s="12">
        <v>0</v>
      </c>
      <c r="M13" s="12">
        <v>0</v>
      </c>
      <c r="N13" s="12">
        <v>0</v>
      </c>
      <c r="P13" s="12">
        <v>40</v>
      </c>
      <c r="R13">
        <f t="shared" ref="R13:R15" si="2">IFERROR(VLOOKUP(E13,$T$7:$AB$12,9,FALSE),0)</f>
        <v>0</v>
      </c>
      <c r="T13"/>
      <c r="V13"/>
      <c r="W13"/>
    </row>
    <row r="14" s="12" customFormat="1" spans="1:25">
      <c r="A14"/>
      <c r="B14" s="12" t="s">
        <v>76</v>
      </c>
      <c r="C14" s="12" t="s">
        <v>77</v>
      </c>
      <c r="D14" s="12" t="s">
        <v>78</v>
      </c>
      <c r="E14" s="12" t="s">
        <v>48</v>
      </c>
      <c r="F14" s="12" t="s">
        <v>43</v>
      </c>
      <c r="G14" s="12">
        <v>0.15</v>
      </c>
      <c r="H14"/>
      <c r="I14" s="12">
        <v>300</v>
      </c>
      <c r="J14" s="12" t="s">
        <v>50</v>
      </c>
      <c r="K14" s="12">
        <v>0</v>
      </c>
      <c r="L14" s="12">
        <v>0</v>
      </c>
      <c r="M14" s="12">
        <v>0</v>
      </c>
      <c r="N14" s="12">
        <v>0</v>
      </c>
      <c r="P14" s="12">
        <v>40</v>
      </c>
      <c r="R14">
        <f t="shared" si="2"/>
        <v>0</v>
      </c>
      <c r="T14"/>
      <c r="V14"/>
      <c r="W14"/>
      <c r="Y14"/>
    </row>
    <row r="15" s="1" customFormat="1" ht="17" spans="1:30">
      <c r="A15"/>
      <c r="B15" s="1" t="s">
        <v>79</v>
      </c>
      <c r="C15" s="1" t="s">
        <v>80</v>
      </c>
      <c r="D15" s="9" t="s">
        <v>81</v>
      </c>
      <c r="E15" s="1" t="s">
        <v>48</v>
      </c>
      <c r="F15" s="1" t="s">
        <v>43</v>
      </c>
      <c r="G15" s="1">
        <v>0.15</v>
      </c>
      <c r="I15" s="1">
        <v>100</v>
      </c>
      <c r="J15" s="1" t="s">
        <v>62</v>
      </c>
      <c r="K15" s="1">
        <v>0</v>
      </c>
      <c r="L15" s="1">
        <v>0</v>
      </c>
      <c r="M15" s="1">
        <v>0</v>
      </c>
      <c r="N15" s="1">
        <v>0</v>
      </c>
      <c r="P15" s="1">
        <v>40</v>
      </c>
      <c r="Q15"/>
      <c r="R15">
        <f t="shared" si="2"/>
        <v>0</v>
      </c>
      <c r="T15"/>
      <c r="U15"/>
      <c r="V15"/>
      <c r="W15"/>
      <c r="X15"/>
      <c r="Y15"/>
      <c r="Z15"/>
      <c r="AB15"/>
      <c r="AC15"/>
      <c r="AD15"/>
    </row>
    <row r="16" s="1" customFormat="1" ht="17" spans="1:30">
      <c r="A16"/>
      <c r="B16" s="1" t="s">
        <v>82</v>
      </c>
      <c r="C16" s="1" t="s">
        <v>83</v>
      </c>
      <c r="D16" s="9" t="s">
        <v>84</v>
      </c>
      <c r="E16" s="1" t="s">
        <v>48</v>
      </c>
      <c r="F16" s="1" t="s">
        <v>43</v>
      </c>
      <c r="G16" s="1">
        <v>0.15</v>
      </c>
      <c r="I16" s="1">
        <v>100</v>
      </c>
      <c r="J16" s="1" t="s">
        <v>62</v>
      </c>
      <c r="K16" s="1">
        <v>0</v>
      </c>
      <c r="L16" s="1">
        <v>0</v>
      </c>
      <c r="M16" s="1">
        <v>0</v>
      </c>
      <c r="N16" s="1">
        <v>0</v>
      </c>
      <c r="P16" s="1">
        <v>40</v>
      </c>
      <c r="Q16"/>
      <c r="R16"/>
      <c r="T16"/>
      <c r="U16"/>
      <c r="V16"/>
      <c r="W16"/>
      <c r="X16"/>
      <c r="Y16"/>
      <c r="Z16"/>
      <c r="AB16"/>
      <c r="AC16"/>
      <c r="AD16"/>
    </row>
    <row r="17" s="1" customFormat="1" ht="17" spans="1:30">
      <c r="A17"/>
      <c r="B17" s="1" t="s">
        <v>85</v>
      </c>
      <c r="C17" s="1" t="s">
        <v>86</v>
      </c>
      <c r="D17" s="9" t="s">
        <v>87</v>
      </c>
      <c r="E17" s="1" t="s">
        <v>48</v>
      </c>
      <c r="F17" s="1" t="s">
        <v>43</v>
      </c>
      <c r="G17" s="1">
        <v>0.15</v>
      </c>
      <c r="I17" s="1">
        <v>100</v>
      </c>
      <c r="J17" s="1" t="s">
        <v>62</v>
      </c>
      <c r="K17" s="1">
        <v>0</v>
      </c>
      <c r="L17" s="1">
        <v>0</v>
      </c>
      <c r="M17" s="1">
        <v>0</v>
      </c>
      <c r="N17" s="1">
        <v>0</v>
      </c>
      <c r="P17" s="1">
        <v>40</v>
      </c>
      <c r="Q17"/>
      <c r="R17">
        <f t="shared" ref="R17:R21" si="3">IFERROR(VLOOKUP(E17,$T$7:$AB$12,9,FALSE),0)</f>
        <v>0</v>
      </c>
      <c r="T17"/>
      <c r="U17"/>
      <c r="V17"/>
      <c r="W17"/>
      <c r="X17"/>
      <c r="Y17"/>
      <c r="Z17"/>
      <c r="AB17"/>
      <c r="AC17"/>
      <c r="AD17"/>
    </row>
    <row r="18" s="1" customFormat="1" ht="17" spans="1:30">
      <c r="A18"/>
      <c r="B18" s="1" t="s">
        <v>88</v>
      </c>
      <c r="C18" s="1" t="s">
        <v>89</v>
      </c>
      <c r="D18" s="9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/>
      <c r="R18">
        <f t="shared" si="3"/>
        <v>0</v>
      </c>
      <c r="T18"/>
      <c r="U18"/>
      <c r="V18"/>
      <c r="W18"/>
      <c r="X18"/>
      <c r="Y18"/>
      <c r="Z18"/>
      <c r="AB18"/>
      <c r="AC18"/>
      <c r="AD18"/>
    </row>
    <row r="19" s="1" customFormat="1" ht="17" spans="1:30">
      <c r="A19"/>
      <c r="B19" s="1" t="s">
        <v>91</v>
      </c>
      <c r="C19" s="1" t="s">
        <v>92</v>
      </c>
      <c r="D19" s="9" t="s">
        <v>93</v>
      </c>
      <c r="E19" s="1" t="s">
        <v>61</v>
      </c>
      <c r="F19" s="1" t="s">
        <v>43</v>
      </c>
      <c r="G19" s="1">
        <v>0.2</v>
      </c>
      <c r="I19" s="1">
        <v>100</v>
      </c>
      <c r="J19" s="1" t="s">
        <v>62</v>
      </c>
      <c r="K19" s="1">
        <v>0</v>
      </c>
      <c r="L19" s="1">
        <v>0</v>
      </c>
      <c r="M19" s="1">
        <v>0</v>
      </c>
      <c r="N19" s="1">
        <v>0</v>
      </c>
      <c r="P19" s="1">
        <v>80</v>
      </c>
      <c r="Q19"/>
      <c r="R19">
        <f t="shared" si="3"/>
        <v>0</v>
      </c>
      <c r="T19"/>
      <c r="U19"/>
      <c r="V19"/>
      <c r="W19"/>
      <c r="X19"/>
      <c r="Y19"/>
      <c r="Z19"/>
      <c r="AB19"/>
      <c r="AC19"/>
      <c r="AD19"/>
    </row>
    <row r="20" s="1" customFormat="1" ht="17" spans="1:30">
      <c r="A20"/>
      <c r="B20" s="1" t="s">
        <v>94</v>
      </c>
      <c r="C20" s="1" t="s">
        <v>95</v>
      </c>
      <c r="D20" s="9" t="s">
        <v>96</v>
      </c>
      <c r="E20" s="1" t="s">
        <v>61</v>
      </c>
      <c r="F20" s="1" t="s">
        <v>43</v>
      </c>
      <c r="G20" s="1">
        <v>0.3</v>
      </c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P20" s="1">
        <v>80</v>
      </c>
      <c r="Q20"/>
      <c r="R20">
        <f t="shared" si="3"/>
        <v>0</v>
      </c>
      <c r="T20"/>
      <c r="U20"/>
      <c r="V20"/>
      <c r="W20"/>
      <c r="X20"/>
      <c r="Y20"/>
      <c r="Z20"/>
      <c r="AB20"/>
      <c r="AC20"/>
      <c r="AD20"/>
    </row>
    <row r="21" s="1" customFormat="1" ht="17" spans="1:30">
      <c r="A21"/>
      <c r="B21" s="1" t="s">
        <v>97</v>
      </c>
      <c r="C21" s="1" t="s">
        <v>98</v>
      </c>
      <c r="D21" s="9" t="s">
        <v>99</v>
      </c>
      <c r="E21" s="1" t="s">
        <v>61</v>
      </c>
      <c r="F21" s="1" t="s">
        <v>43</v>
      </c>
      <c r="G21" s="1">
        <v>0.3</v>
      </c>
      <c r="I21" s="1">
        <v>100</v>
      </c>
      <c r="J21" s="1" t="s">
        <v>62</v>
      </c>
      <c r="K21" s="1">
        <v>0</v>
      </c>
      <c r="L21" s="1">
        <v>0</v>
      </c>
      <c r="M21" s="1">
        <v>0</v>
      </c>
      <c r="N21" s="1">
        <v>0</v>
      </c>
      <c r="P21" s="1">
        <v>80</v>
      </c>
      <c r="Q21"/>
      <c r="R21">
        <f t="shared" si="3"/>
        <v>0</v>
      </c>
      <c r="T21"/>
      <c r="U21"/>
      <c r="V21"/>
      <c r="W21"/>
      <c r="X21"/>
      <c r="Y21"/>
      <c r="Z21"/>
      <c r="AB21"/>
      <c r="AC21"/>
      <c r="AD21"/>
    </row>
    <row r="22" s="1" customFormat="1" ht="17" spans="1:30">
      <c r="A22"/>
      <c r="B22" s="1" t="s">
        <v>100</v>
      </c>
      <c r="C22" s="1" t="s">
        <v>101</v>
      </c>
      <c r="D22" s="9" t="s">
        <v>102</v>
      </c>
      <c r="E22" s="1" t="s">
        <v>61</v>
      </c>
      <c r="F22" s="1" t="s">
        <v>43</v>
      </c>
      <c r="G22" s="1">
        <v>0.3</v>
      </c>
      <c r="I22" s="1">
        <v>100</v>
      </c>
      <c r="J22" s="1" t="s">
        <v>62</v>
      </c>
      <c r="K22" s="1">
        <v>0</v>
      </c>
      <c r="L22" s="1">
        <v>0</v>
      </c>
      <c r="M22" s="1">
        <v>0</v>
      </c>
      <c r="N22" s="1">
        <v>0</v>
      </c>
      <c r="P22" s="1">
        <v>80</v>
      </c>
      <c r="Q22"/>
      <c r="R22"/>
      <c r="T22"/>
      <c r="U22"/>
      <c r="V22"/>
      <c r="W22"/>
      <c r="X22"/>
      <c r="Y22"/>
      <c r="Z22"/>
      <c r="AB22"/>
      <c r="AC22"/>
      <c r="AD22"/>
    </row>
    <row r="23" s="1" customFormat="1" ht="17" spans="1:30">
      <c r="A23"/>
      <c r="B23" s="1" t="s">
        <v>103</v>
      </c>
      <c r="C23" s="1" t="s">
        <v>104</v>
      </c>
      <c r="D23" s="9" t="s">
        <v>105</v>
      </c>
      <c r="E23" s="1" t="s">
        <v>61</v>
      </c>
      <c r="F23" s="1" t="s">
        <v>43</v>
      </c>
      <c r="G23" s="1">
        <v>0.3</v>
      </c>
      <c r="I23" s="1">
        <v>100</v>
      </c>
      <c r="J23" s="1" t="s">
        <v>62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/>
      <c r="R23">
        <f t="shared" ref="R23:R25" si="4">IFERROR(VLOOKUP(E23,$T$7:$AB$12,9,FALSE),0)</f>
        <v>0</v>
      </c>
      <c r="T23"/>
      <c r="U23"/>
      <c r="V23"/>
      <c r="W23"/>
      <c r="X23"/>
      <c r="Y23"/>
      <c r="Z23"/>
      <c r="AB23"/>
      <c r="AC23"/>
      <c r="AD23"/>
    </row>
    <row r="24" s="1" customFormat="1" ht="17" spans="1:30">
      <c r="A24"/>
      <c r="B24" s="1" t="s">
        <v>106</v>
      </c>
      <c r="C24" s="1" t="s">
        <v>107</v>
      </c>
      <c r="D24" s="9" t="s">
        <v>108</v>
      </c>
      <c r="E24" s="1" t="s">
        <v>61</v>
      </c>
      <c r="F24" s="1" t="s">
        <v>43</v>
      </c>
      <c r="G24" s="1">
        <v>0.3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/>
      <c r="R24">
        <f t="shared" si="4"/>
        <v>0</v>
      </c>
      <c r="T24"/>
      <c r="U24"/>
      <c r="V24"/>
      <c r="W24"/>
      <c r="X24"/>
      <c r="Y24"/>
      <c r="Z24"/>
      <c r="AB24"/>
      <c r="AC24"/>
      <c r="AD24"/>
    </row>
    <row r="25" s="1" customFormat="1" ht="51" spans="1:30">
      <c r="A25"/>
      <c r="B25" s="1" t="s">
        <v>109</v>
      </c>
      <c r="C25" s="1" t="s">
        <v>110</v>
      </c>
      <c r="D25" s="9" t="s">
        <v>111</v>
      </c>
      <c r="E25" s="1" t="s">
        <v>42</v>
      </c>
      <c r="F25" s="1" t="s">
        <v>43</v>
      </c>
      <c r="G25" s="1">
        <v>0</v>
      </c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P25" s="1">
        <v>150</v>
      </c>
      <c r="Q25"/>
      <c r="R25">
        <f t="shared" si="4"/>
        <v>0</v>
      </c>
      <c r="T25"/>
      <c r="U25"/>
      <c r="V25"/>
      <c r="W25"/>
      <c r="X25"/>
      <c r="Y25"/>
      <c r="Z25"/>
      <c r="AB25"/>
      <c r="AC25"/>
      <c r="AD25"/>
    </row>
    <row r="26" s="1" customFormat="1" ht="51" spans="1:30">
      <c r="A26"/>
      <c r="B26" s="1" t="s">
        <v>112</v>
      </c>
      <c r="C26" s="1" t="s">
        <v>113</v>
      </c>
      <c r="D26" s="9" t="s">
        <v>114</v>
      </c>
      <c r="E26" s="1" t="s">
        <v>61</v>
      </c>
      <c r="F26" s="1" t="s">
        <v>43</v>
      </c>
      <c r="G26" s="1">
        <v>10</v>
      </c>
      <c r="I26" s="1">
        <v>100</v>
      </c>
      <c r="J26" s="1" t="s">
        <v>62</v>
      </c>
      <c r="K26" s="1">
        <v>0</v>
      </c>
      <c r="L26" s="1">
        <v>0</v>
      </c>
      <c r="M26" s="1">
        <v>0</v>
      </c>
      <c r="N26" s="1">
        <v>0</v>
      </c>
      <c r="P26" s="1">
        <v>80</v>
      </c>
      <c r="Q26"/>
      <c r="R26"/>
      <c r="T26"/>
      <c r="U26"/>
      <c r="V26"/>
      <c r="W26"/>
      <c r="X26"/>
      <c r="Y26"/>
      <c r="Z26"/>
      <c r="AB26"/>
      <c r="AC26"/>
      <c r="AD26"/>
    </row>
    <row r="27" s="1" customFormat="1" ht="51" spans="1:30">
      <c r="A27"/>
      <c r="B27" s="1" t="s">
        <v>115</v>
      </c>
      <c r="C27" s="1" t="s">
        <v>116</v>
      </c>
      <c r="D27" s="9" t="s">
        <v>117</v>
      </c>
      <c r="E27" s="1" t="s">
        <v>61</v>
      </c>
      <c r="F27" s="1" t="s">
        <v>43</v>
      </c>
      <c r="G27" s="1">
        <v>0.3</v>
      </c>
      <c r="I27" s="1">
        <v>100</v>
      </c>
      <c r="J27" s="1" t="s">
        <v>62</v>
      </c>
      <c r="K27" s="1">
        <v>0</v>
      </c>
      <c r="L27" s="1">
        <v>0</v>
      </c>
      <c r="M27" s="1">
        <v>0</v>
      </c>
      <c r="N27" s="1">
        <v>0</v>
      </c>
      <c r="P27" s="1">
        <v>80</v>
      </c>
      <c r="Q27"/>
      <c r="R27"/>
      <c r="T27"/>
      <c r="U27"/>
      <c r="V27"/>
      <c r="W27"/>
      <c r="X27"/>
      <c r="Y27"/>
      <c r="Z27"/>
      <c r="AB27"/>
      <c r="AC27"/>
      <c r="AD27"/>
    </row>
    <row r="28" s="1" customFormat="1" ht="34" spans="1:30">
      <c r="A28"/>
      <c r="B28" s="1" t="s">
        <v>118</v>
      </c>
      <c r="C28" s="1" t="s">
        <v>119</v>
      </c>
      <c r="D28" s="9" t="s">
        <v>120</v>
      </c>
      <c r="E28" s="1" t="s">
        <v>61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/>
      <c r="R28">
        <f t="shared" ref="R28:R34" si="5">IFERROR(VLOOKUP(E28,$T$7:$AB$12,9,FALSE),0)</f>
        <v>0</v>
      </c>
      <c r="T28"/>
      <c r="U28"/>
      <c r="V28"/>
      <c r="W28"/>
      <c r="X28"/>
      <c r="Y28"/>
      <c r="Z28"/>
      <c r="AB28"/>
      <c r="AC28"/>
      <c r="AD28"/>
    </row>
    <row r="29" s="1" customFormat="1" ht="34" spans="1:30">
      <c r="A29"/>
      <c r="B29" s="1" t="s">
        <v>122</v>
      </c>
      <c r="C29" s="1" t="s">
        <v>123</v>
      </c>
      <c r="D29" s="9" t="s">
        <v>124</v>
      </c>
      <c r="E29" s="1" t="s">
        <v>48</v>
      </c>
      <c r="F29" s="1" t="s">
        <v>43</v>
      </c>
      <c r="G29" s="1">
        <v>-0.25</v>
      </c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/>
      <c r="R29">
        <f t="shared" si="5"/>
        <v>0</v>
      </c>
      <c r="T29"/>
      <c r="U29"/>
      <c r="V29"/>
      <c r="W29"/>
      <c r="X29"/>
      <c r="Y29"/>
      <c r="Z29"/>
      <c r="AB29"/>
      <c r="AC29"/>
      <c r="AD29"/>
    </row>
    <row r="30" s="1" customFormat="1" ht="34" spans="1:30">
      <c r="A30"/>
      <c r="B30" s="1" t="s">
        <v>125</v>
      </c>
      <c r="C30" s="1" t="s">
        <v>126</v>
      </c>
      <c r="D30" s="9" t="s">
        <v>127</v>
      </c>
      <c r="E30" s="1" t="s">
        <v>48</v>
      </c>
      <c r="F30" s="1" t="s">
        <v>43</v>
      </c>
      <c r="G30" s="1">
        <v>-0.25</v>
      </c>
      <c r="I30" s="1">
        <v>100</v>
      </c>
      <c r="J30" s="1" t="s">
        <v>62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/>
      <c r="R30">
        <f t="shared" si="5"/>
        <v>0</v>
      </c>
      <c r="T30"/>
      <c r="U30"/>
      <c r="V30"/>
      <c r="W30"/>
      <c r="X30"/>
      <c r="Y30"/>
      <c r="Z30"/>
      <c r="AB30"/>
      <c r="AC30"/>
      <c r="AD30"/>
    </row>
    <row r="31" s="1" customFormat="1" ht="34" spans="1:30">
      <c r="A31"/>
      <c r="B31" s="1" t="s">
        <v>128</v>
      </c>
      <c r="C31" s="1" t="s">
        <v>129</v>
      </c>
      <c r="D31" s="9" t="s">
        <v>130</v>
      </c>
      <c r="E31" s="1" t="s">
        <v>61</v>
      </c>
      <c r="F31" s="1" t="s">
        <v>43</v>
      </c>
      <c r="G31" s="1">
        <v>-0.2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/>
      <c r="R31">
        <f t="shared" si="5"/>
        <v>0</v>
      </c>
      <c r="T31"/>
      <c r="U31"/>
      <c r="V31"/>
      <c r="W31"/>
      <c r="X31"/>
      <c r="Y31"/>
      <c r="Z31"/>
      <c r="AB31"/>
      <c r="AC31"/>
      <c r="AD31"/>
    </row>
    <row r="32" s="1" customFormat="1" ht="51" spans="1:30">
      <c r="A32"/>
      <c r="B32" s="1" t="s">
        <v>131</v>
      </c>
      <c r="C32" s="1" t="s">
        <v>132</v>
      </c>
      <c r="D32" s="9" t="s">
        <v>133</v>
      </c>
      <c r="E32" s="1" t="s">
        <v>61</v>
      </c>
      <c r="F32" s="1" t="s">
        <v>43</v>
      </c>
      <c r="G32" s="1">
        <v>1.5</v>
      </c>
      <c r="H32" s="1" t="s">
        <v>134</v>
      </c>
      <c r="I32" s="1">
        <v>100</v>
      </c>
      <c r="J32" s="1" t="s">
        <v>62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/>
      <c r="R32">
        <f t="shared" si="5"/>
        <v>0</v>
      </c>
      <c r="T32"/>
      <c r="U32"/>
      <c r="V32"/>
      <c r="W32"/>
      <c r="X32"/>
      <c r="Y32"/>
      <c r="Z32"/>
      <c r="AB32"/>
      <c r="AC32"/>
      <c r="AD32"/>
    </row>
    <row r="33" s="1" customFormat="1" ht="51" spans="1:30">
      <c r="A33"/>
      <c r="B33" s="1" t="s">
        <v>135</v>
      </c>
      <c r="C33" s="1" t="s">
        <v>136</v>
      </c>
      <c r="D33" s="9" t="s">
        <v>137</v>
      </c>
      <c r="E33" s="1" t="s">
        <v>61</v>
      </c>
      <c r="F33" s="1" t="s">
        <v>43</v>
      </c>
      <c r="G33" s="1">
        <v>1.5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/>
      <c r="R33">
        <f t="shared" si="5"/>
        <v>0</v>
      </c>
      <c r="T33"/>
      <c r="U33"/>
      <c r="V33"/>
      <c r="W33"/>
      <c r="X33"/>
      <c r="Y33"/>
      <c r="Z33"/>
      <c r="AB33"/>
      <c r="AC33"/>
      <c r="AD33"/>
    </row>
    <row r="34" s="12" customFormat="1" ht="34" spans="1:18">
      <c r="A34"/>
      <c r="B34" s="12" t="s">
        <v>139</v>
      </c>
      <c r="C34" s="12" t="s">
        <v>140</v>
      </c>
      <c r="D34" s="13" t="s">
        <v>141</v>
      </c>
      <c r="E34" s="12" t="s">
        <v>48</v>
      </c>
      <c r="F34" s="12" t="s">
        <v>43</v>
      </c>
      <c r="G34" s="12">
        <v>10</v>
      </c>
      <c r="I34" s="12">
        <v>100</v>
      </c>
      <c r="J34" s="12" t="s">
        <v>62</v>
      </c>
      <c r="K34" s="12">
        <v>0</v>
      </c>
      <c r="L34" s="12">
        <v>0</v>
      </c>
      <c r="M34" s="12">
        <v>0</v>
      </c>
      <c r="N34" s="12">
        <v>0</v>
      </c>
      <c r="P34" s="12">
        <v>40</v>
      </c>
      <c r="R34">
        <f t="shared" si="5"/>
        <v>0</v>
      </c>
    </row>
    <row r="35" s="12" customFormat="1" ht="34" spans="1:16">
      <c r="A35" s="1"/>
      <c r="B35" s="1" t="s">
        <v>142</v>
      </c>
      <c r="C35" s="1" t="s">
        <v>143</v>
      </c>
      <c r="D35" s="13" t="s">
        <v>144</v>
      </c>
      <c r="E35" s="12" t="s">
        <v>61</v>
      </c>
      <c r="F35" s="1" t="s">
        <v>43</v>
      </c>
      <c r="G35" s="1">
        <v>30</v>
      </c>
      <c r="H35" s="1"/>
      <c r="I35" s="1">
        <v>100</v>
      </c>
      <c r="J35" s="1" t="s">
        <v>62</v>
      </c>
      <c r="K35" s="1">
        <v>0</v>
      </c>
      <c r="L35" s="1">
        <v>0</v>
      </c>
      <c r="M35" s="1">
        <v>0</v>
      </c>
      <c r="N35" s="1">
        <v>0</v>
      </c>
      <c r="O35" s="1"/>
      <c r="P35" s="1">
        <v>80</v>
      </c>
    </row>
    <row r="36" s="12" customFormat="1" ht="34" spans="1:20">
      <c r="A36"/>
      <c r="B36" s="12" t="s">
        <v>145</v>
      </c>
      <c r="C36" s="12" t="s">
        <v>146</v>
      </c>
      <c r="D36" s="13" t="s">
        <v>147</v>
      </c>
      <c r="E36" s="12" t="s">
        <v>48</v>
      </c>
      <c r="F36" s="12" t="s">
        <v>43</v>
      </c>
      <c r="G36" s="12">
        <v>15</v>
      </c>
      <c r="H36"/>
      <c r="I36" s="12">
        <v>100</v>
      </c>
      <c r="J36" s="12" t="s">
        <v>62</v>
      </c>
      <c r="K36" s="12">
        <v>0</v>
      </c>
      <c r="L36" s="12">
        <v>0</v>
      </c>
      <c r="M36" s="12">
        <v>0</v>
      </c>
      <c r="N36" s="12">
        <v>0</v>
      </c>
      <c r="P36" s="12">
        <v>40</v>
      </c>
      <c r="R36">
        <f t="shared" ref="R36:R46" si="6">IFERROR(VLOOKUP(E36,$T$7:$AB$12,9,FALSE),0)</f>
        <v>0</v>
      </c>
      <c r="T36"/>
    </row>
    <row r="37" s="1" customFormat="1" ht="34" spans="1:30">
      <c r="A37"/>
      <c r="B37" s="1" t="s">
        <v>148</v>
      </c>
      <c r="C37" s="1" t="s">
        <v>149</v>
      </c>
      <c r="D37" s="9" t="s">
        <v>150</v>
      </c>
      <c r="E37" s="1" t="s">
        <v>61</v>
      </c>
      <c r="F37" s="1" t="s">
        <v>43</v>
      </c>
      <c r="G37" s="1">
        <v>1</v>
      </c>
      <c r="I37" s="1">
        <v>100</v>
      </c>
      <c r="J37" s="1" t="s">
        <v>62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/>
      <c r="R37">
        <f t="shared" si="6"/>
        <v>0</v>
      </c>
      <c r="T37"/>
      <c r="U37"/>
      <c r="V37"/>
      <c r="W37"/>
      <c r="X37"/>
      <c r="Y37"/>
      <c r="Z37"/>
      <c r="AB37"/>
      <c r="AC37"/>
      <c r="AD37"/>
    </row>
    <row r="38" s="1" customFormat="1" ht="17" spans="1:30">
      <c r="A38"/>
      <c r="B38" s="1" t="s">
        <v>151</v>
      </c>
      <c r="C38" s="1" t="s">
        <v>152</v>
      </c>
      <c r="D38" s="9" t="s">
        <v>153</v>
      </c>
      <c r="E38" s="1" t="s">
        <v>61</v>
      </c>
      <c r="F38" s="1" t="s">
        <v>43</v>
      </c>
      <c r="G38" s="1">
        <v>150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/>
      <c r="R38">
        <f t="shared" si="6"/>
        <v>0</v>
      </c>
      <c r="T38"/>
      <c r="U38"/>
      <c r="V38"/>
      <c r="W38"/>
      <c r="X38"/>
      <c r="Y38"/>
      <c r="Z38"/>
      <c r="AB38"/>
      <c r="AC38"/>
      <c r="AD38"/>
    </row>
    <row r="39" s="1" customFormat="1" ht="51" spans="1:30">
      <c r="A39"/>
      <c r="B39" s="1" t="s">
        <v>154</v>
      </c>
      <c r="C39" s="1" t="s">
        <v>155</v>
      </c>
      <c r="D39" s="9" t="s">
        <v>156</v>
      </c>
      <c r="E39" s="1" t="s">
        <v>48</v>
      </c>
      <c r="F39" s="1" t="s">
        <v>43</v>
      </c>
      <c r="G39" s="1">
        <v>150</v>
      </c>
      <c r="H39" s="1" t="s">
        <v>157</v>
      </c>
      <c r="I39" s="1">
        <v>100</v>
      </c>
      <c r="J39" s="1" t="s">
        <v>62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/>
      <c r="R39">
        <f t="shared" si="6"/>
        <v>0</v>
      </c>
      <c r="T39"/>
      <c r="U39"/>
      <c r="V39"/>
      <c r="W39"/>
      <c r="X39"/>
      <c r="Y39"/>
      <c r="Z39"/>
      <c r="AB39"/>
      <c r="AC39"/>
      <c r="AD39"/>
    </row>
    <row r="40" s="1" customFormat="1" ht="34" spans="1:30">
      <c r="A40"/>
      <c r="B40" s="1" t="s">
        <v>158</v>
      </c>
      <c r="C40" s="1" t="s">
        <v>159</v>
      </c>
      <c r="D40" s="9" t="s">
        <v>160</v>
      </c>
      <c r="E40" s="1" t="s">
        <v>48</v>
      </c>
      <c r="F40" s="1" t="s">
        <v>43</v>
      </c>
      <c r="G40" s="1">
        <v>0</v>
      </c>
      <c r="I40" s="1">
        <v>100</v>
      </c>
      <c r="J40" s="1" t="s">
        <v>62</v>
      </c>
      <c r="K40" s="1">
        <v>0</v>
      </c>
      <c r="L40" s="1">
        <v>0</v>
      </c>
      <c r="M40" s="1">
        <v>0</v>
      </c>
      <c r="N40" s="1">
        <v>0</v>
      </c>
      <c r="P40" s="1">
        <v>40</v>
      </c>
      <c r="Q40"/>
      <c r="R40">
        <f t="shared" si="6"/>
        <v>0</v>
      </c>
      <c r="T40"/>
      <c r="U40"/>
      <c r="V40"/>
      <c r="W40"/>
      <c r="X40"/>
      <c r="Y40"/>
      <c r="Z40"/>
      <c r="AB40"/>
      <c r="AC40"/>
      <c r="AD40"/>
    </row>
    <row r="41" s="1" customFormat="1" ht="17" spans="1:30">
      <c r="A41"/>
      <c r="B41" s="1" t="s">
        <v>161</v>
      </c>
      <c r="C41" s="1" t="s">
        <v>162</v>
      </c>
      <c r="D41" s="9" t="s">
        <v>163</v>
      </c>
      <c r="E41" s="1" t="s">
        <v>61</v>
      </c>
      <c r="F41" s="1" t="s">
        <v>43</v>
      </c>
      <c r="G41" s="1">
        <v>8</v>
      </c>
      <c r="I41" s="1">
        <v>100</v>
      </c>
      <c r="J41" s="1" t="s">
        <v>62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/>
      <c r="R41">
        <f t="shared" si="6"/>
        <v>0</v>
      </c>
      <c r="T41"/>
      <c r="U41"/>
      <c r="V41"/>
      <c r="W41"/>
      <c r="X41"/>
      <c r="Y41"/>
      <c r="Z41"/>
      <c r="AB41"/>
      <c r="AC41"/>
      <c r="AD41"/>
    </row>
    <row r="42" s="1" customFormat="1" ht="17" spans="1:30">
      <c r="A42"/>
      <c r="B42" s="1" t="s">
        <v>164</v>
      </c>
      <c r="C42" s="1" t="s">
        <v>165</v>
      </c>
      <c r="D42" s="9" t="s">
        <v>166</v>
      </c>
      <c r="E42" s="1" t="s">
        <v>167</v>
      </c>
      <c r="F42" s="1" t="s">
        <v>43</v>
      </c>
      <c r="G42" s="1">
        <v>1</v>
      </c>
      <c r="I42" s="1">
        <v>10</v>
      </c>
      <c r="J42" s="1" t="s">
        <v>168</v>
      </c>
      <c r="K42" s="1">
        <v>0</v>
      </c>
      <c r="L42" s="1">
        <v>0</v>
      </c>
      <c r="M42" s="1">
        <v>0</v>
      </c>
      <c r="N42" s="1">
        <v>0</v>
      </c>
      <c r="P42" s="1">
        <v>240</v>
      </c>
      <c r="Q42"/>
      <c r="R42">
        <f t="shared" si="6"/>
        <v>0</v>
      </c>
      <c r="T42"/>
      <c r="U42"/>
      <c r="V42"/>
      <c r="W42"/>
      <c r="X42"/>
      <c r="Y42"/>
      <c r="Z42"/>
      <c r="AB42"/>
      <c r="AC42"/>
      <c r="AD42"/>
    </row>
    <row r="43" s="1" customFormat="1" ht="34" spans="1:30">
      <c r="A43"/>
      <c r="B43" s="1" t="s">
        <v>169</v>
      </c>
      <c r="C43" s="1" t="s">
        <v>170</v>
      </c>
      <c r="D43" s="9" t="s">
        <v>171</v>
      </c>
      <c r="E43" s="1" t="s">
        <v>61</v>
      </c>
      <c r="F43" s="1" t="s">
        <v>43</v>
      </c>
      <c r="G43" s="1">
        <v>1</v>
      </c>
      <c r="H43" s="1" t="s">
        <v>172</v>
      </c>
      <c r="I43" s="1">
        <v>100</v>
      </c>
      <c r="J43" s="1" t="s">
        <v>62</v>
      </c>
      <c r="K43" s="1">
        <v>0</v>
      </c>
      <c r="L43" s="1">
        <v>0</v>
      </c>
      <c r="M43" s="1">
        <v>0</v>
      </c>
      <c r="N43" s="1">
        <v>0</v>
      </c>
      <c r="P43" s="1">
        <v>80</v>
      </c>
      <c r="Q43"/>
      <c r="R43">
        <f t="shared" si="6"/>
        <v>0</v>
      </c>
      <c r="T43"/>
      <c r="U43"/>
      <c r="V43"/>
      <c r="W43"/>
      <c r="X43"/>
      <c r="Y43"/>
      <c r="Z43"/>
      <c r="AB43"/>
      <c r="AC43"/>
      <c r="AD43"/>
    </row>
    <row r="44" s="1" customFormat="1" ht="51" spans="1:30">
      <c r="A44"/>
      <c r="B44" s="1" t="s">
        <v>173</v>
      </c>
      <c r="C44" s="1" t="s">
        <v>174</v>
      </c>
      <c r="D44" s="9" t="s">
        <v>175</v>
      </c>
      <c r="E44" s="1" t="s">
        <v>48</v>
      </c>
      <c r="F44" s="1" t="s">
        <v>43</v>
      </c>
      <c r="G44" s="1">
        <v>3</v>
      </c>
      <c r="H44" s="1" t="s">
        <v>176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/>
      <c r="R44">
        <f t="shared" si="6"/>
        <v>0</v>
      </c>
      <c r="T44"/>
      <c r="U44"/>
      <c r="V44"/>
      <c r="W44"/>
      <c r="X44"/>
      <c r="Y44"/>
      <c r="Z44"/>
      <c r="AB44"/>
      <c r="AC44"/>
      <c r="AD44"/>
    </row>
    <row r="45" s="1" customFormat="1" ht="51" spans="1:30">
      <c r="A45"/>
      <c r="B45" s="1" t="s">
        <v>177</v>
      </c>
      <c r="C45" s="1" t="s">
        <v>178</v>
      </c>
      <c r="D45" s="9" t="s">
        <v>179</v>
      </c>
      <c r="E45" s="1" t="s">
        <v>48</v>
      </c>
      <c r="F45" s="1" t="s">
        <v>43</v>
      </c>
      <c r="G45" s="1">
        <v>3</v>
      </c>
      <c r="H45" s="1" t="s">
        <v>180</v>
      </c>
      <c r="I45" s="1">
        <v>300</v>
      </c>
      <c r="J45" s="1" t="s">
        <v>50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/>
      <c r="R45">
        <f t="shared" si="6"/>
        <v>0</v>
      </c>
      <c r="T45"/>
      <c r="U45"/>
      <c r="V45"/>
      <c r="W45"/>
      <c r="X45"/>
      <c r="Y45"/>
      <c r="Z45"/>
      <c r="AB45"/>
      <c r="AC45"/>
      <c r="AD45"/>
    </row>
    <row r="46" s="1" customFormat="1" ht="17" spans="1:30">
      <c r="A46"/>
      <c r="B46" s="1" t="s">
        <v>181</v>
      </c>
      <c r="C46" s="1" t="s">
        <v>182</v>
      </c>
      <c r="D46" s="9" t="s">
        <v>183</v>
      </c>
      <c r="E46" s="1" t="s">
        <v>48</v>
      </c>
      <c r="F46" s="1" t="s">
        <v>43</v>
      </c>
      <c r="G46" s="1">
        <v>2</v>
      </c>
      <c r="I46" s="1">
        <v>100</v>
      </c>
      <c r="J46" s="1" t="s">
        <v>62</v>
      </c>
      <c r="K46" s="1">
        <v>0</v>
      </c>
      <c r="L46" s="1">
        <v>0</v>
      </c>
      <c r="M46" s="1">
        <v>0</v>
      </c>
      <c r="N46" s="1">
        <v>0</v>
      </c>
      <c r="P46" s="1">
        <v>40</v>
      </c>
      <c r="Q46"/>
      <c r="R46">
        <f t="shared" si="6"/>
        <v>0</v>
      </c>
      <c r="T46"/>
      <c r="U46"/>
      <c r="V46"/>
      <c r="W46"/>
      <c r="X46"/>
      <c r="Y46"/>
      <c r="Z46"/>
      <c r="AB46"/>
      <c r="AC46"/>
      <c r="AD46"/>
    </row>
    <row r="47" s="1" customFormat="1" ht="17" spans="1:30">
      <c r="A47"/>
      <c r="B47" s="1" t="s">
        <v>184</v>
      </c>
      <c r="C47" s="1" t="s">
        <v>185</v>
      </c>
      <c r="D47" s="9" t="s">
        <v>186</v>
      </c>
      <c r="E47" s="1" t="s">
        <v>61</v>
      </c>
      <c r="F47" s="1" t="s">
        <v>43</v>
      </c>
      <c r="G47" s="1">
        <v>3</v>
      </c>
      <c r="I47" s="1">
        <v>100</v>
      </c>
      <c r="J47" s="1" t="s">
        <v>62</v>
      </c>
      <c r="K47" s="1">
        <v>0</v>
      </c>
      <c r="L47" s="1">
        <v>0</v>
      </c>
      <c r="M47" s="1">
        <v>0</v>
      </c>
      <c r="N47" s="1">
        <v>0</v>
      </c>
      <c r="P47" s="1">
        <v>80</v>
      </c>
      <c r="Q47"/>
      <c r="R47"/>
      <c r="T47"/>
      <c r="U47"/>
      <c r="V47"/>
      <c r="W47"/>
      <c r="X47"/>
      <c r="Y47"/>
      <c r="Z47"/>
      <c r="AB47"/>
      <c r="AC47"/>
      <c r="AD47"/>
    </row>
    <row r="48" s="1" customFormat="1" ht="34" spans="1:30">
      <c r="A48"/>
      <c r="B48" s="1" t="s">
        <v>187</v>
      </c>
      <c r="C48" s="1" t="s">
        <v>188</v>
      </c>
      <c r="D48" s="9" t="s">
        <v>189</v>
      </c>
      <c r="E48" s="1" t="s">
        <v>48</v>
      </c>
      <c r="F48" s="1" t="s">
        <v>43</v>
      </c>
      <c r="G48" s="1">
        <v>10</v>
      </c>
      <c r="I48" s="1">
        <v>100</v>
      </c>
      <c r="J48" s="1" t="s">
        <v>62</v>
      </c>
      <c r="K48" s="1">
        <v>0</v>
      </c>
      <c r="L48" s="1">
        <v>0</v>
      </c>
      <c r="M48" s="1">
        <v>0</v>
      </c>
      <c r="N48" s="1">
        <v>0</v>
      </c>
      <c r="P48" s="1">
        <v>40</v>
      </c>
      <c r="Q48"/>
      <c r="R48">
        <f t="shared" ref="R48:R57" si="7">IFERROR(VLOOKUP(E48,$T$7:$AB$12,9,FALSE),0)</f>
        <v>0</v>
      </c>
      <c r="T48"/>
      <c r="U48"/>
      <c r="V48"/>
      <c r="W48"/>
      <c r="X48"/>
      <c r="Y48"/>
      <c r="Z48"/>
      <c r="AB48"/>
      <c r="AC48"/>
      <c r="AD48"/>
    </row>
    <row r="49" s="1" customFormat="1" ht="34" spans="1:30">
      <c r="A49"/>
      <c r="B49" s="1" t="s">
        <v>190</v>
      </c>
      <c r="C49" s="1" t="s">
        <v>191</v>
      </c>
      <c r="D49" s="9" t="s">
        <v>192</v>
      </c>
      <c r="E49" s="1" t="s">
        <v>61</v>
      </c>
      <c r="F49" s="1" t="s">
        <v>43</v>
      </c>
      <c r="G49" s="1">
        <v>400</v>
      </c>
      <c r="I49" s="1">
        <v>100</v>
      </c>
      <c r="J49" s="1" t="s">
        <v>62</v>
      </c>
      <c r="K49" s="1">
        <v>0</v>
      </c>
      <c r="L49" s="1">
        <v>0</v>
      </c>
      <c r="M49" s="1">
        <v>0</v>
      </c>
      <c r="N49" s="1">
        <v>0</v>
      </c>
      <c r="P49" s="1">
        <v>80</v>
      </c>
      <c r="Q49"/>
      <c r="R49">
        <f t="shared" si="7"/>
        <v>0</v>
      </c>
      <c r="T49"/>
      <c r="U49"/>
      <c r="V49"/>
      <c r="W49"/>
      <c r="X49"/>
      <c r="Y49"/>
      <c r="Z49"/>
      <c r="AB49"/>
      <c r="AC49"/>
      <c r="AD49"/>
    </row>
    <row r="50" s="1" customFormat="1" ht="17" spans="1:30">
      <c r="A50"/>
      <c r="B50" s="1" t="s">
        <v>193</v>
      </c>
      <c r="C50" s="1" t="s">
        <v>194</v>
      </c>
      <c r="D50" s="9" t="s">
        <v>195</v>
      </c>
      <c r="E50" s="1" t="s">
        <v>48</v>
      </c>
      <c r="F50" s="1" t="s">
        <v>43</v>
      </c>
      <c r="G50" s="1">
        <v>2</v>
      </c>
      <c r="I50" s="1">
        <v>100</v>
      </c>
      <c r="J50" s="1" t="s">
        <v>62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/>
      <c r="R50">
        <f t="shared" si="7"/>
        <v>0</v>
      </c>
      <c r="T50"/>
      <c r="U50"/>
      <c r="V50"/>
      <c r="W50"/>
      <c r="X50"/>
      <c r="Y50"/>
      <c r="Z50"/>
      <c r="AB50"/>
      <c r="AC50"/>
      <c r="AD50"/>
    </row>
    <row r="51" s="1" customFormat="1" ht="34" spans="1:30">
      <c r="A51"/>
      <c r="B51" s="1" t="s">
        <v>196</v>
      </c>
      <c r="C51" s="1" t="s">
        <v>197</v>
      </c>
      <c r="D51" s="9" t="s">
        <v>198</v>
      </c>
      <c r="E51" s="1" t="s">
        <v>48</v>
      </c>
      <c r="F51" s="1" t="s">
        <v>43</v>
      </c>
      <c r="G51" s="1">
        <v>100</v>
      </c>
      <c r="I51" s="1">
        <v>100</v>
      </c>
      <c r="J51" s="1" t="s">
        <v>62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/>
      <c r="R51">
        <f t="shared" si="7"/>
        <v>0</v>
      </c>
      <c r="T51"/>
      <c r="U51"/>
      <c r="V51"/>
      <c r="W51"/>
      <c r="X51"/>
      <c r="Y51"/>
      <c r="Z51"/>
      <c r="AB51"/>
      <c r="AC51"/>
      <c r="AD51"/>
    </row>
    <row r="52" s="1" customFormat="1" ht="34" spans="1:30">
      <c r="A52"/>
      <c r="B52" s="1" t="s">
        <v>199</v>
      </c>
      <c r="C52" s="1" t="s">
        <v>200</v>
      </c>
      <c r="D52" s="9" t="s">
        <v>201</v>
      </c>
      <c r="E52" s="1" t="s">
        <v>48</v>
      </c>
      <c r="F52" s="1" t="s">
        <v>43</v>
      </c>
      <c r="G52" s="1">
        <v>2</v>
      </c>
      <c r="I52" s="1">
        <v>100</v>
      </c>
      <c r="J52" s="1" t="s">
        <v>62</v>
      </c>
      <c r="K52" s="1">
        <v>0</v>
      </c>
      <c r="L52" s="1">
        <v>0</v>
      </c>
      <c r="M52" s="1">
        <v>0</v>
      </c>
      <c r="N52" s="1">
        <v>0</v>
      </c>
      <c r="P52" s="1">
        <v>40</v>
      </c>
      <c r="Q52"/>
      <c r="R52">
        <f t="shared" si="7"/>
        <v>0</v>
      </c>
      <c r="T52"/>
      <c r="U52"/>
      <c r="V52"/>
      <c r="W52"/>
      <c r="X52"/>
      <c r="Y52"/>
      <c r="Z52"/>
      <c r="AB52"/>
      <c r="AC52"/>
      <c r="AD52"/>
    </row>
    <row r="53" s="1" customFormat="1" ht="17" spans="1:30">
      <c r="A53"/>
      <c r="B53" s="1" t="s">
        <v>202</v>
      </c>
      <c r="C53" s="1" t="s">
        <v>203</v>
      </c>
      <c r="D53" s="9" t="s">
        <v>204</v>
      </c>
      <c r="E53" s="1" t="s">
        <v>167</v>
      </c>
      <c r="F53" s="1" t="s">
        <v>43</v>
      </c>
      <c r="G53" s="1">
        <v>1</v>
      </c>
      <c r="I53" s="1">
        <v>10</v>
      </c>
      <c r="J53" s="1" t="s">
        <v>168</v>
      </c>
      <c r="K53" s="1">
        <v>0</v>
      </c>
      <c r="L53" s="1">
        <v>0</v>
      </c>
      <c r="M53" s="1">
        <v>0</v>
      </c>
      <c r="N53" s="1">
        <v>0</v>
      </c>
      <c r="P53" s="1">
        <v>240</v>
      </c>
      <c r="Q53"/>
      <c r="R53">
        <f t="shared" si="7"/>
        <v>0</v>
      </c>
      <c r="T53"/>
      <c r="U53"/>
      <c r="V53"/>
      <c r="W53"/>
      <c r="X53"/>
      <c r="Y53"/>
      <c r="Z53"/>
      <c r="AB53"/>
      <c r="AC53"/>
      <c r="AD53"/>
    </row>
    <row r="54" s="1" customFormat="1" ht="34" spans="1:30">
      <c r="A54"/>
      <c r="B54" s="1" t="s">
        <v>205</v>
      </c>
      <c r="C54" s="1" t="s">
        <v>206</v>
      </c>
      <c r="D54" s="9" t="s">
        <v>207</v>
      </c>
      <c r="E54" s="1" t="s">
        <v>48</v>
      </c>
      <c r="F54" s="1" t="s">
        <v>43</v>
      </c>
      <c r="G54" s="1">
        <v>3</v>
      </c>
      <c r="I54" s="1">
        <v>100</v>
      </c>
      <c r="J54" s="1" t="s">
        <v>62</v>
      </c>
      <c r="K54" s="1">
        <v>0</v>
      </c>
      <c r="L54" s="1">
        <v>0</v>
      </c>
      <c r="M54" s="1">
        <v>0</v>
      </c>
      <c r="N54" s="1">
        <v>0</v>
      </c>
      <c r="P54" s="1">
        <v>40</v>
      </c>
      <c r="Q54"/>
      <c r="R54">
        <f t="shared" si="7"/>
        <v>0</v>
      </c>
      <c r="T54"/>
      <c r="U54"/>
      <c r="V54"/>
      <c r="W54"/>
      <c r="X54"/>
      <c r="Y54"/>
      <c r="Z54"/>
      <c r="AB54"/>
      <c r="AC54"/>
      <c r="AD54"/>
    </row>
    <row r="55" s="1" customFormat="1" ht="34" spans="1:30">
      <c r="A55"/>
      <c r="B55" s="1" t="s">
        <v>208</v>
      </c>
      <c r="C55" s="1" t="s">
        <v>209</v>
      </c>
      <c r="D55" s="9" t="s">
        <v>210</v>
      </c>
      <c r="E55" s="1" t="s">
        <v>42</v>
      </c>
      <c r="F55" s="1" t="s">
        <v>43</v>
      </c>
      <c r="G55" s="1">
        <v>3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/>
      <c r="R55">
        <f t="shared" si="7"/>
        <v>0</v>
      </c>
      <c r="T55"/>
      <c r="U55"/>
      <c r="V55"/>
      <c r="W55"/>
      <c r="X55"/>
      <c r="Y55"/>
      <c r="Z55"/>
      <c r="AB55"/>
      <c r="AC55"/>
      <c r="AD55"/>
    </row>
    <row r="56" s="1" customFormat="1" ht="34" spans="1:30">
      <c r="A56"/>
      <c r="B56" s="1" t="s">
        <v>211</v>
      </c>
      <c r="C56" s="1" t="s">
        <v>212</v>
      </c>
      <c r="D56" s="9" t="s">
        <v>213</v>
      </c>
      <c r="E56" s="1" t="s">
        <v>42</v>
      </c>
      <c r="F56" s="1" t="s">
        <v>43</v>
      </c>
      <c r="G56" s="1">
        <v>0.4</v>
      </c>
      <c r="I56" s="1">
        <v>30</v>
      </c>
      <c r="J56" s="1" t="s">
        <v>44</v>
      </c>
      <c r="K56" s="1">
        <v>0</v>
      </c>
      <c r="L56" s="1">
        <v>0</v>
      </c>
      <c r="M56" s="1">
        <v>0</v>
      </c>
      <c r="N56" s="1">
        <v>0</v>
      </c>
      <c r="P56" s="1">
        <v>150</v>
      </c>
      <c r="Q56"/>
      <c r="R56">
        <f t="shared" si="7"/>
        <v>0</v>
      </c>
      <c r="T56"/>
      <c r="U56"/>
      <c r="V56"/>
      <c r="W56"/>
      <c r="X56"/>
      <c r="Y56"/>
      <c r="Z56"/>
      <c r="AB56"/>
      <c r="AC56"/>
      <c r="AD56"/>
    </row>
    <row r="57" s="1" customFormat="1" ht="34" spans="1:30">
      <c r="A57"/>
      <c r="B57" s="1" t="s">
        <v>214</v>
      </c>
      <c r="C57" s="1" t="s">
        <v>215</v>
      </c>
      <c r="D57" s="9" t="s">
        <v>216</v>
      </c>
      <c r="E57" s="1" t="s">
        <v>48</v>
      </c>
      <c r="F57" s="1" t="s">
        <v>43</v>
      </c>
      <c r="G57" s="1">
        <v>0.4</v>
      </c>
      <c r="I57" s="1">
        <v>300</v>
      </c>
      <c r="J57" s="1" t="s">
        <v>50</v>
      </c>
      <c r="K57" s="1">
        <v>0</v>
      </c>
      <c r="L57" s="1">
        <v>0</v>
      </c>
      <c r="M57" s="1">
        <v>0</v>
      </c>
      <c r="N57" s="1">
        <v>0</v>
      </c>
      <c r="P57" s="1">
        <v>40</v>
      </c>
      <c r="Q57"/>
      <c r="R57">
        <f t="shared" si="7"/>
        <v>0</v>
      </c>
      <c r="T57"/>
      <c r="U57"/>
      <c r="V57"/>
      <c r="W57"/>
      <c r="X57"/>
      <c r="Y57"/>
      <c r="Z57"/>
      <c r="AB57"/>
      <c r="AC57"/>
      <c r="AD57"/>
    </row>
    <row r="58" s="1" customFormat="1" ht="17" spans="1:30">
      <c r="A58"/>
      <c r="B58" s="1" t="s">
        <v>217</v>
      </c>
      <c r="C58" s="1" t="s">
        <v>218</v>
      </c>
      <c r="D58" s="9" t="s">
        <v>219</v>
      </c>
      <c r="E58" s="1" t="s">
        <v>48</v>
      </c>
      <c r="F58" s="1" t="s">
        <v>43</v>
      </c>
      <c r="G58" s="1">
        <v>1</v>
      </c>
      <c r="I58" s="1">
        <v>100</v>
      </c>
      <c r="J58" s="1" t="s">
        <v>62</v>
      </c>
      <c r="K58" s="1">
        <v>0</v>
      </c>
      <c r="L58" s="1">
        <v>0</v>
      </c>
      <c r="M58" s="1">
        <v>0</v>
      </c>
      <c r="N58" s="1">
        <v>0</v>
      </c>
      <c r="P58" s="1">
        <v>40</v>
      </c>
      <c r="Q58"/>
      <c r="R58"/>
      <c r="T58"/>
      <c r="U58"/>
      <c r="V58"/>
      <c r="W58"/>
      <c r="X58"/>
      <c r="Y58"/>
      <c r="Z58"/>
      <c r="AB58"/>
      <c r="AC58"/>
      <c r="AD58"/>
    </row>
    <row r="59" s="1" customFormat="1" ht="17" spans="1:30">
      <c r="A59"/>
      <c r="B59" s="1" t="s">
        <v>220</v>
      </c>
      <c r="C59" s="1" t="s">
        <v>221</v>
      </c>
      <c r="D59" s="9" t="s">
        <v>222</v>
      </c>
      <c r="E59" s="1" t="s">
        <v>61</v>
      </c>
      <c r="F59" s="1" t="s">
        <v>43</v>
      </c>
      <c r="G59" s="1">
        <v>0.3</v>
      </c>
      <c r="I59" s="1">
        <v>100</v>
      </c>
      <c r="J59" s="1" t="s">
        <v>62</v>
      </c>
      <c r="K59" s="1">
        <v>0</v>
      </c>
      <c r="L59" s="1">
        <v>0</v>
      </c>
      <c r="M59" s="1">
        <v>0</v>
      </c>
      <c r="N59" s="1">
        <v>0</v>
      </c>
      <c r="P59" s="1">
        <v>80</v>
      </c>
      <c r="Q59"/>
      <c r="R59"/>
      <c r="T59"/>
      <c r="U59"/>
      <c r="V59"/>
      <c r="W59"/>
      <c r="X59"/>
      <c r="Y59"/>
      <c r="Z59"/>
      <c r="AB59"/>
      <c r="AC59"/>
      <c r="AD59"/>
    </row>
    <row r="60" s="1" customFormat="1" ht="17" spans="1:30">
      <c r="A60"/>
      <c r="B60" s="1" t="s">
        <v>223</v>
      </c>
      <c r="C60" s="1" t="s">
        <v>224</v>
      </c>
      <c r="D60" s="9" t="s">
        <v>225</v>
      </c>
      <c r="E60" s="1" t="s">
        <v>61</v>
      </c>
      <c r="F60" s="1" t="s">
        <v>43</v>
      </c>
      <c r="G60" s="1">
        <v>0</v>
      </c>
      <c r="I60" s="1">
        <v>100</v>
      </c>
      <c r="J60" s="1" t="s">
        <v>62</v>
      </c>
      <c r="K60" s="1">
        <v>0</v>
      </c>
      <c r="L60" s="1">
        <v>10</v>
      </c>
      <c r="M60" s="1">
        <v>0</v>
      </c>
      <c r="N60" s="1">
        <v>0</v>
      </c>
      <c r="P60" s="1">
        <v>80</v>
      </c>
      <c r="Q60"/>
      <c r="R60"/>
      <c r="T60"/>
      <c r="U60"/>
      <c r="V60"/>
      <c r="W60"/>
      <c r="X60"/>
      <c r="Y60"/>
      <c r="Z60"/>
      <c r="AB60"/>
      <c r="AC60"/>
      <c r="AD60"/>
    </row>
    <row r="61" s="1" customFormat="1" ht="17" spans="1:30">
      <c r="A61"/>
      <c r="B61" s="1" t="s">
        <v>226</v>
      </c>
      <c r="C61" s="1" t="s">
        <v>227</v>
      </c>
      <c r="D61" s="9" t="s">
        <v>228</v>
      </c>
      <c r="E61" s="1" t="s">
        <v>61</v>
      </c>
      <c r="F61" s="1" t="s">
        <v>43</v>
      </c>
      <c r="G61" s="1">
        <v>0</v>
      </c>
      <c r="I61" s="1">
        <v>100</v>
      </c>
      <c r="J61" s="1" t="s">
        <v>62</v>
      </c>
      <c r="K61" s="1">
        <v>0</v>
      </c>
      <c r="L61" s="1">
        <v>0</v>
      </c>
      <c r="M61" s="1">
        <v>0</v>
      </c>
      <c r="N61" s="1">
        <v>10</v>
      </c>
      <c r="P61" s="1">
        <v>80</v>
      </c>
      <c r="Q61"/>
      <c r="R61"/>
      <c r="T61"/>
      <c r="U61"/>
      <c r="V61"/>
      <c r="W61"/>
      <c r="X61"/>
      <c r="Y61"/>
      <c r="Z61"/>
      <c r="AB61"/>
      <c r="AC61"/>
      <c r="AD61"/>
    </row>
    <row r="62" s="1" customFormat="1" ht="17" spans="1:30">
      <c r="A62"/>
      <c r="B62" s="1" t="s">
        <v>229</v>
      </c>
      <c r="C62" s="1" t="s">
        <v>230</v>
      </c>
      <c r="D62" s="9" t="s">
        <v>231</v>
      </c>
      <c r="E62" s="1" t="s">
        <v>61</v>
      </c>
      <c r="F62" s="1" t="s">
        <v>43</v>
      </c>
      <c r="G62" s="1">
        <v>0</v>
      </c>
      <c r="I62" s="1">
        <v>100</v>
      </c>
      <c r="J62" s="1" t="s">
        <v>62</v>
      </c>
      <c r="K62" s="1">
        <v>0</v>
      </c>
      <c r="L62" s="1">
        <v>0</v>
      </c>
      <c r="M62" s="1">
        <v>10</v>
      </c>
      <c r="N62" s="1">
        <v>0</v>
      </c>
      <c r="P62" s="1">
        <v>80</v>
      </c>
      <c r="Q62"/>
      <c r="R62"/>
      <c r="T62"/>
      <c r="U62"/>
      <c r="V62"/>
      <c r="W62"/>
      <c r="X62"/>
      <c r="Y62"/>
      <c r="Z62"/>
      <c r="AB62"/>
      <c r="AC62"/>
      <c r="AD62"/>
    </row>
    <row r="63" s="1" customFormat="1" ht="34" spans="1:30">
      <c r="A63"/>
      <c r="B63" s="1" t="s">
        <v>232</v>
      </c>
      <c r="C63" s="1" t="s">
        <v>233</v>
      </c>
      <c r="D63" s="9" t="s">
        <v>234</v>
      </c>
      <c r="E63" s="1" t="s">
        <v>61</v>
      </c>
      <c r="F63" s="1" t="s">
        <v>43</v>
      </c>
      <c r="G63" s="1">
        <v>15</v>
      </c>
      <c r="I63" s="1">
        <v>300</v>
      </c>
      <c r="J63" s="1" t="s">
        <v>50</v>
      </c>
      <c r="K63" s="1">
        <v>0</v>
      </c>
      <c r="L63" s="1">
        <v>0</v>
      </c>
      <c r="M63" s="1">
        <v>0</v>
      </c>
      <c r="N63" s="1">
        <v>0</v>
      </c>
      <c r="P63" s="1">
        <v>80</v>
      </c>
      <c r="Q63"/>
      <c r="R63">
        <f t="shared" ref="R63:R76" si="8">IFERROR(VLOOKUP(E63,$T$7:$AB$12,9,FALSE),0)</f>
        <v>0</v>
      </c>
      <c r="T63"/>
      <c r="U63"/>
      <c r="V63"/>
      <c r="W63"/>
      <c r="X63"/>
      <c r="Y63"/>
      <c r="Z63"/>
      <c r="AB63"/>
      <c r="AC63"/>
      <c r="AD63"/>
    </row>
    <row r="64" s="1" customFormat="1" ht="17" spans="1:30">
      <c r="A64"/>
      <c r="B64" s="1" t="s">
        <v>235</v>
      </c>
      <c r="C64" s="1" t="s">
        <v>236</v>
      </c>
      <c r="D64" s="9" t="s">
        <v>237</v>
      </c>
      <c r="E64" s="1" t="s">
        <v>48</v>
      </c>
      <c r="F64" s="1" t="s">
        <v>43</v>
      </c>
      <c r="G64" s="1">
        <v>0</v>
      </c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40</v>
      </c>
      <c r="Q64"/>
      <c r="R64">
        <f t="shared" si="8"/>
        <v>0</v>
      </c>
      <c r="T64"/>
      <c r="U64"/>
      <c r="V64"/>
      <c r="W64"/>
      <c r="X64"/>
      <c r="Y64"/>
      <c r="Z64"/>
      <c r="AB64"/>
      <c r="AC64"/>
      <c r="AD64"/>
    </row>
    <row r="65" s="1" customFormat="1" ht="17" spans="1:30">
      <c r="A65"/>
      <c r="B65" s="1" t="s">
        <v>238</v>
      </c>
      <c r="C65" s="1" t="s">
        <v>239</v>
      </c>
      <c r="D65" s="9" t="s">
        <v>240</v>
      </c>
      <c r="E65" s="1" t="s">
        <v>48</v>
      </c>
      <c r="F65" s="1" t="s">
        <v>43</v>
      </c>
      <c r="G65" s="1">
        <v>0</v>
      </c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/>
      <c r="R65"/>
      <c r="T65"/>
      <c r="U65"/>
      <c r="V65"/>
      <c r="W65"/>
      <c r="X65"/>
      <c r="Y65"/>
      <c r="Z65"/>
      <c r="AB65"/>
      <c r="AC65"/>
      <c r="AD65"/>
    </row>
    <row r="66" s="1" customFormat="1" ht="17" spans="1:30">
      <c r="A66"/>
      <c r="B66" s="1" t="s">
        <v>241</v>
      </c>
      <c r="C66" s="1" t="s">
        <v>242</v>
      </c>
      <c r="D66" s="9" t="s">
        <v>243</v>
      </c>
      <c r="E66" s="1" t="s">
        <v>48</v>
      </c>
      <c r="F66" s="1" t="s">
        <v>43</v>
      </c>
      <c r="G66" s="1">
        <v>0</v>
      </c>
      <c r="I66" s="1">
        <v>30</v>
      </c>
      <c r="J66" s="1" t="s">
        <v>44</v>
      </c>
      <c r="K66" s="1">
        <v>0</v>
      </c>
      <c r="L66" s="1">
        <v>0</v>
      </c>
      <c r="M66" s="1">
        <v>0</v>
      </c>
      <c r="N66" s="1">
        <v>0</v>
      </c>
      <c r="P66" s="1">
        <v>50</v>
      </c>
      <c r="Q66"/>
      <c r="R66"/>
      <c r="T66"/>
      <c r="U66"/>
      <c r="V66"/>
      <c r="W66"/>
      <c r="X66"/>
      <c r="Y66"/>
      <c r="Z66"/>
      <c r="AB66"/>
      <c r="AC66"/>
      <c r="AD66"/>
    </row>
    <row r="67" s="1" customFormat="1" ht="34" spans="1:30">
      <c r="A67"/>
      <c r="B67" s="1" t="s">
        <v>244</v>
      </c>
      <c r="C67" s="1" t="s">
        <v>245</v>
      </c>
      <c r="D67" s="9" t="s">
        <v>246</v>
      </c>
      <c r="E67" s="1" t="s">
        <v>61</v>
      </c>
      <c r="F67" s="1" t="s">
        <v>43</v>
      </c>
      <c r="G67" s="1">
        <v>1</v>
      </c>
      <c r="I67" s="1">
        <v>100</v>
      </c>
      <c r="J67" s="1" t="s">
        <v>62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/>
      <c r="R67">
        <f t="shared" si="8"/>
        <v>0</v>
      </c>
      <c r="T67"/>
      <c r="U67"/>
      <c r="V67"/>
      <c r="W67"/>
      <c r="X67"/>
      <c r="Y67"/>
      <c r="Z67"/>
      <c r="AB67"/>
      <c r="AC67"/>
      <c r="AD67"/>
    </row>
    <row r="68" s="1" customFormat="1" ht="34" spans="1:30">
      <c r="A68"/>
      <c r="B68" s="1" t="s">
        <v>247</v>
      </c>
      <c r="C68" s="1" t="s">
        <v>248</v>
      </c>
      <c r="D68" s="9" t="s">
        <v>249</v>
      </c>
      <c r="E68" s="1" t="s">
        <v>61</v>
      </c>
      <c r="F68" s="1" t="s">
        <v>43</v>
      </c>
      <c r="G68" s="1">
        <v>0</v>
      </c>
      <c r="H68" s="1" t="s">
        <v>250</v>
      </c>
      <c r="I68" s="1">
        <v>100</v>
      </c>
      <c r="J68" s="1" t="s">
        <v>62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/>
      <c r="R68">
        <f t="shared" si="8"/>
        <v>0</v>
      </c>
      <c r="T68"/>
      <c r="U68"/>
      <c r="V68"/>
      <c r="W68"/>
      <c r="X68"/>
      <c r="Y68"/>
      <c r="Z68"/>
      <c r="AB68"/>
      <c r="AC68"/>
      <c r="AD68"/>
    </row>
    <row r="69" s="1" customFormat="1" ht="34" spans="1:30">
      <c r="A69"/>
      <c r="B69" s="1" t="s">
        <v>251</v>
      </c>
      <c r="C69" s="1" t="s">
        <v>252</v>
      </c>
      <c r="D69" s="9" t="s">
        <v>253</v>
      </c>
      <c r="E69" s="1" t="s">
        <v>61</v>
      </c>
      <c r="F69" s="1" t="s">
        <v>43</v>
      </c>
      <c r="G69" s="1">
        <v>0</v>
      </c>
      <c r="H69" s="1" t="s">
        <v>254</v>
      </c>
      <c r="I69" s="1">
        <v>100</v>
      </c>
      <c r="J69" s="1" t="s">
        <v>62</v>
      </c>
      <c r="K69" s="1">
        <v>0</v>
      </c>
      <c r="L69" s="1">
        <v>0</v>
      </c>
      <c r="M69" s="1">
        <v>0</v>
      </c>
      <c r="N69" s="1">
        <v>0</v>
      </c>
      <c r="P69" s="1">
        <v>80</v>
      </c>
      <c r="Q69"/>
      <c r="R69">
        <f t="shared" si="8"/>
        <v>0</v>
      </c>
      <c r="T69"/>
      <c r="U69"/>
      <c r="V69"/>
      <c r="W69"/>
      <c r="X69"/>
      <c r="Y69"/>
      <c r="Z69"/>
      <c r="AB69"/>
      <c r="AC69"/>
      <c r="AD69"/>
    </row>
    <row r="70" s="1" customFormat="1" ht="34" spans="1:30">
      <c r="A70"/>
      <c r="B70" s="1" t="s">
        <v>255</v>
      </c>
      <c r="C70" s="1" t="s">
        <v>256</v>
      </c>
      <c r="D70" s="9" t="s">
        <v>257</v>
      </c>
      <c r="E70" s="1" t="s">
        <v>48</v>
      </c>
      <c r="F70" s="1" t="s">
        <v>43</v>
      </c>
      <c r="G70" s="1">
        <v>3</v>
      </c>
      <c r="I70" s="1">
        <v>100</v>
      </c>
      <c r="J70" s="1" t="s">
        <v>62</v>
      </c>
      <c r="K70" s="1">
        <v>0</v>
      </c>
      <c r="L70" s="1">
        <v>0</v>
      </c>
      <c r="M70" s="1">
        <v>0</v>
      </c>
      <c r="N70" s="1">
        <v>0</v>
      </c>
      <c r="P70" s="1">
        <v>40</v>
      </c>
      <c r="Q70"/>
      <c r="R70">
        <f t="shared" si="8"/>
        <v>0</v>
      </c>
      <c r="T70"/>
      <c r="U70"/>
      <c r="V70"/>
      <c r="W70"/>
      <c r="X70"/>
      <c r="Y70"/>
      <c r="Z70"/>
      <c r="AB70"/>
      <c r="AC70"/>
      <c r="AD70"/>
    </row>
    <row r="71" s="1" customFormat="1" ht="17" spans="1:30">
      <c r="A71"/>
      <c r="B71" s="1" t="s">
        <v>258</v>
      </c>
      <c r="C71" s="1" t="s">
        <v>259</v>
      </c>
      <c r="D71" s="9" t="s">
        <v>260</v>
      </c>
      <c r="E71" s="1" t="s">
        <v>48</v>
      </c>
      <c r="F71" s="1" t="s">
        <v>43</v>
      </c>
      <c r="G71" s="1">
        <v>2</v>
      </c>
      <c r="I71" s="1">
        <v>300</v>
      </c>
      <c r="J71" s="1" t="s">
        <v>50</v>
      </c>
      <c r="K71" s="1">
        <v>0</v>
      </c>
      <c r="L71" s="1">
        <v>0</v>
      </c>
      <c r="M71" s="1">
        <v>0</v>
      </c>
      <c r="N71" s="1">
        <v>0</v>
      </c>
      <c r="P71" s="1">
        <v>40</v>
      </c>
      <c r="Q71"/>
      <c r="R71">
        <f t="shared" si="8"/>
        <v>0</v>
      </c>
      <c r="T71"/>
      <c r="U71"/>
      <c r="V71"/>
      <c r="W71"/>
      <c r="X71"/>
      <c r="Y71"/>
      <c r="Z71"/>
      <c r="AB71"/>
      <c r="AC71"/>
      <c r="AD71"/>
    </row>
    <row r="72" s="1" customFormat="1" ht="34" spans="1:30">
      <c r="A72"/>
      <c r="B72" s="1" t="s">
        <v>261</v>
      </c>
      <c r="C72" s="1" t="s">
        <v>262</v>
      </c>
      <c r="D72" s="9" t="s">
        <v>263</v>
      </c>
      <c r="E72" s="1" t="s">
        <v>61</v>
      </c>
      <c r="F72" s="1" t="s">
        <v>43</v>
      </c>
      <c r="G72" s="1">
        <v>40</v>
      </c>
      <c r="I72" s="1">
        <v>100</v>
      </c>
      <c r="J72" s="1" t="s">
        <v>62</v>
      </c>
      <c r="K72" s="1">
        <v>0</v>
      </c>
      <c r="L72" s="1">
        <v>0</v>
      </c>
      <c r="M72" s="1">
        <v>0</v>
      </c>
      <c r="N72" s="1">
        <v>0</v>
      </c>
      <c r="P72" s="1">
        <v>80</v>
      </c>
      <c r="Q72"/>
      <c r="R72">
        <f t="shared" si="8"/>
        <v>0</v>
      </c>
      <c r="T72"/>
      <c r="U72"/>
      <c r="V72"/>
      <c r="W72"/>
      <c r="X72"/>
      <c r="Y72"/>
      <c r="Z72"/>
      <c r="AB72"/>
      <c r="AC72"/>
      <c r="AD72"/>
    </row>
    <row r="73" s="1" customFormat="1" ht="17" spans="1:30">
      <c r="A73"/>
      <c r="B73" s="1" t="s">
        <v>264</v>
      </c>
      <c r="C73" s="1" t="s">
        <v>265</v>
      </c>
      <c r="D73" s="9" t="s">
        <v>266</v>
      </c>
      <c r="E73" s="1" t="s">
        <v>48</v>
      </c>
      <c r="F73" s="1" t="s">
        <v>267</v>
      </c>
      <c r="G73" s="1">
        <v>-0.2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/>
      <c r="R73">
        <f t="shared" si="8"/>
        <v>0</v>
      </c>
      <c r="T73"/>
      <c r="U73"/>
      <c r="V73"/>
      <c r="W73"/>
      <c r="X73"/>
      <c r="Y73"/>
      <c r="Z73"/>
      <c r="AB73"/>
      <c r="AC73"/>
      <c r="AD73"/>
    </row>
    <row r="74" s="1" customFormat="1" ht="17" spans="1:30">
      <c r="A74"/>
      <c r="B74" s="1" t="s">
        <v>268</v>
      </c>
      <c r="C74" s="1" t="s">
        <v>269</v>
      </c>
      <c r="D74" s="9" t="s">
        <v>270</v>
      </c>
      <c r="E74" s="1" t="s">
        <v>48</v>
      </c>
      <c r="F74" s="1" t="s">
        <v>267</v>
      </c>
      <c r="G74" s="1">
        <v>0.2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/>
      <c r="R74">
        <f t="shared" si="8"/>
        <v>0</v>
      </c>
      <c r="T74"/>
      <c r="U74"/>
      <c r="V74"/>
      <c r="W74"/>
      <c r="X74"/>
      <c r="Y74"/>
      <c r="Z74"/>
      <c r="AB74"/>
      <c r="AC74"/>
      <c r="AD74"/>
    </row>
    <row r="75" s="1" customFormat="1" ht="17" spans="1:30">
      <c r="A75"/>
      <c r="B75" s="1" t="s">
        <v>271</v>
      </c>
      <c r="C75" s="1" t="s">
        <v>272</v>
      </c>
      <c r="D75" s="9" t="s">
        <v>273</v>
      </c>
      <c r="E75" s="1" t="s">
        <v>48</v>
      </c>
      <c r="F75" s="1" t="s">
        <v>267</v>
      </c>
      <c r="G75" s="1">
        <v>0</v>
      </c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/>
      <c r="R75">
        <f t="shared" si="8"/>
        <v>0</v>
      </c>
      <c r="T75"/>
      <c r="U75"/>
      <c r="V75"/>
      <c r="W75"/>
      <c r="X75"/>
      <c r="Y75"/>
      <c r="Z75"/>
      <c r="AB75"/>
      <c r="AC75"/>
      <c r="AD75"/>
    </row>
    <row r="76" s="1" customFormat="1" ht="17" spans="1:30">
      <c r="A76"/>
      <c r="B76" s="1" t="s">
        <v>274</v>
      </c>
      <c r="C76" s="1" t="s">
        <v>275</v>
      </c>
      <c r="D76" s="9" t="s">
        <v>276</v>
      </c>
      <c r="E76" s="1" t="s">
        <v>48</v>
      </c>
      <c r="F76" s="1" t="s">
        <v>267</v>
      </c>
      <c r="G76" s="1">
        <v>1</v>
      </c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40</v>
      </c>
      <c r="Q76"/>
      <c r="R76">
        <f t="shared" si="8"/>
        <v>0</v>
      </c>
      <c r="T76"/>
      <c r="U76"/>
      <c r="V76"/>
      <c r="W76"/>
      <c r="X76"/>
      <c r="Y76"/>
      <c r="Z76"/>
      <c r="AB76"/>
      <c r="AC76"/>
      <c r="AD76"/>
    </row>
    <row r="77" s="1" customFormat="1" ht="17" spans="1:30">
      <c r="A77"/>
      <c r="B77" s="1" t="s">
        <v>277</v>
      </c>
      <c r="C77" s="1" t="s">
        <v>278</v>
      </c>
      <c r="D77" s="9" t="s">
        <v>279</v>
      </c>
      <c r="E77" s="1" t="s">
        <v>48</v>
      </c>
      <c r="F77" s="1" t="s">
        <v>267</v>
      </c>
      <c r="G77" s="1">
        <v>1</v>
      </c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50</v>
      </c>
      <c r="Q77"/>
      <c r="R77"/>
      <c r="T77"/>
      <c r="U77"/>
      <c r="V77"/>
      <c r="W77"/>
      <c r="X77"/>
      <c r="Y77"/>
      <c r="Z77"/>
      <c r="AB77"/>
      <c r="AC77"/>
      <c r="AD77"/>
    </row>
    <row r="78" s="1" customFormat="1" ht="34" spans="1:30">
      <c r="A78"/>
      <c r="B78" s="1" t="s">
        <v>280</v>
      </c>
      <c r="C78" s="1" t="s">
        <v>281</v>
      </c>
      <c r="D78" s="9" t="s">
        <v>282</v>
      </c>
      <c r="E78" s="1" t="s">
        <v>48</v>
      </c>
      <c r="F78" s="1" t="s">
        <v>267</v>
      </c>
      <c r="G78" s="1">
        <v>-1</v>
      </c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/>
      <c r="R78">
        <f t="shared" ref="R78:R82" si="9">IFERROR(VLOOKUP(E78,$T$7:$AB$12,9,FALSE),0)</f>
        <v>0</v>
      </c>
      <c r="T78"/>
      <c r="U78"/>
      <c r="V78"/>
      <c r="W78"/>
      <c r="X78"/>
      <c r="Y78"/>
      <c r="Z78"/>
      <c r="AB78"/>
      <c r="AC78"/>
      <c r="AD78"/>
    </row>
    <row r="79" s="1" customFormat="1" ht="17" spans="1:30">
      <c r="A79"/>
      <c r="B79" s="1" t="s">
        <v>283</v>
      </c>
      <c r="C79" s="1" t="s">
        <v>284</v>
      </c>
      <c r="D79" s="9" t="s">
        <v>285</v>
      </c>
      <c r="E79" s="1" t="s">
        <v>48</v>
      </c>
      <c r="F79" s="1" t="s">
        <v>267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/>
      <c r="R79">
        <f t="shared" si="9"/>
        <v>0</v>
      </c>
      <c r="T79"/>
      <c r="U79"/>
      <c r="V79"/>
      <c r="W79"/>
      <c r="X79"/>
      <c r="Y79"/>
      <c r="Z79"/>
      <c r="AB79"/>
      <c r="AC79"/>
      <c r="AD79"/>
    </row>
    <row r="80" s="1" customFormat="1" ht="17" spans="1:30">
      <c r="A80"/>
      <c r="B80" s="1" t="s">
        <v>286</v>
      </c>
      <c r="C80" s="1" t="s">
        <v>287</v>
      </c>
      <c r="D80" s="9" t="s">
        <v>288</v>
      </c>
      <c r="E80" s="1" t="s">
        <v>48</v>
      </c>
      <c r="F80" s="1" t="s">
        <v>267</v>
      </c>
      <c r="G80" s="1">
        <v>0.2</v>
      </c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/>
      <c r="R80">
        <f t="shared" si="9"/>
        <v>0</v>
      </c>
      <c r="T80"/>
      <c r="U80"/>
      <c r="V80"/>
      <c r="W80"/>
      <c r="X80"/>
      <c r="Y80"/>
      <c r="Z80"/>
      <c r="AB80"/>
      <c r="AC80"/>
      <c r="AD80"/>
    </row>
    <row r="81" s="1" customFormat="1" ht="17" spans="1:30">
      <c r="A81"/>
      <c r="B81" s="1" t="s">
        <v>289</v>
      </c>
      <c r="C81" s="1" t="s">
        <v>290</v>
      </c>
      <c r="D81" s="9" t="s">
        <v>291</v>
      </c>
      <c r="E81" s="1" t="s">
        <v>48</v>
      </c>
      <c r="F81" s="1" t="s">
        <v>267</v>
      </c>
      <c r="G81" s="1">
        <v>0.2</v>
      </c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/>
      <c r="R81">
        <f t="shared" si="9"/>
        <v>0</v>
      </c>
      <c r="T81"/>
      <c r="U81"/>
      <c r="V81"/>
      <c r="W81"/>
      <c r="X81"/>
      <c r="Y81"/>
      <c r="Z81"/>
      <c r="AB81"/>
      <c r="AC81"/>
      <c r="AD81"/>
    </row>
    <row r="82" s="1" customFormat="1" ht="34" spans="1:30">
      <c r="A82"/>
      <c r="B82" s="1" t="s">
        <v>292</v>
      </c>
      <c r="C82" s="1" t="s">
        <v>293</v>
      </c>
      <c r="D82" s="9" t="s">
        <v>294</v>
      </c>
      <c r="E82" s="1" t="s">
        <v>48</v>
      </c>
      <c r="F82" s="1" t="s">
        <v>267</v>
      </c>
      <c r="G82" s="1">
        <v>0</v>
      </c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40</v>
      </c>
      <c r="Q82"/>
      <c r="R82">
        <f t="shared" si="9"/>
        <v>0</v>
      </c>
      <c r="T82"/>
      <c r="U82"/>
      <c r="V82"/>
      <c r="W82"/>
      <c r="X82"/>
      <c r="Y82"/>
      <c r="Z82"/>
      <c r="AB82"/>
      <c r="AC82"/>
      <c r="AD82"/>
    </row>
    <row r="83" s="1" customFormat="1" ht="34" spans="1:30">
      <c r="A83"/>
      <c r="B83" s="1" t="s">
        <v>295</v>
      </c>
      <c r="C83" s="1" t="s">
        <v>296</v>
      </c>
      <c r="D83" s="9" t="s">
        <v>297</v>
      </c>
      <c r="E83" s="1" t="s">
        <v>42</v>
      </c>
      <c r="F83" s="1" t="s">
        <v>43</v>
      </c>
      <c r="G83" s="1">
        <v>2</v>
      </c>
      <c r="H83" s="1" t="s">
        <v>298</v>
      </c>
      <c r="I83" s="1">
        <v>300</v>
      </c>
      <c r="J83" s="1" t="s">
        <v>50</v>
      </c>
      <c r="K83" s="1">
        <v>0</v>
      </c>
      <c r="L83" s="1">
        <v>0</v>
      </c>
      <c r="M83" s="1">
        <v>0</v>
      </c>
      <c r="N83" s="1">
        <v>0</v>
      </c>
      <c r="P83" s="1">
        <v>50</v>
      </c>
      <c r="Q83"/>
      <c r="R83"/>
      <c r="T83"/>
      <c r="U83"/>
      <c r="V83"/>
      <c r="W83"/>
      <c r="X83"/>
      <c r="Y83"/>
      <c r="Z83"/>
      <c r="AB83"/>
      <c r="AC83"/>
      <c r="AD83"/>
    </row>
    <row r="84" s="1" customFormat="1" ht="34" spans="1:30">
      <c r="A84"/>
      <c r="B84" s="1" t="s">
        <v>299</v>
      </c>
      <c r="C84" s="1" t="s">
        <v>300</v>
      </c>
      <c r="D84" s="9" t="s">
        <v>301</v>
      </c>
      <c r="E84" s="1" t="s">
        <v>42</v>
      </c>
      <c r="F84" s="1" t="s">
        <v>43</v>
      </c>
      <c r="G84" s="1">
        <v>0.3</v>
      </c>
      <c r="I84" s="1">
        <v>100</v>
      </c>
      <c r="J84" s="1" t="s">
        <v>62</v>
      </c>
      <c r="K84" s="1">
        <v>0</v>
      </c>
      <c r="L84" s="1">
        <v>0</v>
      </c>
      <c r="M84" s="1">
        <v>0</v>
      </c>
      <c r="N84" s="1">
        <v>0</v>
      </c>
      <c r="P84" s="1">
        <v>80</v>
      </c>
      <c r="Q84"/>
      <c r="R84"/>
      <c r="T84"/>
      <c r="U84"/>
      <c r="V84"/>
      <c r="W84"/>
      <c r="X84"/>
      <c r="Y84"/>
      <c r="Z84"/>
      <c r="AB84"/>
      <c r="AC84"/>
      <c r="AD84"/>
    </row>
    <row r="85" s="1" customFormat="1" ht="17" spans="1:30">
      <c r="A85"/>
      <c r="B85" s="1" t="s">
        <v>302</v>
      </c>
      <c r="C85" s="1" t="s">
        <v>303</v>
      </c>
      <c r="D85" s="9" t="s">
        <v>304</v>
      </c>
      <c r="E85" s="1" t="s">
        <v>167</v>
      </c>
      <c r="F85" s="1" t="s">
        <v>43</v>
      </c>
      <c r="G85" s="1">
        <v>3</v>
      </c>
      <c r="I85" s="1">
        <v>10</v>
      </c>
      <c r="J85" s="1" t="s">
        <v>168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240</v>
      </c>
      <c r="Q85"/>
      <c r="R85">
        <f t="shared" ref="R85:R94" si="10">IFERROR(VLOOKUP(E85,$T$7:$AB$12,9,FALSE),0)</f>
        <v>0</v>
      </c>
      <c r="T85"/>
      <c r="U85"/>
      <c r="V85"/>
      <c r="W85"/>
      <c r="X85"/>
      <c r="Y85"/>
      <c r="Z85"/>
      <c r="AB85"/>
      <c r="AC85"/>
      <c r="AD85"/>
    </row>
    <row r="86" s="1" customFormat="1" ht="34" spans="1:30">
      <c r="A86"/>
      <c r="B86" s="1" t="s">
        <v>306</v>
      </c>
      <c r="C86" s="1" t="s">
        <v>307</v>
      </c>
      <c r="D86" s="9" t="s">
        <v>308</v>
      </c>
      <c r="E86" s="1" t="s">
        <v>42</v>
      </c>
      <c r="F86" s="1" t="s">
        <v>43</v>
      </c>
      <c r="G86" s="1">
        <v>0.2</v>
      </c>
      <c r="I86" s="1">
        <v>10</v>
      </c>
      <c r="J86" s="1" t="s">
        <v>168</v>
      </c>
      <c r="K86" s="1">
        <v>0</v>
      </c>
      <c r="L86" s="1">
        <v>0</v>
      </c>
      <c r="M86" s="1">
        <v>0</v>
      </c>
      <c r="N86" s="1">
        <v>0</v>
      </c>
      <c r="O86" s="1" t="s">
        <v>309</v>
      </c>
      <c r="P86" s="1">
        <v>150</v>
      </c>
      <c r="Q86"/>
      <c r="R86">
        <f t="shared" si="10"/>
        <v>0</v>
      </c>
      <c r="T86"/>
      <c r="U86"/>
      <c r="V86"/>
      <c r="W86"/>
      <c r="X86"/>
      <c r="Y86"/>
      <c r="Z86"/>
      <c r="AB86"/>
      <c r="AC86"/>
      <c r="AD86"/>
    </row>
    <row r="87" s="1" customFormat="1" ht="51" spans="1:30">
      <c r="A87"/>
      <c r="B87" s="1" t="s">
        <v>310</v>
      </c>
      <c r="C87" s="1" t="s">
        <v>311</v>
      </c>
      <c r="D87" s="9" t="s">
        <v>312</v>
      </c>
      <c r="E87" s="1" t="s">
        <v>42</v>
      </c>
      <c r="F87" s="1" t="s">
        <v>43</v>
      </c>
      <c r="G87" s="1">
        <v>0.2</v>
      </c>
      <c r="I87" s="1">
        <v>10</v>
      </c>
      <c r="J87" s="1" t="s">
        <v>168</v>
      </c>
      <c r="K87" s="1">
        <v>0</v>
      </c>
      <c r="L87" s="1">
        <v>0</v>
      </c>
      <c r="M87" s="1">
        <v>0</v>
      </c>
      <c r="N87" s="1">
        <v>0</v>
      </c>
      <c r="O87" s="1" t="s">
        <v>309</v>
      </c>
      <c r="P87" s="1">
        <v>150</v>
      </c>
      <c r="Q87"/>
      <c r="R87">
        <f t="shared" si="10"/>
        <v>0</v>
      </c>
      <c r="T87"/>
      <c r="U87"/>
      <c r="V87"/>
      <c r="W87"/>
      <c r="X87"/>
      <c r="Y87"/>
      <c r="Z87"/>
      <c r="AB87"/>
      <c r="AC87"/>
      <c r="AD87"/>
    </row>
    <row r="88" s="1" customFormat="1" ht="51" spans="1:30">
      <c r="A88"/>
      <c r="B88" s="1" t="s">
        <v>313</v>
      </c>
      <c r="C88" s="1" t="s">
        <v>314</v>
      </c>
      <c r="D88" s="9" t="s">
        <v>315</v>
      </c>
      <c r="E88" s="1" t="s">
        <v>42</v>
      </c>
      <c r="F88" s="1" t="s">
        <v>43</v>
      </c>
      <c r="G88" s="1">
        <v>1</v>
      </c>
      <c r="I88" s="1">
        <v>100</v>
      </c>
      <c r="J88" s="1" t="s">
        <v>62</v>
      </c>
      <c r="K88" s="1">
        <v>0</v>
      </c>
      <c r="L88" s="1">
        <v>0</v>
      </c>
      <c r="M88" s="1">
        <v>0</v>
      </c>
      <c r="N88" s="1">
        <v>0</v>
      </c>
      <c r="P88" s="1">
        <v>150</v>
      </c>
      <c r="Q88"/>
      <c r="R88">
        <f t="shared" si="10"/>
        <v>0</v>
      </c>
      <c r="T88"/>
      <c r="U88"/>
      <c r="V88"/>
      <c r="W88"/>
      <c r="X88"/>
      <c r="Y88"/>
      <c r="Z88"/>
      <c r="AB88"/>
      <c r="AC88"/>
      <c r="AD88"/>
    </row>
    <row r="89" s="1" customFormat="1" ht="34" spans="1:30">
      <c r="A89"/>
      <c r="B89" s="1" t="s">
        <v>316</v>
      </c>
      <c r="C89" s="1" t="s">
        <v>317</v>
      </c>
      <c r="D89" s="9" t="s">
        <v>318</v>
      </c>
      <c r="E89" s="1" t="s">
        <v>61</v>
      </c>
      <c r="F89" s="1" t="s">
        <v>43</v>
      </c>
      <c r="G89" s="1">
        <v>15</v>
      </c>
      <c r="H89" s="1" t="s">
        <v>319</v>
      </c>
      <c r="I89" s="1">
        <v>100</v>
      </c>
      <c r="J89" s="1" t="s">
        <v>62</v>
      </c>
      <c r="K89" s="1">
        <v>0</v>
      </c>
      <c r="L89" s="1">
        <v>0</v>
      </c>
      <c r="M89" s="1">
        <v>0</v>
      </c>
      <c r="N89" s="1">
        <v>0</v>
      </c>
      <c r="O89" s="1" t="s">
        <v>309</v>
      </c>
      <c r="P89" s="1">
        <v>80</v>
      </c>
      <c r="Q89"/>
      <c r="R89">
        <f t="shared" si="10"/>
        <v>0</v>
      </c>
      <c r="T89"/>
      <c r="U89"/>
      <c r="V89"/>
      <c r="W89"/>
      <c r="X89"/>
      <c r="Y89"/>
      <c r="Z89"/>
      <c r="AB89"/>
      <c r="AC89"/>
      <c r="AD89"/>
    </row>
    <row r="90" s="1" customFormat="1" ht="34" spans="1:30">
      <c r="A90"/>
      <c r="B90" s="1" t="s">
        <v>320</v>
      </c>
      <c r="C90" s="1" t="s">
        <v>321</v>
      </c>
      <c r="D90" s="9" t="s">
        <v>322</v>
      </c>
      <c r="E90" s="1" t="s">
        <v>167</v>
      </c>
      <c r="F90" s="1" t="s">
        <v>43</v>
      </c>
      <c r="G90" s="1">
        <v>0.2</v>
      </c>
      <c r="I90" s="1">
        <v>10</v>
      </c>
      <c r="J90" s="1" t="s">
        <v>168</v>
      </c>
      <c r="K90" s="1">
        <v>0</v>
      </c>
      <c r="L90" s="1">
        <v>0</v>
      </c>
      <c r="M90" s="1">
        <v>0</v>
      </c>
      <c r="N90" s="1">
        <v>0</v>
      </c>
      <c r="O90" s="1" t="s">
        <v>323</v>
      </c>
      <c r="P90" s="1">
        <v>240</v>
      </c>
      <c r="Q90"/>
      <c r="R90">
        <f t="shared" si="10"/>
        <v>0</v>
      </c>
      <c r="T90"/>
      <c r="U90"/>
      <c r="V90"/>
      <c r="W90"/>
      <c r="X90"/>
      <c r="Y90"/>
      <c r="Z90"/>
      <c r="AB90"/>
      <c r="AC90"/>
      <c r="AD90"/>
    </row>
    <row r="91" s="1" customFormat="1" ht="34" spans="1:30">
      <c r="A91"/>
      <c r="B91" s="1" t="s">
        <v>324</v>
      </c>
      <c r="C91" s="1" t="s">
        <v>325</v>
      </c>
      <c r="D91" s="9" t="s">
        <v>326</v>
      </c>
      <c r="E91" s="1" t="s">
        <v>61</v>
      </c>
      <c r="F91" s="1" t="s">
        <v>43</v>
      </c>
      <c r="G91" s="1">
        <v>10</v>
      </c>
      <c r="I91" s="1">
        <v>100</v>
      </c>
      <c r="J91" s="1" t="s">
        <v>62</v>
      </c>
      <c r="K91" s="1">
        <v>0</v>
      </c>
      <c r="L91" s="1">
        <v>0</v>
      </c>
      <c r="M91" s="1">
        <v>0</v>
      </c>
      <c r="N91" s="1">
        <v>0</v>
      </c>
      <c r="O91" s="1" t="s">
        <v>323</v>
      </c>
      <c r="P91" s="1">
        <v>80</v>
      </c>
      <c r="Q91"/>
      <c r="R91">
        <f t="shared" si="10"/>
        <v>0</v>
      </c>
      <c r="T91"/>
      <c r="U91"/>
      <c r="V91"/>
      <c r="W91"/>
      <c r="X91"/>
      <c r="Y91"/>
      <c r="Z91"/>
      <c r="AB91"/>
      <c r="AC91"/>
      <c r="AD91"/>
    </row>
    <row r="92" s="1" customFormat="1" ht="34" spans="1:30">
      <c r="A92"/>
      <c r="B92" s="1" t="s">
        <v>327</v>
      </c>
      <c r="C92" s="1" t="s">
        <v>328</v>
      </c>
      <c r="D92" s="9" t="s">
        <v>329</v>
      </c>
      <c r="E92" s="1" t="s">
        <v>42</v>
      </c>
      <c r="F92" s="1" t="s">
        <v>43</v>
      </c>
      <c r="G92" s="1">
        <v>1</v>
      </c>
      <c r="I92" s="1">
        <v>30</v>
      </c>
      <c r="J92" s="1" t="s">
        <v>44</v>
      </c>
      <c r="K92" s="1">
        <v>0</v>
      </c>
      <c r="L92" s="1">
        <v>0</v>
      </c>
      <c r="M92" s="1">
        <v>0</v>
      </c>
      <c r="N92" s="1">
        <v>0</v>
      </c>
      <c r="O92" s="1" t="s">
        <v>323</v>
      </c>
      <c r="P92" s="1">
        <v>150</v>
      </c>
      <c r="Q92"/>
      <c r="R92">
        <f t="shared" si="10"/>
        <v>0</v>
      </c>
      <c r="T92"/>
      <c r="U92"/>
      <c r="V92"/>
      <c r="W92"/>
      <c r="X92"/>
      <c r="Y92"/>
      <c r="Z92"/>
      <c r="AB92"/>
      <c r="AC92"/>
      <c r="AD92"/>
    </row>
    <row r="93" s="1" customFormat="1" ht="34" spans="1:30">
      <c r="A93"/>
      <c r="B93" s="1" t="s">
        <v>330</v>
      </c>
      <c r="C93" s="1" t="s">
        <v>331</v>
      </c>
      <c r="D93" s="9" t="s">
        <v>332</v>
      </c>
      <c r="E93" s="1" t="s">
        <v>61</v>
      </c>
      <c r="F93" s="1" t="s">
        <v>43</v>
      </c>
      <c r="G93" s="1">
        <v>10</v>
      </c>
      <c r="H93" s="1" t="s">
        <v>333</v>
      </c>
      <c r="I93" s="1">
        <v>100</v>
      </c>
      <c r="J93" s="1" t="s">
        <v>62</v>
      </c>
      <c r="K93" s="1">
        <v>0</v>
      </c>
      <c r="L93" s="1">
        <v>0</v>
      </c>
      <c r="M93" s="1">
        <v>0</v>
      </c>
      <c r="N93" s="1">
        <v>0</v>
      </c>
      <c r="O93" s="1" t="s">
        <v>323</v>
      </c>
      <c r="P93" s="1">
        <v>80</v>
      </c>
      <c r="Q93"/>
      <c r="R93">
        <f t="shared" si="10"/>
        <v>0</v>
      </c>
      <c r="T93"/>
      <c r="U93"/>
      <c r="V93"/>
      <c r="W93"/>
      <c r="X93"/>
      <c r="Y93"/>
      <c r="Z93"/>
      <c r="AB93"/>
      <c r="AC93"/>
      <c r="AD93"/>
    </row>
    <row r="94" s="1" customFormat="1" ht="17" spans="1:30">
      <c r="A94"/>
      <c r="B94" s="1" t="s">
        <v>334</v>
      </c>
      <c r="C94" s="1" t="s">
        <v>335</v>
      </c>
      <c r="D94" s="9" t="s">
        <v>336</v>
      </c>
      <c r="E94" s="1" t="s">
        <v>61</v>
      </c>
      <c r="F94" s="1" t="s">
        <v>43</v>
      </c>
      <c r="G94" s="1">
        <v>10</v>
      </c>
      <c r="I94" s="1">
        <v>100</v>
      </c>
      <c r="J94" s="1" t="s">
        <v>62</v>
      </c>
      <c r="K94" s="1">
        <v>0</v>
      </c>
      <c r="L94" s="1">
        <v>0</v>
      </c>
      <c r="M94" s="1">
        <v>0</v>
      </c>
      <c r="N94" s="1">
        <v>0</v>
      </c>
      <c r="O94" s="1" t="s">
        <v>323</v>
      </c>
      <c r="P94" s="1">
        <v>80</v>
      </c>
      <c r="Q94"/>
      <c r="R94">
        <f t="shared" si="10"/>
        <v>0</v>
      </c>
      <c r="T94"/>
      <c r="U94"/>
      <c r="V94"/>
      <c r="W94"/>
      <c r="X94"/>
      <c r="Y94"/>
      <c r="Z94"/>
      <c r="AB94"/>
      <c r="AC94"/>
      <c r="AD94"/>
    </row>
    <row r="95" s="12" customFormat="1"/>
    <row r="96" s="12" customFormat="1"/>
    <row r="97" s="12" customFormat="1"/>
    <row r="98" s="12" customFormat="1"/>
    <row r="99" s="12" customFormat="1"/>
    <row r="100" s="12" customFormat="1"/>
    <row r="101" s="12" customFormat="1"/>
    <row r="102" s="12" customFormat="1"/>
    <row r="103" s="12" customFormat="1"/>
    <row r="104" s="1" customFormat="1" spans="2:1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337</v>
      </c>
      <c r="G1" s="7" t="s">
        <v>6</v>
      </c>
      <c r="H1" s="7" t="s">
        <v>7</v>
      </c>
      <c r="I1" s="7" t="s">
        <v>8</v>
      </c>
      <c r="J1" s="7" t="s">
        <v>338</v>
      </c>
      <c r="K1" s="7" t="s">
        <v>339</v>
      </c>
      <c r="L1" s="7" t="s">
        <v>14</v>
      </c>
      <c r="M1" s="1" t="s">
        <v>15</v>
      </c>
      <c r="N1" s="1" t="s">
        <v>340</v>
      </c>
    </row>
    <row r="2" ht="16.5" customHeight="1" spans="1:14">
      <c r="A2" s="7" t="s">
        <v>16</v>
      </c>
      <c r="B2" s="1" t="s">
        <v>341</v>
      </c>
      <c r="C2" s="1" t="s">
        <v>342</v>
      </c>
      <c r="D2" s="1" t="s">
        <v>343</v>
      </c>
      <c r="E2" s="1" t="s">
        <v>21</v>
      </c>
      <c r="F2" s="1" t="s">
        <v>344</v>
      </c>
      <c r="G2" s="1" t="s">
        <v>22</v>
      </c>
      <c r="H2" s="1" t="s">
        <v>23</v>
      </c>
      <c r="I2" s="1" t="s">
        <v>24</v>
      </c>
      <c r="J2" s="1" t="s">
        <v>345</v>
      </c>
      <c r="K2" s="1" t="s">
        <v>346</v>
      </c>
      <c r="L2" s="1" t="s">
        <v>347</v>
      </c>
      <c r="M2" s="1" t="s">
        <v>31</v>
      </c>
      <c r="N2" s="1" t="s">
        <v>348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349</v>
      </c>
      <c r="K3" s="7" t="s">
        <v>38</v>
      </c>
      <c r="L3" s="7" t="s">
        <v>33</v>
      </c>
      <c r="M3" s="1" t="s">
        <v>38</v>
      </c>
      <c r="N3" s="1" t="s">
        <v>350</v>
      </c>
    </row>
    <row r="4" ht="33.75" customHeight="1" spans="2:14">
      <c r="B4" s="7" t="s">
        <v>351</v>
      </c>
      <c r="C4" s="1" t="s">
        <v>352</v>
      </c>
      <c r="D4" s="9" t="s">
        <v>353</v>
      </c>
      <c r="F4" s="7" t="s">
        <v>354</v>
      </c>
      <c r="G4" s="1">
        <v>0</v>
      </c>
      <c r="H4" s="7" t="s">
        <v>355</v>
      </c>
      <c r="I4" s="1">
        <v>1</v>
      </c>
      <c r="J4" s="7" t="s">
        <v>356</v>
      </c>
      <c r="K4" s="1">
        <v>1</v>
      </c>
      <c r="L4" s="7" t="s">
        <v>355</v>
      </c>
      <c r="M4" s="1">
        <v>50</v>
      </c>
      <c r="N4" s="1" t="s">
        <v>357</v>
      </c>
    </row>
    <row r="5" ht="33.75" customHeight="1" spans="2:14">
      <c r="B5" s="7" t="s">
        <v>358</v>
      </c>
      <c r="C5" s="1" t="s">
        <v>359</v>
      </c>
      <c r="D5" s="9" t="s">
        <v>360</v>
      </c>
      <c r="F5" s="7" t="s">
        <v>354</v>
      </c>
      <c r="G5" s="1">
        <v>0</v>
      </c>
      <c r="H5" s="7" t="s">
        <v>361</v>
      </c>
      <c r="I5" s="1">
        <v>1</v>
      </c>
      <c r="J5" s="7" t="s">
        <v>356</v>
      </c>
      <c r="K5" s="1">
        <v>1</v>
      </c>
      <c r="L5" s="7" t="s">
        <v>361</v>
      </c>
      <c r="M5" s="1">
        <v>50</v>
      </c>
      <c r="N5" s="1" t="s">
        <v>357</v>
      </c>
    </row>
    <row r="6" ht="33.75" customHeight="1" spans="2:14">
      <c r="B6" s="7" t="s">
        <v>362</v>
      </c>
      <c r="C6" s="1" t="s">
        <v>363</v>
      </c>
      <c r="D6" s="9" t="s">
        <v>364</v>
      </c>
      <c r="F6" s="7" t="s">
        <v>354</v>
      </c>
      <c r="G6" s="1">
        <v>0</v>
      </c>
      <c r="H6" s="7" t="s">
        <v>365</v>
      </c>
      <c r="I6" s="1">
        <v>1</v>
      </c>
      <c r="J6" s="7" t="s">
        <v>356</v>
      </c>
      <c r="K6" s="1">
        <v>1</v>
      </c>
      <c r="L6" s="7" t="s">
        <v>365</v>
      </c>
      <c r="M6" s="1">
        <v>50</v>
      </c>
      <c r="N6" s="1" t="s">
        <v>357</v>
      </c>
    </row>
    <row r="7" ht="33.75" customHeight="1" spans="2:14">
      <c r="B7" s="7" t="s">
        <v>366</v>
      </c>
      <c r="C7" s="1" t="s">
        <v>367</v>
      </c>
      <c r="D7" s="9" t="s">
        <v>368</v>
      </c>
      <c r="F7" s="7" t="s">
        <v>354</v>
      </c>
      <c r="G7" s="1">
        <v>0</v>
      </c>
      <c r="H7" s="7" t="s">
        <v>369</v>
      </c>
      <c r="I7" s="1">
        <v>1</v>
      </c>
      <c r="J7" s="7" t="s">
        <v>356</v>
      </c>
      <c r="K7" s="1">
        <v>1</v>
      </c>
      <c r="L7" s="7" t="s">
        <v>369</v>
      </c>
      <c r="M7" s="1">
        <v>50</v>
      </c>
      <c r="N7" s="1" t="s">
        <v>357</v>
      </c>
    </row>
    <row r="8" ht="33.75" customHeight="1" spans="2:14">
      <c r="B8" s="7" t="s">
        <v>370</v>
      </c>
      <c r="C8" s="1" t="s">
        <v>371</v>
      </c>
      <c r="D8" s="9" t="s">
        <v>372</v>
      </c>
      <c r="F8" s="7" t="s">
        <v>354</v>
      </c>
      <c r="G8" s="1">
        <v>0</v>
      </c>
      <c r="H8" s="7" t="s">
        <v>373</v>
      </c>
      <c r="I8" s="1">
        <v>1</v>
      </c>
      <c r="J8" s="7" t="s">
        <v>356</v>
      </c>
      <c r="K8" s="1">
        <v>1</v>
      </c>
      <c r="L8" s="7" t="s">
        <v>373</v>
      </c>
      <c r="M8" s="1">
        <v>50</v>
      </c>
      <c r="N8" s="1" t="s">
        <v>357</v>
      </c>
    </row>
    <row r="9" ht="33.75" customHeight="1" spans="2:14">
      <c r="B9" s="7" t="s">
        <v>374</v>
      </c>
      <c r="C9" s="1" t="s">
        <v>375</v>
      </c>
      <c r="D9" s="9" t="s">
        <v>376</v>
      </c>
      <c r="F9" s="7" t="s">
        <v>354</v>
      </c>
      <c r="G9" s="1">
        <v>0</v>
      </c>
      <c r="H9" s="7" t="s">
        <v>377</v>
      </c>
      <c r="I9" s="1">
        <v>1</v>
      </c>
      <c r="J9" s="7" t="s">
        <v>356</v>
      </c>
      <c r="K9" s="1">
        <v>1</v>
      </c>
      <c r="L9" s="7" t="s">
        <v>377</v>
      </c>
      <c r="M9" s="1">
        <v>50</v>
      </c>
      <c r="N9" s="1" t="s">
        <v>357</v>
      </c>
    </row>
    <row r="10" ht="33.75" customHeight="1" spans="2:14">
      <c r="B10" s="7" t="s">
        <v>378</v>
      </c>
      <c r="C10" s="1" t="s">
        <v>379</v>
      </c>
      <c r="D10" s="9" t="s">
        <v>380</v>
      </c>
      <c r="E10" t="s">
        <v>381</v>
      </c>
      <c r="F10" s="7" t="s">
        <v>382</v>
      </c>
      <c r="G10" s="1">
        <v>0</v>
      </c>
      <c r="H10" s="7" t="s">
        <v>383</v>
      </c>
      <c r="I10" s="1">
        <v>1</v>
      </c>
      <c r="J10" s="7" t="s">
        <v>384</v>
      </c>
      <c r="K10" s="1">
        <v>1</v>
      </c>
      <c r="L10" s="7" t="s">
        <v>383</v>
      </c>
      <c r="M10" s="1">
        <v>50</v>
      </c>
      <c r="N10" s="1" t="s">
        <v>357</v>
      </c>
    </row>
    <row r="11" ht="33.75" customHeight="1" spans="2:14">
      <c r="B11" s="7" t="s">
        <v>385</v>
      </c>
      <c r="C11" s="1" t="s">
        <v>386</v>
      </c>
      <c r="D11" s="9" t="s">
        <v>387</v>
      </c>
      <c r="E11" t="s">
        <v>381</v>
      </c>
      <c r="F11" s="7" t="s">
        <v>382</v>
      </c>
      <c r="G11" s="1">
        <v>0</v>
      </c>
      <c r="H11" s="7" t="s">
        <v>388</v>
      </c>
      <c r="I11" s="1">
        <v>1</v>
      </c>
      <c r="J11" s="7" t="s">
        <v>384</v>
      </c>
      <c r="K11" s="1">
        <v>1</v>
      </c>
      <c r="L11" s="7" t="s">
        <v>388</v>
      </c>
      <c r="M11" s="1">
        <v>50</v>
      </c>
      <c r="N11" s="1" t="s">
        <v>357</v>
      </c>
    </row>
    <row r="12" ht="33.75" customHeight="1" spans="2:14">
      <c r="B12" s="7" t="s">
        <v>389</v>
      </c>
      <c r="C12" s="1" t="s">
        <v>390</v>
      </c>
      <c r="D12" s="9" t="s">
        <v>391</v>
      </c>
      <c r="E12" t="s">
        <v>392</v>
      </c>
      <c r="F12" s="7" t="s">
        <v>382</v>
      </c>
      <c r="G12" s="1">
        <v>0</v>
      </c>
      <c r="H12" s="7" t="s">
        <v>393</v>
      </c>
      <c r="I12" s="1">
        <v>1</v>
      </c>
      <c r="J12" s="7" t="s">
        <v>384</v>
      </c>
      <c r="K12" s="1">
        <v>1</v>
      </c>
      <c r="L12" s="7" t="s">
        <v>393</v>
      </c>
      <c r="M12" s="1">
        <v>50</v>
      </c>
      <c r="N12" s="1" t="s">
        <v>357</v>
      </c>
    </row>
    <row r="13" ht="33.75" customHeight="1" spans="2:14">
      <c r="B13" s="7" t="s">
        <v>394</v>
      </c>
      <c r="C13" s="1" t="s">
        <v>395</v>
      </c>
      <c r="D13" s="9" t="s">
        <v>396</v>
      </c>
      <c r="E13" t="s">
        <v>392</v>
      </c>
      <c r="F13" s="7" t="s">
        <v>382</v>
      </c>
      <c r="G13" s="1">
        <v>0</v>
      </c>
      <c r="H13" s="7" t="s">
        <v>397</v>
      </c>
      <c r="I13" s="1">
        <v>1</v>
      </c>
      <c r="J13" s="7" t="s">
        <v>384</v>
      </c>
      <c r="K13" s="1">
        <v>1</v>
      </c>
      <c r="L13" s="7" t="s">
        <v>397</v>
      </c>
      <c r="M13" s="1">
        <v>50</v>
      </c>
      <c r="N13" s="1" t="s">
        <v>357</v>
      </c>
    </row>
    <row r="14" ht="33.75" customHeight="1" spans="2:14">
      <c r="B14" s="7" t="s">
        <v>398</v>
      </c>
      <c r="C14" s="1" t="s">
        <v>399</v>
      </c>
      <c r="D14" s="9" t="s">
        <v>400</v>
      </c>
      <c r="E14" t="s">
        <v>392</v>
      </c>
      <c r="F14" s="7" t="s">
        <v>382</v>
      </c>
      <c r="G14" s="1">
        <v>0</v>
      </c>
      <c r="H14" s="7" t="s">
        <v>401</v>
      </c>
      <c r="I14" s="1">
        <v>1</v>
      </c>
      <c r="J14" s="7" t="s">
        <v>384</v>
      </c>
      <c r="K14" s="1">
        <v>1</v>
      </c>
      <c r="L14" s="7" t="s">
        <v>401</v>
      </c>
      <c r="M14" s="1">
        <v>50</v>
      </c>
      <c r="N14" s="1" t="s">
        <v>357</v>
      </c>
    </row>
    <row r="15" ht="33.75" customHeight="1" spans="2:14">
      <c r="B15" s="7" t="s">
        <v>402</v>
      </c>
      <c r="C15" s="1" t="s">
        <v>403</v>
      </c>
      <c r="D15" s="9" t="s">
        <v>404</v>
      </c>
      <c r="E15" t="s">
        <v>405</v>
      </c>
      <c r="F15" s="7" t="s">
        <v>382</v>
      </c>
      <c r="G15" s="1">
        <v>0</v>
      </c>
      <c r="H15" s="7" t="s">
        <v>406</v>
      </c>
      <c r="I15" s="1">
        <v>1</v>
      </c>
      <c r="J15" s="7" t="s">
        <v>384</v>
      </c>
      <c r="K15" s="1">
        <v>1</v>
      </c>
      <c r="L15" s="7" t="s">
        <v>406</v>
      </c>
      <c r="M15" s="1">
        <v>50</v>
      </c>
      <c r="N15" s="1" t="s">
        <v>357</v>
      </c>
    </row>
    <row r="16" ht="33.75" customHeight="1" spans="2:14">
      <c r="B16" s="7" t="s">
        <v>407</v>
      </c>
      <c r="C16" s="1" t="s">
        <v>408</v>
      </c>
      <c r="D16" s="9" t="s">
        <v>409</v>
      </c>
      <c r="E16" t="s">
        <v>405</v>
      </c>
      <c r="F16" s="7" t="s">
        <v>382</v>
      </c>
      <c r="G16" s="1">
        <v>0</v>
      </c>
      <c r="H16" s="7" t="s">
        <v>410</v>
      </c>
      <c r="I16" s="1">
        <v>1</v>
      </c>
      <c r="J16" s="7" t="s">
        <v>384</v>
      </c>
      <c r="K16" s="1">
        <v>1</v>
      </c>
      <c r="L16" s="7" t="s">
        <v>410</v>
      </c>
      <c r="M16" s="1">
        <v>50</v>
      </c>
      <c r="N16" s="1" t="s">
        <v>357</v>
      </c>
    </row>
    <row r="17" s="8" customFormat="1" ht="17" spans="2:14">
      <c r="B17" s="10" t="s">
        <v>411</v>
      </c>
      <c r="C17" s="8" t="s">
        <v>412</v>
      </c>
      <c r="D17" s="11" t="s">
        <v>413</v>
      </c>
      <c r="F17" s="8" t="s">
        <v>414</v>
      </c>
      <c r="G17" s="8">
        <v>0</v>
      </c>
      <c r="I17" s="8">
        <v>1</v>
      </c>
      <c r="J17" s="8" t="s">
        <v>415</v>
      </c>
      <c r="K17" s="8">
        <v>0</v>
      </c>
      <c r="L17" s="1"/>
      <c r="M17" s="8">
        <v>50</v>
      </c>
      <c r="N17" s="1" t="s">
        <v>416</v>
      </c>
    </row>
    <row r="18" s="8" customFormat="1" ht="16.5" customHeight="1" spans="2:14">
      <c r="B18" s="10" t="s">
        <v>417</v>
      </c>
      <c r="C18" s="8" t="s">
        <v>418</v>
      </c>
      <c r="D18" s="8" t="s">
        <v>419</v>
      </c>
      <c r="F18" s="8" t="s">
        <v>420</v>
      </c>
      <c r="G18" s="8">
        <v>0.5</v>
      </c>
      <c r="I18" s="8">
        <v>1</v>
      </c>
      <c r="J18" s="8" t="s">
        <v>415</v>
      </c>
      <c r="K18" s="8">
        <v>0</v>
      </c>
      <c r="L18" s="1"/>
      <c r="M18" s="8">
        <v>50</v>
      </c>
      <c r="N18" s="1" t="s">
        <v>416</v>
      </c>
    </row>
    <row r="19" s="8" customFormat="1" ht="16.5" customHeight="1" spans="2:14">
      <c r="B19" s="10" t="s">
        <v>421</v>
      </c>
      <c r="C19" s="8" t="s">
        <v>422</v>
      </c>
      <c r="D19" s="8" t="s">
        <v>423</v>
      </c>
      <c r="F19" s="8" t="s">
        <v>424</v>
      </c>
      <c r="G19" s="8">
        <v>0</v>
      </c>
      <c r="I19" s="8">
        <v>1</v>
      </c>
      <c r="J19" s="8" t="s">
        <v>415</v>
      </c>
      <c r="K19" s="8">
        <v>0</v>
      </c>
      <c r="L19" s="1"/>
      <c r="M19" s="8">
        <v>50</v>
      </c>
      <c r="N19" s="1" t="s">
        <v>416</v>
      </c>
    </row>
    <row r="20" s="8" customFormat="1" ht="16.5" customHeight="1" spans="2:14">
      <c r="B20" s="10" t="s">
        <v>425</v>
      </c>
      <c r="C20" s="8" t="s">
        <v>426</v>
      </c>
      <c r="D20" s="8" t="s">
        <v>427</v>
      </c>
      <c r="F20" s="8" t="s">
        <v>428</v>
      </c>
      <c r="G20" s="8">
        <v>0</v>
      </c>
      <c r="H20" s="8" t="s">
        <v>429</v>
      </c>
      <c r="I20" s="8">
        <v>1</v>
      </c>
      <c r="J20" s="8" t="s">
        <v>415</v>
      </c>
      <c r="K20" s="8">
        <v>1</v>
      </c>
      <c r="L20" s="1"/>
      <c r="M20" s="8">
        <v>50</v>
      </c>
      <c r="N20" s="1" t="s">
        <v>416</v>
      </c>
    </row>
    <row r="21" s="8" customFormat="1" spans="2:14">
      <c r="B21" s="8" t="s">
        <v>430</v>
      </c>
      <c r="C21" s="8" t="s">
        <v>431</v>
      </c>
      <c r="D21" s="8" t="s">
        <v>432</v>
      </c>
      <c r="F21" s="8" t="s">
        <v>433</v>
      </c>
      <c r="G21" s="8">
        <v>0</v>
      </c>
      <c r="H21" s="8" t="s">
        <v>434</v>
      </c>
      <c r="I21" s="8">
        <v>1</v>
      </c>
      <c r="J21" s="8" t="s">
        <v>415</v>
      </c>
      <c r="K21" s="8">
        <v>1</v>
      </c>
      <c r="L21" s="1"/>
      <c r="M21" s="1">
        <v>50</v>
      </c>
      <c r="N21" s="1" t="s">
        <v>416</v>
      </c>
    </row>
    <row r="22" s="8" customFormat="1" spans="2:14">
      <c r="B22" s="8" t="s">
        <v>435</v>
      </c>
      <c r="C22" s="8" t="s">
        <v>436</v>
      </c>
      <c r="D22" s="8" t="s">
        <v>437</v>
      </c>
      <c r="F22" s="8" t="s">
        <v>438</v>
      </c>
      <c r="G22" s="8">
        <v>0</v>
      </c>
      <c r="H22" s="8" t="s">
        <v>439</v>
      </c>
      <c r="I22" s="8">
        <v>1</v>
      </c>
      <c r="J22" s="8" t="s">
        <v>415</v>
      </c>
      <c r="K22" s="8">
        <v>1</v>
      </c>
      <c r="L22" s="1"/>
      <c r="M22" s="1">
        <v>50</v>
      </c>
      <c r="N22" s="1" t="s">
        <v>416</v>
      </c>
    </row>
    <row r="23" s="8" customFormat="1" spans="2:14">
      <c r="B23" s="8" t="s">
        <v>440</v>
      </c>
      <c r="C23" s="8" t="s">
        <v>441</v>
      </c>
      <c r="D23" s="8" t="s">
        <v>442</v>
      </c>
      <c r="F23" s="8" t="s">
        <v>443</v>
      </c>
      <c r="G23" s="8">
        <v>0</v>
      </c>
      <c r="H23" t="s">
        <v>444</v>
      </c>
      <c r="I23" s="8">
        <v>1</v>
      </c>
      <c r="J23" s="8" t="s">
        <v>415</v>
      </c>
      <c r="K23" s="8">
        <v>1</v>
      </c>
      <c r="L23" s="1"/>
      <c r="M23" s="1">
        <v>50</v>
      </c>
      <c r="N23" s="1" t="s">
        <v>416</v>
      </c>
    </row>
    <row r="24" s="8" customFormat="1" spans="2:14">
      <c r="B24" s="8" t="s">
        <v>445</v>
      </c>
      <c r="C24" s="8" t="s">
        <v>446</v>
      </c>
      <c r="D24" s="8" t="s">
        <v>447</v>
      </c>
      <c r="F24" s="8" t="s">
        <v>448</v>
      </c>
      <c r="G24" s="8">
        <v>0</v>
      </c>
      <c r="I24" s="8">
        <v>1</v>
      </c>
      <c r="J24" s="8" t="s">
        <v>415</v>
      </c>
      <c r="K24" s="8">
        <v>1</v>
      </c>
      <c r="L24" s="1"/>
      <c r="M24" s="1">
        <v>50</v>
      </c>
      <c r="N24" s="1" t="s">
        <v>416</v>
      </c>
    </row>
    <row r="25" s="8" customFormat="1" ht="34" spans="2:14">
      <c r="B25" s="8" t="s">
        <v>449</v>
      </c>
      <c r="C25" s="8" t="s">
        <v>450</v>
      </c>
      <c r="D25" s="11" t="s">
        <v>451</v>
      </c>
      <c r="F25" s="8" t="s">
        <v>452</v>
      </c>
      <c r="G25" s="8">
        <v>0</v>
      </c>
      <c r="I25" s="8">
        <v>1</v>
      </c>
      <c r="J25" s="8" t="s">
        <v>415</v>
      </c>
      <c r="K25" s="8">
        <v>1</v>
      </c>
      <c r="L25" s="1"/>
      <c r="M25" s="1">
        <v>50</v>
      </c>
      <c r="N25" s="1" t="s">
        <v>416</v>
      </c>
    </row>
    <row r="26" s="8" customFormat="1" ht="34" spans="2:14">
      <c r="B26" s="8" t="s">
        <v>453</v>
      </c>
      <c r="C26" s="8" t="s">
        <v>454</v>
      </c>
      <c r="D26" s="11" t="s">
        <v>455</v>
      </c>
      <c r="F26" s="8" t="s">
        <v>456</v>
      </c>
      <c r="G26" s="8">
        <v>0</v>
      </c>
      <c r="I26" s="8">
        <v>1</v>
      </c>
      <c r="J26" s="8" t="s">
        <v>415</v>
      </c>
      <c r="K26" s="8">
        <v>1</v>
      </c>
      <c r="L26" s="1"/>
      <c r="M26" s="1">
        <v>50</v>
      </c>
      <c r="N26" s="1" t="s">
        <v>416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457</v>
      </c>
      <c r="C1" s="3" t="s">
        <v>458</v>
      </c>
      <c r="D1" s="3" t="s">
        <v>459</v>
      </c>
      <c r="E1" s="3" t="s">
        <v>460</v>
      </c>
      <c r="H1" s="7" t="s">
        <v>1</v>
      </c>
      <c r="I1" s="2" t="s">
        <v>461</v>
      </c>
      <c r="L1" t="s">
        <v>462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463</v>
      </c>
      <c r="C2" s="3" t="s">
        <v>464</v>
      </c>
      <c r="D2" s="3" t="s">
        <v>465</v>
      </c>
      <c r="E2" s="3" t="s">
        <v>466</v>
      </c>
      <c r="H2" s="1">
        <v>1</v>
      </c>
      <c r="I2" s="2" t="str">
        <f t="shared" ref="I2:I65" si="0">E2</f>
        <v>获得时，获得两个随机（xx品质）的装饰品</v>
      </c>
      <c r="L2" t="s">
        <v>467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468</v>
      </c>
      <c r="E3" s="3" t="s">
        <v>469</v>
      </c>
      <c r="H3" s="1">
        <v>2</v>
      </c>
      <c r="I3" s="2" t="str">
        <f t="shared" si="0"/>
        <v>获得时，从多个装饰品中选择一个获得</v>
      </c>
      <c r="L3" t="s">
        <v>470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471</v>
      </c>
      <c r="E4" s="3" t="s">
        <v>472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468</v>
      </c>
      <c r="E5" s="3" t="s">
        <v>473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474</v>
      </c>
      <c r="E6" s="3" t="s">
        <v>475</v>
      </c>
      <c r="H6" s="1">
        <v>5</v>
      </c>
      <c r="I6" s="2" t="str">
        <f t="shared" si="0"/>
        <v>获得时，从多个食物中选择一个获得</v>
      </c>
      <c r="Q6" t="s">
        <v>476</v>
      </c>
    </row>
    <row r="7" ht="17.25" customHeight="1" spans="2:21">
      <c r="B7" s="4"/>
      <c r="C7" s="4"/>
      <c r="D7" s="3" t="s">
        <v>477</v>
      </c>
      <c r="E7" s="3" t="s">
        <v>478</v>
      </c>
      <c r="H7" s="1">
        <v>6</v>
      </c>
      <c r="I7" s="2" t="str">
        <f t="shared" si="0"/>
        <v>获得时，从多个餐桌格中选择一个获得</v>
      </c>
      <c r="K7" t="s">
        <v>479</v>
      </c>
      <c r="M7">
        <v>300</v>
      </c>
      <c r="O7" t="s">
        <v>50</v>
      </c>
      <c r="Q7">
        <f>COUNTIF(装饰品!$E$4:$E$94,K7)</f>
        <v>41</v>
      </c>
      <c r="S7">
        <v>40</v>
      </c>
      <c r="U7">
        <f>Q7/SUM($Q$7:$Q$10)</f>
        <v>0.450549450549451</v>
      </c>
    </row>
    <row r="8" ht="17.25" customHeight="1" spans="2:21">
      <c r="B8" s="4"/>
      <c r="C8" s="4"/>
      <c r="D8" s="3" t="s">
        <v>480</v>
      </c>
      <c r="E8" s="3" t="s">
        <v>481</v>
      </c>
      <c r="H8" s="1">
        <v>7</v>
      </c>
      <c r="I8" s="2" t="str">
        <f t="shared" si="0"/>
        <v>获得时，获得一个随机装饰品、随机食物、50金币</v>
      </c>
      <c r="K8" t="s">
        <v>482</v>
      </c>
      <c r="M8">
        <v>100</v>
      </c>
      <c r="O8" t="s">
        <v>62</v>
      </c>
      <c r="Q8">
        <f>COUNTIF(装饰品!$E$4:$E$94,K8)</f>
        <v>34</v>
      </c>
      <c r="S8">
        <v>80</v>
      </c>
      <c r="U8">
        <v>0.362637362637363</v>
      </c>
    </row>
    <row r="9" ht="17.25" customHeight="1" spans="2:21">
      <c r="B9" s="4"/>
      <c r="C9" s="4"/>
      <c r="D9" s="3" t="s">
        <v>483</v>
      </c>
      <c r="E9" s="3" t="s">
        <v>484</v>
      </c>
      <c r="H9" s="1">
        <v>8</v>
      </c>
      <c r="I9" s="2" t="str">
        <f t="shared" si="0"/>
        <v>所有装饰品和消耗品替换为随机装饰品和消耗品</v>
      </c>
      <c r="K9" t="s">
        <v>485</v>
      </c>
      <c r="M9">
        <v>30</v>
      </c>
      <c r="O9" t="s">
        <v>44</v>
      </c>
      <c r="Q9">
        <f>COUNTIF(装饰品!$E$4:$E$94,K9)</f>
        <v>12</v>
      </c>
      <c r="S9">
        <v>150</v>
      </c>
      <c r="U9">
        <v>0.120879120879121</v>
      </c>
    </row>
    <row r="10" ht="17.25" customHeight="1" spans="2:21">
      <c r="B10" s="4"/>
      <c r="C10" s="4" t="s">
        <v>486</v>
      </c>
      <c r="D10" s="3" t="s">
        <v>487</v>
      </c>
      <c r="E10" s="3" t="s">
        <v>488</v>
      </c>
      <c r="H10" s="1">
        <v>9</v>
      </c>
      <c r="I10" s="2" t="str">
        <f t="shared" si="0"/>
        <v>获得1～100个金币</v>
      </c>
      <c r="K10" t="s">
        <v>489</v>
      </c>
      <c r="M10">
        <v>10</v>
      </c>
      <c r="O10" t="s">
        <v>168</v>
      </c>
      <c r="Q10">
        <f>COUNTIF(装饰品!$E$4:$E$94,K10)</f>
        <v>4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490</v>
      </c>
      <c r="E11" s="3" t="s">
        <v>491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492</v>
      </c>
      <c r="E12" s="3" t="s">
        <v>493</v>
      </c>
      <c r="H12" s="1">
        <v>11</v>
      </c>
      <c r="I12" s="2" t="str">
        <f t="shared" si="0"/>
        <v>完成本次星级评鉴后，额外获得100金币</v>
      </c>
      <c r="P12" t="s">
        <v>494</v>
      </c>
      <c r="Q12" t="s">
        <v>495</v>
      </c>
      <c r="R12" t="s">
        <v>496</v>
      </c>
    </row>
    <row r="13" ht="17.25" customHeight="1" spans="2:14">
      <c r="B13" s="4"/>
      <c r="C13" s="4"/>
      <c r="D13" s="5" t="s">
        <v>497</v>
      </c>
      <c r="E13" s="3" t="s">
        <v>498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499</v>
      </c>
      <c r="N13">
        <v>240</v>
      </c>
    </row>
    <row r="14" ht="17.25" customHeight="1" spans="2:16">
      <c r="B14" s="4"/>
      <c r="C14" s="4" t="s">
        <v>500</v>
      </c>
      <c r="D14" s="3" t="s">
        <v>501</v>
      </c>
      <c r="E14" s="3" t="s">
        <v>502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503</v>
      </c>
      <c r="N14">
        <v>150</v>
      </c>
      <c r="P14">
        <v>250</v>
      </c>
    </row>
    <row r="15" ht="17.25" customHeight="1" spans="2:17">
      <c r="B15" s="4"/>
      <c r="C15" s="3"/>
      <c r="D15" s="3" t="s">
        <v>504</v>
      </c>
      <c r="E15" s="3" t="s">
        <v>505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506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507</v>
      </c>
      <c r="E16" s="3" t="s">
        <v>508</v>
      </c>
      <c r="H16" s="1">
        <v>15</v>
      </c>
      <c r="I16" s="2" t="str">
        <f t="shared" si="0"/>
        <v>买消耗品打折20%</v>
      </c>
      <c r="M16" t="s">
        <v>509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510</v>
      </c>
      <c r="E17" s="3" t="s">
        <v>511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512</v>
      </c>
      <c r="E18" s="3" t="s">
        <v>513</v>
      </c>
      <c r="H18" s="1">
        <v>17</v>
      </c>
      <c r="I18" s="2" t="str">
        <f t="shared" si="0"/>
        <v>删除食物价格打折20%</v>
      </c>
      <c r="M18" t="s">
        <v>514</v>
      </c>
      <c r="N18">
        <v>1.4</v>
      </c>
    </row>
    <row r="19" ht="17.25" customHeight="1" spans="2:9">
      <c r="B19" s="4"/>
      <c r="C19" s="4"/>
      <c r="D19" s="3" t="s">
        <v>512</v>
      </c>
      <c r="E19" s="3" t="s">
        <v>515</v>
      </c>
      <c r="H19" s="1">
        <v>18</v>
      </c>
      <c r="I19" s="2" t="str">
        <f t="shared" si="0"/>
        <v>删除食物价格固定为30金币</v>
      </c>
    </row>
    <row r="20" ht="17.25" customHeight="1" spans="2:14">
      <c r="B20" s="4"/>
      <c r="C20" s="4" t="s">
        <v>516</v>
      </c>
      <c r="D20" s="3" t="s">
        <v>517</v>
      </c>
      <c r="E20" s="3" t="s">
        <v>518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519</v>
      </c>
      <c r="D21" s="3" t="s">
        <v>520</v>
      </c>
      <c r="E21" s="3" t="s">
        <v>521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522</v>
      </c>
      <c r="E22" s="3" t="s">
        <v>523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524</v>
      </c>
      <c r="E23" s="3" t="s">
        <v>525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526</v>
      </c>
      <c r="E24" s="3" t="s">
        <v>527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528</v>
      </c>
      <c r="D25" s="3" t="s">
        <v>529</v>
      </c>
      <c r="E25" s="3" t="s">
        <v>530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529</v>
      </c>
      <c r="E26" s="3" t="s">
        <v>531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532</v>
      </c>
      <c r="D27" s="3" t="s">
        <v>533</v>
      </c>
      <c r="E27" s="3" t="s">
        <v>534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535</v>
      </c>
      <c r="D28" s="3" t="s">
        <v>536</v>
      </c>
      <c r="E28" s="3" t="s">
        <v>537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538</v>
      </c>
      <c r="D29" s="3" t="s">
        <v>536</v>
      </c>
      <c r="E29" s="3" t="s">
        <v>539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540</v>
      </c>
      <c r="D30" s="3" t="s">
        <v>541</v>
      </c>
      <c r="E30" s="3" t="s">
        <v>542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541</v>
      </c>
      <c r="E31" s="3" t="s">
        <v>543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544</v>
      </c>
      <c r="D32" s="3" t="s">
        <v>544</v>
      </c>
      <c r="E32" s="3" t="s">
        <v>545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546</v>
      </c>
      <c r="E33" s="3" t="s">
        <v>547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548</v>
      </c>
      <c r="E34" s="3" t="s">
        <v>549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550</v>
      </c>
      <c r="E35" s="3" t="s">
        <v>551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552</v>
      </c>
      <c r="E36" s="3" t="s">
        <v>553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554</v>
      </c>
      <c r="E37" s="3" t="s">
        <v>555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556</v>
      </c>
      <c r="D38" s="3" t="s">
        <v>483</v>
      </c>
      <c r="E38" s="3" t="s">
        <v>557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558</v>
      </c>
      <c r="E39" s="3" t="s">
        <v>559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166</v>
      </c>
      <c r="E40" s="3" t="s">
        <v>166</v>
      </c>
      <c r="H40" s="1">
        <v>39</v>
      </c>
      <c r="I40" s="2" t="str">
        <f t="shared" si="0"/>
        <v>周数-1</v>
      </c>
      <c r="K40" t="s">
        <v>560</v>
      </c>
    </row>
    <row r="41" ht="17.25" customHeight="1" spans="2:9">
      <c r="B41" s="4"/>
      <c r="C41" s="4"/>
      <c r="D41" s="3" t="s">
        <v>561</v>
      </c>
      <c r="E41" s="3" t="s">
        <v>562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563</v>
      </c>
      <c r="E42" s="3" t="s">
        <v>564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565</v>
      </c>
      <c r="D43" s="3" t="s">
        <v>566</v>
      </c>
      <c r="E43" s="3" t="s">
        <v>567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568</v>
      </c>
      <c r="E44" s="3" t="s">
        <v>569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570</v>
      </c>
      <c r="E45" s="3" t="s">
        <v>571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572</v>
      </c>
      <c r="D46" s="3" t="s">
        <v>573</v>
      </c>
      <c r="E46" s="3" t="s">
        <v>574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486</v>
      </c>
      <c r="E47" s="3" t="s">
        <v>575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576</v>
      </c>
      <c r="E48" s="3" t="s">
        <v>577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578</v>
      </c>
      <c r="D49" s="3" t="s">
        <v>579</v>
      </c>
      <c r="E49" s="3" t="s">
        <v>580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581</v>
      </c>
      <c r="E50" s="3" t="s">
        <v>582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583</v>
      </c>
      <c r="E51" s="3" t="s">
        <v>584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585</v>
      </c>
      <c r="E52" s="3" t="s">
        <v>586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587</v>
      </c>
      <c r="E53" s="3" t="s">
        <v>588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589</v>
      </c>
      <c r="E54" s="3" t="s">
        <v>590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591</v>
      </c>
      <c r="D55" s="3" t="s">
        <v>592</v>
      </c>
      <c r="E55" s="3" t="s">
        <v>593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594</v>
      </c>
      <c r="E56" s="3" t="s">
        <v>595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596</v>
      </c>
      <c r="D57" s="3" t="s">
        <v>597</v>
      </c>
      <c r="E57" s="3" t="s">
        <v>598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597</v>
      </c>
      <c r="E58" s="3" t="s">
        <v>599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600</v>
      </c>
      <c r="E59" s="3" t="s">
        <v>601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602</v>
      </c>
      <c r="E60" s="3" t="s">
        <v>603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604</v>
      </c>
      <c r="E61" s="3" t="s">
        <v>605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606</v>
      </c>
      <c r="D62" s="3" t="s">
        <v>607</v>
      </c>
      <c r="E62" s="3" t="s">
        <v>608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609</v>
      </c>
      <c r="D63" s="3" t="s">
        <v>610</v>
      </c>
      <c r="E63" s="3" t="s">
        <v>611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612</v>
      </c>
      <c r="E64" s="3" t="s">
        <v>613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614</v>
      </c>
      <c r="E65" s="3" t="s">
        <v>615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616</v>
      </c>
      <c r="E66" s="3" t="s">
        <v>617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618</v>
      </c>
      <c r="E67" s="3" t="s">
        <v>619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620</v>
      </c>
      <c r="D68" s="3" t="s">
        <v>621</v>
      </c>
      <c r="E68" s="3" t="s">
        <v>260</v>
      </c>
      <c r="H68" s="1">
        <v>67</v>
      </c>
      <c r="I68" s="2" t="str">
        <f t="shared" si="1"/>
        <v>丢弃两个诅咒装饰品</v>
      </c>
    </row>
    <row r="69" ht="17.25" customHeight="1" spans="2:9">
      <c r="B69" s="4"/>
      <c r="C69" s="3"/>
      <c r="D69" s="3" t="s">
        <v>622</v>
      </c>
      <c r="E69" s="3" t="s">
        <v>623</v>
      </c>
      <c r="H69" s="1">
        <v>68</v>
      </c>
      <c r="I69" s="2" t="str">
        <f t="shared" si="1"/>
        <v>丢弃所有诅咒装饰品，每丢弃一个获得100金币</v>
      </c>
    </row>
    <row r="70" ht="17.25" customHeight="1" spans="2:9">
      <c r="B70" s="4" t="s">
        <v>624</v>
      </c>
      <c r="C70" s="4" t="s">
        <v>625</v>
      </c>
      <c r="D70" s="3" t="s">
        <v>626</v>
      </c>
      <c r="E70" s="3" t="s">
        <v>627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628</v>
      </c>
      <c r="E71" s="3" t="s">
        <v>629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630</v>
      </c>
      <c r="E72" s="3" t="s">
        <v>273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631</v>
      </c>
      <c r="E73" s="3" t="s">
        <v>632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633</v>
      </c>
      <c r="E74" s="3" t="s">
        <v>634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635</v>
      </c>
      <c r="E75" s="3" t="s">
        <v>636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637</v>
      </c>
      <c r="E76" s="3" t="s">
        <v>638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639</v>
      </c>
      <c r="E77" s="3" t="s">
        <v>640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641</v>
      </c>
      <c r="E78" s="3" t="s">
        <v>642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643</v>
      </c>
      <c r="C79" s="4" t="s">
        <v>644</v>
      </c>
      <c r="D79" s="3" t="s">
        <v>645</v>
      </c>
      <c r="E79" s="3" t="s">
        <v>646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647</v>
      </c>
      <c r="D80" s="3" t="s">
        <v>648</v>
      </c>
      <c r="E80" s="3" t="s">
        <v>649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648</v>
      </c>
      <c r="E81" s="3" t="s">
        <v>650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651</v>
      </c>
      <c r="E82" s="3" t="s">
        <v>652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653</v>
      </c>
      <c r="E83" s="3" t="s">
        <v>654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655</v>
      </c>
      <c r="D84" s="3" t="s">
        <v>656</v>
      </c>
      <c r="E84" s="3" t="s">
        <v>657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658</v>
      </c>
      <c r="E85" s="3" t="s">
        <v>659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660</v>
      </c>
      <c r="E86" s="3" t="s">
        <v>661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662</v>
      </c>
      <c r="E87" s="3" t="s">
        <v>663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664</v>
      </c>
      <c r="E88" s="3" t="s">
        <v>336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2026-08-07T04:29:00Z</dcterms:created>
  <dcterms:modified xsi:type="dcterms:W3CDTF">2026-08-07T10:23:30Z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18B4066618699A404F80746AFA0CFC6D_42</vt:lpwstr>
  </property>
  <property fmtid="{D5CDD505-2E9C-101B-9397-08002B2CF9AE}" pid="3" name="KSOProductBuildVer">
    <vt:lpwstr>2052-6.1.0.8274</vt:lpwstr>
  </property>
</Properties>
</file>