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 activeTab="1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<sst xmlns="http://schemas.openxmlformats.org/spreadsheetml/2006/main" count="860" uniqueCount="617">
  <si>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</si>
  <si>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</si>
  <si>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</si>
  <si>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</si>
  <si>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</si>
  <si>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</si>
  <si>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</si>
  <si>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</si>
  <si>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</si>
  <si>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</si>
  <si>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</si>
  <si>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</si>
  <si>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</si>
  <si>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</si>
  <si>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</si>
  <si>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</si>
  <si>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</si>
  <si>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</si>
  <si>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</si>
  <si>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</si>
  <si>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</si>
  <si>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</si>
  <si>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</si>
  <si>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</si>
  <si>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</si>
  <si>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</si>
  <si>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</si>
  <si>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</si>
  <si>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</si>
  <si>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</si>
  <si>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</si>
  <si>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</si>
  <si>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</si>
  <si>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</si>
  <si>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##type</t>
  </si>
  <si>
    <t>string</t>
  </si>
  <si>
    <t>ItemQuality</t>
  </si>
  <si>
    <t>float</t>
  </si>
  <si>
    <t>HiddenRange</t>
  </si>
  <si>
    <t>int</t>
  </si>
  <si>
    <t>item_grant_two_passive</t>
  </si>
  <si>
    <t>随机被动包</t>
  </si>
  <si>
    <t>随机获得2个被动道具</t>
  </si>
  <si>
    <t>Uncommon</t>
  </si>
  <si>
    <t>item_choose_one_passive</t>
  </si>
  <si>
    <t>被动三选一</t>
  </si>
  <si>
    <t>从3个被动道具中选择1个获得</t>
  </si>
  <si>
    <t>Common</t>
  </si>
  <si>
    <t>item_grant_two_active</t>
  </si>
  <si>
    <t>随机主动包</t>
  </si>
  <si>
    <t>随机获得2个主动道具</t>
  </si>
  <si>
    <t>item_choose_one_active</t>
  </si>
  <si>
    <t>主动三选一</t>
  </si>
  <si>
    <t>从3个主动道具中选择1个获得</t>
  </si>
  <si>
    <t>item_choose_one_food</t>
  </si>
  <si>
    <t>食物三选一</t>
  </si>
  <si>
    <t>从3个食物中选择1个获得</t>
  </si>
  <si>
    <t>0周</t>
  </si>
  <si>
    <t>item_choose_one_fragment</t>
  </si>
  <si>
    <t>碎片三选一</t>
  </si>
  <si>
    <t>从3个餐桌格子中选择1个获得</t>
  </si>
  <si>
    <t>1周</t>
  </si>
  <si>
    <t>item_grant_recipe</t>
  </si>
  <si>
    <t>菜谱券</t>
  </si>
  <si>
    <t>获得1个菜谱</t>
  </si>
  <si>
    <t>2周</t>
  </si>
  <si>
    <t>item_family_pack</t>
  </si>
  <si>
    <t>全家福</t>
  </si>
  <si>
    <t>获得1个被动道具、食物和50金币</t>
  </si>
  <si>
    <t>Rare</t>
  </si>
  <si>
    <t>3周</t>
  </si>
  <si>
    <t>item_randomize_items</t>
  </si>
  <si>
    <t>混沌重置</t>
  </si>
  <si>
    <t>所有道具替换为随机道具</t>
  </si>
  <si>
    <t>4周</t>
  </si>
  <si>
    <t>item_gold_random</t>
  </si>
  <si>
    <t>随机金币</t>
  </si>
  <si>
    <t>获得 50~150金币</t>
  </si>
  <si>
    <t>range:50,150</t>
  </si>
  <si>
    <t>统计</t>
  </si>
  <si>
    <t>item_gold_meal_bonus</t>
  </si>
  <si>
    <t>美食分红</t>
  </si>
  <si>
    <t>接下来10局美食
额外获得20金币</t>
  </si>
  <si>
    <t>meals:10</t>
  </si>
  <si>
    <t>common</t>
  </si>
  <si>
    <t>10,80</t>
  </si>
  <si>
    <t>item_gold_boss</t>
  </si>
  <si>
    <t>Boss赏金</t>
  </si>
  <si>
    <t>下次盛宴
额外+100金币</t>
  </si>
  <si>
    <t>uncommon</t>
  </si>
  <si>
    <t>20,80</t>
  </si>
  <si>
    <t>item_gold_percent</t>
  </si>
  <si>
    <t>利润提成</t>
  </si>
  <si>
    <t>美食结束获得的金币
额外+20%</t>
  </si>
  <si>
    <t>rare</t>
  </si>
  <si>
    <t>30,80</t>
  </si>
  <si>
    <t>item_discount_food</t>
  </si>
  <si>
    <t>食材优惠券</t>
  </si>
  <si>
    <t>食物价格-15%</t>
  </si>
  <si>
    <t>epic</t>
  </si>
  <si>
    <t>40,80</t>
  </si>
  <si>
    <t>item_discount_fragment</t>
  </si>
  <si>
    <t>碎片优惠券</t>
  </si>
  <si>
    <t>餐桌格子包价格-20%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</si>
  <si>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</si>
  <si>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</si>
  <si>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</si>
  <si>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</si>
  <si>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</si>
  <si>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</si>
  <si>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</si>
  <si>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</si>
  <si>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</si>
  <si>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</si>
  <si>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</si>
  <si>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删牌价格固定为30金币</t>
  </si>
  <si>
    <t>item_discount_recipe</t>
  </si>
  <si>
    <t>菜谱优惠</t>
  </si>
  <si>
    <t>购买菜谱价格-20%</t>
  </si>
  <si>
    <t>item_famous_knife</t>
  </si>
  <si>
    <t>名刀</t>
  </si>
  <si>
    <t>分数未达标时不失败
但会失去此道具</t>
  </si>
  <si>
    <t>item_score_to_one</t>
  </si>
  <si>
    <t>免检通行证</t>
  </si>
  <si>
    <t>接下来3局非盛宴美食
分数要求为1</t>
  </si>
  <si>
    <t>meals:3</t>
  </si>
  <si>
    <t>item_req_normal_down</t>
  </si>
  <si>
    <t>家常减负</t>
  </si>
  <si>
    <t>普通美食要求分数-15%</t>
  </si>
  <si>
    <t>item_req_super_down</t>
  </si>
  <si>
    <t>超级减负</t>
  </si>
  <si>
    <t>超级美食要求分数-15%</t>
  </si>
  <si>
    <t>item_req_feast_down</t>
  </si>
  <si>
    <t>盛宴减负</t>
  </si>
  <si>
    <t>盛宴美食要求分数-10%</t>
  </si>
  <si>
    <t>item_count_le_mult</t>
  </si>
  <si>
    <t>精致料理</t>
  </si>
  <si>
    <t>结算时食物数量&lt;=10
所有美食倍率×1.2</t>
  </si>
  <si>
    <t>lte:10</t>
  </si>
  <si>
    <t>item_count_ge_mult</t>
  </si>
  <si>
    <t>丰盛大餐</t>
  </si>
  <si>
    <t>结算时食物数量&gt;=10
所有美食倍率×1.2</t>
  </si>
  <si>
    <t>gte:10</t>
  </si>
  <si>
    <t>item_per_dish_mult</t>
  </si>
  <si>
    <t>流水席</t>
  </si>
  <si>
    <t>结算时每结算1个食物
所有食物倍率+0.2</t>
  </si>
  <si>
    <t>item_perma_flat_all</t>
  </si>
  <si>
    <t>增鲜剂</t>
  </si>
  <si>
    <t>所有食物分数永久+20</t>
  </si>
  <si>
    <t>item_stargaze_every5</t>
  </si>
  <si>
    <t>观星仪</t>
  </si>
  <si>
    <t>每5次上菜后
下次上菜可预见食物</t>
  </si>
  <si>
    <t>every:5</t>
  </si>
  <si>
    <t>item_stargaze_first3</t>
  </si>
  <si>
    <t>开局观星</t>
  </si>
  <si>
    <t>每局前3次上菜
可预见食物</t>
  </si>
  <si>
    <t>first:3</t>
  </si>
  <si>
    <t>item_free_move_first</t>
  </si>
  <si>
    <t>免费调整</t>
  </si>
  <si>
    <t>每局第1次上菜后
可不消耗修正次数移动</t>
  </si>
  <si>
    <t>item_adjust_plus1</t>
  </si>
  <si>
    <t>熟练的手</t>
  </si>
  <si>
    <t>调整次数+1</t>
  </si>
  <si>
    <t>item_adjust_to_mult</t>
  </si>
  <si>
    <t>节俭加成</t>
  </si>
  <si>
    <t>每1个未使用的调整次数
使所有食物倍率+0.1</t>
  </si>
  <si>
    <t>item_food_convert</t>
  </si>
  <si>
    <t>点石成金</t>
  </si>
  <si>
    <t>将5个随机食物
变为至少同品质的食物</t>
  </si>
  <si>
    <t>item_adjust_to_gold</t>
  </si>
  <si>
    <t>变卖技巧</t>
  </si>
  <si>
    <t>每个未使用的调整次数
获得5金币</t>
  </si>
  <si>
    <t>item_gold_on_shop</t>
  </si>
  <si>
    <t>商会返利</t>
  </si>
  <si>
    <t>进入商店时
获得10金币</t>
  </si>
  <si>
    <t>item_extra_interest</t>
  </si>
  <si>
    <t>复利账户</t>
  </si>
  <si>
    <t>每周结束时
额外执行1次利息结算</t>
  </si>
  <si>
    <t>item_interest_cap</t>
  </si>
  <si>
    <t>高息账户</t>
  </si>
  <si>
    <t>利息上限扩展到40金币</t>
  </si>
  <si>
    <t>item_loan</t>
  </si>
  <si>
    <t>高利贷</t>
  </si>
  <si>
    <t>临时获得200金币
下一周开始失去400金币</t>
  </si>
  <si>
    <t>repay:600</t>
  </si>
  <si>
    <t>item_timeline_random</t>
  </si>
  <si>
    <t>命运骰子</t>
  </si>
  <si>
    <t>打乱时间轴的节点事件</t>
  </si>
  <si>
    <t>item_extra_day</t>
  </si>
  <si>
    <t>加班一天</t>
  </si>
  <si>
    <t>盛宴延后一天</t>
  </si>
  <si>
    <t>item_week_minus</t>
  </si>
  <si>
    <t>时光倒流</t>
  </si>
  <si>
    <t>周数-1</t>
  </si>
  <si>
    <t>Epic</t>
  </si>
  <si>
    <t>item_add_reward_node</t>
  </si>
  <si>
    <t>额外奖励</t>
  </si>
  <si>
    <t>增加一个奖励节点到
未来时间轴上</t>
  </si>
  <si>
    <t>item_add_interest_node</t>
  </si>
  <si>
    <t>额外利息节点</t>
  </si>
  <si>
    <t>增加一个利息节点
到未来时间轴上</t>
  </si>
  <si>
    <t>item_every3_next_mult</t>
  </si>
  <si>
    <t>节奏大师</t>
  </si>
  <si>
    <t>每上3个食物后
下个食物倍率+1</t>
  </si>
  <si>
    <t>every:3</t>
  </si>
  <si>
    <t>item_first_+2</t>
  </si>
  <si>
    <t>开门红</t>
  </si>
  <si>
    <t>首个上的食物
倍率+2</t>
  </si>
  <si>
    <t>index:1</t>
  </si>
  <si>
    <t>item_last_+2</t>
  </si>
  <si>
    <t>压轴好戏</t>
  </si>
  <si>
    <t>最后上的食物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</si>
  <si>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</si>
  <si>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</si>
  <si>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</si>
  <si>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</si>
  <si>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</si>
  <si>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</si>
  <si>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</si>
  <si>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</si>
  <si>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</si>
  <si>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无法再获得主动道具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</si>
  <si>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</si>
  <si>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</si>
  <si>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</si>
  <si>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</si>
  <si>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</si>
  <si>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</si>
  <si>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</si>
  <si>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</si>
  <si>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</si>
  <si>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</si>
  <si>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</si>
  <si>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</si>
  <si>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</si>
  <si>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</si>
  <si>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拥有菜谱中另1个食物的风味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</si>
  <si>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</si>
  <si>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</si>
  <si>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</si>
  <si>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</si>
  <si>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</si>
  <si>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</si>
  <si>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</si>
  <si>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</si>
  <si>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</si>
  <si>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</si>
  <si>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</si>
  <si>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</si>
  <si>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</si>
  <si>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</si>
  <si>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</si>
  <si>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</si>
  <si>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</si>
  <si>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</si>
  <si>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</si>
  <si>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</si>
  <si>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</t>
  </si>
  <si>
    <t>item_choice_count_plus1</t>
  </si>
  <si>
    <t>琳琅满目</t>
  </si>
  <si>
    <t>选择食物时
可选数量+1</t>
  </si>
  <si>
    <t>item_choice_times_plus1</t>
  </si>
  <si>
    <t>细嚼慢咽</t>
  </si>
  <si>
    <t>选择食物时
可选次数+1，可选数量-1</t>
  </si>
  <si>
    <t>item_extra_food_choice</t>
  </si>
  <si>
    <t>加餐</t>
  </si>
  <si>
    <t>每6次普通美食
额外获得3选一美食</t>
  </si>
  <si>
    <t>every:6</t>
  </si>
  <si>
    <t>item_extra_item_choice</t>
  </si>
  <si>
    <t>加料</t>
  </si>
  <si>
    <t>每4次超级美食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</si>
  <si>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</si>
  <si>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</si>
  <si>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</si>
  <si>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</si>
  <si>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</si>
  <si>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</si>
  <si>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</si>
  <si>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</si>
  <si>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</si>
  <si>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每丢弃一个获得100金币</t>
  </si>
  <si>
    <t>item_gold_meal_penalty</t>
  </si>
  <si>
    <t>克扣工钱</t>
  </si>
  <si>
    <t>美食获得的金币-20%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</si>
  <si>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</si>
  <si>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</si>
  <si>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</si>
  <si>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</si>
  <si>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</si>
  <si>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</si>
  <si>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</si>
  <si>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</si>
  <si>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</si>
  <si>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跳过下一个商店或利息节点</t>
  </si>
  <si>
    <t>item_choice_minus1</t>
  </si>
  <si>
    <t>选择困难</t>
  </si>
  <si>
    <t>多选一食物时
可选数量-1</t>
  </si>
  <si>
    <t>item_req_normal_up</t>
  </si>
  <si>
    <t>家常加码</t>
  </si>
  <si>
    <t>普通美食要求分数+20%</t>
  </si>
  <si>
    <t>item_req_super_up</t>
  </si>
  <si>
    <t>超级加码</t>
  </si>
  <si>
    <t>超级美食要求分数+15%</t>
  </si>
  <si>
    <t>item_req_feast_up</t>
  </si>
  <si>
    <t>盛宴加码</t>
  </si>
  <si>
    <t>盛宴美食要求分数+15%</t>
  </si>
  <si>
    <t>item_gold_week_clear</t>
  </si>
  <si>
    <t>月光族</t>
  </si>
  <si>
    <t>本周结束时金币清空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</si>
  <si>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</si>
  <si>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</si>
  <si>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</si>
  <si>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</si>
  <si>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</si>
  <si>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</si>
  <si>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</si>
  <si>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</si>
  <si>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</si>
  <si>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</si>
  <si>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</si>
  <si>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</si>
  <si>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</si>
  <si>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</si>
  <si>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</si>
  <si>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</si>
  <si>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</si>
  <si>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</si>
  <si>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</si>
  <si>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</si>
  <si>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</si>
  <si>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</si>
  <si>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</si>
  <si>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</si>
  <si>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</si>
  <si>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</si>
  <si>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</si>
  <si>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</si>
  <si>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</si>
  <si>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</si>
  <si>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</si>
  <si>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</si>
  <si>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</si>
  <si>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</si>
  <si>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</si>
  <si>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</si>
  <si>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</si>
  <si>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</si>
  <si>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</si>
  <si>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</si>
  <si>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</si>
  <si>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/>
  </si>
  <si>
    <t>item_active_season_sweet</t>
  </si>
  <si>
    <t>加甜单</t>
  </si>
  <si>
    <t>选择1个食物
添加「甜」风味</t>
  </si>
  <si>
    <t>AddFlavor</t>
  </si>
  <si>
    <t>t_sweet</t>
  </si>
  <si>
    <t>RecipeDish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</si>
  <si>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</si>
  <si>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</si>
  <si>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</si>
  <si>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</si>
  <si>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</si>
  <si>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</si>
  <si>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</si>
  <si>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</si>
  <si>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</si>
  <si>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</si>
  <si>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</si>
  <si>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</si>
  <si>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</si>
  <si>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</si>
  <si>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</si>
  <si>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</si>
  <si>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</si>
  <si>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</si>
  <si>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</si>
  <si>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</si>
  <si>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</si>
  <si>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</si>
  <si>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</si>
  <si>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</si>
  <si>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</si>
  <si>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</si>
  <si>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</si>
  <si>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</si>
  <si>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</si>
  <si>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</si>
  <si>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</si>
  <si>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</si>
  <si>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</si>
  <si>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</si>
  <si>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</si>
  <si>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</si>
  <si>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</si>
  <si>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</si>
  <si>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</si>
  <si>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</si>
  <si>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</si>
  <si>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</si>
  <si>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</si>
  <si>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</si>
  <si>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</si>
  <si>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</si>
  <si>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</si>
  <si>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</si>
  <si>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</si>
  <si>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</si>
  <si>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>item_active_sched_reroll</t>
  </si>
  <si>
    <t>行动调整单</t>
  </si>
  <si>
    <t>重掷一次当前行动选项
Boss 行动除外</t>
  </si>
  <si>
    <t>RerollAction</t>
  </si>
  <si>
    <t>Global</t>
  </si>
  <si>
    <t>item_active_sched_feast</t>
  </si>
  <si>
    <t>盛宴调整单</t>
  </si>
  <si>
    <t>重置本周 Boss 类型</t>
  </si>
  <si>
    <t>ResetBossDebuff</t>
  </si>
  <si>
    <t>item_active_sched_rush</t>
  </si>
  <si>
    <t>加急单</t>
  </si>
  <si>
    <t>立即执行下一个节点事件</t>
  </si>
  <si>
    <t>TimelineExecuteNext</t>
  </si>
  <si>
    <t>item_active_sched_reward</t>
  </si>
  <si>
    <t>奖励单</t>
  </si>
  <si>
    <t>在时间轴上添加一个奖励节点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</si>
  <si>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</si>
  <si>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</si>
  <si>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</si>
  <si>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</si>
  <si>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</si>
  <si>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</si>
  <si>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</si>
  <si>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</si>
  <si>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</si>
  <si>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</si>
  <si>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</si>
  <si>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</si>
  <si>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</si>
  <si>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</si>
  <si>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</si>
  <si>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</si>
  <si>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</si>
  <si>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</si>
  <si>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</si>
  <si>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</si>
  <si>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</si>
  <si>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</si>
  <si>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</si>
  <si>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</si>
  <si>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</si>
  <si>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</si>
  <si>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</si>
  <si>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</si>
  <si>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</si>
  <si>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</si>
  <si>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</si>
  <si>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</si>
  <si>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</si>
  <si>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</si>
  <si>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</si>
  <si>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</si>
  <si>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</si>
  <si>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</si>
  <si>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</si>
  <si>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</si>
  <si>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</si>
  <si>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</si>
  <si>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</si>
  <si>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买菜谱</t>
  </si>
  <si>
    <t>买菜谱打折20%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</si>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</sst>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0" fillId="0" borderId="0" xfId="0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2"/>
  <sheetViews>
    <sheetView zoomScale="70" zoomScaleNormal="70" topLeftCell="A58" workbookViewId="0">
      <selection activeCell="A1" sqref="$A1:$XFD1048576"/>
    </sheetView>
  </sheetViews>
  <sheetFormatPr defaultColWidth="9" defaultRowHeight="16.8"/>
  <cols>
    <col min="1" max="1" width="13.0769230769231" style="1" customWidth="1"/>
    <col min="2" max="2" width="30.3846153846154" style="1" customWidth="1"/>
    <col min="3" max="3" width="15.1538461538462" style="1" customWidth="1"/>
    <col min="4" max="4" width="35.4615384615385" style="1" customWidth="1"/>
    <col min="5" max="5" width="12.8461538461538" style="1" customWidth="1"/>
    <col min="6" max="6" width="15.1538461538462" style="1" customWidth="1"/>
    <col min="7" max="7" width="11.9230769230769" style="1" customWidth="1"/>
    <col min="8" max="8" width="13.7692307692308" style="1" customWidth="1"/>
    <col min="9" max="9" width="15.1538461538462" style="1" customWidth="1"/>
    <col min="10" max="10" width="36" style="1" customWidth="1"/>
    <col min="11" max="11" width="25.0769230769231" style="1" customWidth="1"/>
    <col min="12" max="12" width="18.0769230769231" style="1" customWidth="1"/>
    <col min="13" max="13" width="25.6923076923077" style="1" customWidth="1"/>
    <col min="14" max="14" width="24.5384615384615" style="1" customWidth="1"/>
    <col min="15" max="15" width="23" style="1" customWidth="1"/>
    <col min="16" max="16" width="18.3076923076923" style="1" customWidth="1"/>
    <col min="17" max="17" width="26.4615384615385" customWidth="1"/>
    <col min="20" max="20" width="11.7692307692308" customWidth="1"/>
  </cols>
  <sheetData>
    <row r="1" customForma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</row>
    <row r="2" customFormat="1" spans="1:17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 t="s">
        <v>23</v>
      </c>
      <c r="H2" s="1" t="s">
        <v>24</v>
      </c>
      <c r="I2" s="1" t="s">
        <v>25</v>
      </c>
      <c r="J2" s="1" t="s">
        <v>26</v>
      </c>
      <c r="K2" s="1" t="s">
        <v>27</v>
      </c>
      <c r="L2" s="1" t="s">
        <v>28</v>
      </c>
      <c r="M2" s="1" t="s">
        <v>29</v>
      </c>
      <c r="N2" s="1" t="s">
        <v>30</v>
      </c>
      <c r="O2" s="1" t="s">
        <v>31</v>
      </c>
      <c r="P2" s="1" t="s">
        <v>32</v>
      </c>
      <c r="Q2" t="s">
        <v>33</v>
      </c>
    </row>
    <row r="3" customFormat="1" spans="1:17">
      <c r="A3" s="1" t="s">
        <v>34</v>
      </c>
      <c r="B3" s="1" t="s">
        <v>35</v>
      </c>
      <c r="C3" s="1" t="s">
        <v>35</v>
      </c>
      <c r="D3" s="1" t="s">
        <v>35</v>
      </c>
      <c r="E3" s="1" t="s">
        <v>36</v>
      </c>
      <c r="F3" s="1" t="s">
        <v>35</v>
      </c>
      <c r="G3" s="1" t="s">
        <v>37</v>
      </c>
      <c r="H3" s="1" t="s">
        <v>35</v>
      </c>
      <c r="I3" s="1" t="s">
        <v>37</v>
      </c>
      <c r="J3" s="1" t="s">
        <v>38</v>
      </c>
      <c r="K3" s="1" t="s">
        <v>39</v>
      </c>
      <c r="L3" s="1" t="s">
        <v>39</v>
      </c>
      <c r="M3" s="1" t="s">
        <v>39</v>
      </c>
      <c r="N3" s="1" t="s">
        <v>39</v>
      </c>
      <c r="O3" s="1" t="s">
        <v>39</v>
      </c>
      <c r="P3" s="1" t="s">
        <v>39</v>
      </c>
      <c r="Q3" t="s">
        <v>35</v>
      </c>
    </row>
    <row r="4" customFormat="1" spans="1:16">
      <c r="A4" s="1"/>
      <c r="B4" s="1" t="s">
        <v>40</v>
      </c>
      <c r="C4" s="1" t="s">
        <v>41</v>
      </c>
      <c r="D4" s="1" t="s">
        <v>42</v>
      </c>
      <c r="E4" s="1" t="s">
        <v>43</v>
      </c>
      <c r="F4" s="1"/>
      <c r="G4" s="1">
        <v>2</v>
      </c>
      <c r="H4" s="1"/>
      <c r="I4" s="1">
        <f t="shared" ref="I4:I67" si="0">VLOOKUP(E4,$T$14:$X$17,3,FALSE)</f>
        <v>100</v>
      </c>
      <c r="J4" s="1" t="str">
        <f t="shared" ref="J4:J67" si="1">VLOOKUP(E4,$T$14:$X$17,5,FALSE)</f>
        <v>20,80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</row>
    <row r="5" customFormat="1" spans="1:16">
      <c r="A5" s="1"/>
      <c r="B5" s="1" t="s">
        <v>44</v>
      </c>
      <c r="C5" s="1" t="s">
        <v>45</v>
      </c>
      <c r="D5" s="1" t="s">
        <v>46</v>
      </c>
      <c r="E5" s="1" t="s">
        <v>47</v>
      </c>
      <c r="F5" s="1"/>
      <c r="G5" s="1">
        <v>3</v>
      </c>
      <c r="H5" s="1"/>
      <c r="I5" s="1">
        <f t="shared" si="0"/>
        <v>300</v>
      </c>
      <c r="J5" s="1" t="str">
        <f t="shared" si="1"/>
        <v>10,80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</row>
    <row r="6" customFormat="1" spans="1:16">
      <c r="A6" s="1"/>
      <c r="B6" s="1" t="s">
        <v>48</v>
      </c>
      <c r="C6" s="1" t="s">
        <v>49</v>
      </c>
      <c r="D6" s="1" t="s">
        <v>50</v>
      </c>
      <c r="E6" s="1" t="s">
        <v>47</v>
      </c>
      <c r="F6" s="1"/>
      <c r="G6" s="1">
        <v>2</v>
      </c>
      <c r="H6" s="1"/>
      <c r="I6" s="1">
        <f t="shared" si="0"/>
        <v>300</v>
      </c>
      <c r="J6" s="1" t="str">
        <f t="shared" si="1"/>
        <v>10,80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</row>
    <row r="7" customFormat="1" spans="1:16">
      <c r="A7" s="1"/>
      <c r="B7" s="1" t="s">
        <v>51</v>
      </c>
      <c r="C7" s="1" t="s">
        <v>52</v>
      </c>
      <c r="D7" s="1" t="s">
        <v>53</v>
      </c>
      <c r="E7" s="1" t="s">
        <v>47</v>
      </c>
      <c r="F7" s="1"/>
      <c r="G7" s="1">
        <v>3</v>
      </c>
      <c r="H7" s="1"/>
      <c r="I7" s="1">
        <f t="shared" si="0"/>
        <v>300</v>
      </c>
      <c r="J7" s="1" t="str">
        <f t="shared" si="1"/>
        <v>10,80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</row>
    <row r="8" spans="2:27">
      <c r="B8" s="1" t="s">
        <v>54</v>
      </c>
      <c r="C8" s="1" t="s">
        <v>55</v>
      </c>
      <c r="D8" s="1" t="s">
        <v>56</v>
      </c>
      <c r="E8" s="1" t="s">
        <v>47</v>
      </c>
      <c r="F8" s="1"/>
      <c r="G8" s="1">
        <v>3</v>
      </c>
      <c r="H8" s="1"/>
      <c r="I8" s="1">
        <f t="shared" si="0"/>
        <v>300</v>
      </c>
      <c r="J8" s="1" t="str">
        <f t="shared" si="1"/>
        <v>10,80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S8" s="1" t="s">
        <v>57</v>
      </c>
      <c r="T8" s="1">
        <v>10</v>
      </c>
      <c r="U8" s="1">
        <v>11</v>
      </c>
      <c r="V8" s="1">
        <v>12</v>
      </c>
      <c r="W8" s="1">
        <v>13</v>
      </c>
      <c r="X8" s="1">
        <v>14</v>
      </c>
      <c r="Y8" s="1">
        <v>15</v>
      </c>
      <c r="Z8" s="1">
        <v>16</v>
      </c>
      <c r="AA8" s="1">
        <v>17</v>
      </c>
    </row>
    <row r="9" spans="2:27">
      <c r="B9" s="1" t="s">
        <v>58</v>
      </c>
      <c r="C9" s="1" t="s">
        <v>59</v>
      </c>
      <c r="D9" s="1" t="s">
        <v>60</v>
      </c>
      <c r="E9" s="1" t="s">
        <v>47</v>
      </c>
      <c r="F9" s="1"/>
      <c r="G9" s="1">
        <v>3</v>
      </c>
      <c r="H9" s="1"/>
      <c r="I9" s="1">
        <f t="shared" si="0"/>
        <v>300</v>
      </c>
      <c r="J9" s="1" t="str">
        <f t="shared" si="1"/>
        <v>10,80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S9" s="1" t="s">
        <v>61</v>
      </c>
      <c r="T9" s="1">
        <v>20</v>
      </c>
      <c r="U9" s="1">
        <v>21</v>
      </c>
      <c r="V9" s="1">
        <v>22</v>
      </c>
      <c r="W9" s="1">
        <v>23</v>
      </c>
      <c r="X9" s="1">
        <v>24</v>
      </c>
      <c r="Y9" s="1">
        <v>25</v>
      </c>
      <c r="Z9" s="1">
        <v>26</v>
      </c>
      <c r="AA9" s="1">
        <v>27</v>
      </c>
    </row>
    <row r="10" spans="2:27">
      <c r="B10" s="1" t="s">
        <v>62</v>
      </c>
      <c r="C10" s="1" t="s">
        <v>63</v>
      </c>
      <c r="D10" s="1" t="s">
        <v>64</v>
      </c>
      <c r="E10" s="1" t="s">
        <v>47</v>
      </c>
      <c r="F10" s="1"/>
      <c r="G10" s="1">
        <v>1</v>
      </c>
      <c r="H10" s="1"/>
      <c r="I10" s="1">
        <f t="shared" si="0"/>
        <v>300</v>
      </c>
      <c r="J10" s="1" t="str">
        <f t="shared" si="1"/>
        <v>10,80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S10" s="1" t="s">
        <v>65</v>
      </c>
      <c r="T10" s="1">
        <v>30</v>
      </c>
      <c r="U10" s="1">
        <v>31</v>
      </c>
      <c r="V10" s="1">
        <v>32</v>
      </c>
      <c r="W10" s="1">
        <v>33</v>
      </c>
      <c r="X10" s="1">
        <v>34</v>
      </c>
      <c r="Y10" s="1">
        <v>35</v>
      </c>
      <c r="Z10" s="1">
        <v>36</v>
      </c>
      <c r="AA10" s="1">
        <v>37</v>
      </c>
    </row>
    <row r="11" spans="2:27">
      <c r="B11" s="1" t="s">
        <v>66</v>
      </c>
      <c r="C11" s="1" t="s">
        <v>67</v>
      </c>
      <c r="D11" s="1" t="s">
        <v>68</v>
      </c>
      <c r="E11" s="1" t="s">
        <v>69</v>
      </c>
      <c r="F11" s="1"/>
      <c r="G11" s="1">
        <v>50</v>
      </c>
      <c r="H11" s="1"/>
      <c r="I11" s="1">
        <f t="shared" si="0"/>
        <v>30</v>
      </c>
      <c r="J11" s="1" t="str">
        <f t="shared" si="1"/>
        <v>30,80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S11" s="1" t="s">
        <v>70</v>
      </c>
      <c r="T11" s="1">
        <v>40</v>
      </c>
      <c r="U11" s="1">
        <v>41</v>
      </c>
      <c r="V11" s="1">
        <v>42</v>
      </c>
      <c r="W11" s="1">
        <v>43</v>
      </c>
      <c r="X11" s="1">
        <v>44</v>
      </c>
      <c r="Y11" s="1">
        <v>45</v>
      </c>
      <c r="Z11" s="1">
        <v>46</v>
      </c>
      <c r="AA11" s="1">
        <v>47</v>
      </c>
    </row>
    <row r="12" spans="2:27">
      <c r="B12" s="1" t="s">
        <v>71</v>
      </c>
      <c r="C12" s="1" t="s">
        <v>72</v>
      </c>
      <c r="D12" s="1" t="s">
        <v>73</v>
      </c>
      <c r="E12" s="1" t="s">
        <v>69</v>
      </c>
      <c r="F12" s="1"/>
      <c r="G12" s="1">
        <v>0</v>
      </c>
      <c r="H12" s="1"/>
      <c r="I12" s="1">
        <f t="shared" si="0"/>
        <v>30</v>
      </c>
      <c r="J12" s="1" t="str">
        <f t="shared" si="1"/>
        <v>30,80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S12" s="1" t="s">
        <v>74</v>
      </c>
      <c r="T12" s="1">
        <v>50</v>
      </c>
      <c r="U12" s="1">
        <v>51</v>
      </c>
      <c r="V12" s="1">
        <v>52</v>
      </c>
      <c r="W12" s="1">
        <v>53</v>
      </c>
      <c r="X12" s="1">
        <v>54</v>
      </c>
      <c r="Y12" s="1">
        <v>55</v>
      </c>
      <c r="Z12" s="1">
        <v>56</v>
      </c>
      <c r="AA12" s="1">
        <v>57</v>
      </c>
    </row>
    <row r="13" spans="2:26">
      <c r="B13" s="1" t="s">
        <v>75</v>
      </c>
      <c r="C13" s="1" t="s">
        <v>76</v>
      </c>
      <c r="D13" s="1" t="s">
        <v>77</v>
      </c>
      <c r="E13" s="1" t="s">
        <v>47</v>
      </c>
      <c r="F13" s="1"/>
      <c r="G13" s="1">
        <v>0</v>
      </c>
      <c r="H13" s="1" t="s">
        <v>78</v>
      </c>
      <c r="I13" s="1">
        <f t="shared" si="0"/>
        <v>300</v>
      </c>
      <c r="J13" s="1" t="str">
        <f t="shared" si="1"/>
        <v>10,80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Z13" t="s">
        <v>79</v>
      </c>
    </row>
    <row r="14" ht="34" spans="2:26">
      <c r="B14" s="1" t="s">
        <v>80</v>
      </c>
      <c r="C14" s="1" t="s">
        <v>81</v>
      </c>
      <c r="D14" s="7" t="s">
        <v>82</v>
      </c>
      <c r="E14" s="1" t="s">
        <v>47</v>
      </c>
      <c r="F14" s="1"/>
      <c r="G14" s="1">
        <v>20</v>
      </c>
      <c r="H14" s="1" t="s">
        <v>83</v>
      </c>
      <c r="I14" s="1">
        <f t="shared" si="0"/>
        <v>300</v>
      </c>
      <c r="J14" s="1" t="str">
        <f t="shared" si="1"/>
        <v>10,80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T14" t="s">
        <v>84</v>
      </c>
      <c r="V14">
        <v>300</v>
      </c>
      <c r="X14" t="s">
        <v>85</v>
      </c>
      <c r="Z14">
        <f>COUNTIF($E$4:$E$92,T14)</f>
        <v>28</v>
      </c>
    </row>
    <row r="15" ht="34" spans="2:26">
      <c r="B15" s="1" t="s">
        <v>86</v>
      </c>
      <c r="C15" s="1" t="s">
        <v>87</v>
      </c>
      <c r="D15" s="7" t="s">
        <v>88</v>
      </c>
      <c r="E15" s="1" t="s">
        <v>47</v>
      </c>
      <c r="F15" s="1"/>
      <c r="G15" s="1">
        <v>100</v>
      </c>
      <c r="H15" s="1"/>
      <c r="I15" s="1">
        <f t="shared" si="0"/>
        <v>300</v>
      </c>
      <c r="J15" s="1" t="str">
        <f t="shared" si="1"/>
        <v>10,80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T15" t="s">
        <v>89</v>
      </c>
      <c r="V15">
        <v>100</v>
      </c>
      <c r="X15" t="s">
        <v>90</v>
      </c>
      <c r="Z15">
        <f>COUNTIF($E$4:$E$92,T15)</f>
        <v>41</v>
      </c>
    </row>
    <row r="16" ht="34" spans="2:26">
      <c r="B16" s="1" t="s">
        <v>91</v>
      </c>
      <c r="C16" s="1" t="s">
        <v>92</v>
      </c>
      <c r="D16" s="7" t="s">
        <v>93</v>
      </c>
      <c r="E16" s="1" t="s">
        <v>43</v>
      </c>
      <c r="F16" s="1"/>
      <c r="G16" s="1">
        <v>0.2</v>
      </c>
      <c r="H16" s="1"/>
      <c r="I16" s="1">
        <f t="shared" si="0"/>
        <v>100</v>
      </c>
      <c r="J16" s="1" t="str">
        <f t="shared" si="1"/>
        <v>20,80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T16" t="s">
        <v>94</v>
      </c>
      <c r="V16">
        <v>30</v>
      </c>
      <c r="X16" t="s">
        <v>95</v>
      </c>
      <c r="Z16">
        <f>COUNTIF($E$4:$E$92,T16)</f>
        <v>14</v>
      </c>
    </row>
    <row r="17" spans="2:26">
      <c r="B17" s="1" t="s">
        <v>96</v>
      </c>
      <c r="C17" s="1" t="s">
        <v>97</v>
      </c>
      <c r="D17" s="1" t="s">
        <v>98</v>
      </c>
      <c r="E17" s="1" t="s">
        <v>43</v>
      </c>
      <c r="F17" s="1"/>
      <c r="G17" s="1">
        <v>0.2</v>
      </c>
      <c r="H17" s="1"/>
      <c r="I17" s="1">
        <f t="shared" si="0"/>
        <v>100</v>
      </c>
      <c r="J17" s="1" t="str">
        <f t="shared" si="1"/>
        <v>20,80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T17" t="s">
        <v>99</v>
      </c>
      <c r="V17">
        <v>10</v>
      </c>
      <c r="X17" t="s">
        <v>100</v>
      </c>
      <c r="Z17">
        <f>COUNTIF($E$4:$E$92,T17)</f>
        <v>6</v>
      </c>
    </row>
    <row r="18" customFormat="1" spans="1:16">
      <c r="A18" s="1"/>
      <c r="B18" s="1" t="s">
        <v>101</v>
      </c>
      <c r="C18" s="1" t="s">
        <v>102</v>
      </c>
      <c r="D18" s="1" t="s">
        <v>103</v>
      </c>
      <c r="E18" s="1" t="s">
        <v>47</v>
      </c>
      <c r="F18" s="1"/>
      <c r="G18" s="1">
        <v>0.2</v>
      </c>
      <c r="H18" s="1"/>
      <c r="I18" s="1">
        <f t="shared" si="0"/>
        <v>300</v>
      </c>
      <c r="J18" s="1" t="str">
        <f t="shared" si="1"/>
        <v>10,80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</row>
    <row r="19" customFormat="1" spans="1:16">
      <c r="A19" s="1"/>
      <c r="B19" s="1" t="s">
        <v>104</v>
      </c>
      <c r="C19" s="1" t="s">
        <v>105</v>
      </c>
      <c r="D19" s="1" t="s">
        <v>106</v>
      </c>
      <c r="E19" s="1" t="s">
        <v>43</v>
      </c>
      <c r="F19" s="1"/>
      <c r="G19" s="1">
        <v>0.2</v>
      </c>
      <c r="H19" s="1"/>
      <c r="I19" s="1">
        <f t="shared" si="0"/>
        <v>100</v>
      </c>
      <c r="J19" s="1" t="str">
        <f t="shared" si="1"/>
        <v>20,80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</row>
    <row r="20" customFormat="1" spans="1:16">
      <c r="A20" s="1"/>
      <c r="B20" s="1" t="s">
        <v>107</v>
      </c>
      <c r="C20" s="1" t="s">
        <v>108</v>
      </c>
      <c r="D20" s="1" t="s">
        <v>109</v>
      </c>
      <c r="E20" s="1" t="s">
        <v>43</v>
      </c>
      <c r="F20" s="1"/>
      <c r="G20" s="1">
        <v>0.2</v>
      </c>
      <c r="H20" s="1"/>
      <c r="I20" s="1">
        <f t="shared" si="0"/>
        <v>100</v>
      </c>
      <c r="J20" s="1" t="str">
        <f t="shared" si="1"/>
        <v>20,80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</row>
    <row r="21" customFormat="1" spans="1:16">
      <c r="A21" s="1"/>
      <c r="B21" s="1" t="s">
        <v>110</v>
      </c>
      <c r="C21" s="1" t="s">
        <v>111</v>
      </c>
      <c r="D21" s="1" t="s">
        <v>112</v>
      </c>
      <c r="E21" s="1" t="s">
        <v>47</v>
      </c>
      <c r="F21" s="1"/>
      <c r="G21" s="1">
        <v>0.2</v>
      </c>
      <c r="H21" s="1"/>
      <c r="I21" s="1">
        <f t="shared" si="0"/>
        <v>300</v>
      </c>
      <c r="J21" s="1" t="str">
        <f t="shared" si="1"/>
        <v>10,80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</row>
    <row r="22" customFormat="1" spans="1:16">
      <c r="A22" s="1"/>
      <c r="B22" s="1" t="s">
        <v>113</v>
      </c>
      <c r="C22" s="1" t="s">
        <v>114</v>
      </c>
      <c r="D22" s="1" t="s">
        <v>115</v>
      </c>
      <c r="E22" s="1" t="s">
        <v>69</v>
      </c>
      <c r="F22" s="1"/>
      <c r="G22" s="1">
        <v>30</v>
      </c>
      <c r="H22" s="1"/>
      <c r="I22" s="1">
        <f t="shared" si="0"/>
        <v>30</v>
      </c>
      <c r="J22" s="1" t="str">
        <f t="shared" si="1"/>
        <v>30,80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</row>
    <row r="23" customFormat="1" spans="1:16">
      <c r="A23" s="1"/>
      <c r="B23" s="1" t="s">
        <v>116</v>
      </c>
      <c r="C23" s="1" t="s">
        <v>117</v>
      </c>
      <c r="D23" s="1" t="s">
        <v>118</v>
      </c>
      <c r="E23" s="1" t="s">
        <v>47</v>
      </c>
      <c r="F23" s="1"/>
      <c r="G23" s="1">
        <v>0.2</v>
      </c>
      <c r="H23" s="1"/>
      <c r="I23" s="1">
        <f t="shared" si="0"/>
        <v>300</v>
      </c>
      <c r="J23" s="1" t="str">
        <f t="shared" si="1"/>
        <v>10,80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</row>
    <row r="24" customFormat="1" ht="34" spans="1:16">
      <c r="A24" s="1"/>
      <c r="B24" s="1" t="s">
        <v>119</v>
      </c>
      <c r="C24" s="1" t="s">
        <v>120</v>
      </c>
      <c r="D24" s="7" t="s">
        <v>121</v>
      </c>
      <c r="E24" s="1" t="s">
        <v>69</v>
      </c>
      <c r="F24" s="1"/>
      <c r="G24" s="1">
        <v>0</v>
      </c>
      <c r="H24" s="1"/>
      <c r="I24" s="1">
        <f t="shared" si="0"/>
        <v>30</v>
      </c>
      <c r="J24" s="1" t="str">
        <f t="shared" si="1"/>
        <v>30,80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</row>
    <row r="25" customFormat="1" ht="34" spans="1:16">
      <c r="A25" s="1"/>
      <c r="B25" s="1" t="s">
        <v>122</v>
      </c>
      <c r="C25" s="1" t="s">
        <v>123</v>
      </c>
      <c r="D25" s="7" t="s">
        <v>124</v>
      </c>
      <c r="E25" s="1" t="s">
        <v>47</v>
      </c>
      <c r="F25" s="1"/>
      <c r="G25" s="1">
        <v>0</v>
      </c>
      <c r="H25" s="1" t="s">
        <v>125</v>
      </c>
      <c r="I25" s="1">
        <f t="shared" si="0"/>
        <v>300</v>
      </c>
      <c r="J25" s="1" t="str">
        <f t="shared" si="1"/>
        <v>10,80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</row>
    <row r="26" customFormat="1" spans="1:16">
      <c r="A26" s="1"/>
      <c r="B26" s="1" t="s">
        <v>126</v>
      </c>
      <c r="C26" s="1" t="s">
        <v>127</v>
      </c>
      <c r="D26" s="1" t="s">
        <v>128</v>
      </c>
      <c r="E26" s="1" t="s">
        <v>47</v>
      </c>
      <c r="F26" s="1"/>
      <c r="G26" s="1">
        <v>-0.1</v>
      </c>
      <c r="H26" s="1"/>
      <c r="I26" s="1">
        <f t="shared" si="0"/>
        <v>300</v>
      </c>
      <c r="J26" s="1" t="str">
        <f t="shared" si="1"/>
        <v>10,80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</row>
    <row r="27" customFormat="1" spans="1:16">
      <c r="A27" s="1"/>
      <c r="B27" s="1" t="s">
        <v>129</v>
      </c>
      <c r="C27" s="1" t="s">
        <v>130</v>
      </c>
      <c r="D27" s="1" t="s">
        <v>131</v>
      </c>
      <c r="E27" s="1" t="s">
        <v>43</v>
      </c>
      <c r="F27" s="1"/>
      <c r="G27" s="1">
        <v>-0.1</v>
      </c>
      <c r="H27" s="1"/>
      <c r="I27" s="1">
        <f t="shared" si="0"/>
        <v>100</v>
      </c>
      <c r="J27" s="1" t="str">
        <f t="shared" si="1"/>
        <v>20,80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</row>
    <row r="28" customFormat="1" spans="1:16">
      <c r="A28" s="1"/>
      <c r="B28" s="1" t="s">
        <v>132</v>
      </c>
      <c r="C28" s="1" t="s">
        <v>133</v>
      </c>
      <c r="D28" s="1" t="s">
        <v>134</v>
      </c>
      <c r="E28" s="1" t="s">
        <v>69</v>
      </c>
      <c r="F28" s="1"/>
      <c r="G28" s="1">
        <v>-0.1</v>
      </c>
      <c r="H28" s="1"/>
      <c r="I28" s="1">
        <f t="shared" si="0"/>
        <v>30</v>
      </c>
      <c r="J28" s="1" t="str">
        <f t="shared" si="1"/>
        <v>30,80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</row>
    <row r="29" customFormat="1" ht="34" spans="1:16">
      <c r="A29" s="1"/>
      <c r="B29" s="1" t="s">
        <v>135</v>
      </c>
      <c r="C29" s="1" t="s">
        <v>136</v>
      </c>
      <c r="D29" s="7" t="s">
        <v>137</v>
      </c>
      <c r="E29" s="1" t="s">
        <v>43</v>
      </c>
      <c r="F29" s="1"/>
      <c r="G29" s="1">
        <v>1.1</v>
      </c>
      <c r="H29" s="1" t="s">
        <v>138</v>
      </c>
      <c r="I29" s="1">
        <f t="shared" si="0"/>
        <v>100</v>
      </c>
      <c r="J29" s="1" t="str">
        <f t="shared" si="1"/>
        <v>20,80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</row>
    <row r="30" customFormat="1" ht="34" spans="1:16">
      <c r="A30" s="1"/>
      <c r="B30" s="1" t="s">
        <v>139</v>
      </c>
      <c r="C30" s="1" t="s">
        <v>140</v>
      </c>
      <c r="D30" s="7" t="s">
        <v>141</v>
      </c>
      <c r="E30" s="1" t="s">
        <v>69</v>
      </c>
      <c r="F30" s="1"/>
      <c r="G30" s="1">
        <v>1.1</v>
      </c>
      <c r="H30" s="1" t="s">
        <v>142</v>
      </c>
      <c r="I30" s="1">
        <f t="shared" si="0"/>
        <v>30</v>
      </c>
      <c r="J30" s="1" t="str">
        <f t="shared" si="1"/>
        <v>30,80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</row>
    <row r="31" customFormat="1" ht="34" spans="1:16">
      <c r="A31" s="1"/>
      <c r="B31" s="1" t="s">
        <v>143</v>
      </c>
      <c r="C31" s="1" t="s">
        <v>144</v>
      </c>
      <c r="D31" s="7" t="s">
        <v>145</v>
      </c>
      <c r="E31" s="1" t="s">
        <v>43</v>
      </c>
      <c r="F31" s="1"/>
      <c r="G31" s="1">
        <v>0.1</v>
      </c>
      <c r="H31" s="1"/>
      <c r="I31" s="1">
        <f t="shared" si="0"/>
        <v>100</v>
      </c>
      <c r="J31" s="1" t="str">
        <f t="shared" si="1"/>
        <v>20,80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</row>
    <row r="32" customFormat="1" spans="1:16">
      <c r="A32" s="1"/>
      <c r="B32" s="1" t="s">
        <v>146</v>
      </c>
      <c r="C32" s="1" t="s">
        <v>147</v>
      </c>
      <c r="D32" s="1" t="s">
        <v>148</v>
      </c>
      <c r="E32" s="1" t="s">
        <v>43</v>
      </c>
      <c r="F32" s="1"/>
      <c r="G32" s="1">
        <v>10</v>
      </c>
      <c r="H32" s="1"/>
      <c r="I32" s="1">
        <f t="shared" si="0"/>
        <v>100</v>
      </c>
      <c r="J32" s="1" t="str">
        <f t="shared" si="1"/>
        <v>20,80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</row>
    <row r="33" customFormat="1" ht="34" spans="1:16">
      <c r="A33" s="1"/>
      <c r="B33" s="1" t="s">
        <v>149</v>
      </c>
      <c r="C33" s="1" t="s">
        <v>150</v>
      </c>
      <c r="D33" s="7" t="s">
        <v>151</v>
      </c>
      <c r="E33" s="1" t="s">
        <v>43</v>
      </c>
      <c r="F33" s="1"/>
      <c r="G33" s="1">
        <v>0</v>
      </c>
      <c r="H33" s="1" t="s">
        <v>152</v>
      </c>
      <c r="I33" s="1">
        <f t="shared" si="0"/>
        <v>100</v>
      </c>
      <c r="J33" s="1" t="str">
        <f t="shared" si="1"/>
        <v>20,80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</row>
    <row r="34" customFormat="1" ht="34" spans="1:16">
      <c r="A34" s="1"/>
      <c r="B34" s="1" t="s">
        <v>153</v>
      </c>
      <c r="C34" s="1" t="s">
        <v>154</v>
      </c>
      <c r="D34" s="7" t="s">
        <v>155</v>
      </c>
      <c r="E34" s="1" t="s">
        <v>43</v>
      </c>
      <c r="F34" s="1"/>
      <c r="G34" s="1">
        <v>0</v>
      </c>
      <c r="H34" s="1" t="s">
        <v>156</v>
      </c>
      <c r="I34" s="1">
        <f t="shared" si="0"/>
        <v>100</v>
      </c>
      <c r="J34" s="1" t="str">
        <f t="shared" si="1"/>
        <v>20,80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</row>
    <row r="35" customFormat="1" ht="34" spans="1:16">
      <c r="A35" s="1"/>
      <c r="B35" s="1" t="s">
        <v>157</v>
      </c>
      <c r="C35" s="1" t="s">
        <v>158</v>
      </c>
      <c r="D35" s="7" t="s">
        <v>159</v>
      </c>
      <c r="E35" s="1" t="s">
        <v>43</v>
      </c>
      <c r="F35" s="1"/>
      <c r="G35" s="1">
        <v>0</v>
      </c>
      <c r="H35" s="1"/>
      <c r="I35" s="1">
        <f t="shared" si="0"/>
        <v>100</v>
      </c>
      <c r="J35" s="1" t="str">
        <f t="shared" si="1"/>
        <v>20,80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</row>
    <row r="36" customFormat="1" spans="1:16">
      <c r="A36" s="1"/>
      <c r="B36" s="1" t="s">
        <v>160</v>
      </c>
      <c r="C36" s="1" t="s">
        <v>161</v>
      </c>
      <c r="D36" s="1" t="s">
        <v>162</v>
      </c>
      <c r="E36" s="1" t="s">
        <v>43</v>
      </c>
      <c r="F36" s="1"/>
      <c r="G36" s="1">
        <v>1</v>
      </c>
      <c r="H36" s="1"/>
      <c r="I36" s="1">
        <f t="shared" si="0"/>
        <v>100</v>
      </c>
      <c r="J36" s="1" t="str">
        <f t="shared" si="1"/>
        <v>20,80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</row>
    <row r="37" customFormat="1" ht="34" spans="1:16">
      <c r="A37" s="1"/>
      <c r="B37" s="1" t="s">
        <v>163</v>
      </c>
      <c r="C37" s="1" t="s">
        <v>164</v>
      </c>
      <c r="D37" s="7" t="s">
        <v>165</v>
      </c>
      <c r="E37" s="1" t="s">
        <v>69</v>
      </c>
      <c r="F37" s="1"/>
      <c r="G37" s="1">
        <v>0.2</v>
      </c>
      <c r="H37" s="1"/>
      <c r="I37" s="1">
        <f t="shared" si="0"/>
        <v>30</v>
      </c>
      <c r="J37" s="1" t="str">
        <f t="shared" si="1"/>
        <v>30,80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</row>
    <row r="38" customFormat="1" ht="34" spans="1:16">
      <c r="A38" s="1"/>
      <c r="B38" s="1" t="s">
        <v>166</v>
      </c>
      <c r="C38" s="1" t="s">
        <v>167</v>
      </c>
      <c r="D38" s="7" t="s">
        <v>168</v>
      </c>
      <c r="E38" s="1" t="s">
        <v>69</v>
      </c>
      <c r="F38" s="1"/>
      <c r="G38" s="1">
        <v>5</v>
      </c>
      <c r="H38" s="1"/>
      <c r="I38" s="1">
        <f t="shared" si="0"/>
        <v>30</v>
      </c>
      <c r="J38" s="1" t="str">
        <f t="shared" si="1"/>
        <v>30,80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</row>
    <row r="39" customFormat="1" ht="34" spans="1:16">
      <c r="A39" s="1"/>
      <c r="B39" s="1" t="s">
        <v>169</v>
      </c>
      <c r="C39" s="1" t="s">
        <v>170</v>
      </c>
      <c r="D39" s="7" t="s">
        <v>171</v>
      </c>
      <c r="E39" s="1" t="s">
        <v>43</v>
      </c>
      <c r="F39" s="1"/>
      <c r="G39" s="1">
        <v>5</v>
      </c>
      <c r="H39" s="1"/>
      <c r="I39" s="1">
        <f t="shared" si="0"/>
        <v>100</v>
      </c>
      <c r="J39" s="1" t="str">
        <f t="shared" si="1"/>
        <v>20,80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</row>
    <row r="40" customFormat="1" ht="34" spans="1:16">
      <c r="A40" s="1"/>
      <c r="B40" s="1" t="s">
        <v>172</v>
      </c>
      <c r="C40" s="1" t="s">
        <v>173</v>
      </c>
      <c r="D40" s="7" t="s">
        <v>174</v>
      </c>
      <c r="E40" s="1" t="s">
        <v>43</v>
      </c>
      <c r="F40" s="1"/>
      <c r="G40" s="1">
        <v>10</v>
      </c>
      <c r="H40" s="1"/>
      <c r="I40" s="1">
        <f t="shared" si="0"/>
        <v>100</v>
      </c>
      <c r="J40" s="1" t="str">
        <f t="shared" si="1"/>
        <v>20,80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</row>
    <row r="41" customFormat="1" ht="34" spans="1:16">
      <c r="A41" s="1"/>
      <c r="B41" s="1" t="s">
        <v>175</v>
      </c>
      <c r="C41" s="1" t="s">
        <v>176</v>
      </c>
      <c r="D41" s="7" t="s">
        <v>177</v>
      </c>
      <c r="E41" s="1" t="s">
        <v>43</v>
      </c>
      <c r="F41" s="1"/>
      <c r="G41" s="1">
        <v>1</v>
      </c>
      <c r="H41" s="1"/>
      <c r="I41" s="1">
        <f t="shared" si="0"/>
        <v>100</v>
      </c>
      <c r="J41" s="1" t="str">
        <f t="shared" si="1"/>
        <v>20,80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</row>
    <row r="42" customFormat="1" spans="1:16">
      <c r="A42" s="1"/>
      <c r="B42" s="1" t="s">
        <v>178</v>
      </c>
      <c r="C42" s="1" t="s">
        <v>179</v>
      </c>
      <c r="D42" s="1" t="s">
        <v>180</v>
      </c>
      <c r="E42" s="1" t="s">
        <v>69</v>
      </c>
      <c r="F42" s="1"/>
      <c r="G42" s="1">
        <v>10</v>
      </c>
      <c r="H42" s="1"/>
      <c r="I42" s="1">
        <f t="shared" si="0"/>
        <v>30</v>
      </c>
      <c r="J42" s="1" t="str">
        <f t="shared" si="1"/>
        <v>30,80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</row>
    <row r="43" customFormat="1" ht="34" spans="1:16">
      <c r="A43" s="1"/>
      <c r="B43" s="1" t="s">
        <v>181</v>
      </c>
      <c r="C43" s="1" t="s">
        <v>182</v>
      </c>
      <c r="D43" s="7" t="s">
        <v>183</v>
      </c>
      <c r="E43" s="1" t="s">
        <v>43</v>
      </c>
      <c r="F43" s="1"/>
      <c r="G43" s="1">
        <v>300</v>
      </c>
      <c r="H43" s="1" t="s">
        <v>184</v>
      </c>
      <c r="I43" s="1">
        <f t="shared" si="0"/>
        <v>100</v>
      </c>
      <c r="J43" s="1" t="str">
        <f t="shared" si="1"/>
        <v>20,80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</row>
    <row r="44" customFormat="1" spans="1:16">
      <c r="A44" s="1"/>
      <c r="B44" s="1" t="s">
        <v>185</v>
      </c>
      <c r="C44" s="1" t="s">
        <v>186</v>
      </c>
      <c r="D44" s="1" t="s">
        <v>187</v>
      </c>
      <c r="E44" s="1" t="s">
        <v>43</v>
      </c>
      <c r="F44" s="1"/>
      <c r="G44" s="1">
        <v>0</v>
      </c>
      <c r="H44" s="1"/>
      <c r="I44" s="1">
        <f t="shared" si="0"/>
        <v>100</v>
      </c>
      <c r="J44" s="1" t="str">
        <f t="shared" si="1"/>
        <v>20,80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</row>
    <row r="45" customFormat="1" spans="1:16">
      <c r="A45" s="1"/>
      <c r="B45" s="1" t="s">
        <v>188</v>
      </c>
      <c r="C45" s="1" t="s">
        <v>189</v>
      </c>
      <c r="D45" s="1" t="s">
        <v>190</v>
      </c>
      <c r="E45" s="1" t="s">
        <v>43</v>
      </c>
      <c r="F45" s="1"/>
      <c r="G45" s="1">
        <v>1</v>
      </c>
      <c r="H45" s="1"/>
      <c r="I45" s="1">
        <f t="shared" si="0"/>
        <v>100</v>
      </c>
      <c r="J45" s="1" t="str">
        <f t="shared" si="1"/>
        <v>20,80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</row>
    <row r="46" customFormat="1" spans="1:16">
      <c r="A46" s="1"/>
      <c r="B46" s="1" t="s">
        <v>191</v>
      </c>
      <c r="C46" s="1" t="s">
        <v>192</v>
      </c>
      <c r="D46" s="1" t="s">
        <v>193</v>
      </c>
      <c r="E46" s="1" t="s">
        <v>194</v>
      </c>
      <c r="F46" s="1"/>
      <c r="G46" s="1">
        <v>1</v>
      </c>
      <c r="H46" s="1"/>
      <c r="I46" s="1">
        <f t="shared" si="0"/>
        <v>10</v>
      </c>
      <c r="J46" s="1" t="str">
        <f t="shared" si="1"/>
        <v>40,80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</row>
    <row r="47" customFormat="1" ht="34" spans="1:16">
      <c r="A47" s="1"/>
      <c r="B47" s="1" t="s">
        <v>195</v>
      </c>
      <c r="C47" s="1" t="s">
        <v>196</v>
      </c>
      <c r="D47" s="7" t="s">
        <v>197</v>
      </c>
      <c r="E47" s="1" t="s">
        <v>43</v>
      </c>
      <c r="F47" s="1"/>
      <c r="G47" s="1">
        <v>1</v>
      </c>
      <c r="H47" s="1"/>
      <c r="I47" s="1">
        <f t="shared" si="0"/>
        <v>100</v>
      </c>
      <c r="J47" s="1" t="str">
        <f t="shared" si="1"/>
        <v>20,80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</row>
    <row r="48" customFormat="1" ht="34" spans="1:16">
      <c r="A48" s="1"/>
      <c r="B48" s="1" t="s">
        <v>198</v>
      </c>
      <c r="C48" s="1" t="s">
        <v>199</v>
      </c>
      <c r="D48" s="7" t="s">
        <v>200</v>
      </c>
      <c r="E48" s="1" t="s">
        <v>43</v>
      </c>
      <c r="F48" s="1"/>
      <c r="G48" s="1">
        <v>1</v>
      </c>
      <c r="H48" s="1"/>
      <c r="I48" s="1">
        <f t="shared" si="0"/>
        <v>100</v>
      </c>
      <c r="J48" s="1" t="str">
        <f t="shared" si="1"/>
        <v>20,80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</row>
    <row r="49" customFormat="1" ht="34" spans="1:16">
      <c r="A49" s="1"/>
      <c r="B49" s="1" t="s">
        <v>201</v>
      </c>
      <c r="C49" s="1" t="s">
        <v>202</v>
      </c>
      <c r="D49" s="7" t="s">
        <v>203</v>
      </c>
      <c r="E49" s="1" t="s">
        <v>43</v>
      </c>
      <c r="F49" s="1"/>
      <c r="G49" s="1">
        <v>2</v>
      </c>
      <c r="H49" s="1" t="s">
        <v>204</v>
      </c>
      <c r="I49" s="1">
        <f t="shared" si="0"/>
        <v>100</v>
      </c>
      <c r="J49" s="1" t="str">
        <f t="shared" si="1"/>
        <v>20,80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</row>
    <row r="50" customFormat="1" ht="34" spans="1:16">
      <c r="A50" s="1"/>
      <c r="B50" s="1" t="s">
        <v>205</v>
      </c>
      <c r="C50" s="1" t="s">
        <v>206</v>
      </c>
      <c r="D50" s="7" t="s">
        <v>207</v>
      </c>
      <c r="E50" s="1" t="s">
        <v>47</v>
      </c>
      <c r="F50" s="1"/>
      <c r="G50" s="1">
        <v>2</v>
      </c>
      <c r="H50" s="1" t="s">
        <v>208</v>
      </c>
      <c r="I50" s="1">
        <f t="shared" si="0"/>
        <v>300</v>
      </c>
      <c r="J50" s="1" t="str">
        <f t="shared" si="1"/>
        <v>10,80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</row>
    <row r="51" customFormat="1" ht="34" spans="1:16">
      <c r="A51" s="1"/>
      <c r="B51" s="1" t="s">
        <v>209</v>
      </c>
      <c r="C51" s="1" t="s">
        <v>210</v>
      </c>
      <c r="D51" s="7" t="s">
        <v>211</v>
      </c>
      <c r="E51" s="1" t="s">
        <v>47</v>
      </c>
      <c r="F51" s="1"/>
      <c r="G51" s="1">
        <v>2</v>
      </c>
      <c r="H51" s="1" t="s">
        <v>212</v>
      </c>
      <c r="I51" s="1">
        <f t="shared" si="0"/>
        <v>300</v>
      </c>
      <c r="J51" s="1" t="str">
        <f t="shared" si="1"/>
        <v>10,80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</row>
    <row r="52" customFormat="1" spans="1:16">
      <c r="A52" s="1"/>
      <c r="B52" s="1" t="s">
        <v>213</v>
      </c>
      <c r="C52" s="1" t="s">
        <v>214</v>
      </c>
      <c r="D52" s="1" t="s">
        <v>215</v>
      </c>
      <c r="E52" s="1" t="s">
        <v>43</v>
      </c>
      <c r="F52" s="1"/>
      <c r="G52" s="1">
        <v>2</v>
      </c>
      <c r="H52" s="1"/>
      <c r="I52" s="1">
        <f t="shared" si="0"/>
        <v>100</v>
      </c>
      <c r="J52" s="1" t="str">
        <f t="shared" si="1"/>
        <v>20,80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</row>
    <row r="53" customFormat="1" ht="34" spans="1:16">
      <c r="A53" s="1"/>
      <c r="B53" s="1" t="s">
        <v>216</v>
      </c>
      <c r="C53" s="1" t="s">
        <v>217</v>
      </c>
      <c r="D53" s="7" t="s">
        <v>218</v>
      </c>
      <c r="E53" s="1" t="s">
        <v>43</v>
      </c>
      <c r="F53" s="1"/>
      <c r="G53" s="1">
        <v>5</v>
      </c>
      <c r="H53" s="1"/>
      <c r="I53" s="1">
        <f t="shared" si="0"/>
        <v>100</v>
      </c>
      <c r="J53" s="1" t="str">
        <f t="shared" si="1"/>
        <v>20,80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</row>
    <row r="54" customFormat="1" ht="34" spans="1:16">
      <c r="A54" s="1"/>
      <c r="B54" s="1" t="s">
        <v>219</v>
      </c>
      <c r="C54" s="1" t="s">
        <v>220</v>
      </c>
      <c r="D54" s="7" t="s">
        <v>221</v>
      </c>
      <c r="E54" s="1" t="s">
        <v>43</v>
      </c>
      <c r="F54" s="1"/>
      <c r="G54" s="1">
        <v>600</v>
      </c>
      <c r="H54" s="1"/>
      <c r="I54" s="1">
        <f t="shared" si="0"/>
        <v>100</v>
      </c>
      <c r="J54" s="1" t="str">
        <f t="shared" si="1"/>
        <v>20,80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</row>
    <row r="55" customFormat="1" spans="1:16">
      <c r="A55" s="1"/>
      <c r="B55" s="1" t="s">
        <v>222</v>
      </c>
      <c r="C55" s="1" t="s">
        <v>223</v>
      </c>
      <c r="D55" s="1" t="s">
        <v>224</v>
      </c>
      <c r="E55" s="1" t="s">
        <v>43</v>
      </c>
      <c r="F55" s="1"/>
      <c r="G55" s="1">
        <v>2</v>
      </c>
      <c r="H55" s="1"/>
      <c r="I55" s="1">
        <f t="shared" si="0"/>
        <v>100</v>
      </c>
      <c r="J55" s="1" t="str">
        <f t="shared" si="1"/>
        <v>20,80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</row>
    <row r="56" customFormat="1" ht="34" spans="1:16">
      <c r="A56" s="1"/>
      <c r="B56" s="1" t="s">
        <v>225</v>
      </c>
      <c r="C56" s="1" t="s">
        <v>226</v>
      </c>
      <c r="D56" s="7" t="s">
        <v>227</v>
      </c>
      <c r="E56" s="1" t="s">
        <v>43</v>
      </c>
      <c r="F56" s="1"/>
      <c r="G56" s="1">
        <v>200</v>
      </c>
      <c r="H56" s="1"/>
      <c r="I56" s="1">
        <f t="shared" si="0"/>
        <v>100</v>
      </c>
      <c r="J56" s="1" t="str">
        <f t="shared" si="1"/>
        <v>20,80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</row>
    <row r="57" customFormat="1" ht="34" spans="1:16">
      <c r="A57" s="1"/>
      <c r="B57" s="1" t="s">
        <v>228</v>
      </c>
      <c r="C57" s="1" t="s">
        <v>229</v>
      </c>
      <c r="D57" s="7" t="s">
        <v>230</v>
      </c>
      <c r="E57" s="1" t="s">
        <v>43</v>
      </c>
      <c r="F57" s="1"/>
      <c r="G57" s="1">
        <v>2</v>
      </c>
      <c r="H57" s="1"/>
      <c r="I57" s="1">
        <f t="shared" si="0"/>
        <v>100</v>
      </c>
      <c r="J57" s="1" t="str">
        <f t="shared" si="1"/>
        <v>20,80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</row>
    <row r="58" customFormat="1" spans="1:16">
      <c r="A58" s="1"/>
      <c r="B58" s="1" t="s">
        <v>231</v>
      </c>
      <c r="C58" s="1" t="s">
        <v>232</v>
      </c>
      <c r="D58" s="1" t="s">
        <v>233</v>
      </c>
      <c r="E58" s="1" t="s">
        <v>194</v>
      </c>
      <c r="F58" s="1"/>
      <c r="G58" s="1">
        <v>1</v>
      </c>
      <c r="H58" s="1"/>
      <c r="I58" s="1">
        <f t="shared" si="0"/>
        <v>10</v>
      </c>
      <c r="J58" s="1" t="str">
        <f t="shared" si="1"/>
        <v>40,80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</row>
    <row r="59" customFormat="1" ht="34" spans="1:16">
      <c r="A59" s="1"/>
      <c r="B59" s="1" t="s">
        <v>234</v>
      </c>
      <c r="C59" s="1" t="s">
        <v>235</v>
      </c>
      <c r="D59" s="7" t="s">
        <v>236</v>
      </c>
      <c r="E59" s="1" t="s">
        <v>43</v>
      </c>
      <c r="F59" s="1"/>
      <c r="G59" s="1">
        <v>1</v>
      </c>
      <c r="H59" s="1"/>
      <c r="I59" s="1">
        <f t="shared" si="0"/>
        <v>100</v>
      </c>
      <c r="J59" s="1" t="str">
        <f t="shared" si="1"/>
        <v>20,80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</row>
    <row r="60" customFormat="1" ht="34" spans="1:16">
      <c r="A60" s="1"/>
      <c r="B60" s="1" t="s">
        <v>237</v>
      </c>
      <c r="C60" s="1" t="s">
        <v>238</v>
      </c>
      <c r="D60" s="7" t="s">
        <v>239</v>
      </c>
      <c r="E60" s="1" t="s">
        <v>43</v>
      </c>
      <c r="F60" s="1"/>
      <c r="G60" s="1">
        <v>2</v>
      </c>
      <c r="H60" s="1"/>
      <c r="I60" s="1">
        <f t="shared" si="0"/>
        <v>100</v>
      </c>
      <c r="J60" s="1" t="str">
        <f t="shared" si="1"/>
        <v>20,80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</row>
    <row r="61" customFormat="1" ht="34" spans="1:16">
      <c r="A61" s="1"/>
      <c r="B61" s="1" t="s">
        <v>240</v>
      </c>
      <c r="C61" s="1" t="s">
        <v>241</v>
      </c>
      <c r="D61" s="7" t="s">
        <v>242</v>
      </c>
      <c r="E61" s="1" t="s">
        <v>43</v>
      </c>
      <c r="F61" s="1"/>
      <c r="G61" s="1">
        <v>1</v>
      </c>
      <c r="H61" s="1"/>
      <c r="I61" s="1">
        <f t="shared" si="0"/>
        <v>100</v>
      </c>
      <c r="J61" s="1" t="str">
        <f t="shared" si="1"/>
        <v>20,80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</row>
    <row r="62" customFormat="1" ht="34" spans="1:16">
      <c r="A62" s="1"/>
      <c r="B62" s="1" t="s">
        <v>243</v>
      </c>
      <c r="C62" s="1" t="s">
        <v>244</v>
      </c>
      <c r="D62" s="7" t="s">
        <v>245</v>
      </c>
      <c r="E62" s="1" t="s">
        <v>69</v>
      </c>
      <c r="F62" s="1"/>
      <c r="G62" s="1">
        <v>4</v>
      </c>
      <c r="H62" s="1"/>
      <c r="I62" s="1">
        <f t="shared" si="0"/>
        <v>30</v>
      </c>
      <c r="J62" s="1" t="str">
        <f t="shared" si="1"/>
        <v>30,80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</row>
    <row r="63" customFormat="1" spans="1:16">
      <c r="A63" s="1"/>
      <c r="B63" s="1" t="s">
        <v>246</v>
      </c>
      <c r="C63" s="1" t="s">
        <v>247</v>
      </c>
      <c r="D63" s="1" t="s">
        <v>248</v>
      </c>
      <c r="E63" s="1" t="s">
        <v>69</v>
      </c>
      <c r="F63" s="1"/>
      <c r="G63" s="1">
        <v>0.2</v>
      </c>
      <c r="H63" s="1"/>
      <c r="I63" s="1">
        <f t="shared" si="0"/>
        <v>30</v>
      </c>
      <c r="J63" s="1" t="str">
        <f t="shared" si="1"/>
        <v>30,80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</row>
    <row r="64" customFormat="1" spans="1:16">
      <c r="A64" s="1"/>
      <c r="B64" s="1" t="s">
        <v>249</v>
      </c>
      <c r="C64" s="1" t="s">
        <v>250</v>
      </c>
      <c r="D64" s="1" t="s">
        <v>251</v>
      </c>
      <c r="E64" s="1" t="s">
        <v>47</v>
      </c>
      <c r="F64" s="1"/>
      <c r="G64" s="1">
        <v>0.2</v>
      </c>
      <c r="H64" s="1"/>
      <c r="I64" s="1">
        <f t="shared" si="0"/>
        <v>300</v>
      </c>
      <c r="J64" s="1" t="str">
        <f t="shared" si="1"/>
        <v>10,80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</row>
    <row r="65" customFormat="1" ht="34" spans="1:16">
      <c r="A65" s="1"/>
      <c r="B65" s="1" t="s">
        <v>252</v>
      </c>
      <c r="C65" s="1" t="s">
        <v>253</v>
      </c>
      <c r="D65" s="7" t="s">
        <v>254</v>
      </c>
      <c r="E65" s="1" t="s">
        <v>47</v>
      </c>
      <c r="F65" s="1"/>
      <c r="G65" s="1">
        <v>10</v>
      </c>
      <c r="H65" s="1"/>
      <c r="I65" s="1">
        <f t="shared" si="0"/>
        <v>300</v>
      </c>
      <c r="J65" s="1" t="str">
        <f t="shared" si="1"/>
        <v>10,80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</row>
    <row r="66" customFormat="1" spans="1:16">
      <c r="A66" s="1"/>
      <c r="B66" s="1" t="s">
        <v>255</v>
      </c>
      <c r="C66" s="1" t="s">
        <v>256</v>
      </c>
      <c r="D66" s="1" t="s">
        <v>257</v>
      </c>
      <c r="E66" s="1" t="s">
        <v>69</v>
      </c>
      <c r="F66" s="1"/>
      <c r="G66" s="1">
        <v>0</v>
      </c>
      <c r="H66" s="1"/>
      <c r="I66" s="1">
        <f t="shared" si="0"/>
        <v>30</v>
      </c>
      <c r="J66" s="1" t="str">
        <f t="shared" si="1"/>
        <v>30,80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</row>
    <row r="67" customFormat="1" ht="34" spans="1:16">
      <c r="A67" s="1"/>
      <c r="B67" s="1" t="s">
        <v>258</v>
      </c>
      <c r="C67" s="1" t="s">
        <v>259</v>
      </c>
      <c r="D67" s="7" t="s">
        <v>260</v>
      </c>
      <c r="E67" s="1" t="s">
        <v>43</v>
      </c>
      <c r="F67" s="1"/>
      <c r="G67" s="1">
        <v>1</v>
      </c>
      <c r="H67" s="1"/>
      <c r="I67" s="1">
        <f t="shared" si="0"/>
        <v>100</v>
      </c>
      <c r="J67" s="1" t="str">
        <f t="shared" si="1"/>
        <v>20,80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</row>
    <row r="68" customFormat="1" ht="34" spans="1:16">
      <c r="A68" s="1"/>
      <c r="B68" s="1" t="s">
        <v>261</v>
      </c>
      <c r="C68" s="1" t="s">
        <v>262</v>
      </c>
      <c r="D68" s="7" t="s">
        <v>263</v>
      </c>
      <c r="E68" s="1" t="s">
        <v>69</v>
      </c>
      <c r="F68" s="1"/>
      <c r="G68" s="1">
        <v>1</v>
      </c>
      <c r="H68" s="1"/>
      <c r="I68" s="1">
        <f t="shared" ref="I68:I92" si="2">VLOOKUP(E68,$T$14:$X$17,3,FALSE)</f>
        <v>30</v>
      </c>
      <c r="J68" s="1" t="str">
        <f t="shared" ref="J68:J92" si="3">VLOOKUP(E68,$T$14:$X$17,5,FALSE)</f>
        <v>30,80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</row>
    <row r="69" customFormat="1" ht="34" spans="1:16">
      <c r="A69" s="1"/>
      <c r="B69" s="1" t="s">
        <v>264</v>
      </c>
      <c r="C69" s="1" t="s">
        <v>265</v>
      </c>
      <c r="D69" s="7" t="s">
        <v>266</v>
      </c>
      <c r="E69" s="1" t="s">
        <v>43</v>
      </c>
      <c r="F69" s="1"/>
      <c r="G69" s="1">
        <v>0</v>
      </c>
      <c r="H69" s="1" t="s">
        <v>267</v>
      </c>
      <c r="I69" s="1">
        <f t="shared" si="2"/>
        <v>100</v>
      </c>
      <c r="J69" s="1" t="str">
        <f t="shared" si="3"/>
        <v>20,80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</row>
    <row r="70" customFormat="1" ht="34" spans="1:16">
      <c r="A70" s="1"/>
      <c r="B70" s="1" t="s">
        <v>268</v>
      </c>
      <c r="C70" s="1" t="s">
        <v>269</v>
      </c>
      <c r="D70" s="7" t="s">
        <v>270</v>
      </c>
      <c r="E70" s="1" t="s">
        <v>43</v>
      </c>
      <c r="F70" s="1"/>
      <c r="G70" s="1">
        <v>0</v>
      </c>
      <c r="H70" s="1" t="s">
        <v>271</v>
      </c>
      <c r="I70" s="1">
        <f t="shared" si="2"/>
        <v>100</v>
      </c>
      <c r="J70" s="1" t="str">
        <f t="shared" si="3"/>
        <v>20,80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</row>
    <row r="71" customFormat="1" spans="1:16">
      <c r="A71" s="1"/>
      <c r="B71" s="1" t="s">
        <v>272</v>
      </c>
      <c r="C71" s="1" t="s">
        <v>273</v>
      </c>
      <c r="D71" s="1" t="s">
        <v>274</v>
      </c>
      <c r="E71" s="1" t="s">
        <v>43</v>
      </c>
      <c r="F71" s="1"/>
      <c r="G71" s="1">
        <v>1</v>
      </c>
      <c r="H71" s="1"/>
      <c r="I71" s="1">
        <f t="shared" si="2"/>
        <v>100</v>
      </c>
      <c r="J71" s="1" t="str">
        <f t="shared" si="3"/>
        <v>20,80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</row>
    <row r="72" customFormat="1" spans="1:16">
      <c r="A72" s="1"/>
      <c r="B72" s="1" t="s">
        <v>275</v>
      </c>
      <c r="C72" s="1" t="s">
        <v>276</v>
      </c>
      <c r="D72" s="1" t="s">
        <v>277</v>
      </c>
      <c r="E72" s="1" t="s">
        <v>47</v>
      </c>
      <c r="F72" s="1"/>
      <c r="G72" s="1">
        <v>2</v>
      </c>
      <c r="H72" s="1"/>
      <c r="I72" s="1">
        <f t="shared" si="2"/>
        <v>300</v>
      </c>
      <c r="J72" s="1" t="str">
        <f t="shared" si="3"/>
        <v>10,80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</row>
    <row r="73" customFormat="1" ht="34" spans="1:16">
      <c r="A73" s="1"/>
      <c r="B73" s="1" t="s">
        <v>278</v>
      </c>
      <c r="C73" s="1" t="s">
        <v>279</v>
      </c>
      <c r="D73" s="7" t="s">
        <v>280</v>
      </c>
      <c r="E73" s="1" t="s">
        <v>43</v>
      </c>
      <c r="F73" s="1"/>
      <c r="G73" s="1">
        <v>100</v>
      </c>
      <c r="H73" s="1"/>
      <c r="I73" s="1">
        <f t="shared" si="2"/>
        <v>100</v>
      </c>
      <c r="J73" s="1" t="str">
        <f t="shared" si="3"/>
        <v>20,80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</row>
    <row r="74" customFormat="1" spans="1:16">
      <c r="A74" s="1"/>
      <c r="B74" s="1" t="s">
        <v>281</v>
      </c>
      <c r="C74" s="1" t="s">
        <v>282</v>
      </c>
      <c r="D74" s="1" t="s">
        <v>283</v>
      </c>
      <c r="E74" s="1" t="s">
        <v>47</v>
      </c>
      <c r="F74" s="1" t="s">
        <v>284</v>
      </c>
      <c r="G74" s="1">
        <v>-0.2</v>
      </c>
      <c r="H74" s="1"/>
      <c r="I74" s="1">
        <f t="shared" si="2"/>
        <v>300</v>
      </c>
      <c r="J74" s="1" t="str">
        <f t="shared" si="3"/>
        <v>10,80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</row>
    <row r="75" customFormat="1" spans="1:16">
      <c r="A75" s="1"/>
      <c r="B75" s="1" t="s">
        <v>285</v>
      </c>
      <c r="C75" s="1" t="s">
        <v>286</v>
      </c>
      <c r="D75" s="1" t="s">
        <v>287</v>
      </c>
      <c r="E75" s="1" t="s">
        <v>47</v>
      </c>
      <c r="F75" s="1" t="s">
        <v>284</v>
      </c>
      <c r="G75" s="1">
        <v>0.2</v>
      </c>
      <c r="H75" s="1"/>
      <c r="I75" s="1">
        <f t="shared" si="2"/>
        <v>300</v>
      </c>
      <c r="J75" s="1" t="str">
        <f t="shared" si="3"/>
        <v>10,80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</row>
    <row r="76" customFormat="1" spans="1:16">
      <c r="A76" s="1"/>
      <c r="B76" s="1" t="s">
        <v>288</v>
      </c>
      <c r="C76" s="1" t="s">
        <v>289</v>
      </c>
      <c r="D76" s="1" t="s">
        <v>290</v>
      </c>
      <c r="E76" s="1" t="s">
        <v>47</v>
      </c>
      <c r="F76" s="1" t="s">
        <v>284</v>
      </c>
      <c r="G76" s="1">
        <v>0</v>
      </c>
      <c r="H76" s="1"/>
      <c r="I76" s="1">
        <f t="shared" si="2"/>
        <v>300</v>
      </c>
      <c r="J76" s="1" t="str">
        <f t="shared" si="3"/>
        <v>10,80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</row>
    <row r="77" customFormat="1" spans="1:16">
      <c r="A77" s="1"/>
      <c r="B77" s="1" t="s">
        <v>291</v>
      </c>
      <c r="C77" s="1" t="s">
        <v>292</v>
      </c>
      <c r="D77" s="1" t="s">
        <v>293</v>
      </c>
      <c r="E77" s="1" t="s">
        <v>47</v>
      </c>
      <c r="F77" s="1" t="s">
        <v>284</v>
      </c>
      <c r="G77" s="1">
        <v>1</v>
      </c>
      <c r="H77" s="1"/>
      <c r="I77" s="1">
        <f t="shared" si="2"/>
        <v>300</v>
      </c>
      <c r="J77" s="1" t="str">
        <f t="shared" si="3"/>
        <v>10,80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</row>
    <row r="78" customFormat="1" ht="34" spans="1:16">
      <c r="A78" s="1"/>
      <c r="B78" s="1" t="s">
        <v>294</v>
      </c>
      <c r="C78" s="1" t="s">
        <v>295</v>
      </c>
      <c r="D78" s="7" t="s">
        <v>296</v>
      </c>
      <c r="E78" s="1" t="s">
        <v>47</v>
      </c>
      <c r="F78" s="1" t="s">
        <v>284</v>
      </c>
      <c r="G78" s="1">
        <v>-1</v>
      </c>
      <c r="H78" s="1"/>
      <c r="I78" s="1">
        <f t="shared" si="2"/>
        <v>300</v>
      </c>
      <c r="J78" s="1" t="str">
        <f t="shared" si="3"/>
        <v>10,80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</row>
    <row r="79" customFormat="1" spans="1:16">
      <c r="A79" s="1"/>
      <c r="B79" s="1" t="s">
        <v>297</v>
      </c>
      <c r="C79" s="1" t="s">
        <v>298</v>
      </c>
      <c r="D79" s="1" t="s">
        <v>299</v>
      </c>
      <c r="E79" s="1" t="s">
        <v>47</v>
      </c>
      <c r="F79" s="1" t="s">
        <v>284</v>
      </c>
      <c r="G79" s="1">
        <v>0.2</v>
      </c>
      <c r="H79" s="1"/>
      <c r="I79" s="1">
        <f t="shared" si="2"/>
        <v>300</v>
      </c>
      <c r="J79" s="1" t="str">
        <f t="shared" si="3"/>
        <v>10,80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</row>
    <row r="80" customFormat="1" spans="1:16">
      <c r="A80" s="1"/>
      <c r="B80" s="1" t="s">
        <v>300</v>
      </c>
      <c r="C80" s="1" t="s">
        <v>301</v>
      </c>
      <c r="D80" s="1" t="s">
        <v>302</v>
      </c>
      <c r="E80" s="1" t="s">
        <v>47</v>
      </c>
      <c r="F80" s="1" t="s">
        <v>284</v>
      </c>
      <c r="G80" s="1">
        <v>0.15</v>
      </c>
      <c r="H80" s="1"/>
      <c r="I80" s="1">
        <f t="shared" si="2"/>
        <v>300</v>
      </c>
      <c r="J80" s="1" t="str">
        <f t="shared" si="3"/>
        <v>10,80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</row>
    <row r="81" customFormat="1" spans="1:16">
      <c r="A81" s="1"/>
      <c r="B81" s="1" t="s">
        <v>303</v>
      </c>
      <c r="C81" s="1" t="s">
        <v>304</v>
      </c>
      <c r="D81" s="1" t="s">
        <v>305</v>
      </c>
      <c r="E81" s="1" t="s">
        <v>47</v>
      </c>
      <c r="F81" s="1" t="s">
        <v>284</v>
      </c>
      <c r="G81" s="1">
        <v>0.15</v>
      </c>
      <c r="H81" s="1"/>
      <c r="I81" s="1">
        <f t="shared" si="2"/>
        <v>300</v>
      </c>
      <c r="J81" s="1" t="str">
        <f t="shared" si="3"/>
        <v>10,80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</row>
    <row r="82" customFormat="1" spans="1:16">
      <c r="A82" s="1"/>
      <c r="B82" s="1" t="s">
        <v>306</v>
      </c>
      <c r="C82" s="1" t="s">
        <v>307</v>
      </c>
      <c r="D82" s="1" t="s">
        <v>308</v>
      </c>
      <c r="E82" s="1" t="s">
        <v>47</v>
      </c>
      <c r="F82" s="1" t="s">
        <v>284</v>
      </c>
      <c r="G82" s="1">
        <v>0</v>
      </c>
      <c r="H82" s="1"/>
      <c r="I82" s="1">
        <f t="shared" si="2"/>
        <v>300</v>
      </c>
      <c r="J82" s="1" t="str">
        <f t="shared" si="3"/>
        <v>10,80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</row>
    <row r="83" customFormat="1" spans="1:16">
      <c r="A83" s="1"/>
      <c r="B83" s="1" t="s">
        <v>309</v>
      </c>
      <c r="C83" s="1" t="s">
        <v>310</v>
      </c>
      <c r="D83" s="1" t="s">
        <v>311</v>
      </c>
      <c r="E83" s="1" t="s">
        <v>194</v>
      </c>
      <c r="F83" s="1"/>
      <c r="G83" s="1">
        <v>2</v>
      </c>
      <c r="H83" s="1"/>
      <c r="I83" s="1">
        <f t="shared" si="2"/>
        <v>10</v>
      </c>
      <c r="J83" s="1" t="str">
        <f t="shared" si="3"/>
        <v>40,80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</row>
    <row r="84" customFormat="1" ht="34" spans="1:17">
      <c r="A84" s="1"/>
      <c r="B84" s="1" t="s">
        <v>312</v>
      </c>
      <c r="C84" s="1" t="s">
        <v>313</v>
      </c>
      <c r="D84" s="7" t="s">
        <v>314</v>
      </c>
      <c r="E84" s="1" t="s">
        <v>194</v>
      </c>
      <c r="F84" s="1"/>
      <c r="G84" s="1">
        <v>1.2</v>
      </c>
      <c r="H84" s="1"/>
      <c r="I84" s="1">
        <f t="shared" si="2"/>
        <v>10</v>
      </c>
      <c r="J84" s="1" t="str">
        <f t="shared" si="3"/>
        <v>40,80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 t="s">
        <v>315</v>
      </c>
    </row>
    <row r="85" customFormat="1" ht="34" spans="1:17">
      <c r="A85" s="1"/>
      <c r="B85" s="1" t="s">
        <v>316</v>
      </c>
      <c r="C85" s="1" t="s">
        <v>317</v>
      </c>
      <c r="D85" s="7" t="s">
        <v>318</v>
      </c>
      <c r="E85" s="1" t="s">
        <v>194</v>
      </c>
      <c r="F85" s="1"/>
      <c r="G85" s="1">
        <v>1.2</v>
      </c>
      <c r="H85" s="1"/>
      <c r="I85" s="1">
        <f t="shared" si="2"/>
        <v>10</v>
      </c>
      <c r="J85" s="1" t="str">
        <f t="shared" si="3"/>
        <v>40,80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 t="s">
        <v>315</v>
      </c>
    </row>
    <row r="86" customFormat="1" ht="34" spans="1:17">
      <c r="A86" s="1"/>
      <c r="B86" s="1" t="s">
        <v>319</v>
      </c>
      <c r="C86" s="1" t="s">
        <v>320</v>
      </c>
      <c r="D86" s="7" t="s">
        <v>321</v>
      </c>
      <c r="E86" s="1" t="s">
        <v>43</v>
      </c>
      <c r="F86" s="1"/>
      <c r="G86" s="1">
        <v>0.2</v>
      </c>
      <c r="H86" s="1"/>
      <c r="I86" s="1">
        <f t="shared" si="2"/>
        <v>100</v>
      </c>
      <c r="J86" s="1" t="str">
        <f t="shared" si="3"/>
        <v>20,80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 t="s">
        <v>315</v>
      </c>
    </row>
    <row r="87" customFormat="1" ht="34" spans="1:17">
      <c r="A87" s="1"/>
      <c r="B87" s="1" t="s">
        <v>322</v>
      </c>
      <c r="C87" s="1" t="s">
        <v>323</v>
      </c>
      <c r="D87" s="7" t="s">
        <v>324</v>
      </c>
      <c r="E87" s="1" t="s">
        <v>43</v>
      </c>
      <c r="F87" s="1"/>
      <c r="G87" s="1">
        <v>10</v>
      </c>
      <c r="H87" s="1" t="s">
        <v>325</v>
      </c>
      <c r="I87" s="1">
        <f t="shared" si="2"/>
        <v>100</v>
      </c>
      <c r="J87" s="1" t="str">
        <f t="shared" si="3"/>
        <v>20,80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 t="s">
        <v>315</v>
      </c>
    </row>
    <row r="88" customFormat="1" ht="34" spans="1:17">
      <c r="A88" s="1"/>
      <c r="B88" s="1" t="s">
        <v>326</v>
      </c>
      <c r="C88" s="1" t="s">
        <v>327</v>
      </c>
      <c r="D88" s="7" t="s">
        <v>328</v>
      </c>
      <c r="E88" s="1" t="s">
        <v>194</v>
      </c>
      <c r="F88" s="1"/>
      <c r="G88" s="1">
        <v>0.2</v>
      </c>
      <c r="H88" s="1"/>
      <c r="I88" s="1">
        <f t="shared" si="2"/>
        <v>10</v>
      </c>
      <c r="J88" s="1" t="str">
        <f t="shared" si="3"/>
        <v>40,80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 t="s">
        <v>329</v>
      </c>
    </row>
    <row r="89" customFormat="1" ht="34" spans="1:17">
      <c r="A89" s="1"/>
      <c r="B89" s="1" t="s">
        <v>330</v>
      </c>
      <c r="C89" s="1" t="s">
        <v>331</v>
      </c>
      <c r="D89" s="7" t="s">
        <v>332</v>
      </c>
      <c r="E89" s="1" t="s">
        <v>43</v>
      </c>
      <c r="F89" s="1"/>
      <c r="G89" s="1">
        <v>10</v>
      </c>
      <c r="H89" s="1"/>
      <c r="I89" s="1">
        <f t="shared" si="2"/>
        <v>100</v>
      </c>
      <c r="J89" s="1" t="str">
        <f t="shared" si="3"/>
        <v>20,80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 t="s">
        <v>329</v>
      </c>
    </row>
    <row r="90" customFormat="1" ht="34" spans="1:17">
      <c r="A90" s="1"/>
      <c r="B90" s="1" t="s">
        <v>333</v>
      </c>
      <c r="C90" s="1" t="s">
        <v>334</v>
      </c>
      <c r="D90" s="7" t="s">
        <v>335</v>
      </c>
      <c r="E90" s="1" t="s">
        <v>69</v>
      </c>
      <c r="F90" s="1"/>
      <c r="G90" s="1">
        <v>1</v>
      </c>
      <c r="H90" s="1"/>
      <c r="I90" s="1">
        <f t="shared" si="2"/>
        <v>30</v>
      </c>
      <c r="J90" s="1" t="str">
        <f t="shared" si="3"/>
        <v>30,80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 t="s">
        <v>329</v>
      </c>
    </row>
    <row r="91" customFormat="1" ht="34" spans="1:17">
      <c r="A91" s="1"/>
      <c r="B91" s="1" t="s">
        <v>336</v>
      </c>
      <c r="C91" s="1" t="s">
        <v>337</v>
      </c>
      <c r="D91" s="7" t="s">
        <v>338</v>
      </c>
      <c r="E91" s="1" t="s">
        <v>43</v>
      </c>
      <c r="F91" s="1"/>
      <c r="G91" s="1">
        <v>10</v>
      </c>
      <c r="H91" s="1" t="s">
        <v>339</v>
      </c>
      <c r="I91" s="1">
        <f t="shared" si="2"/>
        <v>100</v>
      </c>
      <c r="J91" s="1" t="str">
        <f t="shared" si="3"/>
        <v>20,80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 t="s">
        <v>329</v>
      </c>
    </row>
    <row r="92" customFormat="1" spans="1:17">
      <c r="A92" s="1"/>
      <c r="B92" s="1" t="s">
        <v>340</v>
      </c>
      <c r="C92" s="1" t="s">
        <v>341</v>
      </c>
      <c r="D92" s="1" t="s">
        <v>342</v>
      </c>
      <c r="E92" s="1" t="s">
        <v>43</v>
      </c>
      <c r="F92" s="1"/>
      <c r="G92" s="1">
        <v>10</v>
      </c>
      <c r="H92" s="1"/>
      <c r="I92" s="1">
        <f t="shared" si="2"/>
        <v>100</v>
      </c>
      <c r="J92" s="1" t="str">
        <f t="shared" si="3"/>
        <v>20,80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 t="s">
        <v>329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tabSelected="1" topLeftCell="D1" workbookViewId="0">
      <selection activeCell="D1" sqref="$A1:$XFD1048576"/>
    </sheetView>
  </sheetViews>
  <sheetFormatPr defaultColWidth="9" defaultRowHeight="16.8"/>
  <cols>
    <col min="1" max="1" width="13.0769230769231" style="1" customWidth="1"/>
    <col min="2" max="2" width="28.0769230769231" style="1" customWidth="1"/>
    <col min="3" max="3" width="15.1538461538462" style="1" customWidth="1"/>
    <col min="4" max="4" width="53.9230769230769" style="1" customWidth="1"/>
    <col min="5" max="5" width="15.1538461538462" style="1" customWidth="1"/>
    <col min="6" max="6" width="26.3846153846154" style="1" customWidth="1"/>
    <col min="7" max="7" width="11.9230769230769" style="1" customWidth="1"/>
    <col min="8" max="8" width="12.6153846153846" style="1" customWidth="1"/>
    <col min="9" max="9" width="15.1538461538462" style="1" customWidth="1"/>
    <col min="10" max="10" width="46.1538461538462" style="1" customWidth="1"/>
    <col min="11" max="11" width="36.1538461538462" style="1" customWidth="1"/>
    <col min="12" max="12" width="26.4615384615385" customWidth="1"/>
  </cols>
  <sheetData>
    <row r="1" customForma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343</v>
      </c>
      <c r="G1" s="1" t="s">
        <v>6</v>
      </c>
      <c r="H1" s="1" t="s">
        <v>7</v>
      </c>
      <c r="I1" s="1" t="s">
        <v>8</v>
      </c>
      <c r="J1" s="1" t="s">
        <v>344</v>
      </c>
      <c r="K1" s="1" t="s">
        <v>345</v>
      </c>
      <c r="L1" t="s">
        <v>16</v>
      </c>
    </row>
    <row r="2" customFormat="1" spans="1:12">
      <c r="A2" s="1" t="s">
        <v>17</v>
      </c>
      <c r="B2" s="1" t="s">
        <v>18</v>
      </c>
      <c r="C2" s="1" t="s">
        <v>19</v>
      </c>
      <c r="D2" s="1" t="s">
        <v>20</v>
      </c>
      <c r="E2" s="1" t="s">
        <v>22</v>
      </c>
      <c r="F2" s="1" t="s">
        <v>346</v>
      </c>
      <c r="G2" s="1" t="s">
        <v>23</v>
      </c>
      <c r="H2" s="1" t="s">
        <v>24</v>
      </c>
      <c r="I2" s="1" t="s">
        <v>25</v>
      </c>
      <c r="J2" s="1" t="s">
        <v>347</v>
      </c>
      <c r="K2" s="1" t="s">
        <v>348</v>
      </c>
      <c r="L2" t="s">
        <v>33</v>
      </c>
    </row>
    <row r="3" customFormat="1" spans="1:12">
      <c r="A3" s="1" t="s">
        <v>34</v>
      </c>
      <c r="B3" s="1" t="s">
        <v>35</v>
      </c>
      <c r="C3" s="1" t="s">
        <v>35</v>
      </c>
      <c r="D3" s="1" t="s">
        <v>35</v>
      </c>
      <c r="E3" s="1" t="s">
        <v>35</v>
      </c>
      <c r="F3" s="1" t="s">
        <v>35</v>
      </c>
      <c r="G3" s="1" t="s">
        <v>37</v>
      </c>
      <c r="H3" s="1" t="s">
        <v>35</v>
      </c>
      <c r="I3" s="1" t="s">
        <v>37</v>
      </c>
      <c r="J3" s="1" t="s">
        <v>349</v>
      </c>
      <c r="K3" s="1" t="s">
        <v>39</v>
      </c>
      <c r="L3" t="s">
        <v>35</v>
      </c>
    </row>
    <row r="4" customFormat="1" ht="34" spans="1:12">
      <c r="A4" s="1" t="s">
        <v>350</v>
      </c>
      <c r="B4" s="1" t="s">
        <v>351</v>
      </c>
      <c r="C4" s="1" t="s">
        <v>352</v>
      </c>
      <c r="D4" s="7" t="s">
        <v>353</v>
      </c>
      <c r="E4" s="1" t="s">
        <v>350</v>
      </c>
      <c r="F4" s="1" t="s">
        <v>354</v>
      </c>
      <c r="G4" s="1">
        <v>0</v>
      </c>
      <c r="H4" s="1" t="s">
        <v>355</v>
      </c>
      <c r="I4" s="1">
        <v>1</v>
      </c>
      <c r="J4" s="1" t="s">
        <v>356</v>
      </c>
      <c r="K4" s="1">
        <v>1</v>
      </c>
      <c r="L4" s="1" t="s">
        <v>355</v>
      </c>
    </row>
    <row r="5" customFormat="1" ht="34" spans="1:12">
      <c r="A5" s="1" t="s">
        <v>350</v>
      </c>
      <c r="B5" s="1" t="s">
        <v>357</v>
      </c>
      <c r="C5" s="1" t="s">
        <v>358</v>
      </c>
      <c r="D5" s="7" t="s">
        <v>359</v>
      </c>
      <c r="E5" s="1" t="s">
        <v>350</v>
      </c>
      <c r="F5" s="1" t="s">
        <v>354</v>
      </c>
      <c r="G5" s="1">
        <v>0</v>
      </c>
      <c r="H5" s="1" t="s">
        <v>360</v>
      </c>
      <c r="I5" s="1">
        <v>1</v>
      </c>
      <c r="J5" s="1" t="s">
        <v>356</v>
      </c>
      <c r="K5" s="1">
        <v>1</v>
      </c>
      <c r="L5" s="1" t="s">
        <v>360</v>
      </c>
    </row>
    <row r="6" customFormat="1" ht="34" spans="1:12">
      <c r="A6" s="1" t="s">
        <v>350</v>
      </c>
      <c r="B6" s="1" t="s">
        <v>361</v>
      </c>
      <c r="C6" s="1" t="s">
        <v>362</v>
      </c>
      <c r="D6" s="7" t="s">
        <v>363</v>
      </c>
      <c r="E6" s="1" t="s">
        <v>350</v>
      </c>
      <c r="F6" s="1" t="s">
        <v>354</v>
      </c>
      <c r="G6" s="1">
        <v>0</v>
      </c>
      <c r="H6" s="1" t="s">
        <v>364</v>
      </c>
      <c r="I6" s="1">
        <v>1</v>
      </c>
      <c r="J6" s="1" t="s">
        <v>356</v>
      </c>
      <c r="K6" s="1">
        <v>1</v>
      </c>
      <c r="L6" s="1" t="s">
        <v>364</v>
      </c>
    </row>
    <row r="7" customFormat="1" ht="34" spans="1:12">
      <c r="A7" s="1" t="s">
        <v>350</v>
      </c>
      <c r="B7" s="1" t="s">
        <v>365</v>
      </c>
      <c r="C7" s="1" t="s">
        <v>366</v>
      </c>
      <c r="D7" s="7" t="s">
        <v>367</v>
      </c>
      <c r="E7" s="1" t="s">
        <v>350</v>
      </c>
      <c r="F7" s="1" t="s">
        <v>354</v>
      </c>
      <c r="G7" s="1">
        <v>0</v>
      </c>
      <c r="H7" s="1" t="s">
        <v>368</v>
      </c>
      <c r="I7" s="1">
        <v>1</v>
      </c>
      <c r="J7" s="1" t="s">
        <v>356</v>
      </c>
      <c r="K7" s="1">
        <v>1</v>
      </c>
      <c r="L7" s="1" t="s">
        <v>368</v>
      </c>
    </row>
    <row r="8" customFormat="1" ht="34" spans="1:12">
      <c r="A8" s="1" t="s">
        <v>350</v>
      </c>
      <c r="B8" s="1" t="s">
        <v>369</v>
      </c>
      <c r="C8" s="1" t="s">
        <v>370</v>
      </c>
      <c r="D8" s="7" t="s">
        <v>371</v>
      </c>
      <c r="E8" s="1" t="s">
        <v>350</v>
      </c>
      <c r="F8" s="1" t="s">
        <v>354</v>
      </c>
      <c r="G8" s="1">
        <v>0</v>
      </c>
      <c r="H8" s="1" t="s">
        <v>372</v>
      </c>
      <c r="I8" s="1">
        <v>1</v>
      </c>
      <c r="J8" s="1" t="s">
        <v>356</v>
      </c>
      <c r="K8" s="1">
        <v>1</v>
      </c>
      <c r="L8" s="1" t="s">
        <v>372</v>
      </c>
    </row>
    <row r="9" customFormat="1" ht="34" spans="1:12">
      <c r="A9" s="1" t="s">
        <v>350</v>
      </c>
      <c r="B9" s="1" t="s">
        <v>373</v>
      </c>
      <c r="C9" s="1" t="s">
        <v>374</v>
      </c>
      <c r="D9" s="7" t="s">
        <v>375</v>
      </c>
      <c r="E9" s="1" t="s">
        <v>350</v>
      </c>
      <c r="F9" s="1" t="s">
        <v>354</v>
      </c>
      <c r="G9" s="1">
        <v>0</v>
      </c>
      <c r="H9" s="1" t="s">
        <v>376</v>
      </c>
      <c r="I9" s="1">
        <v>1</v>
      </c>
      <c r="J9" s="1" t="s">
        <v>356</v>
      </c>
      <c r="K9" s="1">
        <v>1</v>
      </c>
      <c r="L9" s="1" t="s">
        <v>376</v>
      </c>
    </row>
    <row r="10" customFormat="1" ht="34" spans="1:12">
      <c r="A10" s="1" t="s">
        <v>350</v>
      </c>
      <c r="B10" s="1" t="s">
        <v>377</v>
      </c>
      <c r="C10" s="1" t="s">
        <v>378</v>
      </c>
      <c r="D10" s="7" t="s">
        <v>379</v>
      </c>
      <c r="E10" s="1" t="s">
        <v>350</v>
      </c>
      <c r="F10" s="1" t="s">
        <v>380</v>
      </c>
      <c r="G10" s="1">
        <v>0</v>
      </c>
      <c r="H10" s="1" t="s">
        <v>381</v>
      </c>
      <c r="I10" s="1">
        <v>1</v>
      </c>
      <c r="J10" s="1" t="s">
        <v>382</v>
      </c>
      <c r="K10" s="1">
        <v>1</v>
      </c>
      <c r="L10" s="8" t="s">
        <v>381</v>
      </c>
    </row>
    <row r="11" customFormat="1" ht="34" spans="1:12">
      <c r="A11" s="1" t="s">
        <v>350</v>
      </c>
      <c r="B11" s="1" t="s">
        <v>383</v>
      </c>
      <c r="C11" s="1" t="s">
        <v>384</v>
      </c>
      <c r="D11" s="7" t="s">
        <v>385</v>
      </c>
      <c r="E11" s="1" t="s">
        <v>350</v>
      </c>
      <c r="F11" s="1" t="s">
        <v>380</v>
      </c>
      <c r="G11" s="1">
        <v>0</v>
      </c>
      <c r="H11" s="1" t="s">
        <v>386</v>
      </c>
      <c r="I11" s="1">
        <v>1</v>
      </c>
      <c r="J11" s="1" t="s">
        <v>382</v>
      </c>
      <c r="K11" s="1">
        <v>1</v>
      </c>
      <c r="L11" s="8" t="s">
        <v>386</v>
      </c>
    </row>
    <row r="12" customFormat="1" ht="34" spans="1:12">
      <c r="A12" s="1" t="s">
        <v>350</v>
      </c>
      <c r="B12" s="1" t="s">
        <v>387</v>
      </c>
      <c r="C12" s="1" t="s">
        <v>388</v>
      </c>
      <c r="D12" s="7" t="s">
        <v>389</v>
      </c>
      <c r="E12" s="1" t="s">
        <v>350</v>
      </c>
      <c r="F12" s="1" t="s">
        <v>380</v>
      </c>
      <c r="G12" s="1">
        <v>0</v>
      </c>
      <c r="H12" s="1" t="s">
        <v>390</v>
      </c>
      <c r="I12" s="1">
        <v>1</v>
      </c>
      <c r="J12" s="1" t="s">
        <v>382</v>
      </c>
      <c r="K12" s="1">
        <v>1</v>
      </c>
      <c r="L12" s="8" t="s">
        <v>390</v>
      </c>
    </row>
    <row r="13" customFormat="1" ht="34" spans="1:12">
      <c r="A13" s="1" t="s">
        <v>350</v>
      </c>
      <c r="B13" s="1" t="s">
        <v>391</v>
      </c>
      <c r="C13" s="1" t="s">
        <v>392</v>
      </c>
      <c r="D13" s="7" t="s">
        <v>393</v>
      </c>
      <c r="E13" s="1" t="s">
        <v>350</v>
      </c>
      <c r="F13" s="1" t="s">
        <v>380</v>
      </c>
      <c r="G13" s="1">
        <v>0</v>
      </c>
      <c r="H13" s="1" t="s">
        <v>394</v>
      </c>
      <c r="I13" s="1">
        <v>1</v>
      </c>
      <c r="J13" s="1" t="s">
        <v>382</v>
      </c>
      <c r="K13" s="1">
        <v>1</v>
      </c>
      <c r="L13" s="8" t="s">
        <v>394</v>
      </c>
    </row>
    <row r="14" customFormat="1" ht="34" spans="1:12">
      <c r="A14" s="1" t="s">
        <v>350</v>
      </c>
      <c r="B14" s="1" t="s">
        <v>395</v>
      </c>
      <c r="C14" s="1" t="s">
        <v>396</v>
      </c>
      <c r="D14" s="7" t="s">
        <v>397</v>
      </c>
      <c r="E14" s="1" t="s">
        <v>350</v>
      </c>
      <c r="F14" s="1" t="s">
        <v>380</v>
      </c>
      <c r="G14" s="1">
        <v>0</v>
      </c>
      <c r="H14" s="1" t="s">
        <v>398</v>
      </c>
      <c r="I14" s="1">
        <v>1</v>
      </c>
      <c r="J14" s="1" t="s">
        <v>382</v>
      </c>
      <c r="K14" s="1">
        <v>1</v>
      </c>
      <c r="L14" s="8" t="s">
        <v>398</v>
      </c>
    </row>
    <row r="15" customFormat="1" ht="34" spans="1:12">
      <c r="A15" s="1" t="s">
        <v>350</v>
      </c>
      <c r="B15" s="1" t="s">
        <v>399</v>
      </c>
      <c r="C15" s="1" t="s">
        <v>400</v>
      </c>
      <c r="D15" s="7" t="s">
        <v>401</v>
      </c>
      <c r="E15" s="1" t="s">
        <v>350</v>
      </c>
      <c r="F15" s="1" t="s">
        <v>380</v>
      </c>
      <c r="G15" s="1">
        <v>0</v>
      </c>
      <c r="H15" s="1" t="s">
        <v>402</v>
      </c>
      <c r="I15" s="1">
        <v>1</v>
      </c>
      <c r="J15" s="1" t="s">
        <v>382</v>
      </c>
      <c r="K15" s="1">
        <v>1</v>
      </c>
      <c r="L15" s="8" t="s">
        <v>402</v>
      </c>
    </row>
    <row r="16" customFormat="1" ht="34" spans="1:12">
      <c r="A16" s="1" t="s">
        <v>350</v>
      </c>
      <c r="B16" s="1" t="s">
        <v>403</v>
      </c>
      <c r="C16" s="1" t="s">
        <v>404</v>
      </c>
      <c r="D16" s="7" t="s">
        <v>405</v>
      </c>
      <c r="E16" s="1" t="s">
        <v>350</v>
      </c>
      <c r="F16" s="1" t="s">
        <v>380</v>
      </c>
      <c r="G16" s="1">
        <v>0</v>
      </c>
      <c r="H16" s="1" t="s">
        <v>406</v>
      </c>
      <c r="I16" s="1">
        <v>1</v>
      </c>
      <c r="J16" s="1" t="s">
        <v>382</v>
      </c>
      <c r="K16" s="1">
        <v>1</v>
      </c>
      <c r="L16" s="8" t="s">
        <v>406</v>
      </c>
    </row>
    <row r="17" customFormat="1" ht="34" spans="1:11">
      <c r="A17" s="1" t="s">
        <v>350</v>
      </c>
      <c r="B17" s="1" t="s">
        <v>407</v>
      </c>
      <c r="C17" s="1" t="s">
        <v>408</v>
      </c>
      <c r="D17" s="7" t="s">
        <v>409</v>
      </c>
      <c r="E17" s="1" t="s">
        <v>350</v>
      </c>
      <c r="F17" s="1" t="s">
        <v>410</v>
      </c>
      <c r="G17" s="1">
        <v>0</v>
      </c>
      <c r="H17" s="1" t="s">
        <v>350</v>
      </c>
      <c r="I17" s="1">
        <v>1</v>
      </c>
      <c r="J17" s="1" t="s">
        <v>411</v>
      </c>
      <c r="K17" s="1">
        <v>0</v>
      </c>
    </row>
    <row r="18" customFormat="1" spans="1:11">
      <c r="A18" s="1" t="s">
        <v>350</v>
      </c>
      <c r="B18" s="1" t="s">
        <v>412</v>
      </c>
      <c r="C18" s="1" t="s">
        <v>413</v>
      </c>
      <c r="D18" s="1" t="s">
        <v>414</v>
      </c>
      <c r="E18" s="1" t="s">
        <v>350</v>
      </c>
      <c r="F18" s="1" t="s">
        <v>415</v>
      </c>
      <c r="G18" s="1">
        <v>0</v>
      </c>
      <c r="H18" s="1" t="s">
        <v>350</v>
      </c>
      <c r="I18" s="1">
        <v>1</v>
      </c>
      <c r="J18" s="1" t="s">
        <v>411</v>
      </c>
      <c r="K18" s="1">
        <v>0</v>
      </c>
    </row>
    <row r="19" customFormat="1" spans="1:11">
      <c r="A19" s="1" t="s">
        <v>350</v>
      </c>
      <c r="B19" s="1" t="s">
        <v>416</v>
      </c>
      <c r="C19" s="1" t="s">
        <v>417</v>
      </c>
      <c r="D19" s="1" t="s">
        <v>418</v>
      </c>
      <c r="E19" s="1" t="s">
        <v>350</v>
      </c>
      <c r="F19" s="1" t="s">
        <v>419</v>
      </c>
      <c r="G19" s="1">
        <v>0</v>
      </c>
      <c r="H19" s="1" t="s">
        <v>350</v>
      </c>
      <c r="I19" s="1">
        <v>1</v>
      </c>
      <c r="J19" s="1" t="s">
        <v>411</v>
      </c>
      <c r="K19" s="1">
        <v>0</v>
      </c>
    </row>
    <row r="20" customFormat="1" spans="1:11">
      <c r="A20" s="1" t="s">
        <v>350</v>
      </c>
      <c r="B20" s="1" t="s">
        <v>420</v>
      </c>
      <c r="C20" s="1" t="s">
        <v>421</v>
      </c>
      <c r="D20" s="1" t="s">
        <v>422</v>
      </c>
      <c r="E20" s="1" t="s">
        <v>350</v>
      </c>
      <c r="F20" s="1" t="s">
        <v>423</v>
      </c>
      <c r="G20" s="1">
        <v>0</v>
      </c>
      <c r="H20" s="1" t="s">
        <v>424</v>
      </c>
      <c r="I20" s="1">
        <v>1</v>
      </c>
      <c r="J20" s="1" t="s">
        <v>411</v>
      </c>
      <c r="K20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21" workbookViewId="0">
      <selection activeCell="E44" sqref="E44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425</v>
      </c>
      <c r="C1" s="3" t="s">
        <v>426</v>
      </c>
      <c r="D1" s="3" t="s">
        <v>427</v>
      </c>
      <c r="E1" s="3" t="s">
        <v>428</v>
      </c>
      <c r="H1" s="1" t="s">
        <v>1</v>
      </c>
      <c r="I1" s="2" t="s">
        <v>429</v>
      </c>
    </row>
    <row r="2" customHeight="1" spans="2:9">
      <c r="B2" s="3" t="s">
        <v>430</v>
      </c>
      <c r="C2" s="3" t="s">
        <v>431</v>
      </c>
      <c r="D2" s="3" t="s">
        <v>432</v>
      </c>
      <c r="E2" s="3" t="s">
        <v>433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434</v>
      </c>
      <c r="E3" s="3" t="s">
        <v>435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436</v>
      </c>
      <c r="E4" s="3" t="s">
        <v>437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434</v>
      </c>
      <c r="E5" s="3" t="s">
        <v>438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439</v>
      </c>
      <c r="E6" s="3" t="s">
        <v>440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441</v>
      </c>
      <c r="E7" s="3" t="s">
        <v>442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443</v>
      </c>
      <c r="E8" s="3" t="s">
        <v>444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67</v>
      </c>
      <c r="E9" s="3" t="s">
        <v>445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446</v>
      </c>
      <c r="E10" s="3" t="s">
        <v>73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447</v>
      </c>
      <c r="D11" s="3" t="s">
        <v>76</v>
      </c>
      <c r="E11" s="3" t="s">
        <v>448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449</v>
      </c>
      <c r="E12" s="5" t="s">
        <v>450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451</v>
      </c>
      <c r="E13" s="5" t="s">
        <v>452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453</v>
      </c>
      <c r="E14" s="3" t="s">
        <v>454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455</v>
      </c>
      <c r="D15" s="3" t="s">
        <v>456</v>
      </c>
      <c r="E15" s="5" t="s">
        <v>457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458</v>
      </c>
      <c r="E16" s="5" t="s">
        <v>459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460</v>
      </c>
      <c r="E17" s="5" t="s">
        <v>461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462</v>
      </c>
      <c r="E18" s="5" t="s">
        <v>463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464</v>
      </c>
      <c r="E19" s="5" t="s">
        <v>465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464</v>
      </c>
      <c r="E20" s="3" t="s">
        <v>115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466</v>
      </c>
      <c r="E21" s="5" t="s">
        <v>467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468</v>
      </c>
      <c r="D22" s="3" t="s">
        <v>120</v>
      </c>
      <c r="E22" s="3" t="s">
        <v>469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470</v>
      </c>
      <c r="D23" s="3" t="s">
        <v>471</v>
      </c>
      <c r="E23" s="3" t="s">
        <v>472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473</v>
      </c>
      <c r="E24" s="3" t="s">
        <v>474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475</v>
      </c>
      <c r="E25" s="3" t="s">
        <v>476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477</v>
      </c>
      <c r="E26" s="3" t="s">
        <v>134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478</v>
      </c>
      <c r="D27" s="3" t="s">
        <v>479</v>
      </c>
      <c r="E27" s="5" t="s">
        <v>480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479</v>
      </c>
      <c r="E28" s="5" t="s">
        <v>481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482</v>
      </c>
      <c r="D29" s="3" t="s">
        <v>483</v>
      </c>
      <c r="E29" s="5" t="s">
        <v>484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485</v>
      </c>
      <c r="D30" s="3" t="s">
        <v>486</v>
      </c>
      <c r="E30" s="5" t="s">
        <v>487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488</v>
      </c>
      <c r="D31" s="3" t="s">
        <v>486</v>
      </c>
      <c r="E31" s="5" t="s">
        <v>489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490</v>
      </c>
      <c r="D32" s="3" t="s">
        <v>491</v>
      </c>
      <c r="E32" s="3" t="s">
        <v>492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491</v>
      </c>
      <c r="E33" s="3" t="s">
        <v>493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494</v>
      </c>
      <c r="E34" s="3" t="s">
        <v>495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496</v>
      </c>
      <c r="D35" s="5" t="s">
        <v>497</v>
      </c>
      <c r="E35" s="5" t="s">
        <v>162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498</v>
      </c>
      <c r="E36" s="5" t="s">
        <v>499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500</v>
      </c>
      <c r="D37" s="3" t="s">
        <v>500</v>
      </c>
      <c r="E37" s="3" t="s">
        <v>501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502</v>
      </c>
      <c r="D38" s="5" t="s">
        <v>503</v>
      </c>
      <c r="E38" s="5" t="s">
        <v>504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505</v>
      </c>
      <c r="E39" s="3" t="s">
        <v>506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507</v>
      </c>
      <c r="E40" s="3" t="s">
        <v>508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509</v>
      </c>
      <c r="E41" s="3" t="s">
        <v>510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511</v>
      </c>
      <c r="E42" s="3" t="s">
        <v>512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513</v>
      </c>
      <c r="E43" s="3" t="s">
        <v>514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515</v>
      </c>
      <c r="D44" s="3" t="s">
        <v>446</v>
      </c>
      <c r="E44" s="3" t="s">
        <v>516</v>
      </c>
      <c r="H44" s="1">
        <v>43</v>
      </c>
      <c r="I44" s="2" t="str">
        <f t="shared" si="0"/>
        <v>随机化时间轴的节点事件。</v>
      </c>
    </row>
    <row r="45" customHeight="1" spans="2:9">
      <c r="B45" s="4"/>
      <c r="C45" s="4"/>
      <c r="D45" s="3" t="s">
        <v>517</v>
      </c>
      <c r="E45" s="3" t="s">
        <v>518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193</v>
      </c>
      <c r="E46" s="3" t="s">
        <v>193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519</v>
      </c>
      <c r="E47" s="3" t="s">
        <v>520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521</v>
      </c>
      <c r="E48" s="3" t="s">
        <v>522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523</v>
      </c>
      <c r="D49" s="3" t="s">
        <v>524</v>
      </c>
      <c r="E49" s="5" t="s">
        <v>525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526</v>
      </c>
      <c r="E50" s="5" t="s">
        <v>527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528</v>
      </c>
      <c r="E51" s="3" t="s">
        <v>529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530</v>
      </c>
      <c r="D52" s="3" t="s">
        <v>531</v>
      </c>
      <c r="E52" s="3" t="s">
        <v>532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447</v>
      </c>
      <c r="E53" s="5" t="s">
        <v>533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534</v>
      </c>
      <c r="E54" s="5" t="s">
        <v>535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536</v>
      </c>
      <c r="D55" s="3" t="s">
        <v>537</v>
      </c>
      <c r="E55" s="3" t="s">
        <v>538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539</v>
      </c>
      <c r="E56" s="5" t="s">
        <v>540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541</v>
      </c>
      <c r="E57" s="3" t="s">
        <v>542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543</v>
      </c>
      <c r="E58" s="3" t="s">
        <v>544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545</v>
      </c>
      <c r="E59" s="3" t="s">
        <v>546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235</v>
      </c>
      <c r="E60" s="3" t="s">
        <v>547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548</v>
      </c>
      <c r="D61" s="3" t="s">
        <v>549</v>
      </c>
      <c r="E61" s="3" t="s">
        <v>550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241</v>
      </c>
      <c r="E62" s="3" t="s">
        <v>551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552</v>
      </c>
      <c r="D63" s="3" t="s">
        <v>553</v>
      </c>
      <c r="E63" s="3" t="s">
        <v>554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553</v>
      </c>
      <c r="E64" s="3" t="s">
        <v>555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556</v>
      </c>
      <c r="E65" s="3" t="s">
        <v>557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558</v>
      </c>
      <c r="E66" s="3" t="s">
        <v>559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560</v>
      </c>
      <c r="E67" s="3" t="s">
        <v>561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562</v>
      </c>
      <c r="D68" s="3" t="s">
        <v>563</v>
      </c>
      <c r="E68" s="3" t="s">
        <v>257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564</v>
      </c>
      <c r="D69" s="3" t="s">
        <v>565</v>
      </c>
      <c r="E69" s="3" t="s">
        <v>566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567</v>
      </c>
      <c r="E70" s="3" t="s">
        <v>568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569</v>
      </c>
      <c r="E71" s="5" t="s">
        <v>570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571</v>
      </c>
      <c r="E72" s="5" t="s">
        <v>572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273</v>
      </c>
      <c r="E73" s="3" t="s">
        <v>573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574</v>
      </c>
      <c r="D74" s="3" t="s">
        <v>575</v>
      </c>
      <c r="E74" s="3" t="s">
        <v>277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576</v>
      </c>
      <c r="E75" s="3" t="s">
        <v>577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578</v>
      </c>
      <c r="C76" s="3" t="s">
        <v>502</v>
      </c>
      <c r="D76" s="3" t="s">
        <v>579</v>
      </c>
      <c r="E76" s="3" t="s">
        <v>580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581</v>
      </c>
      <c r="E77" s="3" t="s">
        <v>582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583</v>
      </c>
      <c r="E78" s="3" t="s">
        <v>290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584</v>
      </c>
      <c r="E79" s="3" t="s">
        <v>293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585</v>
      </c>
      <c r="E80" s="3" t="s">
        <v>586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587</v>
      </c>
      <c r="E81" s="5" t="s">
        <v>588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589</v>
      </c>
      <c r="E82" s="5" t="s">
        <v>590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591</v>
      </c>
      <c r="E83" s="5" t="s">
        <v>592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593</v>
      </c>
      <c r="E84" s="3" t="s">
        <v>594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595</v>
      </c>
      <c r="C85" s="3" t="s">
        <v>596</v>
      </c>
      <c r="D85" s="3" t="s">
        <v>597</v>
      </c>
      <c r="E85" s="3" t="s">
        <v>598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599</v>
      </c>
      <c r="D86" s="3" t="s">
        <v>600</v>
      </c>
      <c r="E86" s="5" t="s">
        <v>601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600</v>
      </c>
      <c r="E87" s="5" t="s">
        <v>602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603</v>
      </c>
      <c r="E88" s="5" t="s">
        <v>604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605</v>
      </c>
      <c r="E89" s="3" t="s">
        <v>606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607</v>
      </c>
      <c r="D90" s="3" t="s">
        <v>608</v>
      </c>
      <c r="E90" s="5" t="s">
        <v>609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610</v>
      </c>
      <c r="E91" s="5" t="s">
        <v>611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612</v>
      </c>
      <c r="E92" s="3" t="s">
        <v>613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614</v>
      </c>
      <c r="E93" s="5" t="s">
        <v>615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616</v>
      </c>
      <c r="E94" s="5" t="s">
        <v>342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2026-07-01T19:13:00Z</dcterms:created>
  <dcterms:modified xsi:type="dcterms:W3CDTF">2026-07-16T20:14:51Z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8B6D9D3733B4769E3BCB586A2413A8A6_42</vt:lpwstr>
  </property>
  <property fmtid="{D5CDD505-2E9C-101B-9397-08002B2CF9AE}" pid="3" name="KSOProductBuildVer">
    <vt:lpwstr>2052-6.1.0.8274</vt:lpwstr>
  </property>
</Properties>
</file>