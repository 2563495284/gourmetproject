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recipe" sheetId="1" r:id="rId1"/>
  </sheets>
  <calcPr calcId="144525"/>
</workbook>
</file>

<file path=xl/comments1.xml><?xml version="1.0" encoding="utf-8"?>
<comments xmlns="http://schemas.openxmlformats.org/spreadsheetml/2006/main">
  <authors>
    <author>yijin</author>
  </authors>
  <commentList>
    <comment ref="E2" authorId="0">
      <text>
        <r>
          <rPr>
            <sz val="10"/>
            <rFont val="宋体"/>
            <charset val="134"/>
          </rPr>
          <t>yijin:
菜品ID、权重、最大出现次数</t>
        </r>
      </text>
    </comment>
  </commentList>
</comments>
</file>

<file path=xl/sharedStrings.xml><?xml version="1.0" encoding="utf-8"?>
<sst xmlns="http://schemas.openxmlformats.org/spreadsheetml/2006/main" count="95" uniqueCount="92">
  <si>
    <t>##var</t>
  </si>
  <si>
    <t>id</t>
  </si>
  <si>
    <t>fixedDishes</t>
  </si>
  <si>
    <t>requiredInitScore</t>
  </si>
  <si>
    <t>*pool</t>
  </si>
  <si>
    <t>##comment</t>
  </si>
  <si>
    <t>菜谱ID</t>
  </si>
  <si>
    <t>固定初始菜品</t>
  </si>
  <si>
    <t>初始要求分</t>
  </si>
  <si>
    <t>随机菜品池条目列表（dishId,weight,maxCount,initScore）</t>
  </si>
  <si>
    <t>cookie</t>
  </si>
  <si>
    <t>曲奇</t>
  </si>
  <si>
    <t>##type</t>
  </si>
  <si>
    <t>string</t>
  </si>
  <si>
    <t>int</t>
  </si>
  <si>
    <t>list,RecipeEntry</t>
  </si>
  <si>
    <t>macaron</t>
  </si>
  <si>
    <t>马卡龙</t>
  </si>
  <si>
    <t>recipe_glutton</t>
  </si>
  <si>
    <t>cookie,10,2,10</t>
  </si>
  <si>
    <t>pudding</t>
  </si>
  <si>
    <t>布丁</t>
  </si>
  <si>
    <t>macaron,10,2,10</t>
  </si>
  <si>
    <t>puff</t>
  </si>
  <si>
    <t>泡芙</t>
  </si>
  <si>
    <t>daifuku,10,2,10</t>
  </si>
  <si>
    <t>eggtart</t>
  </si>
  <si>
    <t>蛋挞</t>
  </si>
  <si>
    <t>eggtart,10,2,10</t>
  </si>
  <si>
    <t>mochi</t>
  </si>
  <si>
    <t>麻薯</t>
  </si>
  <si>
    <t>jelly,10,2,10</t>
  </si>
  <si>
    <t>daifuku</t>
  </si>
  <si>
    <t>大福</t>
  </si>
  <si>
    <t>sundae,200,1,150</t>
  </si>
  <si>
    <t>choco_candy</t>
  </si>
  <si>
    <t>巧克力糖</t>
  </si>
  <si>
    <t>toffee,200,1,150</t>
  </si>
  <si>
    <t>jelly</t>
  </si>
  <si>
    <t>果冻</t>
  </si>
  <si>
    <t>cupcake,200,1,150</t>
  </si>
  <si>
    <t>cream_cell</t>
  </si>
  <si>
    <t>奶油小格</t>
  </si>
  <si>
    <t>eggroll,10000,1,300</t>
  </si>
  <si>
    <t>sugarbean</t>
  </si>
  <si>
    <t>糖豆</t>
  </si>
  <si>
    <t>choco_bar,10000,1,300</t>
  </si>
  <si>
    <t>gold_choco</t>
  </si>
  <si>
    <t>金巧克力</t>
  </si>
  <si>
    <t>eclair,10000,1,300</t>
  </si>
  <si>
    <t>milk_slice</t>
  </si>
  <si>
    <t>奶片</t>
  </si>
  <si>
    <t>recipe_wok</t>
  </si>
  <si>
    <t>mochi,130,0,10</t>
  </si>
  <si>
    <t>sundae</t>
  </si>
  <si>
    <t>圣代</t>
  </si>
  <si>
    <t>gummy,110,0,8</t>
  </si>
  <si>
    <t>cone</t>
  </si>
  <si>
    <t>甜筒</t>
  </si>
  <si>
    <t>lollipop,100,0,10</t>
  </si>
  <si>
    <t>lollipop</t>
  </si>
  <si>
    <t>棒棒糖</t>
  </si>
  <si>
    <t>mousse,80,0,16</t>
  </si>
  <si>
    <t>gummy</t>
  </si>
  <si>
    <t>软糖</t>
  </si>
  <si>
    <t>eggroll,60,2,30</t>
  </si>
  <si>
    <t>cupcake</t>
  </si>
  <si>
    <t>糖霜蛋糕</t>
  </si>
  <si>
    <t>cream_cake,40,1,50</t>
  </si>
  <si>
    <t>mousse</t>
  </si>
  <si>
    <t>慕斯蛋糕</t>
  </si>
  <si>
    <t>recipe_chili</t>
  </si>
  <si>
    <t>pudding,130,0,30</t>
  </si>
  <si>
    <t>toffee</t>
  </si>
  <si>
    <t>太妃糖</t>
  </si>
  <si>
    <t>choco_candy,120,0,10</t>
  </si>
  <si>
    <t>nougat</t>
  </si>
  <si>
    <t>牛轧糖</t>
  </si>
  <si>
    <t>gold_choco,100,0,6</t>
  </si>
  <si>
    <t>eggroll</t>
  </si>
  <si>
    <t>蛋卷</t>
  </si>
  <si>
    <t>tanghulu,90,0,20</t>
  </si>
  <si>
    <t>choco_bar</t>
  </si>
  <si>
    <t>巧克力棒</t>
  </si>
  <si>
    <t>choco_bar,60,1,40</t>
  </si>
  <si>
    <t>eclair</t>
  </si>
  <si>
    <t>闪电泡芙</t>
  </si>
  <si>
    <t>marshmallow,30,1,80</t>
  </si>
  <si>
    <t>2*4</t>
  </si>
  <si>
    <t>x</t>
  </si>
  <si>
    <t>y</t>
  </si>
  <si>
    <t>z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</si>
</sst>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"/>
  <sheetViews>
    <sheetView tabSelected="1" workbookViewId="0">
      <selection activeCell="O2" sqref="O2"/>
    </sheetView>
  </sheetViews>
  <sheetFormatPr defaultColWidth="9" defaultRowHeight="16.8"/>
  <cols>
    <col min="1" max="1" width="13.0769230769231" style="1" customWidth="1"/>
    <col min="2" max="2" width="15" style="1" customWidth="1"/>
    <col min="3" max="3" width="15.1538461538462" style="1" customWidth="1"/>
    <col min="4" max="4" width="17.8461538461538" style="1" customWidth="1"/>
    <col min="5" max="5" width="60.6923076923077" style="1" customWidth="1"/>
    <col min="6" max="8" width="9" style="1"/>
    <col min="9" max="9" width="13.4615384615385" style="1" customWidth="1"/>
    <col min="12" max="12" width="9" style="1"/>
    <col min="14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21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H2" s="2">
        <v>1</v>
      </c>
      <c r="I2" s="5" t="s">
        <v>10</v>
      </c>
      <c r="J2" s="1">
        <f>VLOOKUP(H2,$R$4:$T$6,3,FALSE)</f>
        <v>40</v>
      </c>
      <c r="K2" s="6">
        <v>2</v>
      </c>
      <c r="L2" s="4">
        <v>10</v>
      </c>
      <c r="U2" s="4" t="s">
        <v>11</v>
      </c>
    </row>
    <row r="3" spans="1:21">
      <c r="A3" s="1" t="s">
        <v>12</v>
      </c>
      <c r="B3" s="1" t="s">
        <v>13</v>
      </c>
      <c r="C3" s="1" t="s">
        <v>13</v>
      </c>
      <c r="D3" s="1" t="s">
        <v>14</v>
      </c>
      <c r="E3" s="1" t="s">
        <v>15</v>
      </c>
      <c r="H3" s="3">
        <v>2</v>
      </c>
      <c r="I3" s="5" t="s">
        <v>16</v>
      </c>
      <c r="J3" s="1">
        <f t="shared" ref="J3:J25" si="0">VLOOKUP(H3,$R$4:$T$6,3,FALSE)</f>
        <v>70</v>
      </c>
      <c r="K3" s="6">
        <v>2</v>
      </c>
      <c r="L3" s="4">
        <v>10</v>
      </c>
      <c r="U3" s="4" t="s">
        <v>17</v>
      </c>
    </row>
    <row r="4" spans="2:21">
      <c r="B4" s="1" t="s">
        <v>18</v>
      </c>
      <c r="D4" s="1">
        <v>100</v>
      </c>
      <c r="E4" s="1" t="s">
        <v>19</v>
      </c>
      <c r="H4" s="3">
        <v>1</v>
      </c>
      <c r="I4" s="4" t="s">
        <v>20</v>
      </c>
      <c r="J4" s="1">
        <f t="shared" si="0"/>
        <v>40</v>
      </c>
      <c r="K4" s="6">
        <v>2</v>
      </c>
      <c r="L4" s="4">
        <v>10</v>
      </c>
      <c r="R4" s="1">
        <v>1</v>
      </c>
      <c r="S4" s="1">
        <v>7</v>
      </c>
      <c r="T4" s="1">
        <v>40</v>
      </c>
      <c r="U4" s="4" t="s">
        <v>21</v>
      </c>
    </row>
    <row r="5" spans="5:21">
      <c r="E5" s="1" t="s">
        <v>22</v>
      </c>
      <c r="H5" s="3">
        <v>3</v>
      </c>
      <c r="I5" s="4" t="s">
        <v>23</v>
      </c>
      <c r="J5" s="1">
        <f t="shared" si="0"/>
        <v>70</v>
      </c>
      <c r="K5" s="6">
        <v>2</v>
      </c>
      <c r="L5" s="4">
        <v>10</v>
      </c>
      <c r="R5" s="1">
        <v>2</v>
      </c>
      <c r="S5" s="1">
        <v>3</v>
      </c>
      <c r="T5" s="1">
        <v>70</v>
      </c>
      <c r="U5" s="4" t="s">
        <v>24</v>
      </c>
    </row>
    <row r="6" spans="5:21">
      <c r="E6" s="1" t="s">
        <v>25</v>
      </c>
      <c r="H6" s="3">
        <v>1</v>
      </c>
      <c r="I6" s="4" t="s">
        <v>26</v>
      </c>
      <c r="J6" s="1">
        <f t="shared" si="0"/>
        <v>40</v>
      </c>
      <c r="K6" s="6">
        <v>2</v>
      </c>
      <c r="L6" s="4">
        <v>10</v>
      </c>
      <c r="R6" s="1">
        <v>3</v>
      </c>
      <c r="S6" s="1">
        <v>3</v>
      </c>
      <c r="T6" s="1">
        <v>70</v>
      </c>
      <c r="U6" s="4" t="s">
        <v>27</v>
      </c>
    </row>
    <row r="7" spans="5:21">
      <c r="E7" s="1" t="s">
        <v>28</v>
      </c>
      <c r="H7" s="3">
        <v>1</v>
      </c>
      <c r="I7" s="4" t="s">
        <v>29</v>
      </c>
      <c r="J7" s="1">
        <f t="shared" si="0"/>
        <v>40</v>
      </c>
      <c r="K7" s="6">
        <v>2</v>
      </c>
      <c r="L7" s="4">
        <v>10</v>
      </c>
      <c r="U7" s="4" t="s">
        <v>30</v>
      </c>
    </row>
    <row r="8" spans="5:21">
      <c r="E8" s="1" t="s">
        <v>31</v>
      </c>
      <c r="H8" s="3">
        <v>1</v>
      </c>
      <c r="I8" s="4" t="s">
        <v>32</v>
      </c>
      <c r="J8" s="1">
        <f t="shared" si="0"/>
        <v>40</v>
      </c>
      <c r="K8" s="6">
        <v>2</v>
      </c>
      <c r="L8" s="4">
        <v>10</v>
      </c>
      <c r="R8" s="1">
        <v>1</v>
      </c>
      <c r="S8" s="1">
        <v>1</v>
      </c>
      <c r="T8" s="1">
        <v>60</v>
      </c>
      <c r="U8" s="4" t="s">
        <v>33</v>
      </c>
    </row>
    <row r="9" spans="5:21">
      <c r="E9" s="1" t="s">
        <v>34</v>
      </c>
      <c r="H9" s="3">
        <v>2</v>
      </c>
      <c r="I9" s="4" t="s">
        <v>35</v>
      </c>
      <c r="J9" s="1">
        <f t="shared" si="0"/>
        <v>70</v>
      </c>
      <c r="K9" s="6">
        <v>2</v>
      </c>
      <c r="L9" s="4">
        <v>10</v>
      </c>
      <c r="R9" s="1">
        <v>2</v>
      </c>
      <c r="S9" s="1">
        <v>4</v>
      </c>
      <c r="T9" s="1">
        <v>30</v>
      </c>
      <c r="U9" s="4" t="s">
        <v>36</v>
      </c>
    </row>
    <row r="10" spans="5:21">
      <c r="E10" s="1" t="s">
        <v>37</v>
      </c>
      <c r="H10" s="3">
        <v>1</v>
      </c>
      <c r="I10" s="4" t="s">
        <v>38</v>
      </c>
      <c r="J10" s="1">
        <f t="shared" si="0"/>
        <v>40</v>
      </c>
      <c r="K10" s="6">
        <v>2</v>
      </c>
      <c r="L10" s="4">
        <v>10</v>
      </c>
      <c r="R10" s="1">
        <v>3</v>
      </c>
      <c r="S10" s="1">
        <v>3</v>
      </c>
      <c r="T10" s="1">
        <v>40</v>
      </c>
      <c r="U10" s="4" t="s">
        <v>39</v>
      </c>
    </row>
    <row r="11" spans="5:21">
      <c r="E11" s="1" t="s">
        <v>40</v>
      </c>
      <c r="H11" s="4">
        <v>3</v>
      </c>
      <c r="I11" s="4" t="s">
        <v>41</v>
      </c>
      <c r="J11" s="1">
        <f t="shared" si="0"/>
        <v>70</v>
      </c>
      <c r="K11" s="6">
        <v>2</v>
      </c>
      <c r="L11" s="4">
        <v>10</v>
      </c>
      <c r="U11" s="4" t="s">
        <v>42</v>
      </c>
    </row>
    <row r="12" spans="5:21">
      <c r="E12" s="1" t="s">
        <v>43</v>
      </c>
      <c r="H12" s="3">
        <v>2</v>
      </c>
      <c r="I12" s="4" t="s">
        <v>44</v>
      </c>
      <c r="J12" s="1">
        <f t="shared" si="0"/>
        <v>70</v>
      </c>
      <c r="K12" s="6">
        <v>2</v>
      </c>
      <c r="L12" s="4">
        <v>10</v>
      </c>
      <c r="U12" s="4" t="s">
        <v>45</v>
      </c>
    </row>
    <row r="13" spans="5:21">
      <c r="E13" s="1" t="s">
        <v>46</v>
      </c>
      <c r="H13" s="3">
        <v>1</v>
      </c>
      <c r="I13" s="4" t="s">
        <v>47</v>
      </c>
      <c r="J13" s="1">
        <f t="shared" si="0"/>
        <v>40</v>
      </c>
      <c r="K13" s="6">
        <v>2</v>
      </c>
      <c r="L13" s="4">
        <v>10</v>
      </c>
      <c r="U13" s="4" t="s">
        <v>48</v>
      </c>
    </row>
    <row r="14" spans="5:21">
      <c r="E14" s="1" t="s">
        <v>49</v>
      </c>
      <c r="H14" s="3">
        <v>3</v>
      </c>
      <c r="I14" s="4" t="s">
        <v>50</v>
      </c>
      <c r="J14" s="1">
        <f t="shared" si="0"/>
        <v>70</v>
      </c>
      <c r="K14" s="6">
        <v>2</v>
      </c>
      <c r="L14" s="4">
        <v>10</v>
      </c>
      <c r="U14" s="4" t="s">
        <v>51</v>
      </c>
    </row>
    <row r="15" spans="2:21">
      <c r="B15" s="1" t="s">
        <v>52</v>
      </c>
      <c r="C15" s="1" t="s">
        <v>29</v>
      </c>
      <c r="D15" s="1">
        <v>45</v>
      </c>
      <c r="E15" s="1" t="s">
        <v>53</v>
      </c>
      <c r="H15" s="3">
        <v>1</v>
      </c>
      <c r="I15" s="4" t="s">
        <v>54</v>
      </c>
      <c r="J15" s="1">
        <f>VLOOKUP(H15,$R$8:$T$10,3,FALSE)</f>
        <v>60</v>
      </c>
      <c r="K15" s="6">
        <v>2</v>
      </c>
      <c r="L15" s="4">
        <v>20</v>
      </c>
      <c r="U15" s="4" t="s">
        <v>55</v>
      </c>
    </row>
    <row r="16" spans="5:21">
      <c r="E16" s="1" t="s">
        <v>56</v>
      </c>
      <c r="H16" s="3">
        <v>3</v>
      </c>
      <c r="I16" s="4" t="s">
        <v>57</v>
      </c>
      <c r="J16" s="1">
        <f t="shared" ref="J16:J22" si="1">VLOOKUP(H16,$R$8:$T$10,3,FALSE)</f>
        <v>40</v>
      </c>
      <c r="K16" s="6">
        <v>2</v>
      </c>
      <c r="L16" s="4">
        <v>20</v>
      </c>
      <c r="U16" s="4" t="s">
        <v>58</v>
      </c>
    </row>
    <row r="17" spans="5:21">
      <c r="E17" s="1" t="s">
        <v>59</v>
      </c>
      <c r="H17" s="3">
        <v>2</v>
      </c>
      <c r="I17" s="4" t="s">
        <v>60</v>
      </c>
      <c r="J17" s="1">
        <f t="shared" si="1"/>
        <v>30</v>
      </c>
      <c r="K17" s="6">
        <v>2</v>
      </c>
      <c r="L17" s="4">
        <v>20</v>
      </c>
      <c r="U17" s="4" t="s">
        <v>61</v>
      </c>
    </row>
    <row r="18" spans="5:21">
      <c r="E18" s="1" t="s">
        <v>62</v>
      </c>
      <c r="H18" s="3">
        <v>2</v>
      </c>
      <c r="I18" s="4" t="s">
        <v>63</v>
      </c>
      <c r="J18" s="1">
        <f t="shared" si="1"/>
        <v>30</v>
      </c>
      <c r="K18" s="6">
        <v>2</v>
      </c>
      <c r="L18" s="4">
        <v>20</v>
      </c>
      <c r="N18" s="1">
        <v>300</v>
      </c>
      <c r="U18" s="4" t="s">
        <v>64</v>
      </c>
    </row>
    <row r="19" spans="5:21">
      <c r="E19" s="1" t="s">
        <v>65</v>
      </c>
      <c r="H19" s="3">
        <v>3</v>
      </c>
      <c r="I19" s="4" t="s">
        <v>66</v>
      </c>
      <c r="J19" s="1">
        <f t="shared" si="1"/>
        <v>40</v>
      </c>
      <c r="K19" s="6">
        <v>2</v>
      </c>
      <c r="L19" s="4">
        <v>20</v>
      </c>
      <c r="U19" s="4" t="s">
        <v>67</v>
      </c>
    </row>
    <row r="20" spans="5:21">
      <c r="E20" s="1" t="s">
        <v>68</v>
      </c>
      <c r="H20" s="3">
        <v>3</v>
      </c>
      <c r="I20" s="4" t="s">
        <v>69</v>
      </c>
      <c r="J20" s="1">
        <f t="shared" si="1"/>
        <v>40</v>
      </c>
      <c r="K20" s="6">
        <v>2</v>
      </c>
      <c r="L20" s="4">
        <v>20</v>
      </c>
      <c r="N20" s="1">
        <v>150</v>
      </c>
      <c r="U20" s="4" t="s">
        <v>70</v>
      </c>
    </row>
    <row r="21" spans="2:21">
      <c r="B21" s="1" t="s">
        <v>71</v>
      </c>
      <c r="C21" s="1" t="s">
        <v>20</v>
      </c>
      <c r="D21" s="1">
        <v>38</v>
      </c>
      <c r="E21" s="1" t="s">
        <v>72</v>
      </c>
      <c r="H21" s="3">
        <v>2</v>
      </c>
      <c r="I21" s="4" t="s">
        <v>73</v>
      </c>
      <c r="J21" s="1">
        <f t="shared" si="1"/>
        <v>30</v>
      </c>
      <c r="K21" s="6">
        <v>2</v>
      </c>
      <c r="L21" s="4">
        <v>20</v>
      </c>
      <c r="U21" s="4" t="s">
        <v>74</v>
      </c>
    </row>
    <row r="22" spans="5:21">
      <c r="E22" s="1" t="s">
        <v>75</v>
      </c>
      <c r="H22" s="3">
        <v>2</v>
      </c>
      <c r="I22" s="4" t="s">
        <v>76</v>
      </c>
      <c r="J22" s="1">
        <f t="shared" si="1"/>
        <v>30</v>
      </c>
      <c r="K22" s="6">
        <v>2</v>
      </c>
      <c r="L22" s="4">
        <v>20</v>
      </c>
      <c r="U22" s="4" t="s">
        <v>77</v>
      </c>
    </row>
    <row r="23" spans="5:21">
      <c r="E23" s="1" t="s">
        <v>78</v>
      </c>
      <c r="H23" s="3">
        <v>1</v>
      </c>
      <c r="I23" s="4" t="s">
        <v>79</v>
      </c>
      <c r="J23" s="1">
        <v>50</v>
      </c>
      <c r="K23" s="6">
        <v>1</v>
      </c>
      <c r="L23" s="4">
        <v>30</v>
      </c>
      <c r="U23" s="4" t="s">
        <v>80</v>
      </c>
    </row>
    <row r="24" spans="5:21">
      <c r="E24" s="1" t="s">
        <v>81</v>
      </c>
      <c r="H24" s="3">
        <v>2</v>
      </c>
      <c r="I24" s="5" t="s">
        <v>82</v>
      </c>
      <c r="J24" s="1">
        <v>50</v>
      </c>
      <c r="K24" s="6">
        <v>1</v>
      </c>
      <c r="L24" s="4">
        <v>30</v>
      </c>
      <c r="U24" s="4" t="s">
        <v>83</v>
      </c>
    </row>
    <row r="25" spans="5:21">
      <c r="E25" s="1" t="s">
        <v>84</v>
      </c>
      <c r="H25" s="3">
        <v>3</v>
      </c>
      <c r="I25" s="4" t="s">
        <v>85</v>
      </c>
      <c r="J25" s="1">
        <v>50</v>
      </c>
      <c r="K25" s="6">
        <v>1</v>
      </c>
      <c r="L25" s="4">
        <v>30</v>
      </c>
      <c r="U25" s="4" t="s">
        <v>86</v>
      </c>
    </row>
    <row r="26" spans="5:22">
      <c r="E26" s="1" t="s">
        <v>87</v>
      </c>
      <c r="H26" s="4"/>
      <c r="I26" s="4"/>
      <c r="U26" s="4"/>
      <c r="V26" s="4"/>
    </row>
    <row r="28" spans="14:14">
      <c r="N28" s="1" t="s">
        <v>88</v>
      </c>
    </row>
    <row r="30" spans="8:8">
      <c r="H30" s="4"/>
    </row>
    <row r="31" spans="8:8">
      <c r="H31" s="4"/>
    </row>
    <row r="32" spans="12:19">
      <c r="L32" s="1">
        <v>1</v>
      </c>
      <c r="M32">
        <v>3</v>
      </c>
      <c r="N32" s="1">
        <v>4</v>
      </c>
      <c r="O32" s="1">
        <v>5</v>
      </c>
      <c r="P32" s="1">
        <v>4</v>
      </c>
      <c r="R32" s="1" t="s">
        <v>89</v>
      </c>
      <c r="S32" s="1">
        <v>10</v>
      </c>
    </row>
    <row r="33" spans="12:19">
      <c r="L33" s="1">
        <v>2</v>
      </c>
      <c r="M33">
        <v>2</v>
      </c>
      <c r="N33" s="1">
        <v>0</v>
      </c>
      <c r="O33" s="1">
        <v>1</v>
      </c>
      <c r="P33" s="1">
        <v>3</v>
      </c>
      <c r="R33" s="1" t="s">
        <v>90</v>
      </c>
      <c r="S33" s="1">
        <v>20</v>
      </c>
    </row>
    <row r="34" spans="12:19">
      <c r="L34" s="1">
        <v>3</v>
      </c>
      <c r="M34">
        <v>1</v>
      </c>
      <c r="N34" s="1">
        <v>2</v>
      </c>
      <c r="O34" s="1">
        <v>1</v>
      </c>
      <c r="P34" s="1">
        <v>0</v>
      </c>
      <c r="R34" s="1" t="s">
        <v>91</v>
      </c>
      <c r="S34" s="1">
        <v>30</v>
      </c>
    </row>
    <row r="36" spans="13:16">
      <c r="M36">
        <f>SUMPRODUCT($L$32:$L$34,M32:M34)</f>
        <v>10</v>
      </c>
      <c r="N36">
        <f>SUMPRODUCT($L$32:$L$34,N32:N34)</f>
        <v>10</v>
      </c>
      <c r="O36">
        <f>SUMPRODUCT($L$32:$L$34,O32:O34)</f>
        <v>10</v>
      </c>
      <c r="P36">
        <f>SUMPRODUCT($L$32:$L$34,P32:P34)</f>
        <v>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recipe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2026-06-14T02:28:00Z</dcterms:created>
  <dcterms:modified xsi:type="dcterms:W3CDTF">2026-07-22T14:08:41Z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2F296F73FCA9E8A00A84586ABF055B55_42</vt:lpwstr>
  </property>
</Properties>
</file>