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5930d30ea9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me_base" sheetId="1" r:id="R6c3261fcafbb415f"/>
    <x:sheet xmlns:r="http://schemas.openxmlformats.org/officeDocument/2006/relationships" name="Sheet1" sheetId="2" r:id="Rbaec92c4d2734ddd"/>
  </x:sheets>
</x:workbook>
</file>

<file path=xl/sharedStrings.xml><?xml version="1.0" encoding="utf-8"?>
<x:sst xmlns:x="http://schemas.openxmlformats.org/spreadsheetml/2006/main">
  <x:si>
    <x:t xml:space="preserve">##var#column</x:t>
  </x:si>
  <x:si>
    <x:t xml:space="preserve">##type</x:t>
  </x:si>
  <x:si>
    <x:t xml:space="preserve">##</x:t>
  </x:si>
  <x:si>
    <x:t xml:space="preserve">initialGold</x:t>
  </x:si>
  <x:si>
    <x:t xml:space="preserve">int</x:t>
  </x:si>
  <x:si>
    <x:t xml:space="preserve">初始金币</x:t>
  </x:si>
  <x:si>
    <x:t xml:space="preserve">initialInterestCap</x:t>
  </x:si>
  <x:si>
    <x:t xml:space="preserve">利息节点单次最高可获得金币数</x:t>
  </x:si>
  <x:si>
    <x:t xml:space="preserve">interestThreshold</x:t>
  </x:si>
  <x:si>
    <x:t xml:space="preserve">Interest:每满该金币阈值</x:t>
  </x:si>
  <x:si>
    <x:t xml:space="preserve">interestGoldPer</x:t>
  </x:si>
  <x:si>
    <x:t xml:space="preserve">Interest:每档获得金币</x:t>
  </x:si>
  <x:si>
    <x:t xml:space="preserve">initialActionRerollCount</x:t>
  </x:si>
  <x:si>
    <x:t xml:space="preserve">初始行动刷新次数</x:t>
  </x:si>
  <x:si>
    <x:t xml:space="preserve">baseActiveSlots</x:t>
  </x:si>
  <x:si>
    <x:t xml:space="preserve">主动道具基础消耗槽数</x:t>
  </x:si>
  <x:si>
    <x:t xml:space="preserve">shopFoodSaleSlotCount</x:t>
  </x:si>
  <x:si>
    <x:t xml:space="preserve">商店食物出售栏位数量</x:t>
  </x:si>
  <x:si>
    <x:t xml:space="preserve">shopPassiveItemSaleSlotCount</x:t>
  </x:si>
  <x:si>
    <x:t xml:space="preserve">商店被动道具出售栏位数量</x:t>
  </x:si>
  <x:si>
    <x:t xml:space="preserve">shopActiveItemSaleSlotCount</x:t>
  </x:si>
  <x:si>
    <x:t xml:space="preserve">商店主动道具出售栏位数量</x:t>
  </x:si>
  <x:si>
    <x:t xml:space="preserve">foodFlavorLimit</x:t>
  </x:si>
  <x:si>
    <x:t xml:space="preserve">食物风味上限</x:t>
  </x:si>
  <x:si>
    <x:t xml:space="preserve">foodDeleteCount</x:t>
  </x:si>
  <x:si>
    <x:t xml:space="preserve">美食战斗每局可丢弃出餐食物次数</x:t>
  </x:si>
  <x:si>
    <x:t xml:space="preserve">fragmentPackPrices</x:t>
  </x:si>
  <x:si>
    <x:t xml:space="preserve">(list#sep=,),int</x:t>
  </x:si>
  <x:si>
    <x:t xml:space="preserve">碎片包按购买次数递增价格</x:t>
  </x:si>
  <x:si>
    <x:t xml:space="preserve">deleteDishPrices</x:t>
  </x:si>
  <x:si>
    <x:t xml:space="preserve">删除菜品按删除次数递增价格</x:t>
  </x:si>
  <x:si>
    <x:t xml:space="preserve">shopPriceFluctuationPct</x:t>
  </x:si>
  <x:si>
    <x:t xml:space="preserve">float</x:t>
  </x:si>
  <x:si>
    <x:t xml:space="preserve">商店食物/主动/被动道具基础价格随机浮动比例</x:t>
  </x:si>
  <x:si>
    <x:t xml:space="preserve">actionChoiceCount</x:t>
  </x:si>
  <x:si>
    <x:t xml:space="preserve">行动随机候选数量</x:t>
  </x:si>
  <x:si>
    <x:t xml:space="preserve">hiddenScoreDistanceFloor</x:t>
  </x:si>
  <x:si>
    <x:t xml:space="preserve">隐藏分距离加权下限（菜品/道具/碎片随机池共用）</x:t>
  </x:si>
  <x:si>
    <x:t xml:space="preserve">minimumRandomWeight</x:t>
  </x:si>
  <x:si>
    <x:t xml:space="preserve">随机池修正后权重的最小正值</x:t>
  </x:si>
  <x:si>
    <x:t xml:space="preserve">defaultRandomWeight</x:t>
  </x:si>
  <x:si>
    <x:t xml:space="preserve">随机池基础权重未配置或非正数时的默认值</x:t>
  </x:si>
  <x:si>
    <x:t xml:space="preserve">randomServeMultiplierMin</x:t>
  </x:si>
  <x:si>
    <x:t xml:space="preserve">黑暗料理随机上菜倍率下限</x:t>
  </x:si>
  <x:si>
    <x:t xml:space="preserve">randomServeMultiplierMax</x:t>
  </x:si>
  <x:si>
    <x:t xml:space="preserve">黑暗料理随机上菜倍率上限</x:t>
  </x:si>
  <x:si>
    <x:t xml:space="preserve">randomServeMultiplierStep</x:t>
  </x:si>
  <x:si>
    <x:t xml:space="preserve">黑暗料理随机上菜倍率步长</x:t>
  </x:si>
  <x:si>
    <x:t xml:space="preserve">shopDeleteDishLimit</x:t>
  </x:si>
  <x:si>
    <x:t xml:space="preserve">每次进入商店最多可删除食物次数（0=不限）</x:t>
  </x:si>
  <x:si>
    <x:t xml:space="preserve">serveCookiePityCount</x:t>
  </x:si>
  <x:si>
    <x:t xml:space="preserve">连续出菜均为饼干达到该次数后，下一次优先非饼干（0=关闭）</x:t>
  </x:si>
  <x:si>
    <x:t xml:space="preserve">serveCookieDishIds</x:t>
  </x:si>
  <x:si>
    <x:t xml:space="preserve">(list#sep=,),string</x:t>
  </x:si>
  <x:si>
    <x:t xml:space="preserve">出菜保底认定为饼干的食物本体ID列表</x:t>
  </x:si>
  <x:si>
    <x:t xml:space="preserve">arrow_cookie_1,arrow_cookie_2,arrow_cookie_3,arrow_cookie_4</x:t>
  </x:si>
  <x:si>
    <x:t xml:space="preserve">经济</x:t>
  </x:si>
  <x:si>
    <x:t xml:space="preserve">第一周获得的钱</x:t>
  </x:si>
  <x:si>
    <x:t xml:space="preserve">确定性溢价</x:t>
  </x:si>
  <x:si>
    <x:t xml:space="preserve">每周行动次数</x:t>
  </x:si>
  <x:si>
    <x:t xml:space="preserve">利息</x:t>
  </x:si>
  <x:si>
    <x:t xml:space="preserve">食物</x:t>
  </x:si>
  <x:si>
    <x:t xml:space="preserve">删除</x:t>
  </x:si>
  <x:si>
    <x:t xml:space="preserve">格子</x:t>
  </x:si>
  <x:si>
    <x:t xml:space="preserve">主动</x:t>
  </x:si>
  <x:si>
    <x:t xml:space="preserve">被动传说</x:t>
  </x:si>
  <x:si>
    <x:t xml:space="preserve">被动顶级</x:t>
  </x:si>
  <x:si>
    <x:t xml:space="preserve">被动高级</x:t>
  </x:si>
  <x:si>
    <x:t xml:space="preserve">被动普通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</x:si>
</x:sst>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3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2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3" borderId="4">
      <x:alignment vertical="center"/>
    </x:xf>
    <x:xf numFmtId="0" fontId="10" fillId="4" borderId="5">
      <x:alignment vertical="center"/>
    </x:xf>
    <x:xf numFmtId="0" fontId="11" fillId="4" borderId="4">
      <x:alignment vertical="center"/>
    </x:xf>
    <x:xf numFmtId="0" fontId="12" fillId="5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6" borderId="0">
      <x:alignment vertical="center"/>
    </x:xf>
    <x:xf numFmtId="0" fontId="16" fillId="7" borderId="0">
      <x:alignment vertical="center"/>
    </x:xf>
    <x:xf numFmtId="0" fontId="17" fillId="8" borderId="0">
      <x:alignment vertical="center"/>
    </x:xf>
    <x:xf numFmtId="0" fontId="18" fillId="9" borderId="0">
      <x:alignment vertical="center"/>
    </x:xf>
    <x:xf numFmtId="0" fontId="0" fillId="10" borderId="0">
      <x:alignment vertical="center"/>
    </x:xf>
    <x:xf numFmtId="0" fontId="0" fillId="11" borderId="0">
      <x:alignment vertical="center"/>
    </x:xf>
    <x:xf numFmtId="0" fontId="18" fillId="12" borderId="0">
      <x:alignment vertical="center"/>
    </x:xf>
    <x:xf numFmtId="0" fontId="18" fillId="13" borderId="0">
      <x:alignment vertical="center"/>
    </x:xf>
    <x:xf numFmtId="0" fontId="0" fillId="14" borderId="0">
      <x:alignment vertical="center"/>
    </x:xf>
    <x:xf numFmtId="0" fontId="0" fillId="15" borderId="0">
      <x:alignment vertical="center"/>
    </x:xf>
    <x:xf numFmtId="0" fontId="18" fillId="16" borderId="0">
      <x:alignment vertical="center"/>
    </x:xf>
    <x:xf numFmtId="0" fontId="18" fillId="17" borderId="0">
      <x:alignment vertical="center"/>
    </x:xf>
    <x:xf numFmtId="0" fontId="0" fillId="18" borderId="0">
      <x:alignment vertical="center"/>
    </x:xf>
    <x:xf numFmtId="0" fontId="0" fillId="19" borderId="0">
      <x:alignment vertical="center"/>
    </x:xf>
    <x:xf numFmtId="0" fontId="18" fillId="20" borderId="0">
      <x:alignment vertical="center"/>
    </x:xf>
    <x:xf numFmtId="0" fontId="18" fillId="21" borderId="0">
      <x:alignment vertical="center"/>
    </x:xf>
    <x:xf numFmtId="0" fontId="0" fillId="22" borderId="0">
      <x:alignment vertical="center"/>
    </x:xf>
    <x:xf numFmtId="0" fontId="0" fillId="23" borderId="0">
      <x:alignment vertical="center"/>
    </x:xf>
    <x:xf numFmtId="0" fontId="18" fillId="24" borderId="0">
      <x:alignment vertical="center"/>
    </x:xf>
    <x:xf numFmtId="0" fontId="18" fillId="25" borderId="0">
      <x:alignment vertical="center"/>
    </x:xf>
    <x:xf numFmtId="0" fontId="0" fillId="26" borderId="0">
      <x:alignment vertical="center"/>
    </x:xf>
    <x:xf numFmtId="0" fontId="0" fillId="27" borderId="0">
      <x:alignment vertical="center"/>
    </x:xf>
    <x:xf numFmtId="0" fontId="18" fillId="28" borderId="0">
      <x:alignment vertical="center"/>
    </x:xf>
    <x:xf numFmtId="0" fontId="18" fillId="29" borderId="0">
      <x:alignment vertical="center"/>
    </x:xf>
    <x:xf numFmtId="0" fontId="0" fillId="30" borderId="0">
      <x:alignment vertical="center"/>
    </x:xf>
    <x:xf numFmtId="0" fontId="0" fillId="31" borderId="0">
      <x:alignment vertical="center"/>
    </x:xf>
    <x:xf numFmtId="0" fontId="18" fillId="32" borderId="0">
      <x:alignment vertical="center"/>
    </x:xf>
  </x:cellStyleXfs>
  <x:cellXfs count="6">
    <x:xf numFmtId="0" fontId="0" fillId="0" borderId="0" xfId="0"/>
    <x:xf numFmtId="9" fontId="0" fillId="0" borderId="0" xfId="0" applyNumberFormat="1"/>
    <x:xf numFmtId="0" fontId="0" fillId="0" borderId="0" xfId="0" applyAlignment="1">
      <x:alignment horizontal="center" vertical="center"/>
    </x:xf>
    <x:xf numFmtId="0" fontId="0" fillId="0" borderId="0" xfId="0" applyNumberFormat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a1218eafd547c5" /><Relationship Type="http://schemas.openxmlformats.org/officeDocument/2006/relationships/theme" Target="/xl/theme/theme1.xml" Id="R02172ba7973c4dda" /><Relationship Type="http://schemas.openxmlformats.org/officeDocument/2006/relationships/sharedStrings" Target="/xl/sharedStrings.xml" Id="R3bcb83bacbf74396" /><Relationship Type="http://schemas.openxmlformats.org/officeDocument/2006/relationships/worksheet" Target="/xl/worksheets/sheet1.xml" Id="R6c3261fcafbb415f" /><Relationship Type="http://schemas.openxmlformats.org/officeDocument/2006/relationships/worksheet" Target="/xl/worksheets/sheet2.xml" Id="Rbaec92c4d2734dd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31.076923370361328" style="2" customWidth="1"/>
    <x:col min="2" max="2" width="22" style="2" customWidth="1"/>
    <x:col min="3" max="3" width="68.84615325927734" style="2" customWidth="1"/>
    <x:col min="4" max="4" width="64.84615325927734" style="2" customWidth="1"/>
    <x:col min="5" max="6" width="22" style="2" customWidth="1"/>
    <x:col min="7" max="16384" width="9" style="2" customWidth="0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2" t="s">
        <x:v>3</x:v>
      </x:c>
      <x:c r="B2" s="2" t="s">
        <x:v>4</x:v>
      </x:c>
      <x:c r="C2" s="2" t="s">
        <x:v>5</x:v>
      </x:c>
      <x:c r="D2" s="2">
        <x:v>50</x:v>
      </x:c>
    </x:row>
    <x:row r="3">
      <x:c r="A3" s="2" t="s">
        <x:v>6</x:v>
      </x:c>
      <x:c r="B3" s="2" t="s">
        <x:v>4</x:v>
      </x:c>
      <x:c r="C3" s="2" t="s">
        <x:v>7</x:v>
      </x:c>
      <x:c r="D3" s="2">
        <x:v>30</x:v>
      </x:c>
    </x:row>
    <x:row r="4">
      <x:c r="A4" s="2" t="s">
        <x:v>8</x:v>
      </x:c>
      <x:c r="B4" s="2" t="s">
        <x:v>4</x:v>
      </x:c>
      <x:c r="C4" s="2" t="s">
        <x:v>9</x:v>
      </x:c>
      <x:c r="D4" s="2">
        <x:v>5</x:v>
      </x:c>
    </x:row>
    <x:row r="5">
      <x:c r="A5" s="2" t="s">
        <x:v>10</x:v>
      </x:c>
      <x:c r="B5" s="2" t="s">
        <x:v>4</x:v>
      </x:c>
      <x:c r="C5" s="2" t="s">
        <x:v>11</x:v>
      </x:c>
      <x:c r="D5" s="2">
        <x:v>1</x:v>
      </x:c>
    </x:row>
    <x:row r="6">
      <x:c r="A6" s="2" t="s">
        <x:v>12</x:v>
      </x:c>
      <x:c r="B6" s="2" t="s">
        <x:v>4</x:v>
      </x:c>
      <x:c r="C6" s="2" t="s">
        <x:v>13</x:v>
      </x:c>
      <x:c r="D6" s="2">
        <x:v>0</x:v>
      </x:c>
    </x:row>
    <x:row r="7">
      <x:c r="A7" s="2" t="s">
        <x:v>14</x:v>
      </x:c>
      <x:c r="B7" s="2" t="s">
        <x:v>4</x:v>
      </x:c>
      <x:c r="C7" s="2" t="s">
        <x:v>15</x:v>
      </x:c>
      <x:c r="D7" s="2" t="n">
        <x:v>4</x:v>
      </x:c>
    </x:row>
    <x:row r="8">
      <x:c r="A8" s="2" t="s">
        <x:v>16</x:v>
      </x:c>
      <x:c r="B8" s="2" t="s">
        <x:v>4</x:v>
      </x:c>
      <x:c r="C8" s="2" t="s">
        <x:v>17</x:v>
      </x:c>
      <x:c r="D8" s="2">
        <x:v>3</x:v>
      </x:c>
    </x:row>
    <x:row r="9">
      <x:c r="A9" s="2" t="s">
        <x:v>18</x:v>
      </x:c>
      <x:c r="B9" s="2" t="s">
        <x:v>4</x:v>
      </x:c>
      <x:c r="C9" s="2" t="s">
        <x:v>19</x:v>
      </x:c>
      <x:c r="D9" s="2">
        <x:v>2</x:v>
      </x:c>
    </x:row>
    <x:row r="10">
      <x:c r="A10" s="2" t="s">
        <x:v>20</x:v>
      </x:c>
      <x:c r="B10" s="2" t="s">
        <x:v>4</x:v>
      </x:c>
      <x:c r="C10" s="2" t="s">
        <x:v>21</x:v>
      </x:c>
      <x:c r="D10" s="2">
        <x:v>2</x:v>
      </x:c>
    </x:row>
    <x:row r="11">
      <x:c r="A11" s="2" t="s">
        <x:v>22</x:v>
      </x:c>
      <x:c r="B11" s="2" t="s">
        <x:v>4</x:v>
      </x:c>
      <x:c r="C11" s="2" t="s">
        <x:v>23</x:v>
      </x:c>
      <x:c r="D11" s="2">
        <x:v>1</x:v>
      </x:c>
    </x:row>
    <x:row r="12">
      <x:c r="A12" s="2" t="s">
        <x:v>24</x:v>
      </x:c>
      <x:c r="B12" s="2" t="s">
        <x:v>4</x:v>
      </x:c>
      <x:c r="C12" s="2" t="s">
        <x:v>25</x:v>
      </x:c>
      <x:c r="D12" s="3">
        <x:v>2</x:v>
      </x:c>
    </x:row>
    <x:row r="13">
      <x:c r="A13" s="2" t="s">
        <x:v>26</x:v>
      </x:c>
      <x:c r="B13" s="2" t="s">
        <x:v>27</x:v>
      </x:c>
      <x:c r="C13" s="2" t="s">
        <x:v>28</x:v>
      </x:c>
      <x:c r="D13" s="2" t="str">
        <x:f>_xlfn.TEXTJOIN(",",TRUE,Sheet1!J13:N13)</x:f>
        <x:v>60,60,80,80,100</x:v>
      </x:c>
    </x:row>
    <x:row r="14">
      <x:c r="A14" s="2" t="s">
        <x:v>29</x:v>
      </x:c>
      <x:c r="B14" s="2" t="s">
        <x:v>27</x:v>
      </x:c>
      <x:c r="C14" s="2" t="s">
        <x:v>30</x:v>
      </x:c>
      <x:c r="D14" s="2" t="str">
        <x:f>_xlfn.TEXTJOIN(",",TRUE,Sheet1!J12:M12)</x:f>
        <x:v>40,50,60,80</x:v>
      </x:c>
    </x:row>
    <x:row r="15">
      <x:c r="A15" s="2" t="s">
        <x:v>31</x:v>
      </x:c>
      <x:c r="B15" s="2" t="s">
        <x:v>32</x:v>
      </x:c>
      <x:c r="C15" s="2" t="s">
        <x:v>33</x:v>
      </x:c>
      <x:c r="D15" s="2">
        <x:v>0.2</x:v>
      </x:c>
    </x:row>
    <x:row r="16">
      <x:c r="A16" s="2" t="s">
        <x:v>34</x:v>
      </x:c>
      <x:c r="B16" s="2" t="s">
        <x:v>4</x:v>
      </x:c>
      <x:c r="C16" s="2" t="s">
        <x:v>35</x:v>
      </x:c>
      <x:c r="D16" s="2">
        <x:v>3</x:v>
      </x:c>
    </x:row>
    <x:row r="17">
      <x:c r="A17" s="2" t="s">
        <x:v>36</x:v>
      </x:c>
      <x:c r="B17" s="2" t="s">
        <x:v>4</x:v>
      </x:c>
      <x:c r="C17" s="2" t="s">
        <x:v>37</x:v>
      </x:c>
      <x:c r="D17" s="2">
        <x:v>100</x:v>
      </x:c>
    </x:row>
    <x:row r="18">
      <x:c r="A18" s="2" t="s">
        <x:v>38</x:v>
      </x:c>
      <x:c r="B18" s="2" t="s">
        <x:v>32</x:v>
      </x:c>
      <x:c r="C18" s="2" t="s">
        <x:v>39</x:v>
      </x:c>
      <x:c r="D18" s="2">
        <x:v>1</x:v>
      </x:c>
    </x:row>
    <x:row r="19">
      <x:c r="A19" s="2" t="s">
        <x:v>40</x:v>
      </x:c>
      <x:c r="B19" s="2" t="s">
        <x:v>32</x:v>
      </x:c>
      <x:c r="C19" s="2" t="s">
        <x:v>41</x:v>
      </x:c>
      <x:c r="D19" s="2">
        <x:v>1</x:v>
      </x:c>
    </x:row>
    <x:row r="20">
      <x:c r="A20" s="2" t="s">
        <x:v>42</x:v>
      </x:c>
      <x:c r="B20" s="2" t="s">
        <x:v>32</x:v>
      </x:c>
      <x:c r="C20" s="2" t="s">
        <x:v>43</x:v>
      </x:c>
      <x:c r="D20" s="2">
        <x:v>0.5</x:v>
      </x:c>
    </x:row>
    <x:row r="21">
      <x:c r="A21" s="2" t="s">
        <x:v>44</x:v>
      </x:c>
      <x:c r="B21" s="2" t="s">
        <x:v>32</x:v>
      </x:c>
      <x:c r="C21" s="2" t="s">
        <x:v>45</x:v>
      </x:c>
      <x:c r="D21" s="2">
        <x:v>1.5</x:v>
      </x:c>
    </x:row>
    <x:row r="22">
      <x:c r="A22" s="2" t="s">
        <x:v>46</x:v>
      </x:c>
      <x:c r="B22" s="2" t="s">
        <x:v>32</x:v>
      </x:c>
      <x:c r="C22" s="2" t="s">
        <x:v>47</x:v>
      </x:c>
      <x:c r="D22" s="4">
        <x:v>0.1</x:v>
      </x:c>
    </x:row>
    <x:row r="23">
      <x:c r="A23" s="2" t="s">
        <x:v>48</x:v>
      </x:c>
      <x:c r="B23" s="2" t="s">
        <x:v>4</x:v>
      </x:c>
      <x:c r="C23" s="2" t="s">
        <x:v>49</x:v>
      </x:c>
      <x:c r="D23" s="2">
        <x:v>1</x:v>
      </x:c>
    </x:row>
    <x:row r="24">
      <x:c r="A24" s="5" t="s">
        <x:v>50</x:v>
      </x:c>
      <x:c r="B24" s="5" t="s">
        <x:v>4</x:v>
      </x:c>
      <x:c r="C24" s="5" t="s">
        <x:v>51</x:v>
      </x:c>
      <x:c r="D24" s="5">
        <x:v>4</x:v>
      </x:c>
    </x:row>
    <x:row r="25">
      <x:c r="A25" s="5" t="s">
        <x:v>52</x:v>
      </x:c>
      <x:c r="B25" s="5" t="s">
        <x:v>53</x:v>
      </x:c>
      <x:c r="C25" s="5" t="s">
        <x:v>54</x:v>
      </x:c>
      <x:c r="D25" s="5" t="s">
        <x:v>55</x:v>
      </x:c>
    </x:row>
    <x:row r="26">
      <x:c r="A26" t="str">
        <x:v>shopFragmentPackPurchaseLimit</x:v>
      </x:c>
      <x:c r="B26" t="str">
        <x:v>int</x:v>
      </x:c>
      <x:c r="C26" t="str">
        <x:v>每次进入商店最多可购买碎片包次数（0=不限）</x:v>
      </x:c>
      <x:c r="D26" t="n">
        <x:v>1</x:v>
      </x:c>
    </x:row>
    <x:row r="27">
      <x:c r="A27" t="str">
        <x:v>initialHeartCount</x:v>
      </x:c>
      <x:c r="B27" t="str">
        <x:v>int</x:v>
      </x:c>
      <x:c r="C27" t="str">
        <x:v>开局爱心数量（同时初始化当前爱心与爱心上限）</x:v>
      </x:c>
      <x:c r="D27" t="n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230769157409668" defaultRowHeight="16.799999237060547"/>
  <x:sheetData>
    <x:row r="4">
      <x:c r="C4" t="s">
        <x:v>56</x:v>
      </x:c>
    </x:row>
    <x:row r="6">
      <x:c r="E6" t="s">
        <x:v>57</x:v>
      </x:c>
      <x:c r="F6"/>
      <x:c r="G6">
        <x:v>280</x:v>
      </x:c>
      <x:c r="I6" t="s">
        <x:v>58</x:v>
      </x:c>
      <x:c r="K6">
        <x:v>1.2</x:v>
      </x:c>
      <x:c r="M6" t="s">
        <x:v>59</x:v>
      </x:c>
      <x:c r="O6">
        <x:v>7</x:v>
      </x:c>
    </x:row>
    <x:row r="8">
      <x:c r="E8" t="s">
        <x:v>60</x:v>
      </x:c>
    </x:row>
    <x:row r="12">
      <x:c r="E12" t="s">
        <x:v>61</x:v>
      </x:c>
      <x:c r="F12"/>
      <x:c r="I12" t="s">
        <x:v>62</x:v>
      </x:c>
      <x:c r="J12">
        <x:v>40</x:v>
      </x:c>
      <x:c r="K12">
        <x:v>50</x:v>
      </x:c>
      <x:c r="L12">
        <x:v>60</x:v>
      </x:c>
      <x:c r="M12">
        <x:v>80</x:v>
      </x:c>
    </x:row>
    <x:row r="13">
      <x:c r="I13" t="s">
        <x:v>63</x:v>
      </x:c>
      <x:c r="J13">
        <x:v>60</x:v>
      </x:c>
      <x:c r="K13">
        <x:v>60</x:v>
      </x:c>
      <x:c r="L13">
        <x:v>80</x:v>
      </x:c>
      <x:c r="M13">
        <x:v>80</x:v>
      </x:c>
      <x:c r="N13">
        <x:v>100</x:v>
      </x:c>
    </x:row>
    <x:row r="14">
      <x:c r="I14" t="s">
        <x:v>64</x:v>
      </x:c>
      <x:c r="J14">
        <x:v>40</x:v>
      </x:c>
      <x:c r="K14"/>
      <x:c r="O14">
        <x:v>80</x:v>
      </x:c>
    </x:row>
    <x:row r="15">
      <x:c r="I15" t="s">
        <x:v>65</x:v>
      </x:c>
      <x:c r="J15">
        <x:v>240</x:v>
      </x:c>
      <x:c r="K15" s="1">
        <x:v>0.07</x:v>
      </x:c>
    </x:row>
    <x:row r="16">
      <x:c r="I16" t="s">
        <x:v>66</x:v>
      </x:c>
      <x:c r="J16">
        <x:v>150</x:v>
      </x:c>
      <x:c r="K16" s="1">
        <x:v>0.12</x:v>
      </x:c>
      <x:c r="M16" t="n">
        <x:f>SUMPRODUCT(J15:J18,K15:K18)</x:f>
        <x:v>83.60000000000001</x:v>
      </x:c>
    </x:row>
    <x:row r="17">
      <x:c r="I17" t="s">
        <x:v>67</x:v>
      </x:c>
      <x:c r="J17">
        <x:v>80</x:v>
      </x:c>
      <x:c r="K17" s="1">
        <x:v>0.42</x:v>
      </x:c>
    </x:row>
    <x:row r="18">
      <x:c r="I18" t="s">
        <x:v>68</x:v>
      </x:c>
      <x:c r="J18">
        <x:v>40</x:v>
      </x:c>
      <x:c r="K18" s="1">
        <x:v>0.38</x:v>
      </x:c>
    </x:row>
  </x:sheetData>
  <x:pageMargins left="0.7" right="0.7" top="0.75" bottom="0.75" header="0.3" footer="0.3"/>
</x:worksheet>
</file>