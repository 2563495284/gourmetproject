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0" autoFilterDateGrouping="1"/>
  </bookViews>
  <sheets>
    <sheet xmlns:r="http://schemas.openxmlformats.org/officeDocument/2006/relationships" name="hidden_score_curve" sheetId="1" state="visible" r:id="rId1"/>
    <sheet xmlns:r="http://schemas.openxmlformats.org/officeDocument/2006/relationships" name="gold_reward_curve" sheetId="2" state="visible" r:id="rId2"/>
    <sheet xmlns:r="http://schemas.openxmlformats.org/officeDocument/2006/relationships" name="Sheet1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sz val="9.75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</dLbls>
          <val>
            <numRef>
              <f>Sheet1!$C$5:$AL$5</f>
              <numCache>
                <formatCode>General</formatCode>
                <ptCount val="36"/>
                <pt idx="0">
                  <v>2.47712125471966</v>
                </pt>
                <pt idx="1">
                  <v>2.65321251377534</v>
                </pt>
                <pt idx="2">
                  <v>2.77815125038364</v>
                </pt>
                <pt idx="3">
                  <v>2.90308998699194</v>
                </pt>
                <pt idx="4">
                  <v>3.07918124604762</v>
                </pt>
                <pt idx="5">
                  <v>3.20411998265592</v>
                </pt>
                <pt idx="6">
                  <v>3.30102999566398</v>
                </pt>
                <pt idx="7">
                  <v>3.47712125471966</v>
                </pt>
                <pt idx="8">
                  <v>3.60205999132796</v>
                </pt>
                <pt idx="9">
                  <v>3.69897000433602</v>
                </pt>
                <pt idx="10">
                  <v>3.8750612633917</v>
                </pt>
                <pt idx="11">
                  <v>4</v>
                </pt>
                <pt idx="12">
                  <v>4.04139268515823</v>
                </pt>
                <pt idx="13">
                  <v>4.21748394421391</v>
                </pt>
                <pt idx="14">
                  <v>4.34242268082221</v>
                </pt>
                <pt idx="15">
                  <v>4.30102999566398</v>
                </pt>
                <pt idx="16">
                  <v>4.47712125471966</v>
                </pt>
                <pt idx="17">
                  <v>4.60205999132796</v>
                </pt>
                <pt idx="18">
                  <v>4.54406804435028</v>
                </pt>
                <pt idx="19">
                  <v>4.72015930340596</v>
                </pt>
                <pt idx="20">
                  <v>4.84509804001426</v>
                </pt>
                <pt idx="21">
                  <v>4.69897000433602</v>
                </pt>
                <pt idx="22">
                  <v>4.8750612633917</v>
                </pt>
                <pt idx="23">
                  <v>5</v>
                </pt>
                <pt idx="24">
                  <v>5.04139268515823</v>
                </pt>
                <pt idx="25">
                  <v>5.21748394421391</v>
                </pt>
                <pt idx="26">
                  <v>5.34242268082221</v>
                </pt>
                <pt idx="27">
                  <v>5.7481880270062</v>
                </pt>
                <pt idx="28">
                  <v>5.92427928606188</v>
                </pt>
                <pt idx="29">
                  <v>6.04921802267018</v>
                </pt>
                <pt idx="30">
                  <v>6.85733249643127</v>
                </pt>
                <pt idx="31">
                  <v>7.03342375548695</v>
                </pt>
                <pt idx="32">
                  <v>7.15836249209525</v>
                </pt>
                <pt idx="33">
                  <v>8.477121254719661</v>
                </pt>
                <pt idx="34">
                  <v>8.65321251377534</v>
                </pt>
                <pt idx="35">
                  <v>8.77815125038364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465240976"/>
        <axId val="525357570"/>
      </barChart>
      <catAx>
        <axId val="46524097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525357570"/>
        <crosses val="autoZero"/>
        <auto val="1"/>
        <lblAlgn val="ctr"/>
        <lblOffset val="100"/>
        <noMultiLvlLbl val="0"/>
      </catAx>
      <valAx>
        <axId val="52535757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465240976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val>
            <numRef>
              <f>Sheet1!$C$7:$AL$7</f>
              <numCache>
                <formatCode>General</formatCode>
                <ptCount val="36"/>
                <pt idx="0">
                  <v>5.7037824746562</v>
                </pt>
                <pt idx="1">
                  <v>6.10924758276437</v>
                </pt>
                <pt idx="2">
                  <v>6.39692965521615</v>
                </pt>
                <pt idx="3">
                  <v>6.68461172766793</v>
                </pt>
                <pt idx="4">
                  <v>7.09007683577609</v>
                </pt>
                <pt idx="5">
                  <v>7.37775890822787</v>
                </pt>
                <pt idx="6">
                  <v>7.60090245954208</v>
                </pt>
                <pt idx="7">
                  <v>8.006367567650249</v>
                </pt>
                <pt idx="8">
                  <v>8.294049640102029</v>
                </pt>
                <pt idx="9">
                  <v>8.51719319141624</v>
                </pt>
                <pt idx="10">
                  <v>8.9226582995244</v>
                </pt>
                <pt idx="11">
                  <v>9.21034037197618</v>
                </pt>
                <pt idx="12">
                  <v>9.305650551780509</v>
                </pt>
                <pt idx="13">
                  <v>9.711115659888669</v>
                </pt>
                <pt idx="14">
                  <v>9.998797732340449</v>
                </pt>
                <pt idx="15">
                  <v>9.903487552536131</v>
                </pt>
                <pt idx="16">
                  <v>10.3089526606443</v>
                </pt>
                <pt idx="17">
                  <v>10.5966347330961</v>
                </pt>
                <pt idx="18">
                  <v>10.4631033404716</v>
                </pt>
                <pt idx="19">
                  <v>10.8685684485797</v>
                </pt>
                <pt idx="20">
                  <v>11.1562505210315</v>
                </pt>
                <pt idx="21">
                  <v>10.8197782844103</v>
                </pt>
                <pt idx="22">
                  <v>11.2252433925184</v>
                </pt>
                <pt idx="23">
                  <v>11.5129254649702</v>
                </pt>
                <pt idx="24">
                  <v>11.6082356447746</v>
                </pt>
                <pt idx="25">
                  <v>12.0137007528827</v>
                </pt>
                <pt idx="26">
                  <v>12.3013828253345</v>
                </pt>
                <pt idx="27">
                  <v>13.2356920627113</v>
                </pt>
                <pt idx="28">
                  <v>13.6411571708195</v>
                </pt>
                <pt idx="29">
                  <v>13.9288392432713</v>
                </pt>
                <pt idx="30">
                  <v>15.7895915839863</v>
                </pt>
                <pt idx="31">
                  <v>16.1950566920944</v>
                </pt>
                <pt idx="32">
                  <v>16.4827387645462</v>
                </pt>
                <pt idx="33">
                  <v>19.5192930326205</v>
                </pt>
                <pt idx="34">
                  <v>19.9247581407286</v>
                </pt>
                <pt idx="35">
                  <v>20.2124402131804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803373185"/>
        <axId val="360099976"/>
      </lineChart>
      <catAx>
        <axId val="80337318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360099976"/>
        <crosses val="autoZero"/>
        <auto val="1"/>
        <lblAlgn val="ctr"/>
        <lblOffset val="100"/>
        <noMultiLvlLbl val="0"/>
      </catAx>
      <valAx>
        <axId val="3600999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803373185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28</col>
      <colOff>800100</colOff>
      <row>13</row>
      <rowOff>109855</rowOff>
    </from>
    <to>
      <col>34</col>
      <colOff>264160</colOff>
      <row>27</row>
      <rowOff>8255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22</col>
      <colOff>266065</colOff>
      <row>17</row>
      <rowOff>24765</rowOff>
    </from>
    <to>
      <col>27</col>
      <colOff>586105</colOff>
      <row>30</row>
      <rowOff>136525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zoomScale="85" zoomScaleNormal="85" workbookViewId="0">
      <selection activeCell="F11" sqref="F11"/>
    </sheetView>
  </sheetViews>
  <sheetFormatPr baseColWidth="8" defaultColWidth="9" defaultRowHeight="16.8"/>
  <cols>
    <col width="13.0769230769231" customWidth="1" style="1" min="1" max="1"/>
    <col width="26.6923076923077" customWidth="1" style="1" min="2" max="2"/>
    <col width="12.3846153846154" customWidth="1" style="1" min="3" max="3"/>
    <col width="28.9230769230769" customWidth="1" style="1" min="4" max="4"/>
    <col width="20" customWidth="1" style="1" min="5" max="5"/>
    <col width="24.8461538461538" customWidth="1" style="1" min="6" max="6"/>
    <col width="34.5384615384615" customWidth="1" style="1" min="7" max="7"/>
    <col width="27.6923076923077" customWidth="1" style="1" min="8" max="8"/>
    <col width="26.4615384615385" customWidth="1" style="1" min="9" max="9"/>
    <col width="25.9230769230769" customWidth="1" style="1" min="10" max="10"/>
    <col width="17.6153846153846" customWidth="1" style="1" min="11" max="11"/>
    <col width="10.3846153846154" customWidth="1" style="1" min="12" max="12"/>
    <col width="9" customWidth="1" style="1" min="13" max="16384"/>
  </cols>
  <sheetData>
    <row r="1">
      <c r="A1" s="1" t="inlineStr">
        <is>
          <t>##var</t>
        </is>
      </c>
      <c r="B1" s="1" t="inlineStr">
        <is>
          <t>id</t>
        </is>
      </c>
      <c r="C1" s="1" t="inlineStr">
        <is>
          <t>purpose</t>
        </is>
      </c>
      <c r="D1" s="1" t="inlineStr">
        <is>
          <t>weekList</t>
        </is>
      </c>
      <c r="E1" s="1" t="inlineStr">
        <is>
          <t>linearBase</t>
        </is>
      </c>
      <c r="F1" s="1" t="inlineStr">
        <is>
          <t>weekCoeff</t>
        </is>
      </c>
      <c r="G1" s="1" t="inlineStr">
        <is>
          <t>dayCoeff</t>
        </is>
      </c>
      <c r="H1" s="1" t="inlineStr">
        <is>
          <t>expConstant</t>
        </is>
      </c>
      <c r="I1" s="1" t="inlineStr">
        <is>
          <t>expWeekCoeff</t>
        </is>
      </c>
      <c r="J1" s="1" t="inlineStr">
        <is>
          <t>expDayCoeff</t>
        </is>
      </c>
      <c r="K1" s="1" t="inlineStr">
        <is>
          <t>roundTo</t>
        </is>
      </c>
    </row>
    <row r="2">
      <c r="A2" s="1" t="inlineStr">
        <is>
          <t>##comment</t>
        </is>
      </c>
      <c r="B2" s="1" t="inlineStr">
        <is>
          <t>隐藏分曲线ID。</t>
        </is>
      </c>
      <c r="C2" s="1" t="inlineStr">
        <is>
          <t>曲线用途</t>
        </is>
      </c>
      <c r="D2" s="1" t="inlineStr">
        <is>
          <t>适用周数列表；空=不限。</t>
        </is>
      </c>
      <c r="E2" s="1" t="inlineStr">
        <is>
          <t>线性公式常量项。</t>
        </is>
      </c>
      <c r="F2" s="1" t="inlineStr">
        <is>
          <t>线性公式：周数系数。</t>
        </is>
      </c>
      <c r="G2" s="1" t="inlineStr">
        <is>
          <t>线性公式：当周过去天数系数。</t>
        </is>
      </c>
      <c r="H2" s="1" t="inlineStr">
        <is>
          <t>目标分指数公式常量 k0。</t>
        </is>
      </c>
      <c r="I2" s="1" t="inlineStr">
        <is>
          <t>目标分指数公式kWeek。</t>
        </is>
      </c>
      <c r="J2" s="1" t="inlineStr">
        <is>
          <t>目标分指数公式 kDay。</t>
        </is>
      </c>
      <c r="K2" s="1" t="inlineStr">
        <is>
          <t>向上取整粒度。</t>
        </is>
      </c>
    </row>
    <row r="3">
      <c r="A3" s="1" t="inlineStr">
        <is>
          <t>##type</t>
        </is>
      </c>
      <c r="B3" s="1" t="inlineStr">
        <is>
          <t>string</t>
        </is>
      </c>
      <c r="C3" s="1" t="inlineStr">
        <is>
          <t>HiddenScorePurpose</t>
        </is>
      </c>
      <c r="D3" s="1" t="inlineStr">
        <is>
          <t>(list#sep=,),int</t>
        </is>
      </c>
      <c r="E3" s="1" t="inlineStr">
        <is>
          <t>float</t>
        </is>
      </c>
      <c r="F3" s="1" t="inlineStr">
        <is>
          <t>float</t>
        </is>
      </c>
      <c r="G3" s="1" t="inlineStr">
        <is>
          <t>float</t>
        </is>
      </c>
      <c r="H3" s="1" t="inlineStr">
        <is>
          <t>float</t>
        </is>
      </c>
      <c r="I3" s="1" t="inlineStr">
        <is>
          <t>float</t>
        </is>
      </c>
      <c r="J3" s="1" t="inlineStr">
        <is>
          <t>float</t>
        </is>
      </c>
      <c r="K3" s="1" t="inlineStr">
        <is>
          <t>int</t>
        </is>
      </c>
      <c r="M3" s="2" t="inlineStr">
        <is>
          <t>目标分 = exp(k0 + kBase*基础分 + kWeek*周数 + kDay*当周过去天数)</t>
        </is>
      </c>
    </row>
    <row r="4">
      <c r="B4" s="1" t="inlineStr">
        <is>
          <t>target_score_1</t>
        </is>
      </c>
      <c r="C4" s="1" t="inlineStr">
        <is>
          <t>TargetScore</t>
        </is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5</v>
      </c>
      <c r="I4" s="1" t="n">
        <v>0</v>
      </c>
      <c r="J4" s="1" t="n">
        <v>0.33</v>
      </c>
      <c r="K4" s="1" t="n">
        <v>10</v>
      </c>
    </row>
    <row r="5">
      <c r="B5" s="1" t="inlineStr">
        <is>
          <t>target_score_2</t>
        </is>
      </c>
      <c r="C5" s="1" t="inlineStr">
        <is>
          <t>TargetScore</t>
        </is>
      </c>
      <c r="D5" s="1" t="n">
        <v>2</v>
      </c>
      <c r="E5" s="1" t="n">
        <v>0</v>
      </c>
      <c r="F5" s="1" t="n">
        <v>0</v>
      </c>
      <c r="G5" s="1" t="n">
        <v>0</v>
      </c>
      <c r="H5" s="1" t="n">
        <v>8</v>
      </c>
      <c r="I5" s="1" t="n">
        <v>0</v>
      </c>
      <c r="J5" s="1" t="n">
        <v>0.4</v>
      </c>
      <c r="K5" s="1" t="n">
        <v>100</v>
      </c>
    </row>
    <row r="6">
      <c r="B6" s="1" t="inlineStr">
        <is>
          <t>target_score_3</t>
        </is>
      </c>
      <c r="C6" s="1" t="inlineStr">
        <is>
          <t>TargetScore</t>
        </is>
      </c>
      <c r="D6" s="1" t="n">
        <v>3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0.45</v>
      </c>
      <c r="K6" s="1" t="n">
        <v>1000</v>
      </c>
    </row>
    <row r="7">
      <c r="B7" s="1" t="inlineStr">
        <is>
          <t>target_score_4</t>
        </is>
      </c>
      <c r="C7" s="1" t="inlineStr">
        <is>
          <t>TargetScore</t>
        </is>
      </c>
      <c r="D7" s="1" t="n">
        <v>4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0.5</v>
      </c>
      <c r="K7" s="1" t="n">
        <v>100000</v>
      </c>
    </row>
    <row r="8">
      <c r="B8" s="1" t="inlineStr">
        <is>
          <t>hidden_dish</t>
        </is>
      </c>
      <c r="C8" s="1" t="inlineStr">
        <is>
          <t>Dish</t>
        </is>
      </c>
      <c r="E8" s="1" t="n">
        <v>0</v>
      </c>
      <c r="F8" s="1" t="n">
        <v>15</v>
      </c>
      <c r="G8" s="1" t="n">
        <v>2</v>
      </c>
      <c r="H8" s="1" t="n">
        <v>0</v>
      </c>
      <c r="I8" s="1" t="n">
        <v>0</v>
      </c>
      <c r="J8" s="1" t="n">
        <v>0</v>
      </c>
      <c r="K8" s="1" t="n">
        <v>1</v>
      </c>
    </row>
    <row r="9">
      <c r="B9" s="1" t="inlineStr">
        <is>
          <t>hidden_passive_item</t>
        </is>
      </c>
      <c r="C9" s="1" t="inlineStr">
        <is>
          <t>PassiveItem</t>
        </is>
      </c>
      <c r="E9" s="1" t="n">
        <v>0</v>
      </c>
      <c r="F9" s="1" t="n">
        <v>5</v>
      </c>
      <c r="G9" s="1" t="n">
        <v>1</v>
      </c>
      <c r="H9" s="1" t="n">
        <v>0</v>
      </c>
      <c r="I9" s="1" t="n">
        <v>0</v>
      </c>
      <c r="J9" s="1" t="n">
        <v>0</v>
      </c>
      <c r="K9" s="1" t="n">
        <v>1</v>
      </c>
    </row>
    <row r="10">
      <c r="B10" s="1" t="inlineStr">
        <is>
          <t>hidden_fragment</t>
        </is>
      </c>
      <c r="C10" s="1" t="inlineStr">
        <is>
          <t>Fragment</t>
        </is>
      </c>
      <c r="E10" s="1" t="n">
        <v>0</v>
      </c>
      <c r="F10" s="1" t="n">
        <v>5</v>
      </c>
      <c r="G10" s="1" t="n">
        <v>1</v>
      </c>
      <c r="H10" s="1" t="n">
        <v>0</v>
      </c>
      <c r="I10" s="1" t="n">
        <v>0</v>
      </c>
      <c r="J10" s="1" t="n">
        <v>0</v>
      </c>
      <c r="K10" s="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G11" sqref="G11"/>
    </sheetView>
  </sheetViews>
  <sheetFormatPr baseColWidth="8" defaultColWidth="9" defaultRowHeight="16.8" outlineLevelRow="3"/>
  <cols>
    <col width="20.3846153846154" customWidth="1" min="2" max="2"/>
    <col width="32.1538461538462" customWidth="1" min="3" max="4"/>
    <col width="20" customWidth="1" min="5" max="6"/>
    <col width="29.6923076923077" customWidth="1" min="7" max="8"/>
    <col width="53.3846153846154" customWidth="1" min="9" max="9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minBase</t>
        </is>
      </c>
      <c r="D1" t="inlineStr">
        <is>
          <t>maxBase</t>
        </is>
      </c>
      <c r="E1" t="inlineStr">
        <is>
          <t>minPerWeek</t>
        </is>
      </c>
      <c r="F1" t="inlineStr">
        <is>
          <t>maxPerWeek</t>
        </is>
      </c>
      <c r="G1" t="inlineStr">
        <is>
          <t>minPerDay</t>
        </is>
      </c>
      <c r="H1" t="inlineStr">
        <is>
          <t>maxPerDay</t>
        </is>
      </c>
      <c r="I1" t="inlineStr">
        <is>
          <t>fluctuationPct</t>
        </is>
      </c>
    </row>
    <row r="2">
      <c r="A2" t="inlineStr">
        <is>
          <t>##comment</t>
        </is>
      </c>
      <c r="B2" t="inlineStr">
        <is>
          <t>金币奖励曲线ID。</t>
        </is>
      </c>
      <c r="C2" t="inlineStr">
        <is>
          <t>金币奖励隐藏分下限基础值。</t>
        </is>
      </c>
      <c r="D2" t="inlineStr">
        <is>
          <t>金币奖励隐藏分上限基础值。</t>
        </is>
      </c>
      <c r="E2" t="inlineStr">
        <is>
          <t>下限每周递增值。</t>
        </is>
      </c>
      <c r="F2" t="inlineStr">
        <is>
          <t>上限每周递增值。</t>
        </is>
      </c>
      <c r="G2" t="inlineStr">
        <is>
          <t>下限每行动轴天数递增值。</t>
        </is>
      </c>
      <c r="H2" t="inlineStr">
        <is>
          <t>上限每行动轴天数递增值。</t>
        </is>
      </c>
      <c r="I2" t="inlineStr">
        <is>
          <t>上下浮动比例，例如 0.2 表示下限*0.8、上限*1.2。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int</t>
        </is>
      </c>
      <c r="D3" t="inlineStr">
        <is>
          <t>int</t>
        </is>
      </c>
      <c r="E3" t="inlineStr">
        <is>
          <t>float</t>
        </is>
      </c>
      <c r="F3" t="inlineStr">
        <is>
          <t>float</t>
        </is>
      </c>
      <c r="G3" t="inlineStr">
        <is>
          <t>float</t>
        </is>
      </c>
      <c r="H3" t="inlineStr">
        <is>
          <t>float</t>
        </is>
      </c>
      <c r="I3" t="inlineStr">
        <is>
          <t>float</t>
        </is>
      </c>
    </row>
    <row r="4">
      <c r="B4" t="inlineStr">
        <is>
          <t>gold_default</t>
        </is>
      </c>
      <c r="C4" t="n">
        <v>18</v>
      </c>
      <c r="D4" t="n">
        <v>30</v>
      </c>
      <c r="E4" t="n">
        <v>4</v>
      </c>
      <c r="F4" t="n">
        <v>6</v>
      </c>
      <c r="G4" t="n">
        <v>0.5</v>
      </c>
      <c r="H4" t="n">
        <v>1</v>
      </c>
      <c r="I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AL28"/>
  <sheetViews>
    <sheetView topLeftCell="B1" workbookViewId="0">
      <selection activeCell="J7" sqref="J7:Q7"/>
    </sheetView>
  </sheetViews>
  <sheetFormatPr baseColWidth="8" defaultColWidth="9.23076923076923" defaultRowHeight="16.8"/>
  <cols>
    <col width="12.9230769230769" customWidth="1" min="3" max="19"/>
    <col width="14.0769230769231" customWidth="1" min="20" max="20"/>
    <col width="12.9230769230769" customWidth="1" min="21" max="22"/>
    <col width="14.0769230769231" customWidth="1" min="23" max="23"/>
    <col width="12.9230769230769" customWidth="1" min="24" max="36"/>
    <col width="10.6923076923077" customWidth="1" min="37" max="38"/>
    <col width="12.9230769230769" customWidth="1" min="39" max="39"/>
  </cols>
  <sheetData>
    <row r="3">
      <c r="B3" t="n">
        <v>1.5</v>
      </c>
      <c r="C3" t="n">
        <v>300</v>
      </c>
      <c r="D3">
        <f>C3*1.5</f>
        <v/>
      </c>
      <c r="E3">
        <f>C3*2</f>
        <v/>
      </c>
      <c r="F3" t="n">
        <v>800</v>
      </c>
      <c r="G3">
        <f>F3*1.5</f>
        <v/>
      </c>
      <c r="H3">
        <f>F3*2</f>
        <v/>
      </c>
      <c r="I3" t="n">
        <v>2000</v>
      </c>
      <c r="J3">
        <f>I3*1.5</f>
        <v/>
      </c>
      <c r="K3">
        <f>I3*2</f>
        <v/>
      </c>
      <c r="L3" t="n">
        <v>5000</v>
      </c>
      <c r="M3">
        <f>L3*1.5</f>
        <v/>
      </c>
      <c r="N3">
        <f>L3*2</f>
        <v/>
      </c>
      <c r="O3" t="n">
        <v>11000</v>
      </c>
      <c r="P3">
        <f>O3*1.5</f>
        <v/>
      </c>
      <c r="Q3">
        <f>O3*2</f>
        <v/>
      </c>
      <c r="R3" t="n">
        <v>20000</v>
      </c>
      <c r="S3">
        <f>R3*1.5</f>
        <v/>
      </c>
      <c r="T3">
        <f>R3*2</f>
        <v/>
      </c>
      <c r="U3" t="n">
        <v>35000</v>
      </c>
      <c r="V3">
        <f>U3*1.5</f>
        <v/>
      </c>
      <c r="W3">
        <f>U3*2</f>
        <v/>
      </c>
      <c r="X3" t="n">
        <v>50000</v>
      </c>
      <c r="Y3">
        <f>X3*1.5</f>
        <v/>
      </c>
      <c r="Z3">
        <f>X3*2</f>
        <v/>
      </c>
      <c r="AA3" t="n">
        <v>110000</v>
      </c>
      <c r="AB3">
        <f>AA3*1.5</f>
        <v/>
      </c>
      <c r="AC3">
        <f>AA3*2</f>
        <v/>
      </c>
      <c r="AD3" t="n">
        <v>560000</v>
      </c>
      <c r="AE3">
        <f>AD3*1.5</f>
        <v/>
      </c>
      <c r="AF3">
        <f>AD3*2</f>
        <v/>
      </c>
      <c r="AG3" t="n">
        <v>7200000</v>
      </c>
      <c r="AH3">
        <f>AG3*1.5</f>
        <v/>
      </c>
      <c r="AI3">
        <f>AG3*2</f>
        <v/>
      </c>
      <c r="AJ3" t="n">
        <v>300000000</v>
      </c>
      <c r="AK3">
        <f>AJ3*1.5</f>
        <v/>
      </c>
      <c r="AL3">
        <f>AJ3*2</f>
        <v/>
      </c>
    </row>
    <row r="5">
      <c r="B5">
        <f>LOG10(B3)</f>
        <v/>
      </c>
      <c r="C5">
        <f>LOG10(C3)</f>
        <v/>
      </c>
      <c r="D5">
        <f>LOG10(D3)</f>
        <v/>
      </c>
      <c r="E5">
        <f>LOG10(E3)</f>
        <v/>
      </c>
      <c r="F5">
        <f>LOG10(F3)</f>
        <v/>
      </c>
      <c r="G5">
        <f>LOG10(G3)</f>
        <v/>
      </c>
      <c r="H5">
        <f>LOG10(H3)</f>
        <v/>
      </c>
      <c r="I5">
        <f>LOG10(I3)</f>
        <v/>
      </c>
      <c r="J5">
        <f>LOG10(J3)</f>
        <v/>
      </c>
      <c r="K5">
        <f>LOG10(K3)</f>
        <v/>
      </c>
      <c r="L5">
        <f>LOG10(L3)</f>
        <v/>
      </c>
      <c r="M5">
        <f>LOG10(M3)</f>
        <v/>
      </c>
      <c r="N5">
        <f>LOG10(N3)</f>
        <v/>
      </c>
      <c r="O5">
        <f>LOG10(O3)</f>
        <v/>
      </c>
      <c r="P5">
        <f>LOG10(P3)</f>
        <v/>
      </c>
      <c r="Q5">
        <f>LOG10(Q3)</f>
        <v/>
      </c>
      <c r="R5">
        <f>LOG10(R3)</f>
        <v/>
      </c>
      <c r="S5">
        <f>LOG10(S3)</f>
        <v/>
      </c>
      <c r="T5">
        <f>LOG10(T3)</f>
        <v/>
      </c>
      <c r="U5">
        <f>LOG10(U3)</f>
        <v/>
      </c>
      <c r="V5">
        <f>LOG10(V3)</f>
        <v/>
      </c>
      <c r="W5">
        <f>LOG10(W3)</f>
        <v/>
      </c>
      <c r="X5">
        <f>LOG10(X3)</f>
        <v/>
      </c>
      <c r="Y5">
        <f>LOG10(Y3)</f>
        <v/>
      </c>
      <c r="Z5">
        <f>LOG10(Z3)</f>
        <v/>
      </c>
      <c r="AA5">
        <f>LOG10(AA3)</f>
        <v/>
      </c>
      <c r="AB5">
        <f>LOG10(AB3)</f>
        <v/>
      </c>
      <c r="AC5">
        <f>LOG10(AC3)</f>
        <v/>
      </c>
      <c r="AD5">
        <f>LOG10(AD3)</f>
        <v/>
      </c>
      <c r="AE5">
        <f>LOG10(AE3)</f>
        <v/>
      </c>
      <c r="AF5">
        <f>LOG10(AF3)</f>
        <v/>
      </c>
      <c r="AG5">
        <f>LOG10(AG3)</f>
        <v/>
      </c>
      <c r="AH5">
        <f>LOG10(AH3)</f>
        <v/>
      </c>
      <c r="AI5">
        <f>LOG10(AI3)</f>
        <v/>
      </c>
      <c r="AJ5">
        <f>LOG10(AJ3)</f>
        <v/>
      </c>
      <c r="AK5">
        <f>LOG10(AK3)</f>
        <v/>
      </c>
      <c r="AL5">
        <f>LOG10(AL3)</f>
        <v/>
      </c>
    </row>
    <row r="7">
      <c r="C7">
        <f>LN(C3)</f>
        <v/>
      </c>
      <c r="D7">
        <f>LN(D3)</f>
        <v/>
      </c>
      <c r="E7">
        <f>LN(E3)</f>
        <v/>
      </c>
      <c r="F7">
        <f>LN(F3)</f>
        <v/>
      </c>
      <c r="G7">
        <f>LN(G3)</f>
        <v/>
      </c>
      <c r="H7">
        <f>LN(H3)</f>
        <v/>
      </c>
      <c r="I7">
        <f>LN(I3)</f>
        <v/>
      </c>
      <c r="J7">
        <f>LN(J3)</f>
        <v/>
      </c>
      <c r="K7">
        <f>LN(K3)</f>
        <v/>
      </c>
      <c r="L7">
        <f>LN(L3)</f>
        <v/>
      </c>
      <c r="M7">
        <f>LN(M3)</f>
        <v/>
      </c>
      <c r="N7">
        <f>LN(N3)</f>
        <v/>
      </c>
      <c r="O7">
        <f>LN(O3)</f>
        <v/>
      </c>
      <c r="P7">
        <f>LN(P3)</f>
        <v/>
      </c>
      <c r="Q7">
        <f>LN(Q3)</f>
        <v/>
      </c>
      <c r="R7">
        <f>LN(R3)</f>
        <v/>
      </c>
      <c r="S7">
        <f>LN(S3)</f>
        <v/>
      </c>
      <c r="T7">
        <f>LN(T3)</f>
        <v/>
      </c>
      <c r="U7">
        <f>LN(U3)</f>
        <v/>
      </c>
      <c r="V7">
        <f>LN(V3)</f>
        <v/>
      </c>
      <c r="W7">
        <f>LN(W3)</f>
        <v/>
      </c>
      <c r="X7">
        <f>LN(X3)</f>
        <v/>
      </c>
      <c r="Y7">
        <f>LN(Y3)</f>
        <v/>
      </c>
      <c r="Z7">
        <f>LN(Z3)</f>
        <v/>
      </c>
      <c r="AA7">
        <f>LN(AA3)</f>
        <v/>
      </c>
      <c r="AB7">
        <f>LN(AB3)</f>
        <v/>
      </c>
      <c r="AC7">
        <f>LN(AC3)</f>
        <v/>
      </c>
      <c r="AD7">
        <f>LN(AD3)</f>
        <v/>
      </c>
      <c r="AE7">
        <f>LN(AE3)</f>
        <v/>
      </c>
      <c r="AF7">
        <f>LN(AF3)</f>
        <v/>
      </c>
      <c r="AG7">
        <f>LN(AG3)</f>
        <v/>
      </c>
      <c r="AH7">
        <f>LN(AH3)</f>
        <v/>
      </c>
      <c r="AI7">
        <f>LN(AI3)</f>
        <v/>
      </c>
      <c r="AJ7">
        <f>LN(AJ3)</f>
        <v/>
      </c>
      <c r="AK7">
        <f>LN(AK3)</f>
        <v/>
      </c>
      <c r="AL7">
        <f>LN(AL3)</f>
        <v/>
      </c>
    </row>
    <row r="9">
      <c r="C9">
        <f>D7-C7</f>
        <v/>
      </c>
      <c r="D9">
        <f>E7-D7</f>
        <v/>
      </c>
      <c r="E9">
        <f>F7-E7</f>
        <v/>
      </c>
      <c r="F9">
        <f>G7-F7</f>
        <v/>
      </c>
      <c r="G9">
        <f>H7-G7</f>
        <v/>
      </c>
      <c r="H9">
        <f>I7-H7</f>
        <v/>
      </c>
      <c r="I9">
        <f>J7-I7</f>
        <v/>
      </c>
      <c r="J9">
        <f>K7-J7</f>
        <v/>
      </c>
      <c r="K9">
        <f>L7-K7</f>
        <v/>
      </c>
      <c r="L9">
        <f>M7-L7</f>
        <v/>
      </c>
      <c r="M9">
        <f>N7-M7</f>
        <v/>
      </c>
      <c r="N9">
        <f>O7-N7</f>
        <v/>
      </c>
      <c r="O9">
        <f>P7-O7</f>
        <v/>
      </c>
      <c r="P9">
        <f>Q7-P7</f>
        <v/>
      </c>
      <c r="Q9">
        <f>R7-Q7</f>
        <v/>
      </c>
      <c r="R9">
        <f>S7-R7</f>
        <v/>
      </c>
      <c r="S9">
        <f>T7-S7</f>
        <v/>
      </c>
      <c r="T9">
        <f>U7-T7</f>
        <v/>
      </c>
      <c r="U9">
        <f>V7-U7</f>
        <v/>
      </c>
      <c r="V9">
        <f>W7-V7</f>
        <v/>
      </c>
      <c r="W9">
        <f>X7-W7</f>
        <v/>
      </c>
      <c r="X9">
        <f>Y7-X7</f>
        <v/>
      </c>
      <c r="Y9">
        <f>Z7-Y7</f>
        <v/>
      </c>
      <c r="Z9">
        <f>AA7-Z7</f>
        <v/>
      </c>
      <c r="AA9">
        <f>AB7-AA7</f>
        <v/>
      </c>
      <c r="AB9">
        <f>AC7-AB7</f>
        <v/>
      </c>
      <c r="AC9">
        <f>AD7-AC7</f>
        <v/>
      </c>
      <c r="AD9">
        <f>AE7-AD7</f>
        <v/>
      </c>
      <c r="AE9">
        <f>AF7-AE7</f>
        <v/>
      </c>
      <c r="AF9">
        <f>AG7-AF7</f>
        <v/>
      </c>
      <c r="AG9">
        <f>AH7-AG7</f>
        <v/>
      </c>
      <c r="AH9">
        <f>AI7-AH7</f>
        <v/>
      </c>
      <c r="AI9">
        <f>AJ7-AI7</f>
        <v/>
      </c>
      <c r="AJ9">
        <f>AK7-AJ7</f>
        <v/>
      </c>
      <c r="AK9">
        <f>AL7-AK7</f>
        <v/>
      </c>
      <c r="AL9">
        <f>AM7-AL7</f>
        <v/>
      </c>
    </row>
    <row r="11">
      <c r="C11">
        <f>LOG(C3,1.5)</f>
        <v/>
      </c>
      <c r="D11">
        <f>LOG(D3,1.5)</f>
        <v/>
      </c>
      <c r="E11">
        <f>LOG(E3,1.5)</f>
        <v/>
      </c>
      <c r="F11">
        <f>LOG(F3,1.5)</f>
        <v/>
      </c>
      <c r="G11">
        <f>LOG(G3,1.5)</f>
        <v/>
      </c>
      <c r="H11">
        <f>LOG(H3,1.5)</f>
        <v/>
      </c>
      <c r="I11">
        <f>LOG(I3,1.5)</f>
        <v/>
      </c>
      <c r="J11">
        <f>LOG(J3,1.5)</f>
        <v/>
      </c>
      <c r="K11">
        <f>LOG(K3,1.5)</f>
        <v/>
      </c>
      <c r="L11">
        <f>LOG(L3,1.5)</f>
        <v/>
      </c>
      <c r="M11">
        <f>LOG(M3,1.5)</f>
        <v/>
      </c>
      <c r="N11">
        <f>LOG(N3,1.5)</f>
        <v/>
      </c>
      <c r="O11">
        <f>LOG(O3,1.5)</f>
        <v/>
      </c>
      <c r="P11">
        <f>LOG(P3,1.5)</f>
        <v/>
      </c>
      <c r="Q11">
        <f>LOG(Q3,1.5)</f>
        <v/>
      </c>
      <c r="R11">
        <f>LOG(R3,1.5)</f>
        <v/>
      </c>
      <c r="S11">
        <f>LOG(S3,1.5)</f>
        <v/>
      </c>
      <c r="T11">
        <f>LOG(T3,1.5)</f>
        <v/>
      </c>
      <c r="U11">
        <f>LOG(U3,1.5)</f>
        <v/>
      </c>
      <c r="V11">
        <f>LOG(V3,1.5)</f>
        <v/>
      </c>
      <c r="W11">
        <f>LOG(W3,1.5)</f>
        <v/>
      </c>
      <c r="X11">
        <f>LOG(X3,1.5)</f>
        <v/>
      </c>
      <c r="Y11">
        <f>LOG(Y3,1.5)</f>
        <v/>
      </c>
      <c r="Z11">
        <f>LOG(Z3,1.5)</f>
        <v/>
      </c>
      <c r="AA11">
        <f>LOG(AA3,1.5)</f>
        <v/>
      </c>
      <c r="AB11">
        <f>LOG(AB3,1.5)</f>
        <v/>
      </c>
      <c r="AC11">
        <f>LOG(AC3,1.5)</f>
        <v/>
      </c>
      <c r="AD11">
        <f>LOG(AD3,1.5)</f>
        <v/>
      </c>
      <c r="AE11">
        <f>LOG(AE3,1.5)</f>
        <v/>
      </c>
      <c r="AF11">
        <f>LOG(AF3,1.5)</f>
        <v/>
      </c>
      <c r="AG11">
        <f>LOG(AG3,1.5)</f>
        <v/>
      </c>
      <c r="AH11">
        <f>LOG(AH3,1.5)</f>
        <v/>
      </c>
      <c r="AI11">
        <f>LOG(AI3,1.5)</f>
        <v/>
      </c>
      <c r="AJ11">
        <f>LOG(AJ3,1.5)</f>
        <v/>
      </c>
      <c r="AK11">
        <f>LOG(AK3,1.5)</f>
        <v/>
      </c>
      <c r="AL11">
        <f>LOG(AL3,1.5)</f>
        <v/>
      </c>
    </row>
    <row r="17">
      <c r="C17" t="n">
        <v>300</v>
      </c>
      <c r="D17">
        <f>C17*1.5</f>
        <v/>
      </c>
      <c r="E17">
        <f>C17*2</f>
        <v/>
      </c>
      <c r="F17" t="n">
        <v>900</v>
      </c>
      <c r="G17">
        <f>F17*1.5</f>
        <v/>
      </c>
      <c r="H17">
        <f>F17*2</f>
        <v/>
      </c>
      <c r="I17" t="n">
        <v>2600</v>
      </c>
      <c r="J17">
        <f>I17*1.5</f>
        <v/>
      </c>
      <c r="K17">
        <f>I17*2</f>
        <v/>
      </c>
      <c r="L17" t="n">
        <v>8000</v>
      </c>
      <c r="M17">
        <f>L17*1.5</f>
        <v/>
      </c>
      <c r="N17">
        <f>L17*2</f>
        <v/>
      </c>
      <c r="O17" t="n">
        <v>20000</v>
      </c>
      <c r="P17">
        <f>O17*1.5</f>
        <v/>
      </c>
      <c r="Q17">
        <f>O17*2</f>
        <v/>
      </c>
      <c r="R17" t="n">
        <v>36000</v>
      </c>
      <c r="S17">
        <f>R17*1.5</f>
        <v/>
      </c>
      <c r="T17">
        <f>R17*2</f>
        <v/>
      </c>
      <c r="U17" t="n">
        <v>60000</v>
      </c>
      <c r="V17">
        <f>U17*1.5</f>
        <v/>
      </c>
      <c r="W17">
        <f>U17*2</f>
        <v/>
      </c>
      <c r="X17" t="n">
        <v>100000</v>
      </c>
      <c r="Y17">
        <f>X17*1.5</f>
        <v/>
      </c>
      <c r="Z17">
        <f>X17*2</f>
        <v/>
      </c>
      <c r="AA17" t="n">
        <v>230000</v>
      </c>
      <c r="AB17">
        <f>AA17*1.5</f>
        <v/>
      </c>
      <c r="AC17">
        <f>AA17*2</f>
        <v/>
      </c>
      <c r="AD17" t="n">
        <v>1100000</v>
      </c>
      <c r="AE17">
        <f>AD17*1.5</f>
        <v/>
      </c>
      <c r="AF17">
        <f>AD17*2</f>
        <v/>
      </c>
      <c r="AG17" t="n">
        <v>14000000</v>
      </c>
      <c r="AH17">
        <f>AG17*1.5</f>
        <v/>
      </c>
      <c r="AI17">
        <f>AG17*2</f>
        <v/>
      </c>
      <c r="AJ17" t="n">
        <v>60000000</v>
      </c>
      <c r="AK17">
        <f>AJ17*1.5</f>
        <v/>
      </c>
      <c r="AL17">
        <f>AJ17*2</f>
        <v/>
      </c>
    </row>
    <row r="21">
      <c r="C21" t="n">
        <v>200</v>
      </c>
      <c r="D21" t="n">
        <v>300</v>
      </c>
      <c r="E21" t="n">
        <v>500</v>
      </c>
      <c r="F21" t="n">
        <v>800</v>
      </c>
      <c r="G21" t="n">
        <v>1000</v>
      </c>
      <c r="H21" t="n">
        <v>1400</v>
      </c>
      <c r="I21" t="n">
        <v>2000</v>
      </c>
    </row>
    <row r="23">
      <c r="C23" t="n">
        <v>11</v>
      </c>
      <c r="D23" t="n">
        <v>12</v>
      </c>
      <c r="E23" t="n">
        <v>13</v>
      </c>
      <c r="F23" t="n">
        <v>14</v>
      </c>
      <c r="G23" t="n">
        <v>15</v>
      </c>
      <c r="H23" t="n">
        <v>16</v>
      </c>
      <c r="I23" t="n">
        <v>17</v>
      </c>
    </row>
    <row r="25">
      <c r="C25">
        <f>LN(C21)</f>
        <v/>
      </c>
      <c r="D25">
        <f>LN(D21)</f>
        <v/>
      </c>
      <c r="E25">
        <f>LN(E21)</f>
        <v/>
      </c>
      <c r="F25">
        <f>LN(F21)</f>
        <v/>
      </c>
      <c r="G25">
        <f>LN(G21)</f>
        <v/>
      </c>
      <c r="H25">
        <f>LN(H21)</f>
        <v/>
      </c>
      <c r="I25">
        <f>LN(I21)</f>
        <v/>
      </c>
    </row>
    <row r="27">
      <c r="C27">
        <f>I25-C25</f>
        <v/>
      </c>
    </row>
    <row r="28">
      <c r="C28">
        <f>C27/7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2026-07-03T17:13:00Z</dcterms:created>
  <dcterms:modified xmlns:dcterms="http://purl.org/dc/terms/" xmlns:xsi="http://www.w3.org/2001/XMLSchema-instance" xsi:type="dcterms:W3CDTF">2026-07-15T13:44:55Z</dcterms:modified>
  <cp:lastModifiedBy>hcm-b0451</cp:lastModifiedBy>
</cp:coreProperties>
</file>