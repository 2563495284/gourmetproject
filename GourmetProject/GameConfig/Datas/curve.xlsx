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3"/>
  </bookViews>
  <sheets>
    <sheet name="hidden_score_curve" sheetId="1" r:id="rId1"/>
    <sheet name="gold_reward_curve" sheetId="2" r:id="rId2"/>
    <sheet name="item_luck_curve" sheetId="3" r:id="rId3"/>
    <sheet name="item_quality_luck" sheetId="4" r:id="rId4"/>
    <sheet name="Sheet1" sheetId="5" r:id="rId5"/>
  </sheets>
  <calcPr calcId="144525"/>
</workbook>
</file>

<file path=xl/sharedStrings.xml><?xml version="1.0" encoding="utf-8"?>
<sst xmlns="http://schemas.openxmlformats.org/spreadsheetml/2006/main" count="110" uniqueCount="73">
  <si>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</si>
  <si>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</si>
  <si>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</si>
  <si>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</si>
  <si>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</si>
  <si>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</si>
  <si>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</si>
  <si>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</si>
  <si>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</si>
  <si>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</si>
  <si>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</si>
  <si>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</si>
  <si>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</si>
  <si>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</si>
  <si>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</si>
  <si>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</si>
  <si>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</si>
  <si>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</si>
  <si>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</si>
  <si>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</si>
  <si>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</si>
  <si>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</si>
  <si>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</si>
  <si>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</si>
  <si>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</si>
  <si>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</si>
  <si>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</si>
  <si>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</si>
  <si>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</si>
  <si>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</si>
  <si>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</si>
  <si>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</si>
  <si>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</si>
  <si>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</si>
  <si>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</si>
  <si>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</si>
  <si>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</si>
  <si>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</si>
  <si>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</si>
  <si>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</si>
  <si>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</si>
  <si>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</si>
  <si>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</si>
  <si>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</si>
  <si>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</si>
  <si>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</si>
  <si>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</si>
  <si>
    <t>minLuck</t>
  </si>
  <si>
    <t>maxLuck</t>
  </si>
  <si>
    <t>装饰品运气曲线ID。</t>
  </si>
  <si>
    <t>开局基础运气。</t>
  </si>
  <si>
    <t>每经过1周增加的运气。</t>
  </si>
  <si>
    <t>当周每经过1天增加的运气。</t>
  </si>
  <si>
    <t>指数计算的最小安全运气。</t>
  </si>
  <si>
    <t>指数计算的最大安全运气。</t>
  </si>
  <si>
    <t>item_luck_default</t>
  </si>
  <si>
    <t>quality</t>
  </si>
  <si>
    <t>baseWeight</t>
  </si>
  <si>
    <t>luckGrowth</t>
  </si>
  <si>
    <t>constant</t>
  </si>
  <si>
    <t>minWeight</t>
  </si>
  <si>
    <t>maxWeight</t>
  </si>
  <si>
    <t>装饰品品质。</t>
  </si>
  <si>
    <t>运气为0时的品质基础权重。</t>
  </si>
  <si>
    <t>品质权重随运气变化的指数成长系数。</t>
  </si>
  <si>
    <t>品质权重的常数项。</t>
  </si>
  <si>
    <t>该品质权重下限。</t>
  </si>
  <si>
    <t>该品质权重上限。</t>
  </si>
  <si>
    <t>ItemQuality</t>
  </si>
  <si>
    <t>Common</t>
  </si>
  <si>
    <t>Uncommon</t>
  </si>
  <si>
    <t>Rare</t>
  </si>
  <si>
    <t>Epic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</si>
</sst>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zoomScale="85" zoomScaleNormal="85" topLeftCell="D1" workbookViewId="0">
      <selection activeCell="H14" sqref="H14"/>
    </sheetView>
  </sheetViews>
  <sheetFormatPr defaultColWidth="9" defaultRowHeight="16.8" outlineLevelRow="7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5.2</v>
      </c>
      <c r="I4" s="1">
        <v>0</v>
      </c>
      <c r="J4" s="1">
        <v>0.36</v>
      </c>
      <c r="K4" s="1">
        <v>100</v>
      </c>
      <c r="N4" s="1">
        <f>ROUNDUP(EXP($H4+$D4*$I4+$J4*N$3),-2)</f>
        <v>200</v>
      </c>
      <c r="O4" s="1">
        <f>ROUNDUP(EXP($H4+$D4*$I4+$J4*O$3),-2)</f>
        <v>300</v>
      </c>
      <c r="P4" s="1">
        <f>ROUNDUP(EXP($H4+$D4*$I4+$J4*P$3),-2)</f>
        <v>400</v>
      </c>
      <c r="Q4" s="1">
        <f>ROUNDUP(EXP($H4+$D4*$I4+$J4*Q$3),-2)</f>
        <v>600</v>
      </c>
      <c r="R4" s="1">
        <f>ROUNDUP(EXP($H4+$D4*$I4+$J4*R$3),-2)</f>
        <v>800</v>
      </c>
      <c r="S4" s="1">
        <f>ROUNDUP(EXP($H4+$D4*$I4+$J4*S$3),-2)</f>
        <v>1100</v>
      </c>
      <c r="T4" s="1">
        <f>ROUNDUP(EXP($H4+$D4*$I4+$J4*T$3),-2)</f>
        <v>1600</v>
      </c>
      <c r="U4" s="1">
        <f>ROUNDUP(EXP($H4+$D4*$I4+$J4*U$3),-2)</f>
        <v>2300</v>
      </c>
      <c r="V4" s="1">
        <f>ROUNDUP(EXP($H4+$D4*$I4+$J4*V$3),-2)</f>
        <v>2700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8.2</v>
      </c>
      <c r="I5" s="1">
        <v>0</v>
      </c>
      <c r="J5" s="1">
        <v>0.534</v>
      </c>
      <c r="K5" s="1">
        <v>1000</v>
      </c>
      <c r="N5" s="1">
        <f>ROUNDUP(EXP($H5+$D5*$I5+$J5*N$3),-3)</f>
        <v>4000</v>
      </c>
      <c r="O5" s="1">
        <f>ROUNDUP(EXP($H5+$D5*$I5+$J5*O$3),-3)</f>
        <v>7000</v>
      </c>
      <c r="P5" s="1">
        <f>ROUNDUP(EXP($H5+$D5*$I5+$J5*P$3),-3)</f>
        <v>11000</v>
      </c>
      <c r="Q5" s="1">
        <f>ROUNDUP(EXP($H5+$D5*$I5+$J5*Q$3),-3)</f>
        <v>19000</v>
      </c>
      <c r="R5" s="1">
        <f>ROUNDUP(EXP($H5+$D5*$I5+$J5*R$3),-3)</f>
        <v>31000</v>
      </c>
      <c r="S5" s="1">
        <f>ROUNDUP(EXP($H5+$D5*$I5+$J5*S$3),-3)</f>
        <v>53000</v>
      </c>
      <c r="T5" s="1">
        <f>ROUNDUP(EXP($H5+$D5*$I5+$J5*T$3),-3)</f>
        <v>90000</v>
      </c>
      <c r="U5" s="1">
        <f>ROUNDUP(EXP($H5+$D5*$I5+$J5*U$3),-3)</f>
        <v>153000</v>
      </c>
      <c r="V5" s="1">
        <f>ROUNDUP(EXP($H5+$D5*$I5+$J5*V$3),-3)</f>
        <v>200000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11.5</v>
      </c>
      <c r="I6" s="1">
        <v>0</v>
      </c>
      <c r="J6" s="1">
        <v>0.6157</v>
      </c>
      <c r="K6" s="1">
        <v>10000</v>
      </c>
      <c r="N6" s="1">
        <f>ROUNDUP(EXP($H6+$D6*$I6+$J6*N$3),-4)</f>
        <v>100000</v>
      </c>
      <c r="O6" s="1">
        <f>ROUNDUP(EXP($H6+$D6*$I6+$J6*O$3),-4)</f>
        <v>190000</v>
      </c>
      <c r="P6" s="1">
        <f>ROUNDUP(EXP($H6+$D6*$I6+$J6*P$3),-4)</f>
        <v>340000</v>
      </c>
      <c r="Q6" s="1">
        <f>ROUNDUP(EXP($H6+$D6*$I6+$J6*Q$3),-4)</f>
        <v>630000</v>
      </c>
      <c r="R6" s="1">
        <f>ROUNDUP(EXP($H6+$D6*$I6+$J6*R$3),-4)</f>
        <v>1160000</v>
      </c>
      <c r="S6" s="1">
        <f>ROUNDUP(EXP($H6+$D6*$I6+$J6*S$3),-4)</f>
        <v>2150000</v>
      </c>
      <c r="T6" s="1">
        <f>ROUNDUP(EXP($H6+$D6*$I6+$J6*T$3),-4)</f>
        <v>3970000</v>
      </c>
      <c r="U6" s="1">
        <f>ROUNDUP(EXP($H6+$D6*$I6+$J6*U$3),-4)</f>
        <v>7350000</v>
      </c>
      <c r="V6" s="1">
        <f>ROUNDUP(EXP($H6+$D6*$I6+$J6*V$3),-4)</f>
        <v>10000000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10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10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workbookViewId="0">
      <selection activeCell="A7" sqref="$A7:$XFD7"/>
    </sheetView>
  </sheetViews>
  <sheetFormatPr defaultColWidth="9" defaultRowHeight="16.8" outlineLevelRow="5"/>
  <cols>
    <col min="1" max="1" width="9" style="1" customWidth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 customWidth="1"/>
  </cols>
  <sheetData>
    <row r="1" spans="1:6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>
      <c r="A2" s="1" t="s">
        <v>11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46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>$C$4+$D$4*$H4+J$3*$E$4</f>
        <v>33</v>
      </c>
      <c r="K4" s="1">
        <f>$C$4+$D$4*$H4+K$3*$E$4</f>
        <v>36</v>
      </c>
      <c r="L4" s="1">
        <f>$C$4+$D$4*$H4+L$3*$E$4</f>
        <v>39</v>
      </c>
      <c r="M4" s="1">
        <f>$C$4+$D$4*$H4+M$3*$E$4</f>
        <v>42</v>
      </c>
      <c r="N4" s="1">
        <f>$C$4+$D$4*$H4+N$3*$E$4</f>
        <v>45</v>
      </c>
      <c r="O4" s="1">
        <f>$C$4+$D$4*$H4+O$3*$E$4</f>
        <v>48</v>
      </c>
      <c r="P4" s="1">
        <f>$C$4+$D$4*$H4+P$3*$E$4</f>
        <v>51</v>
      </c>
      <c r="Q4" s="1">
        <f>$C$4+$D$4*$H4+Q$3*$E$4</f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3" outlineLevelCol="6"/>
  <cols>
    <col min="1" max="1" width="12" customWidth="1"/>
    <col min="2" max="7" width="24" customWidth="1"/>
  </cols>
  <sheetData>
    <row r="1" spans="1:7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47</v>
      </c>
      <c r="G1" t="s">
        <v>48</v>
      </c>
    </row>
    <row r="2" spans="1:7">
      <c r="A2" t="s">
        <v>11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</row>
    <row r="3" spans="1:7">
      <c r="A3" t="s">
        <v>23</v>
      </c>
      <c r="B3" t="s">
        <v>24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</row>
    <row r="4" spans="2:7">
      <c r="B4" t="s">
        <v>55</v>
      </c>
      <c r="C4">
        <v>0</v>
      </c>
      <c r="D4">
        <v>10</v>
      </c>
      <c r="E4">
        <v>1</v>
      </c>
      <c r="F4">
        <v>-100</v>
      </c>
      <c r="G4">
        <v>100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"/>
  <sheetViews>
    <sheetView tabSelected="1" zoomScale="85" zoomScaleNormal="85" workbookViewId="0">
      <pane xSplit="1" ySplit="3" topLeftCell="G4" activePane="bottomRight" state="frozen"/>
      <selection/>
      <selection pane="topRight"/>
      <selection pane="bottomLeft"/>
      <selection pane="bottomRight" activeCell="AC8" sqref="AC3:AC8"/>
    </sheetView>
  </sheetViews>
  <sheetFormatPr defaultColWidth="9" defaultRowHeight="16.8"/>
  <cols>
    <col min="1" max="1" width="12" customWidth="1"/>
    <col min="2" max="2" width="24" customWidth="1"/>
    <col min="3" max="3" width="30.8461538461538" customWidth="1"/>
    <col min="4" max="4" width="24" customWidth="1"/>
    <col min="5" max="7" width="18" customWidth="1"/>
    <col min="9" max="15" width="14.0769230769231"/>
    <col min="16" max="31" width="12.9230769230769"/>
  </cols>
  <sheetData>
    <row r="1" spans="1:7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>
      <c r="A2" t="s">
        <v>11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</row>
    <row r="3" spans="1:31">
      <c r="A3" t="s">
        <v>23</v>
      </c>
      <c r="B3" t="s">
        <v>68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10</v>
      </c>
      <c r="Q3">
        <v>11</v>
      </c>
      <c r="R3">
        <v>12</v>
      </c>
      <c r="S3">
        <v>13</v>
      </c>
      <c r="T3">
        <v>14</v>
      </c>
      <c r="U3">
        <v>15</v>
      </c>
      <c r="V3">
        <v>16</v>
      </c>
      <c r="W3">
        <v>20</v>
      </c>
      <c r="X3">
        <v>21</v>
      </c>
      <c r="Y3">
        <v>22</v>
      </c>
      <c r="Z3">
        <v>23</v>
      </c>
      <c r="AA3">
        <v>24</v>
      </c>
      <c r="AB3">
        <v>25</v>
      </c>
      <c r="AC3">
        <v>26</v>
      </c>
      <c r="AD3">
        <v>36</v>
      </c>
      <c r="AE3">
        <v>46</v>
      </c>
    </row>
    <row r="4" spans="2:31">
      <c r="B4" t="s">
        <v>69</v>
      </c>
      <c r="C4">
        <v>65</v>
      </c>
      <c r="D4">
        <v>-0.0272</v>
      </c>
      <c r="E4">
        <v>0</v>
      </c>
      <c r="F4">
        <v>0</v>
      </c>
      <c r="G4">
        <v>100</v>
      </c>
      <c r="I4">
        <f>$C4*EXP(I$3*$D4)+$E4</f>
        <v>65</v>
      </c>
      <c r="J4">
        <f>$C4*EXP(J$3*$D4)+$E4</f>
        <v>63.2558282682273</v>
      </c>
      <c r="K4">
        <f t="shared" ref="K4:AE4" si="0">$C4*EXP(K$3*$D4)+$E4</f>
        <v>61.558458613838</v>
      </c>
      <c r="L4">
        <f t="shared" si="0"/>
        <v>59.9066351774418</v>
      </c>
      <c r="M4">
        <f t="shared" si="0"/>
        <v>58.29913579864</v>
      </c>
      <c r="N4">
        <f t="shared" si="0"/>
        <v>56.7347711117668</v>
      </c>
      <c r="O4">
        <f t="shared" si="0"/>
        <v>55.2123836658939</v>
      </c>
      <c r="P4">
        <f t="shared" si="0"/>
        <v>49.5205269708394</v>
      </c>
      <c r="Q4">
        <f t="shared" si="0"/>
        <v>48.191722304916</v>
      </c>
      <c r="R4">
        <f t="shared" si="0"/>
        <v>46.8985740010749</v>
      </c>
      <c r="S4">
        <f t="shared" si="0"/>
        <v>45.6401252774884</v>
      </c>
      <c r="T4">
        <f t="shared" si="0"/>
        <v>44.415445026049</v>
      </c>
      <c r="U4">
        <f t="shared" si="0"/>
        <v>43.2236271234561</v>
      </c>
      <c r="V4">
        <f t="shared" si="0"/>
        <v>42.0637897607882</v>
      </c>
      <c r="W4">
        <f t="shared" si="0"/>
        <v>37.7274244841483</v>
      </c>
      <c r="X4">
        <f t="shared" si="0"/>
        <v>36.7150689872584</v>
      </c>
      <c r="Y4">
        <f t="shared" si="0"/>
        <v>35.729878441756</v>
      </c>
      <c r="Z4">
        <f t="shared" si="0"/>
        <v>34.7711239193285</v>
      </c>
      <c r="AA4">
        <f t="shared" si="0"/>
        <v>33.8380960512969</v>
      </c>
      <c r="AB4">
        <f t="shared" si="0"/>
        <v>32.9301045037633</v>
      </c>
      <c r="AC4">
        <f t="shared" si="0"/>
        <v>32.0464774668436</v>
      </c>
      <c r="AD4">
        <f t="shared" si="0"/>
        <v>24.4147454110342</v>
      </c>
      <c r="AE4">
        <f t="shared" si="0"/>
        <v>18.60047782482</v>
      </c>
    </row>
    <row r="5" spans="2:31">
      <c r="B5" t="s">
        <v>70</v>
      </c>
      <c r="C5">
        <v>25</v>
      </c>
      <c r="D5">
        <v>0.013</v>
      </c>
      <c r="E5">
        <v>0</v>
      </c>
      <c r="F5">
        <v>0</v>
      </c>
      <c r="G5">
        <v>40</v>
      </c>
      <c r="I5">
        <f>$C5*EXP(I$3*$D5)+$E5</f>
        <v>25</v>
      </c>
      <c r="J5">
        <f>$C5*EXP(J$3*$D5)+$E5</f>
        <v>25.3271216839952</v>
      </c>
      <c r="K5">
        <f t="shared" ref="K5:AE5" si="1">$C5*EXP(K$3*$D5)+$E5</f>
        <v>25.6585237118361</v>
      </c>
      <c r="L5">
        <f t="shared" si="1"/>
        <v>25.9942620912539</v>
      </c>
      <c r="M5">
        <f t="shared" si="1"/>
        <v>26.3343935628341</v>
      </c>
      <c r="N5">
        <f t="shared" si="1"/>
        <v>26.6789756096048</v>
      </c>
      <c r="O5">
        <f t="shared" si="1"/>
        <v>27.0280664667521</v>
      </c>
      <c r="P5">
        <f t="shared" si="1"/>
        <v>28.4707095831155</v>
      </c>
      <c r="Q5">
        <f t="shared" si="1"/>
        <v>28.8432450416503</v>
      </c>
      <c r="R5">
        <f t="shared" si="1"/>
        <v>29.2206550772467</v>
      </c>
      <c r="S5">
        <f t="shared" si="1"/>
        <v>29.6030034730992</v>
      </c>
      <c r="T5">
        <f t="shared" si="1"/>
        <v>29.9903548469967</v>
      </c>
      <c r="U5">
        <f t="shared" si="1"/>
        <v>30.3827746622433</v>
      </c>
      <c r="V5">
        <f t="shared" si="1"/>
        <v>30.7803292387217</v>
      </c>
      <c r="W5">
        <f t="shared" si="1"/>
        <v>32.4232521666443</v>
      </c>
      <c r="X5">
        <f t="shared" si="1"/>
        <v>32.8475061206185</v>
      </c>
      <c r="Y5">
        <f t="shared" si="1"/>
        <v>33.2773113813073</v>
      </c>
      <c r="Z5">
        <f t="shared" si="1"/>
        <v>33.7127405868228</v>
      </c>
      <c r="AA5">
        <f t="shared" si="1"/>
        <v>34.153867325737</v>
      </c>
      <c r="AB5">
        <f t="shared" si="1"/>
        <v>34.6007661495188</v>
      </c>
      <c r="AC5">
        <f t="shared" si="1"/>
        <v>35.053512585133</v>
      </c>
      <c r="AD5">
        <f t="shared" si="1"/>
        <v>39.9199350671763</v>
      </c>
      <c r="AE5">
        <f t="shared" si="1"/>
        <v>45.4619551149763</v>
      </c>
    </row>
    <row r="6" spans="2:31">
      <c r="B6" t="s">
        <v>71</v>
      </c>
      <c r="C6">
        <v>10</v>
      </c>
      <c r="D6">
        <v>0.0352</v>
      </c>
      <c r="E6">
        <v>0</v>
      </c>
      <c r="F6">
        <v>0</v>
      </c>
      <c r="G6">
        <v>35</v>
      </c>
      <c r="I6">
        <f>$C6*EXP(I$3*$D6)+$E6</f>
        <v>10</v>
      </c>
      <c r="J6">
        <f>$C6*EXP(J$3*$D6)+$E6</f>
        <v>10.3582685345516</v>
      </c>
      <c r="K6">
        <f t="shared" ref="K6:AE6" si="2">$C6*EXP(K$3*$D6)+$E6</f>
        <v>10.7293727033881</v>
      </c>
      <c r="L6">
        <f t="shared" si="2"/>
        <v>11.1137723668982</v>
      </c>
      <c r="M6">
        <f t="shared" si="2"/>
        <v>11.5119438608211</v>
      </c>
      <c r="N6">
        <f t="shared" si="2"/>
        <v>11.9243805865067</v>
      </c>
      <c r="O6">
        <f t="shared" si="2"/>
        <v>12.351593622323</v>
      </c>
      <c r="P6">
        <f t="shared" si="2"/>
        <v>14.2190852371858</v>
      </c>
      <c r="Q6">
        <f t="shared" si="2"/>
        <v>14.7285103202448</v>
      </c>
      <c r="R6">
        <f t="shared" si="2"/>
        <v>15.256186501101</v>
      </c>
      <c r="S6">
        <f t="shared" si="2"/>
        <v>15.8027676591605</v>
      </c>
      <c r="T6">
        <f t="shared" si="2"/>
        <v>16.3689311002712</v>
      </c>
      <c r="U6">
        <f t="shared" si="2"/>
        <v>16.9553783960182</v>
      </c>
      <c r="V6">
        <f t="shared" si="2"/>
        <v>17.5628362530891</v>
      </c>
      <c r="W6">
        <f t="shared" si="2"/>
        <v>20.2182384982354</v>
      </c>
      <c r="X6">
        <f t="shared" si="2"/>
        <v>20.9425943660332</v>
      </c>
      <c r="Y6">
        <f t="shared" si="2"/>
        <v>21.6929016253559</v>
      </c>
      <c r="Z6">
        <f t="shared" si="2"/>
        <v>22.4700900329046</v>
      </c>
      <c r="AA6">
        <f t="shared" si="2"/>
        <v>23.2751226556377</v>
      </c>
      <c r="AB6">
        <f t="shared" si="2"/>
        <v>24.1089970641721</v>
      </c>
      <c r="AC6">
        <f t="shared" si="2"/>
        <v>24.972746568941</v>
      </c>
      <c r="AD6">
        <f t="shared" si="2"/>
        <v>35.5089612070411</v>
      </c>
      <c r="AE6">
        <f t="shared" si="2"/>
        <v>50.4904946086841</v>
      </c>
    </row>
    <row r="7" spans="2:31">
      <c r="B7" t="s">
        <v>72</v>
      </c>
      <c r="C7">
        <v>5</v>
      </c>
      <c r="D7">
        <v>0.031</v>
      </c>
      <c r="E7">
        <v>-7</v>
      </c>
      <c r="F7">
        <v>0</v>
      </c>
      <c r="G7">
        <v>10</v>
      </c>
      <c r="I7">
        <f>$C7*EXP(I$3*$D7)+$E7</f>
        <v>-2</v>
      </c>
      <c r="J7">
        <f>$C7*EXP(J$3*$D7)+$E7</f>
        <v>-1.84257248056739</v>
      </c>
      <c r="K7">
        <f t="shared" ref="K7:AE7" si="3">$C7*EXP(K$3*$D7)+$E7</f>
        <v>-1.68018827635983</v>
      </c>
      <c r="L7">
        <f t="shared" si="3"/>
        <v>-1.51269132365959</v>
      </c>
      <c r="M7">
        <f t="shared" si="3"/>
        <v>-1.33992064500412</v>
      </c>
      <c r="N7">
        <f t="shared" si="3"/>
        <v>-1.16171019447438</v>
      </c>
      <c r="O7">
        <f t="shared" si="3"/>
        <v>-0.977888698111851</v>
      </c>
      <c r="P7">
        <f t="shared" si="3"/>
        <v>-0.182874429339111</v>
      </c>
      <c r="Q7">
        <f t="shared" si="3"/>
        <v>0.0317662043108449</v>
      </c>
      <c r="R7">
        <f t="shared" si="3"/>
        <v>0.253164906465795</v>
      </c>
      <c r="S7">
        <f t="shared" si="3"/>
        <v>0.481534458317913</v>
      </c>
      <c r="T7">
        <f t="shared" si="3"/>
        <v>0.717094340582435</v>
      </c>
      <c r="U7">
        <f t="shared" si="3"/>
        <v>0.960070944435506</v>
      </c>
      <c r="V7">
        <f t="shared" si="3"/>
        <v>1.21069778909353</v>
      </c>
      <c r="W7">
        <f t="shared" si="3"/>
        <v>2.29464020923171</v>
      </c>
      <c r="X7">
        <f t="shared" si="3"/>
        <v>2.58728663966331</v>
      </c>
      <c r="Y7">
        <f t="shared" si="3"/>
        <v>2.88914719041763</v>
      </c>
      <c r="Z7">
        <f t="shared" si="3"/>
        <v>3.20051197271592</v>
      </c>
      <c r="AA7">
        <f t="shared" si="3"/>
        <v>3.52168023207739</v>
      </c>
      <c r="AB7">
        <f t="shared" si="3"/>
        <v>3.85296063591721</v>
      </c>
      <c r="AC7">
        <f t="shared" si="3"/>
        <v>4.19467157019966</v>
      </c>
      <c r="AD7">
        <f t="shared" si="3"/>
        <v>8.26309636327172</v>
      </c>
      <c r="AE7">
        <f t="shared" si="3"/>
        <v>13.8100889011042</v>
      </c>
    </row>
    <row r="10" spans="9:10">
      <c r="I10">
        <v>65</v>
      </c>
      <c r="J10">
        <v>32</v>
      </c>
    </row>
    <row r="11" spans="9:10">
      <c r="I11">
        <v>25</v>
      </c>
      <c r="J11">
        <v>35</v>
      </c>
    </row>
    <row r="12" spans="9:10">
      <c r="I12">
        <v>10</v>
      </c>
      <c r="J12">
        <v>25</v>
      </c>
    </row>
    <row r="13" spans="9:10">
      <c r="I13">
        <v>1</v>
      </c>
      <c r="J13">
        <v>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hidden_score_curve</vt:lpstr>
      <vt:lpstr>gold_reward_curve</vt:lpstr>
      <vt:lpstr>item_luck_curve</vt:lpstr>
      <vt:lpstr>item_quality_luck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2026-08-11T04:20:00Z</dcterms:created>
  <dcterms:modified xsi:type="dcterms:W3CDTF">2026-08-21T16:49:13Z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