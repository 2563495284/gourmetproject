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160"/>
  </bookViews>
  <sheets>
    <sheet name="hidden_score_curve" sheetId="1" r:id="rId1"/>
    <sheet name="gold_reward_curve" sheetId="2" r:id="rId2"/>
    <sheet name="Sheet1" sheetId="3" r:id="rId3"/>
  </sheets>
  <calcPr calcId="144525"/>
</workbook>
</file>

<file path=xl/sharedStrings.xml><?xml version="1.0" encoding="utf-8"?>
<sst xmlns="http://schemas.openxmlformats.org/spreadsheetml/2006/main" count="65" uniqueCount="49">
  <si>
    <t>##var</t>
  </si>
  <si>
    <t>id</t>
  </si>
  <si>
    <t>purpose</t>
  </si>
  <si>
    <t>weekList</t>
  </si>
  <si>
    <t>linearBase</t>
  </si>
  <si>
    <t>weekCoeff</t>
  </si>
  <si>
    <t>dayCoeff</t>
  </si>
  <si>
    <t>expConstant</t>
  </si>
  <si>
    <t>expWeekCoeff</t>
  </si>
  <si>
    <t>expDayCoeff</t>
  </si>
  <si>
    <t>roundTo</t>
  </si>
  <si>
    <t>##comment</t>
  </si>
  <si>
    <t>隐藏分曲线ID。</t>
  </si>
  <si>
    <t>曲线用途</t>
  </si>
  <si>
    <t>适用周数列表；空=不限。</t>
  </si>
  <si>
    <t>线性公式常量项。</t>
  </si>
  <si>
    <t>线性公式：周数系数。</t>
  </si>
  <si>
    <t>线性公式：当周过去天数系数。</t>
  </si>
  <si>
    <t>目标美味值指数公式常量 k0。</t>
  </si>
  <si>
    <t>目标美味值指数公式kWeek。</t>
  </si>
  <si>
    <t>目标美味值指数公式 kDay。</t>
  </si>
  <si>
    <t>向上取整粒度。</t>
  </si>
  <si>
    <t>目标美味值 = exp(k0 + kWeek*周数 + kDay*当周过去天数)</t>
  </si>
  <si>
    <t>##type</t>
  </si>
  <si>
    <t>string</t>
  </si>
  <si>
    <t>HiddenScorePurpose</t>
  </si>
  <si>
    <t>(list#sep=,),int</t>
  </si>
  <si>
    <t>float</t>
  </si>
  <si>
    <t>int</t>
  </si>
  <si>
    <t>target_score_1</t>
  </si>
  <si>
    <t>TargetScore</t>
  </si>
  <si>
    <t>target_score_2</t>
  </si>
  <si>
    <t>target_score_3</t>
  </si>
  <si>
    <t>hidden_dish</t>
  </si>
  <si>
    <t>Dish</t>
  </si>
  <si>
    <t>hidden_passive_item</t>
  </si>
  <si>
    <t>PassiveItem</t>
  </si>
  <si>
    <t>hidden_fragment</t>
  </si>
  <si>
    <t>Fragment</t>
  </si>
  <si>
    <t>baseValue</t>
  </si>
  <si>
    <t>perWeek</t>
  </si>
  <si>
    <t>perDay</t>
  </si>
  <si>
    <t>fluctuationPct</t>
  </si>
  <si>
    <t>金币奖励曲线ID。</t>
  </si>
  <si>
    <t>金币奖励隐藏分基础值。</t>
  </si>
  <si>
    <t>每周递增值。</t>
  </si>
  <si>
    <t>每天数递增值。</t>
  </si>
  <si>
    <t>上下浮动比例</t>
  </si>
  <si>
    <t>gold_default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</si>
</sst>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sz val="9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None</a:t>
            </a:r>
            <a:endParaRPr sz="1800" b="1" i="0" u="none">
              <a:solidFill>
                <a:schemeClr val="tx1"/>
              </a:solidFill>
              <a:latin typeface="+mn-lt"/>
              <a:ea typeface="+mn-lt"/>
              <a:cs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val>
            <c:numRef>
              <c:f>Sheet1!$C$5:$AL$5</c:f>
              <c:numCache>
                <c:formatCode>General</c:formatCode>
                <c:ptCount val="36"/>
                <c:pt idx="0">
                  <c:v>2.47712125471966</c:v>
                </c:pt>
                <c:pt idx="1">
                  <c:v>2.65321251377534</c:v>
                </c:pt>
                <c:pt idx="2">
                  <c:v>2.77815125038364</c:v>
                </c:pt>
                <c:pt idx="3">
                  <c:v>2.90308998699194</c:v>
                </c:pt>
                <c:pt idx="4">
                  <c:v>3.07918124604762</c:v>
                </c:pt>
                <c:pt idx="5">
                  <c:v>3.20411998265592</c:v>
                </c:pt>
                <c:pt idx="6">
                  <c:v>3.30102999566398</c:v>
                </c:pt>
                <c:pt idx="7">
                  <c:v>3.47712125471966</c:v>
                </c:pt>
                <c:pt idx="8">
                  <c:v>3.60205999132796</c:v>
                </c:pt>
                <c:pt idx="9">
                  <c:v>3.69897000433602</c:v>
                </c:pt>
                <c:pt idx="10">
                  <c:v>3.8750612633917</c:v>
                </c:pt>
                <c:pt idx="11">
                  <c:v>4</c:v>
                </c:pt>
                <c:pt idx="12">
                  <c:v>4.04139268515823</c:v>
                </c:pt>
                <c:pt idx="13">
                  <c:v>4.21748394421391</c:v>
                </c:pt>
                <c:pt idx="14">
                  <c:v>4.34242268082221</c:v>
                </c:pt>
                <c:pt idx="15">
                  <c:v>4.30102999566398</c:v>
                </c:pt>
                <c:pt idx="16">
                  <c:v>4.47712125471966</c:v>
                </c:pt>
                <c:pt idx="17">
                  <c:v>4.60205999132796</c:v>
                </c:pt>
                <c:pt idx="18">
                  <c:v>4.54406804435028</c:v>
                </c:pt>
                <c:pt idx="19">
                  <c:v>4.72015930340596</c:v>
                </c:pt>
                <c:pt idx="20">
                  <c:v>4.84509804001426</c:v>
                </c:pt>
                <c:pt idx="21">
                  <c:v>4.69897000433602</c:v>
                </c:pt>
                <c:pt idx="22">
                  <c:v>4.8750612633917</c:v>
                </c:pt>
                <c:pt idx="23">
                  <c:v>5</c:v>
                </c:pt>
                <c:pt idx="24">
                  <c:v>5.04139268515823</c:v>
                </c:pt>
                <c:pt idx="25">
                  <c:v>5.21748394421391</c:v>
                </c:pt>
                <c:pt idx="26">
                  <c:v>5.34242268082221</c:v>
                </c:pt>
                <c:pt idx="27">
                  <c:v>5.7481880270062</c:v>
                </c:pt>
                <c:pt idx="28">
                  <c:v>5.92427928606188</c:v>
                </c:pt>
                <c:pt idx="29">
                  <c:v>6.04921802267018</c:v>
                </c:pt>
                <c:pt idx="30">
                  <c:v>6.85733249643127</c:v>
                </c:pt>
                <c:pt idx="31">
                  <c:v>7.03342375548695</c:v>
                </c:pt>
                <c:pt idx="32">
                  <c:v>7.15836249209525</c:v>
                </c:pt>
                <c:pt idx="33">
                  <c:v>8.47712125471966</c:v>
                </c:pt>
                <c:pt idx="34">
                  <c:v>8.65321251377534</c:v>
                </c:pt>
                <c:pt idx="35">
                  <c:v>8.77815125038364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5240976"/>
        <c:axId val="525357570"/>
      </c:barChart>
      <c:catAx>
        <c:axId val="46524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525357570"/>
        <c:crosses val="autoZero"/>
        <c:auto val="1"/>
        <c:lblAlgn val="ctr"/>
        <c:lblOffset val="100"/>
        <c:noMultiLvlLbl val="0"/>
      </c:catAx>
      <c:valAx>
        <c:axId val="525357570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 cmpd="sng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6524097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None</a:t>
            </a:r>
            <a:endParaRPr sz="1800" b="1" i="0" u="none">
              <a:solidFill>
                <a:schemeClr val="tx1"/>
              </a:solidFill>
              <a:latin typeface="+mn-lt"/>
              <a:ea typeface="+mn-lt"/>
              <a:cs typeface="+mn-lt"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Sheet1!$C$7:$AL$7</c:f>
              <c:numCache>
                <c:formatCode>General</c:formatCode>
                <c:ptCount val="36"/>
                <c:pt idx="0">
                  <c:v>5.7037824746562</c:v>
                </c:pt>
                <c:pt idx="1">
                  <c:v>6.10924758276437</c:v>
                </c:pt>
                <c:pt idx="2">
                  <c:v>6.39692965521615</c:v>
                </c:pt>
                <c:pt idx="3">
                  <c:v>6.68461172766793</c:v>
                </c:pt>
                <c:pt idx="4">
                  <c:v>7.09007683577609</c:v>
                </c:pt>
                <c:pt idx="5">
                  <c:v>7.37775890822787</c:v>
                </c:pt>
                <c:pt idx="6">
                  <c:v>7.60090245954208</c:v>
                </c:pt>
                <c:pt idx="7">
                  <c:v>8.00636756765025</c:v>
                </c:pt>
                <c:pt idx="8">
                  <c:v>8.29404964010203</c:v>
                </c:pt>
                <c:pt idx="9">
                  <c:v>8.51719319141624</c:v>
                </c:pt>
                <c:pt idx="10">
                  <c:v>8.9226582995244</c:v>
                </c:pt>
                <c:pt idx="11">
                  <c:v>9.21034037197618</c:v>
                </c:pt>
                <c:pt idx="12">
                  <c:v>9.30565055178051</c:v>
                </c:pt>
                <c:pt idx="13">
                  <c:v>9.71111565988867</c:v>
                </c:pt>
                <c:pt idx="14">
                  <c:v>9.99879773234045</c:v>
                </c:pt>
                <c:pt idx="15">
                  <c:v>9.90348755253613</c:v>
                </c:pt>
                <c:pt idx="16">
                  <c:v>10.3089526606443</c:v>
                </c:pt>
                <c:pt idx="17">
                  <c:v>10.5966347330961</c:v>
                </c:pt>
                <c:pt idx="18">
                  <c:v>10.4631033404716</c:v>
                </c:pt>
                <c:pt idx="19">
                  <c:v>10.8685684485797</c:v>
                </c:pt>
                <c:pt idx="20">
                  <c:v>11.1562505210315</c:v>
                </c:pt>
                <c:pt idx="21">
                  <c:v>10.8197782844103</c:v>
                </c:pt>
                <c:pt idx="22">
                  <c:v>11.2252433925184</c:v>
                </c:pt>
                <c:pt idx="23">
                  <c:v>11.5129254649702</c:v>
                </c:pt>
                <c:pt idx="24">
                  <c:v>11.6082356447746</c:v>
                </c:pt>
                <c:pt idx="25">
                  <c:v>12.0137007528827</c:v>
                </c:pt>
                <c:pt idx="26">
                  <c:v>12.3013828253345</c:v>
                </c:pt>
                <c:pt idx="27">
                  <c:v>13.2356920627113</c:v>
                </c:pt>
                <c:pt idx="28">
                  <c:v>13.6411571708195</c:v>
                </c:pt>
                <c:pt idx="29">
                  <c:v>13.9288392432713</c:v>
                </c:pt>
                <c:pt idx="30">
                  <c:v>15.7895915839863</c:v>
                </c:pt>
                <c:pt idx="31">
                  <c:v>16.1950566920944</c:v>
                </c:pt>
                <c:pt idx="32">
                  <c:v>16.4827387645462</c:v>
                </c:pt>
                <c:pt idx="33">
                  <c:v>19.5192930326205</c:v>
                </c:pt>
                <c:pt idx="34">
                  <c:v>19.9247581407286</c:v>
                </c:pt>
                <c:pt idx="35">
                  <c:v>20.2124402131804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03373185"/>
        <c:axId val="360099976"/>
      </c:lineChart>
      <c:catAx>
        <c:axId val="8033731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360099976"/>
        <c:crosses val="autoZero"/>
        <c:auto val="1"/>
        <c:lblAlgn val="ctr"/>
        <c:lblOffset val="100"/>
        <c:noMultiLvlLbl val="0"/>
      </c:catAx>
      <c:valAx>
        <c:axId val="360099976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 cmpd="sng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803373185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28</xdr:col>
      <xdr:colOff>800100</xdr:colOff>
      <xdr:row>13</xdr:row>
      <xdr:rowOff>109855</xdr:rowOff>
    </xdr:from>
    <xdr:to>
      <xdr:col>34</xdr:col>
      <xdr:colOff>264160</xdr:colOff>
      <xdr:row>27</xdr:row>
      <xdr:rowOff>8255</xdr:rowOff>
    </xdr:to>
    <xdr:graphicFrame>
      <xdr:nvGraphicFramePr>
        <xdr:cNvPr id="2" name="Chart"/>
        <xdr:cNvGraphicFramePr/>
      </xdr:nvGraphicFramePr>
      <xdr:xfrm>
        <a:off x="24361140" y="2883535"/>
        <a:ext cx="458470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266065</xdr:colOff>
      <xdr:row>17</xdr:row>
      <xdr:rowOff>24765</xdr:rowOff>
    </xdr:from>
    <xdr:to>
      <xdr:col>27</xdr:col>
      <xdr:colOff>586105</xdr:colOff>
      <xdr:row>30</xdr:row>
      <xdr:rowOff>136525</xdr:rowOff>
    </xdr:to>
    <xdr:graphicFrame>
      <xdr:nvGraphicFramePr>
        <xdr:cNvPr id="3" name="Chart"/>
        <xdr:cNvGraphicFramePr/>
      </xdr:nvGraphicFramePr>
      <xdr:xfrm>
        <a:off x="18630265" y="3651885"/>
        <a:ext cx="466344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"/>
  <sheetViews>
    <sheetView tabSelected="1" topLeftCell="F1" workbookViewId="0">
      <selection activeCell="J14" sqref="J14"/>
    </sheetView>
  </sheetViews>
  <sheetFormatPr defaultColWidth="9" defaultRowHeight="16.8"/>
  <cols>
    <col min="1" max="1" width="13.0769230769231" style="1" customWidth="1"/>
    <col min="2" max="2" width="26.6923076923077" style="1" customWidth="1"/>
    <col min="3" max="3" width="21.1538461538462" style="1" customWidth="1"/>
    <col min="4" max="4" width="28.9230769230769" style="1" customWidth="1"/>
    <col min="5" max="5" width="20" style="1" customWidth="1"/>
    <col min="6" max="6" width="24.8461538461538" style="1" customWidth="1"/>
    <col min="7" max="7" width="34.5384615384615" style="1" customWidth="1"/>
    <col min="8" max="8" width="27.6923076923077" style="1" customWidth="1"/>
    <col min="9" max="9" width="26.4615384615385" style="1" customWidth="1"/>
    <col min="10" max="10" width="25.9230769230769" style="1" customWidth="1"/>
    <col min="11" max="11" width="17.6153846153846" style="1" customWidth="1"/>
    <col min="12" max="12" width="10.3846153846154" style="1" customWidth="1"/>
    <col min="13" max="16384" width="9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M2" s="2" t="s">
        <v>22</v>
      </c>
    </row>
    <row r="3" spans="1:22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27</v>
      </c>
      <c r="G3" s="1" t="s">
        <v>27</v>
      </c>
      <c r="H3" s="1" t="s">
        <v>27</v>
      </c>
      <c r="I3" s="1" t="s">
        <v>27</v>
      </c>
      <c r="J3" s="1" t="s">
        <v>27</v>
      </c>
      <c r="K3" s="1" t="s">
        <v>28</v>
      </c>
      <c r="M3" s="2"/>
      <c r="N3" s="1">
        <v>0</v>
      </c>
      <c r="O3" s="1">
        <v>1</v>
      </c>
      <c r="P3" s="1">
        <v>2</v>
      </c>
      <c r="Q3" s="1">
        <v>3</v>
      </c>
      <c r="R3" s="1">
        <v>4</v>
      </c>
      <c r="S3" s="1">
        <v>5</v>
      </c>
      <c r="T3" s="1">
        <v>6</v>
      </c>
      <c r="U3" s="1">
        <v>7</v>
      </c>
      <c r="V3" s="1">
        <v>7.5</v>
      </c>
    </row>
    <row r="4" spans="2:27">
      <c r="B4" s="1" t="s">
        <v>29</v>
      </c>
      <c r="C4" s="1" t="s">
        <v>30</v>
      </c>
      <c r="D4" s="1">
        <v>1</v>
      </c>
      <c r="E4" s="1">
        <v>0</v>
      </c>
      <c r="F4" s="1">
        <v>0</v>
      </c>
      <c r="G4" s="1">
        <v>0</v>
      </c>
      <c r="H4" s="1">
        <v>5.2</v>
      </c>
      <c r="I4" s="1">
        <v>0</v>
      </c>
      <c r="J4" s="1">
        <v>0.44</v>
      </c>
      <c r="K4" s="1">
        <v>100</v>
      </c>
      <c r="N4" s="1">
        <f>ROUNDUP(EXP($H4+$D4*$I4+$J4*N$3),-2)</f>
        <v>200</v>
      </c>
      <c r="O4" s="1">
        <f t="shared" ref="O4:V4" si="0">ROUNDUP(EXP($H4+$D4*$I4+$J4*O$3),-2)</f>
        <v>300</v>
      </c>
      <c r="P4" s="1">
        <f t="shared" si="0"/>
        <v>500</v>
      </c>
      <c r="Q4" s="1">
        <f t="shared" si="0"/>
        <v>700</v>
      </c>
      <c r="R4" s="1">
        <f t="shared" si="0"/>
        <v>1100</v>
      </c>
      <c r="S4" s="1">
        <f t="shared" si="0"/>
        <v>1700</v>
      </c>
      <c r="T4" s="1">
        <f t="shared" si="0"/>
        <v>2600</v>
      </c>
      <c r="U4" s="1">
        <f t="shared" si="0"/>
        <v>4000</v>
      </c>
      <c r="V4" s="1">
        <f t="shared" si="0"/>
        <v>5000</v>
      </c>
      <c r="Y4" s="1">
        <v>5.5</v>
      </c>
      <c r="Z4" s="1">
        <v>0</v>
      </c>
      <c r="AA4" s="1">
        <v>0.4</v>
      </c>
    </row>
    <row r="5" spans="2:27">
      <c r="B5" s="1" t="s">
        <v>31</v>
      </c>
      <c r="C5" s="1" t="s">
        <v>30</v>
      </c>
      <c r="D5" s="1">
        <v>2</v>
      </c>
      <c r="E5" s="1">
        <v>0</v>
      </c>
      <c r="F5" s="1">
        <v>0</v>
      </c>
      <c r="G5" s="1">
        <v>0</v>
      </c>
      <c r="H5" s="1">
        <v>8.2</v>
      </c>
      <c r="I5" s="1">
        <v>0</v>
      </c>
      <c r="J5" s="1">
        <v>0.403</v>
      </c>
      <c r="K5" s="1">
        <v>1000</v>
      </c>
      <c r="N5" s="1">
        <f>ROUNDUP(EXP($H5+$D5*$I5+$J5*N$3),-3)</f>
        <v>4000</v>
      </c>
      <c r="O5" s="1">
        <f t="shared" ref="O5:V5" si="1">ROUNDUP(EXP($H5+$D5*$I5+$J5*O$3),-3)</f>
        <v>6000</v>
      </c>
      <c r="P5" s="1">
        <f t="shared" si="1"/>
        <v>9000</v>
      </c>
      <c r="Q5" s="1">
        <f t="shared" si="1"/>
        <v>13000</v>
      </c>
      <c r="R5" s="1">
        <f t="shared" si="1"/>
        <v>19000</v>
      </c>
      <c r="S5" s="1">
        <f t="shared" si="1"/>
        <v>28000</v>
      </c>
      <c r="T5" s="1">
        <f t="shared" si="1"/>
        <v>41000</v>
      </c>
      <c r="U5" s="1">
        <f t="shared" si="1"/>
        <v>62000</v>
      </c>
      <c r="V5" s="1">
        <f t="shared" si="1"/>
        <v>75000</v>
      </c>
      <c r="Y5" s="1">
        <v>7.7</v>
      </c>
      <c r="Z5" s="1">
        <v>0</v>
      </c>
      <c r="AA5" s="1">
        <v>0.45</v>
      </c>
    </row>
    <row r="6" spans="2:27">
      <c r="B6" s="1" t="s">
        <v>32</v>
      </c>
      <c r="C6" s="1" t="s">
        <v>30</v>
      </c>
      <c r="D6" s="1">
        <v>3</v>
      </c>
      <c r="E6" s="1">
        <v>0</v>
      </c>
      <c r="F6" s="1">
        <v>0</v>
      </c>
      <c r="G6" s="1">
        <v>0</v>
      </c>
      <c r="H6" s="1">
        <v>11</v>
      </c>
      <c r="I6" s="1">
        <v>0</v>
      </c>
      <c r="J6" s="1">
        <v>0.375</v>
      </c>
      <c r="K6" s="1">
        <v>10000</v>
      </c>
      <c r="N6" s="1">
        <f>ROUNDUP(EXP($H6+$D6*$I6+$J6*N$3),-4)</f>
        <v>60000</v>
      </c>
      <c r="O6" s="1">
        <f t="shared" ref="O6:V6" si="2">ROUNDUP(EXP($H6+$D6*$I6+$J6*O$3),-4)</f>
        <v>90000</v>
      </c>
      <c r="P6" s="1">
        <f t="shared" si="2"/>
        <v>130000</v>
      </c>
      <c r="Q6" s="1">
        <f t="shared" si="2"/>
        <v>190000</v>
      </c>
      <c r="R6" s="1">
        <f t="shared" si="2"/>
        <v>270000</v>
      </c>
      <c r="S6" s="1">
        <f t="shared" si="2"/>
        <v>400000</v>
      </c>
      <c r="T6" s="1">
        <f t="shared" si="2"/>
        <v>570000</v>
      </c>
      <c r="U6" s="1">
        <f t="shared" si="2"/>
        <v>830000</v>
      </c>
      <c r="V6" s="1">
        <f t="shared" si="2"/>
        <v>1000000</v>
      </c>
      <c r="Y6" s="1">
        <v>10.6</v>
      </c>
      <c r="Z6" s="1">
        <v>0</v>
      </c>
      <c r="AA6" s="1">
        <v>0.452</v>
      </c>
    </row>
    <row r="7" spans="2:11">
      <c r="B7" s="1" t="s">
        <v>33</v>
      </c>
      <c r="C7" s="1" t="s">
        <v>34</v>
      </c>
      <c r="E7" s="1">
        <v>10</v>
      </c>
      <c r="F7" s="1">
        <v>10</v>
      </c>
      <c r="G7" s="1">
        <v>1</v>
      </c>
      <c r="H7" s="1">
        <v>0</v>
      </c>
      <c r="I7" s="1">
        <v>0</v>
      </c>
      <c r="J7" s="1">
        <v>0</v>
      </c>
      <c r="K7" s="1">
        <v>1</v>
      </c>
    </row>
    <row r="8" spans="2:11">
      <c r="B8" s="1" t="s">
        <v>35</v>
      </c>
      <c r="C8" s="1" t="s">
        <v>36</v>
      </c>
      <c r="E8" s="1">
        <v>10</v>
      </c>
      <c r="F8" s="1">
        <v>10</v>
      </c>
      <c r="G8" s="1">
        <v>1</v>
      </c>
      <c r="H8" s="1">
        <v>0</v>
      </c>
      <c r="I8" s="1">
        <v>0</v>
      </c>
      <c r="J8" s="1">
        <v>0</v>
      </c>
      <c r="K8" s="1">
        <v>1</v>
      </c>
    </row>
    <row r="9" spans="2:11">
      <c r="B9" s="1" t="s">
        <v>37</v>
      </c>
      <c r="C9" s="1" t="s">
        <v>38</v>
      </c>
      <c r="E9" s="1">
        <v>10</v>
      </c>
      <c r="F9" s="1">
        <v>10</v>
      </c>
      <c r="G9" s="1">
        <v>1</v>
      </c>
      <c r="H9" s="1">
        <v>0</v>
      </c>
      <c r="I9" s="1">
        <v>0</v>
      </c>
      <c r="J9" s="1">
        <v>0</v>
      </c>
      <c r="K9" s="1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selection activeCell="A7" sqref="$A7:$XFD7"/>
    </sheetView>
  </sheetViews>
  <sheetFormatPr defaultColWidth="9" defaultRowHeight="16.8" outlineLevelRow="5"/>
  <cols>
    <col min="1" max="1" width="9" style="1"/>
    <col min="2" max="2" width="20.3846153846154" style="1" customWidth="1"/>
    <col min="3" max="4" width="32.1538461538462" style="1" customWidth="1"/>
    <col min="5" max="5" width="20" style="1" customWidth="1"/>
    <col min="6" max="7" width="15.1538461538462" style="1" customWidth="1"/>
    <col min="8" max="8" width="7.84615384615385" style="1" customWidth="1"/>
    <col min="9" max="17" width="6.73076923076923" style="1" customWidth="1"/>
    <col min="18" max="16384" width="9" style="1"/>
  </cols>
  <sheetData>
    <row r="1" spans="1:6">
      <c r="A1" s="1" t="s">
        <v>0</v>
      </c>
      <c r="B1" s="1" t="s">
        <v>1</v>
      </c>
      <c r="C1" s="1" t="s">
        <v>39</v>
      </c>
      <c r="D1" s="1" t="s">
        <v>40</v>
      </c>
      <c r="E1" s="1" t="s">
        <v>41</v>
      </c>
      <c r="F1" s="1" t="s">
        <v>42</v>
      </c>
    </row>
    <row r="2" spans="1:6">
      <c r="A2" s="1" t="s">
        <v>11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</row>
    <row r="3" spans="1:17">
      <c r="A3" s="1" t="s">
        <v>23</v>
      </c>
      <c r="B3" s="1" t="s">
        <v>24</v>
      </c>
      <c r="C3" s="1" t="s">
        <v>27</v>
      </c>
      <c r="D3" s="1" t="s">
        <v>27</v>
      </c>
      <c r="E3" s="1" t="s">
        <v>27</v>
      </c>
      <c r="F3" s="1" t="s">
        <v>27</v>
      </c>
      <c r="I3" s="1">
        <v>0</v>
      </c>
      <c r="J3" s="1">
        <v>1</v>
      </c>
      <c r="K3" s="1">
        <v>2</v>
      </c>
      <c r="L3" s="1">
        <v>3</v>
      </c>
      <c r="M3" s="1">
        <v>4</v>
      </c>
      <c r="N3" s="1">
        <v>5</v>
      </c>
      <c r="O3" s="1">
        <v>6</v>
      </c>
      <c r="P3" s="1">
        <v>7</v>
      </c>
      <c r="Q3" s="1">
        <v>7.5</v>
      </c>
    </row>
    <row r="4" spans="2:17">
      <c r="B4" s="1" t="s">
        <v>48</v>
      </c>
      <c r="C4" s="1">
        <v>20</v>
      </c>
      <c r="D4" s="1">
        <v>10</v>
      </c>
      <c r="E4" s="1">
        <v>3</v>
      </c>
      <c r="F4" s="1">
        <v>0.2</v>
      </c>
      <c r="H4" s="1">
        <v>1</v>
      </c>
      <c r="I4" s="1">
        <f>$C$4+$D$4*$H4+I$3*$E$4</f>
        <v>30</v>
      </c>
      <c r="J4" s="1">
        <f t="shared" ref="J4:Q4" si="0">$C$4+$D$4*$H4+J$3*$E$4</f>
        <v>33</v>
      </c>
      <c r="K4" s="1">
        <f t="shared" si="0"/>
        <v>36</v>
      </c>
      <c r="L4" s="1">
        <f t="shared" si="0"/>
        <v>39</v>
      </c>
      <c r="M4" s="1">
        <f t="shared" si="0"/>
        <v>42</v>
      </c>
      <c r="N4" s="1">
        <f t="shared" si="0"/>
        <v>45</v>
      </c>
      <c r="O4" s="1">
        <f t="shared" si="0"/>
        <v>48</v>
      </c>
      <c r="P4" s="1">
        <f t="shared" si="0"/>
        <v>51</v>
      </c>
      <c r="Q4" s="1">
        <f t="shared" si="0"/>
        <v>52.5</v>
      </c>
    </row>
    <row r="5" spans="8:17">
      <c r="H5" s="1">
        <v>2</v>
      </c>
      <c r="I5" s="1">
        <f>$C$4+$D$4*$H5+I$3*$E$4</f>
        <v>40</v>
      </c>
      <c r="J5" s="1">
        <f>$C$4+$D$4*$H5+J$3*$E$4</f>
        <v>43</v>
      </c>
      <c r="K5" s="1">
        <f>$C$4+$D$4*$H5+K$3*$E$4</f>
        <v>46</v>
      </c>
      <c r="L5" s="1">
        <f>$C$4+$D$4*$H5+L$3*$E$4</f>
        <v>49</v>
      </c>
      <c r="M5" s="1">
        <f>$C$4+$D$4*$H5+M$3*$E$4</f>
        <v>52</v>
      </c>
      <c r="N5" s="1">
        <f>$C$4+$D$4*$H5+N$3*$E$4</f>
        <v>55</v>
      </c>
      <c r="O5" s="1">
        <f>$C$4+$D$4*$H5+O$3*$E$4</f>
        <v>58</v>
      </c>
      <c r="P5" s="1">
        <f>$C$4+$D$4*$H5+P$3*$E$4</f>
        <v>61</v>
      </c>
      <c r="Q5" s="1">
        <f>$C$4+$D$4*$H5+Q$3*$E$4</f>
        <v>62.5</v>
      </c>
    </row>
    <row r="6" spans="8:17">
      <c r="H6" s="1">
        <v>3</v>
      </c>
      <c r="I6" s="1">
        <f>$C$4+$D$4*$H6+I$3*$E$4</f>
        <v>50</v>
      </c>
      <c r="J6" s="1">
        <f>$C$4+$D$4*$H6+J$3*$E$4</f>
        <v>53</v>
      </c>
      <c r="K6" s="1">
        <f>$C$4+$D$4*$H6+K$3*$E$4</f>
        <v>56</v>
      </c>
      <c r="L6" s="1">
        <f>$C$4+$D$4*$H6+L$3*$E$4</f>
        <v>59</v>
      </c>
      <c r="M6" s="1">
        <f>$C$4+$D$4*$H6+M$3*$E$4</f>
        <v>62</v>
      </c>
      <c r="N6" s="1">
        <f>$C$4+$D$4*$H6+N$3*$E$4</f>
        <v>65</v>
      </c>
      <c r="O6" s="1">
        <f>$C$4+$D$4*$H6+O$3*$E$4</f>
        <v>68</v>
      </c>
      <c r="P6" s="1">
        <f>$C$4+$D$4*$H6+P$3*$E$4</f>
        <v>71</v>
      </c>
      <c r="Q6" s="1">
        <f>$C$4+$D$4*$H6+Q$3*$E$4</f>
        <v>72.5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AL28"/>
  <sheetViews>
    <sheetView topLeftCell="M1" workbookViewId="0">
      <selection activeCell="Z17" sqref="Z17"/>
    </sheetView>
  </sheetViews>
  <sheetFormatPr defaultColWidth="9.23076923076923" defaultRowHeight="16.8"/>
  <cols>
    <col min="3" max="19" width="12.9230769230769" customWidth="1"/>
    <col min="20" max="20" width="14.0769230769231" customWidth="1"/>
    <col min="21" max="22" width="12.9230769230769" customWidth="1"/>
    <col min="23" max="23" width="14.0769230769231" customWidth="1"/>
    <col min="24" max="36" width="12.9230769230769" customWidth="1"/>
    <col min="37" max="38" width="10.6923076923077" customWidth="1"/>
    <col min="39" max="39" width="12.9230769230769" customWidth="1"/>
  </cols>
  <sheetData>
    <row r="3" spans="2:38">
      <c r="B3">
        <v>1.5</v>
      </c>
      <c r="C3">
        <v>300</v>
      </c>
      <c r="D3">
        <f>C3*1.5</f>
        <v>450</v>
      </c>
      <c r="E3">
        <f>C3*2</f>
        <v>600</v>
      </c>
      <c r="F3">
        <v>800</v>
      </c>
      <c r="G3">
        <f>F3*1.5</f>
        <v>1200</v>
      </c>
      <c r="H3">
        <f>F3*2</f>
        <v>1600</v>
      </c>
      <c r="I3">
        <v>2000</v>
      </c>
      <c r="J3">
        <f>I3*1.5</f>
        <v>3000</v>
      </c>
      <c r="K3">
        <f>I3*2</f>
        <v>4000</v>
      </c>
      <c r="L3">
        <v>5000</v>
      </c>
      <c r="M3">
        <f>L3*1.5</f>
        <v>7500</v>
      </c>
      <c r="N3">
        <f>L3*2</f>
        <v>10000</v>
      </c>
      <c r="O3">
        <v>11000</v>
      </c>
      <c r="P3">
        <f>O3*1.5</f>
        <v>16500</v>
      </c>
      <c r="Q3">
        <f>O3*2</f>
        <v>22000</v>
      </c>
      <c r="R3">
        <v>20000</v>
      </c>
      <c r="S3">
        <f>R3*1.5</f>
        <v>30000</v>
      </c>
      <c r="T3">
        <f>R3*2</f>
        <v>40000</v>
      </c>
      <c r="U3">
        <v>35000</v>
      </c>
      <c r="V3">
        <f>U3*1.5</f>
        <v>52500</v>
      </c>
      <c r="W3">
        <f>U3*2</f>
        <v>70000</v>
      </c>
      <c r="X3">
        <v>50000</v>
      </c>
      <c r="Y3">
        <f>X3*1.5</f>
        <v>75000</v>
      </c>
      <c r="Z3">
        <f>X3*2</f>
        <v>100000</v>
      </c>
      <c r="AA3">
        <v>110000</v>
      </c>
      <c r="AB3">
        <f>AA3*1.5</f>
        <v>165000</v>
      </c>
      <c r="AC3">
        <f>AA3*2</f>
        <v>220000</v>
      </c>
      <c r="AD3">
        <v>560000</v>
      </c>
      <c r="AE3">
        <f>AD3*1.5</f>
        <v>840000</v>
      </c>
      <c r="AF3">
        <f>AD3*2</f>
        <v>1120000</v>
      </c>
      <c r="AG3">
        <v>7200000</v>
      </c>
      <c r="AH3">
        <f>AG3*1.5</f>
        <v>10800000</v>
      </c>
      <c r="AI3">
        <f>AG3*2</f>
        <v>14400000</v>
      </c>
      <c r="AJ3">
        <v>300000000</v>
      </c>
      <c r="AK3">
        <f>AJ3*1.5</f>
        <v>450000000</v>
      </c>
      <c r="AL3">
        <f>AJ3*2</f>
        <v>600000000</v>
      </c>
    </row>
    <row r="5" spans="2:38">
      <c r="B5">
        <f t="shared" ref="B5:AL5" si="0">LOG10(B3)</f>
        <v>0.176091259055681</v>
      </c>
      <c r="C5">
        <f t="shared" si="0"/>
        <v>2.47712125471966</v>
      </c>
      <c r="D5">
        <f t="shared" si="0"/>
        <v>2.65321251377534</v>
      </c>
      <c r="E5">
        <f t="shared" si="0"/>
        <v>2.77815125038364</v>
      </c>
      <c r="F5">
        <f t="shared" si="0"/>
        <v>2.90308998699194</v>
      </c>
      <c r="G5">
        <f t="shared" si="0"/>
        <v>3.07918124604762</v>
      </c>
      <c r="H5">
        <f t="shared" si="0"/>
        <v>3.20411998265592</v>
      </c>
      <c r="I5">
        <f t="shared" si="0"/>
        <v>3.30102999566398</v>
      </c>
      <c r="J5">
        <f t="shared" si="0"/>
        <v>3.47712125471966</v>
      </c>
      <c r="K5">
        <f t="shared" si="0"/>
        <v>3.60205999132796</v>
      </c>
      <c r="L5">
        <f t="shared" si="0"/>
        <v>3.69897000433602</v>
      </c>
      <c r="M5">
        <f t="shared" si="0"/>
        <v>3.8750612633917</v>
      </c>
      <c r="N5">
        <f t="shared" si="0"/>
        <v>4</v>
      </c>
      <c r="O5">
        <f t="shared" si="0"/>
        <v>4.04139268515823</v>
      </c>
      <c r="P5">
        <f t="shared" si="0"/>
        <v>4.21748394421391</v>
      </c>
      <c r="Q5">
        <f t="shared" si="0"/>
        <v>4.34242268082221</v>
      </c>
      <c r="R5">
        <f t="shared" si="0"/>
        <v>4.30102999566398</v>
      </c>
      <c r="S5">
        <f t="shared" si="0"/>
        <v>4.47712125471966</v>
      </c>
      <c r="T5">
        <f t="shared" si="0"/>
        <v>4.60205999132796</v>
      </c>
      <c r="U5">
        <f t="shared" si="0"/>
        <v>4.54406804435028</v>
      </c>
      <c r="V5">
        <f t="shared" si="0"/>
        <v>4.72015930340596</v>
      </c>
      <c r="W5">
        <f t="shared" si="0"/>
        <v>4.84509804001426</v>
      </c>
      <c r="X5">
        <f t="shared" si="0"/>
        <v>4.69897000433602</v>
      </c>
      <c r="Y5">
        <f t="shared" si="0"/>
        <v>4.8750612633917</v>
      </c>
      <c r="Z5">
        <f t="shared" si="0"/>
        <v>5</v>
      </c>
      <c r="AA5">
        <f t="shared" si="0"/>
        <v>5.04139268515823</v>
      </c>
      <c r="AB5">
        <f t="shared" si="0"/>
        <v>5.21748394421391</v>
      </c>
      <c r="AC5">
        <f t="shared" si="0"/>
        <v>5.34242268082221</v>
      </c>
      <c r="AD5">
        <f t="shared" si="0"/>
        <v>5.7481880270062</v>
      </c>
      <c r="AE5">
        <f t="shared" si="0"/>
        <v>5.92427928606188</v>
      </c>
      <c r="AF5">
        <f t="shared" si="0"/>
        <v>6.04921802267018</v>
      </c>
      <c r="AG5">
        <f t="shared" si="0"/>
        <v>6.85733249643127</v>
      </c>
      <c r="AH5">
        <f t="shared" si="0"/>
        <v>7.03342375548695</v>
      </c>
      <c r="AI5">
        <f t="shared" si="0"/>
        <v>7.15836249209525</v>
      </c>
      <c r="AJ5">
        <f t="shared" si="0"/>
        <v>8.47712125471966</v>
      </c>
      <c r="AK5">
        <f t="shared" si="0"/>
        <v>8.65321251377534</v>
      </c>
      <c r="AL5">
        <f t="shared" si="0"/>
        <v>8.77815125038364</v>
      </c>
    </row>
    <row r="7" spans="3:38">
      <c r="C7">
        <f t="shared" ref="C7:AL7" si="1">LN(C3)</f>
        <v>5.7037824746562</v>
      </c>
      <c r="D7">
        <f t="shared" si="1"/>
        <v>6.10924758276437</v>
      </c>
      <c r="E7">
        <f t="shared" si="1"/>
        <v>6.39692965521615</v>
      </c>
      <c r="F7">
        <f t="shared" si="1"/>
        <v>6.68461172766793</v>
      </c>
      <c r="G7">
        <f t="shared" si="1"/>
        <v>7.09007683577609</v>
      </c>
      <c r="H7">
        <f t="shared" si="1"/>
        <v>7.37775890822787</v>
      </c>
      <c r="I7">
        <f t="shared" si="1"/>
        <v>7.60090245954208</v>
      </c>
      <c r="J7">
        <f t="shared" si="1"/>
        <v>8.00636756765025</v>
      </c>
      <c r="K7">
        <f t="shared" si="1"/>
        <v>8.29404964010203</v>
      </c>
      <c r="L7">
        <f t="shared" si="1"/>
        <v>8.51719319141624</v>
      </c>
      <c r="M7">
        <f t="shared" si="1"/>
        <v>8.9226582995244</v>
      </c>
      <c r="N7">
        <f t="shared" si="1"/>
        <v>9.21034037197618</v>
      </c>
      <c r="O7">
        <f t="shared" si="1"/>
        <v>9.30565055178051</v>
      </c>
      <c r="P7">
        <f t="shared" si="1"/>
        <v>9.71111565988867</v>
      </c>
      <c r="Q7">
        <f t="shared" si="1"/>
        <v>9.99879773234045</v>
      </c>
      <c r="R7">
        <f t="shared" si="1"/>
        <v>9.90348755253613</v>
      </c>
      <c r="S7">
        <f t="shared" si="1"/>
        <v>10.3089526606443</v>
      </c>
      <c r="T7">
        <f t="shared" si="1"/>
        <v>10.5966347330961</v>
      </c>
      <c r="U7">
        <f t="shared" si="1"/>
        <v>10.4631033404716</v>
      </c>
      <c r="V7">
        <f t="shared" si="1"/>
        <v>10.8685684485797</v>
      </c>
      <c r="W7">
        <f t="shared" si="1"/>
        <v>11.1562505210315</v>
      </c>
      <c r="X7">
        <f t="shared" si="1"/>
        <v>10.8197782844103</v>
      </c>
      <c r="Y7">
        <f t="shared" si="1"/>
        <v>11.2252433925184</v>
      </c>
      <c r="Z7">
        <f t="shared" si="1"/>
        <v>11.5129254649702</v>
      </c>
      <c r="AA7">
        <f t="shared" si="1"/>
        <v>11.6082356447746</v>
      </c>
      <c r="AB7">
        <f t="shared" si="1"/>
        <v>12.0137007528827</v>
      </c>
      <c r="AC7">
        <f t="shared" si="1"/>
        <v>12.3013828253345</v>
      </c>
      <c r="AD7">
        <f t="shared" si="1"/>
        <v>13.2356920627113</v>
      </c>
      <c r="AE7">
        <f t="shared" si="1"/>
        <v>13.6411571708195</v>
      </c>
      <c r="AF7">
        <f t="shared" si="1"/>
        <v>13.9288392432713</v>
      </c>
      <c r="AG7">
        <f t="shared" si="1"/>
        <v>15.7895915839863</v>
      </c>
      <c r="AH7">
        <f t="shared" si="1"/>
        <v>16.1950566920944</v>
      </c>
      <c r="AI7">
        <f t="shared" si="1"/>
        <v>16.4827387645462</v>
      </c>
      <c r="AJ7">
        <f t="shared" si="1"/>
        <v>19.5192930326205</v>
      </c>
      <c r="AK7">
        <f t="shared" si="1"/>
        <v>19.9247581407286</v>
      </c>
      <c r="AL7">
        <f t="shared" si="1"/>
        <v>20.2124402131804</v>
      </c>
    </row>
    <row r="9" spans="3:38">
      <c r="C9">
        <f t="shared" ref="C9:AL9" si="2">D7-C7</f>
        <v>0.405465108108164</v>
      </c>
      <c r="D9">
        <f t="shared" si="2"/>
        <v>0.287682072451781</v>
      </c>
      <c r="E9">
        <f t="shared" si="2"/>
        <v>0.287682072451782</v>
      </c>
      <c r="F9">
        <f t="shared" si="2"/>
        <v>0.405465108108164</v>
      </c>
      <c r="G9">
        <f t="shared" si="2"/>
        <v>0.287682072451781</v>
      </c>
      <c r="H9">
        <f t="shared" si="2"/>
        <v>0.223143551314211</v>
      </c>
      <c r="I9">
        <f t="shared" si="2"/>
        <v>0.405465108108165</v>
      </c>
      <c r="J9">
        <f t="shared" si="2"/>
        <v>0.28768207245178</v>
      </c>
      <c r="K9">
        <f t="shared" si="2"/>
        <v>0.223143551314211</v>
      </c>
      <c r="L9">
        <f t="shared" si="2"/>
        <v>0.405465108108164</v>
      </c>
      <c r="M9">
        <f t="shared" si="2"/>
        <v>0.287682072451782</v>
      </c>
      <c r="N9">
        <f t="shared" si="2"/>
        <v>0.0953101798043257</v>
      </c>
      <c r="O9">
        <f t="shared" si="2"/>
        <v>0.405465108108164</v>
      </c>
      <c r="P9">
        <f t="shared" si="2"/>
        <v>0.287682072451782</v>
      </c>
      <c r="Q9">
        <f t="shared" si="2"/>
        <v>-0.0953101798043257</v>
      </c>
      <c r="R9">
        <f t="shared" si="2"/>
        <v>0.405465108108164</v>
      </c>
      <c r="S9">
        <f t="shared" si="2"/>
        <v>0.287682072451782</v>
      </c>
      <c r="T9">
        <f t="shared" si="2"/>
        <v>-0.133531392624523</v>
      </c>
      <c r="U9">
        <f t="shared" si="2"/>
        <v>0.405465108108164</v>
      </c>
      <c r="V9">
        <f t="shared" si="2"/>
        <v>0.287682072451782</v>
      </c>
      <c r="W9">
        <f t="shared" si="2"/>
        <v>-0.336472236621214</v>
      </c>
      <c r="X9">
        <f t="shared" si="2"/>
        <v>0.405465108108165</v>
      </c>
      <c r="Y9">
        <f t="shared" si="2"/>
        <v>0.28768207245178</v>
      </c>
      <c r="Z9">
        <f t="shared" si="2"/>
        <v>0.0953101798043257</v>
      </c>
      <c r="AA9">
        <f t="shared" si="2"/>
        <v>0.405465108108165</v>
      </c>
      <c r="AB9">
        <f t="shared" si="2"/>
        <v>0.28768207245178</v>
      </c>
      <c r="AC9">
        <f t="shared" si="2"/>
        <v>0.934309237376834</v>
      </c>
      <c r="AD9">
        <f t="shared" si="2"/>
        <v>0.405465108108164</v>
      </c>
      <c r="AE9">
        <f t="shared" si="2"/>
        <v>0.287682072451782</v>
      </c>
      <c r="AF9">
        <f t="shared" si="2"/>
        <v>1.860752340715</v>
      </c>
      <c r="AG9">
        <f t="shared" si="2"/>
        <v>0.405465108108164</v>
      </c>
      <c r="AH9">
        <f t="shared" si="2"/>
        <v>0.287682072451783</v>
      </c>
      <c r="AI9">
        <f t="shared" si="2"/>
        <v>3.03655426807424</v>
      </c>
      <c r="AJ9">
        <f t="shared" si="2"/>
        <v>0.405465108108167</v>
      </c>
      <c r="AK9">
        <f t="shared" si="2"/>
        <v>0.28768207245178</v>
      </c>
      <c r="AL9">
        <f t="shared" si="2"/>
        <v>-20.2124402131804</v>
      </c>
    </row>
    <row r="11" spans="3:38">
      <c r="C11">
        <f t="shared" ref="C11:AL11" si="3">LOG(C3,1.5)</f>
        <v>14.0672584658866</v>
      </c>
      <c r="D11">
        <f t="shared" si="3"/>
        <v>15.0672584658866</v>
      </c>
      <c r="E11">
        <f t="shared" si="3"/>
        <v>15.7767697572381</v>
      </c>
      <c r="F11">
        <f t="shared" si="3"/>
        <v>16.4862810485895</v>
      </c>
      <c r="G11">
        <f t="shared" si="3"/>
        <v>17.4862810485895</v>
      </c>
      <c r="H11">
        <f t="shared" si="3"/>
        <v>18.195792339941</v>
      </c>
      <c r="I11">
        <f t="shared" si="3"/>
        <v>18.7461320531542</v>
      </c>
      <c r="J11">
        <f t="shared" si="3"/>
        <v>19.7461320531542</v>
      </c>
      <c r="K11">
        <f t="shared" si="3"/>
        <v>20.4556433445056</v>
      </c>
      <c r="L11">
        <f t="shared" si="3"/>
        <v>21.0059830577188</v>
      </c>
      <c r="M11">
        <f t="shared" si="3"/>
        <v>22.0059830577188</v>
      </c>
      <c r="N11">
        <f t="shared" si="3"/>
        <v>22.7154943490703</v>
      </c>
      <c r="O11">
        <f t="shared" si="3"/>
        <v>22.9505581755214</v>
      </c>
      <c r="P11">
        <f t="shared" si="3"/>
        <v>23.9505581755214</v>
      </c>
      <c r="Q11">
        <f t="shared" si="3"/>
        <v>24.6600694668729</v>
      </c>
      <c r="R11">
        <f t="shared" si="3"/>
        <v>24.4250056404217</v>
      </c>
      <c r="S11">
        <f t="shared" si="3"/>
        <v>25.4250056404217</v>
      </c>
      <c r="T11">
        <f t="shared" si="3"/>
        <v>26.1345169317732</v>
      </c>
      <c r="U11">
        <f t="shared" si="3"/>
        <v>25.8051879958074</v>
      </c>
      <c r="V11">
        <f t="shared" si="3"/>
        <v>26.8051879958074</v>
      </c>
      <c r="W11">
        <f t="shared" si="3"/>
        <v>27.5146992871589</v>
      </c>
      <c r="X11">
        <f t="shared" si="3"/>
        <v>26.6848566449864</v>
      </c>
      <c r="Y11">
        <f t="shared" si="3"/>
        <v>27.6848566449864</v>
      </c>
      <c r="Z11">
        <f t="shared" si="3"/>
        <v>28.3943679363379</v>
      </c>
      <c r="AA11">
        <f t="shared" si="3"/>
        <v>28.629431762789</v>
      </c>
      <c r="AB11">
        <f t="shared" si="3"/>
        <v>29.629431762789</v>
      </c>
      <c r="AC11">
        <f t="shared" si="3"/>
        <v>30.3389430541404</v>
      </c>
      <c r="AD11">
        <f t="shared" si="3"/>
        <v>32.6432331612132</v>
      </c>
      <c r="AE11">
        <f t="shared" si="3"/>
        <v>33.6432331612132</v>
      </c>
      <c r="AF11">
        <f t="shared" si="3"/>
        <v>34.3527444525647</v>
      </c>
      <c r="AG11">
        <f t="shared" si="3"/>
        <v>38.9419243930951</v>
      </c>
      <c r="AH11">
        <f t="shared" si="3"/>
        <v>39.9419243930951</v>
      </c>
      <c r="AI11">
        <f t="shared" si="3"/>
        <v>40.6514356844466</v>
      </c>
      <c r="AJ11">
        <f t="shared" si="3"/>
        <v>48.140499989492</v>
      </c>
      <c r="AK11">
        <f t="shared" si="3"/>
        <v>49.140499989492</v>
      </c>
      <c r="AL11">
        <f t="shared" si="3"/>
        <v>49.8500112808435</v>
      </c>
    </row>
    <row r="17" spans="3:38">
      <c r="C17">
        <v>300</v>
      </c>
      <c r="D17">
        <f>C17*1.5</f>
        <v>450</v>
      </c>
      <c r="E17">
        <f>C17*2</f>
        <v>600</v>
      </c>
      <c r="F17">
        <v>900</v>
      </c>
      <c r="G17">
        <f>F17*1.5</f>
        <v>1350</v>
      </c>
      <c r="H17">
        <f>F17*2</f>
        <v>1800</v>
      </c>
      <c r="I17">
        <v>2600</v>
      </c>
      <c r="J17">
        <f>I17*1.5</f>
        <v>3900</v>
      </c>
      <c r="K17">
        <f>I17*2</f>
        <v>5200</v>
      </c>
      <c r="L17">
        <v>8000</v>
      </c>
      <c r="M17">
        <f>L17*1.5</f>
        <v>12000</v>
      </c>
      <c r="N17">
        <f>L17*2</f>
        <v>16000</v>
      </c>
      <c r="O17">
        <v>20000</v>
      </c>
      <c r="P17">
        <f>O17*1.5</f>
        <v>30000</v>
      </c>
      <c r="Q17">
        <f>O17*2</f>
        <v>40000</v>
      </c>
      <c r="R17">
        <v>36000</v>
      </c>
      <c r="S17">
        <f>R17*1.5</f>
        <v>54000</v>
      </c>
      <c r="T17">
        <f>R17*2</f>
        <v>72000</v>
      </c>
      <c r="U17">
        <v>60000</v>
      </c>
      <c r="V17">
        <f>U17*1.5</f>
        <v>90000</v>
      </c>
      <c r="W17">
        <f>U17*2</f>
        <v>120000</v>
      </c>
      <c r="X17">
        <v>100000</v>
      </c>
      <c r="Y17">
        <f>X17*1.5</f>
        <v>150000</v>
      </c>
      <c r="Z17">
        <f>X17*2</f>
        <v>200000</v>
      </c>
      <c r="AA17">
        <v>230000</v>
      </c>
      <c r="AB17">
        <f>AA17*1.5</f>
        <v>345000</v>
      </c>
      <c r="AC17">
        <f>AA17*2</f>
        <v>460000</v>
      </c>
      <c r="AD17">
        <v>1100000</v>
      </c>
      <c r="AE17">
        <f>AD17*1.5</f>
        <v>1650000</v>
      </c>
      <c r="AF17">
        <f>AD17*2</f>
        <v>2200000</v>
      </c>
      <c r="AG17">
        <v>14000000</v>
      </c>
      <c r="AH17">
        <f>AG17*1.5</f>
        <v>21000000</v>
      </c>
      <c r="AI17">
        <f>AG17*2</f>
        <v>28000000</v>
      </c>
      <c r="AJ17">
        <v>60000000</v>
      </c>
      <c r="AK17">
        <f>AJ17*1.5</f>
        <v>90000000</v>
      </c>
      <c r="AL17">
        <f>AJ17*2</f>
        <v>120000000</v>
      </c>
    </row>
    <row r="21" spans="3:9">
      <c r="C21">
        <v>200</v>
      </c>
      <c r="D21">
        <v>300</v>
      </c>
      <c r="E21">
        <v>500</v>
      </c>
      <c r="F21">
        <v>800</v>
      </c>
      <c r="G21">
        <v>1000</v>
      </c>
      <c r="H21">
        <v>1400</v>
      </c>
      <c r="I21">
        <v>2000</v>
      </c>
    </row>
    <row r="23" spans="3:9">
      <c r="C23">
        <v>11</v>
      </c>
      <c r="D23">
        <v>12</v>
      </c>
      <c r="E23">
        <v>13</v>
      </c>
      <c r="F23">
        <v>14</v>
      </c>
      <c r="G23">
        <v>15</v>
      </c>
      <c r="H23">
        <v>16</v>
      </c>
      <c r="I23">
        <v>17</v>
      </c>
    </row>
    <row r="25" spans="3:9">
      <c r="C25">
        <f t="shared" ref="C25:I25" si="4">LN(C21)</f>
        <v>5.29831736654804</v>
      </c>
      <c r="D25">
        <f t="shared" si="4"/>
        <v>5.7037824746562</v>
      </c>
      <c r="E25">
        <f t="shared" si="4"/>
        <v>6.21460809842219</v>
      </c>
      <c r="F25">
        <f t="shared" si="4"/>
        <v>6.68461172766793</v>
      </c>
      <c r="G25">
        <f t="shared" si="4"/>
        <v>6.90775527898214</v>
      </c>
      <c r="H25">
        <f t="shared" si="4"/>
        <v>7.24422751560335</v>
      </c>
      <c r="I25">
        <f t="shared" si="4"/>
        <v>7.60090245954208</v>
      </c>
    </row>
    <row r="27" spans="3:3">
      <c r="C27">
        <f>I25-C25</f>
        <v>2.30258509299405</v>
      </c>
    </row>
    <row r="28" spans="3:3">
      <c r="C28">
        <f>C27/7</f>
        <v>0.328940727570578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hidden_score_curve</vt:lpstr>
      <vt:lpstr>gold_reward_curve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hcm-b0451</cp:lastModifiedBy>
  <dcterms:created xsi:type="dcterms:W3CDTF">2026-08-08T04:20:00Z</dcterms:created>
  <dcterms:modified xsi:type="dcterms:W3CDTF">2026-08-17T16:06:19Z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4CB8C74977816FE4C47C746AD0AE41EF_42</vt:lpwstr>
  </property>
  <property fmtid="{D5CDD505-2E9C-101B-9397-08002B2CF9AE}" pid="3" name="KSOProductBuildVer">
    <vt:lpwstr>2052-6.1.0.8274</vt:lpwstr>
  </property>
</Properties>
</file>