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<sst xmlns="http://schemas.openxmlformats.org/spreadsheetml/2006/main" count="69" uniqueCount="51">
  <si>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</si>
  <si>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</si>
  <si>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</si>
  <si>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</si>
  <si>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</si>
  <si>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</si>
  <si>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</si>
  <si>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</si>
  <si>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</si>
  <si>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</si>
  <si>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</si>
  <si>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</si>
  <si>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</si>
  <si>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</si>
  <si>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</si>
  <si>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</si>
  <si>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</si>
  <si>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</si>
  <si>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</si>
  <si>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</si>
  <si>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</si>
  <si>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</si>
  <si>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</si>
  <si>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</si>
  <si>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</si>
  <si>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</si>
  <si>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</si>
  <si>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</si>
  <si>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</si>
  <si>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target_score_0</t>
  </si>
  <si>
    <t>TargetScore</t>
  </si>
  <si>
    <t>target_score_1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</si>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</sst>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abSelected="1" topLeftCell="F1" workbookViewId="0">
      <selection activeCell="J9" sqref="J9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2">
      <c r="B4" s="1" t="s">
        <v>29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0.5</v>
      </c>
      <c r="K4" s="1">
        <v>10</v>
      </c>
      <c r="N4" s="1">
        <f>ROUNDUP(EXP($H4+$D4*$I4+$J4*N$3),-1)</f>
        <v>60</v>
      </c>
      <c r="O4" s="1">
        <f t="shared" ref="O4:V4" si="0">ROUNDUP(EXP($H4+$D4*$I4+$J4*O$3),-1)</f>
        <v>100</v>
      </c>
      <c r="P4" s="1">
        <f t="shared" si="0"/>
        <v>150</v>
      </c>
      <c r="Q4" s="1">
        <f t="shared" si="0"/>
        <v>250</v>
      </c>
      <c r="R4" s="1">
        <f t="shared" si="0"/>
        <v>410</v>
      </c>
      <c r="S4" s="1">
        <f t="shared" si="0"/>
        <v>670</v>
      </c>
      <c r="T4" s="1">
        <f t="shared" si="0"/>
        <v>1100</v>
      </c>
      <c r="U4" s="1">
        <f t="shared" si="0"/>
        <v>1810</v>
      </c>
      <c r="V4" s="1">
        <f t="shared" si="0"/>
        <v>2330</v>
      </c>
    </row>
    <row r="5" spans="2:27">
      <c r="B5" s="1" t="s">
        <v>31</v>
      </c>
      <c r="C5" s="1" t="s">
        <v>30</v>
      </c>
      <c r="D5" s="1">
        <v>1</v>
      </c>
      <c r="E5" s="1">
        <v>0</v>
      </c>
      <c r="F5" s="1">
        <v>0</v>
      </c>
      <c r="G5" s="1">
        <v>0</v>
      </c>
      <c r="H5" s="1">
        <v>5.5</v>
      </c>
      <c r="I5" s="1">
        <v>0</v>
      </c>
      <c r="J5" s="1">
        <v>0.35</v>
      </c>
      <c r="K5" s="1">
        <v>100</v>
      </c>
      <c r="N5" s="1">
        <f>ROUNDUP(EXP($H5+$D5*$I5+$J5*N$3),-2)</f>
        <v>300</v>
      </c>
      <c r="O5" s="1">
        <f t="shared" ref="O5:V5" si="1">ROUNDUP(EXP($H5+$D5*$I5+$J5*O$3),-2)</f>
        <v>400</v>
      </c>
      <c r="P5" s="1">
        <f t="shared" si="1"/>
        <v>500</v>
      </c>
      <c r="Q5" s="1">
        <f t="shared" si="1"/>
        <v>700</v>
      </c>
      <c r="R5" s="1">
        <f t="shared" si="1"/>
        <v>1000</v>
      </c>
      <c r="S5" s="1">
        <f t="shared" si="1"/>
        <v>1500</v>
      </c>
      <c r="T5" s="1">
        <f t="shared" si="1"/>
        <v>2000</v>
      </c>
      <c r="U5" s="1">
        <f t="shared" si="1"/>
        <v>2900</v>
      </c>
      <c r="V5" s="1">
        <f t="shared" si="1"/>
        <v>3400</v>
      </c>
      <c r="Y5" s="1">
        <v>5.5</v>
      </c>
      <c r="Z5" s="1">
        <v>0</v>
      </c>
      <c r="AA5" s="1">
        <v>0.4</v>
      </c>
    </row>
    <row r="6" spans="2:27">
      <c r="B6" s="1" t="s">
        <v>32</v>
      </c>
      <c r="C6" s="1" t="s">
        <v>30</v>
      </c>
      <c r="D6" s="1">
        <v>2</v>
      </c>
      <c r="E6" s="1">
        <v>0</v>
      </c>
      <c r="F6" s="1">
        <v>0</v>
      </c>
      <c r="G6" s="1">
        <v>0</v>
      </c>
      <c r="H6" s="1">
        <v>7.5</v>
      </c>
      <c r="I6" s="1">
        <v>0</v>
      </c>
      <c r="J6" s="1">
        <v>0.35</v>
      </c>
      <c r="K6" s="1">
        <v>1000</v>
      </c>
      <c r="N6" s="1">
        <f>ROUNDUP(EXP($H6+$D6*$I6+$J6*N$3),-3)</f>
        <v>2000</v>
      </c>
      <c r="O6" s="1">
        <f t="shared" ref="O6:V6" si="2">ROUNDUP(EXP($H6+$D6*$I6+$J6*O$3),-3)</f>
        <v>3000</v>
      </c>
      <c r="P6" s="1">
        <f t="shared" si="2"/>
        <v>4000</v>
      </c>
      <c r="Q6" s="1">
        <f t="shared" si="2"/>
        <v>6000</v>
      </c>
      <c r="R6" s="1">
        <f t="shared" si="2"/>
        <v>8000</v>
      </c>
      <c r="S6" s="1">
        <f t="shared" si="2"/>
        <v>11000</v>
      </c>
      <c r="T6" s="1">
        <f t="shared" si="2"/>
        <v>15000</v>
      </c>
      <c r="U6" s="1">
        <f t="shared" si="2"/>
        <v>21000</v>
      </c>
      <c r="V6" s="1">
        <f t="shared" si="2"/>
        <v>25000</v>
      </c>
      <c r="Y6" s="1">
        <v>7.7</v>
      </c>
      <c r="Z6" s="1">
        <v>0</v>
      </c>
      <c r="AA6" s="1">
        <v>0.45</v>
      </c>
    </row>
    <row r="7" spans="2:27">
      <c r="B7" s="1" t="s">
        <v>33</v>
      </c>
      <c r="C7" s="1" t="s">
        <v>30</v>
      </c>
      <c r="D7" s="1">
        <v>3</v>
      </c>
      <c r="E7" s="1">
        <v>0</v>
      </c>
      <c r="F7" s="1">
        <v>0</v>
      </c>
      <c r="G7" s="1">
        <v>0</v>
      </c>
      <c r="H7" s="1">
        <v>9.5</v>
      </c>
      <c r="I7" s="1">
        <v>0</v>
      </c>
      <c r="J7" s="1">
        <v>0.4</v>
      </c>
      <c r="K7" s="1">
        <v>10000</v>
      </c>
      <c r="N7" s="1">
        <f>ROUNDUP(EXP($H7+$D7*$I7+$J7*N$3),-4)</f>
        <v>20000</v>
      </c>
      <c r="O7" s="1">
        <f t="shared" ref="O7:V7" si="3">ROUNDUP(EXP($H7+$D7*$I7+$J7*O$3),-4)</f>
        <v>20000</v>
      </c>
      <c r="P7" s="1">
        <f t="shared" si="3"/>
        <v>30000</v>
      </c>
      <c r="Q7" s="1">
        <f t="shared" si="3"/>
        <v>50000</v>
      </c>
      <c r="R7" s="1">
        <f t="shared" si="3"/>
        <v>70000</v>
      </c>
      <c r="S7" s="1">
        <f t="shared" si="3"/>
        <v>100000</v>
      </c>
      <c r="T7" s="1">
        <f t="shared" si="3"/>
        <v>150000</v>
      </c>
      <c r="U7" s="1">
        <f t="shared" si="3"/>
        <v>220000</v>
      </c>
      <c r="V7" s="1">
        <f t="shared" si="3"/>
        <v>270000</v>
      </c>
      <c r="Y7" s="1">
        <v>10.6</v>
      </c>
      <c r="Z7" s="1">
        <v>0</v>
      </c>
      <c r="AA7" s="1">
        <v>0.452</v>
      </c>
    </row>
    <row r="8" spans="2:27">
      <c r="B8" s="1" t="s">
        <v>34</v>
      </c>
      <c r="C8" s="1" t="s">
        <v>30</v>
      </c>
      <c r="D8" s="1">
        <v>4</v>
      </c>
      <c r="E8" s="1">
        <v>0</v>
      </c>
      <c r="F8" s="1">
        <v>0</v>
      </c>
      <c r="G8" s="1">
        <v>0</v>
      </c>
      <c r="H8" s="1">
        <v>12</v>
      </c>
      <c r="I8" s="1">
        <v>0</v>
      </c>
      <c r="J8" s="1">
        <v>0.35</v>
      </c>
      <c r="K8" s="1">
        <v>100000</v>
      </c>
      <c r="N8" s="1">
        <f>ROUND(EXP($H8+$D8*$I8+$J8*N$3),-5)</f>
        <v>200000</v>
      </c>
      <c r="O8" s="1">
        <f t="shared" ref="O8:V8" si="4">ROUND(EXP($H8+$D8*$I8+$J8*O$3),-5)</f>
        <v>200000</v>
      </c>
      <c r="P8" s="1">
        <f t="shared" si="4"/>
        <v>300000</v>
      </c>
      <c r="Q8" s="1">
        <f t="shared" si="4"/>
        <v>500000</v>
      </c>
      <c r="R8" s="1">
        <f t="shared" si="4"/>
        <v>700000</v>
      </c>
      <c r="S8" s="1">
        <f t="shared" si="4"/>
        <v>900000</v>
      </c>
      <c r="T8" s="1">
        <f t="shared" si="4"/>
        <v>1300000</v>
      </c>
      <c r="U8" s="1">
        <f t="shared" si="4"/>
        <v>1900000</v>
      </c>
      <c r="V8" s="1">
        <f t="shared" si="4"/>
        <v>2200000</v>
      </c>
      <c r="Y8" s="1">
        <v>13.6</v>
      </c>
      <c r="Z8" s="1">
        <v>0</v>
      </c>
      <c r="AA8" s="1">
        <v>0.428</v>
      </c>
    </row>
    <row r="9" spans="2:11">
      <c r="B9" s="1" t="s">
        <v>35</v>
      </c>
      <c r="C9" s="1" t="s">
        <v>36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10</v>
      </c>
      <c r="F11" s="1">
        <v>10</v>
      </c>
      <c r="G11" s="1">
        <v>1</v>
      </c>
      <c r="H11" s="1">
        <v>0</v>
      </c>
      <c r="I11" s="1">
        <v>0</v>
      </c>
      <c r="J11" s="1">
        <v>0</v>
      </c>
      <c r="K11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A1" sqref="A1"/>
    </sheetView>
  </sheetViews>
  <sheetFormatPr defaultColWidth="9" defaultRowHeight="16.8" outlineLevelRow="6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>
      <c r="A2" s="1" t="s">
        <v>11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50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  <row r="7" spans="8:17">
      <c r="H7" s="1">
        <v>4</v>
      </c>
      <c r="I7" s="1">
        <f>$C$4+$D$4*$H7+I$3*$E$4</f>
        <v>60</v>
      </c>
      <c r="J7" s="1">
        <f>$C$4+$D$4*$H7+J$3*$E$4</f>
        <v>63</v>
      </c>
      <c r="K7" s="1">
        <f>$C$4+$D$4*$H7+K$3*$E$4</f>
        <v>66</v>
      </c>
      <c r="L7" s="1">
        <f>$C$4+$D$4*$H7+L$3*$E$4</f>
        <v>69</v>
      </c>
      <c r="M7" s="1">
        <f>$C$4+$D$4*$H7+M$3*$E$4</f>
        <v>72</v>
      </c>
      <c r="N7" s="1">
        <f>$C$4+$D$4*$H7+N$3*$E$4</f>
        <v>75</v>
      </c>
      <c r="O7" s="1">
        <f>$C$4+$D$4*$H7+O$3*$E$4</f>
        <v>78</v>
      </c>
      <c r="P7" s="1">
        <f>$C$4+$D$4*$H7+P$3*$E$4</f>
        <v>81</v>
      </c>
      <c r="Q7" s="1">
        <f>$C$4+$D$4*$H7+Q$3*$E$4</f>
        <v>82.5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workbookViewId="0">
      <selection activeCell="A1" sqref="A1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2026-08-07T04:20:00Z</dcterms:created>
  <dcterms:modified xsi:type="dcterms:W3CDTF">2026-08-07T15:35:27Z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