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<sst xmlns="http://schemas.openxmlformats.org/spreadsheetml/2006/main" count="69" uniqueCount="51">
  <si>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</si>
  <si>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</si>
  <si>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</si>
  <si>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</si>
  <si>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</si>
  <si>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</si>
  <si>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</si>
  <si>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</si>
  <si>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</si>
  <si>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</si>
  <si>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</si>
  <si>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</si>
  <si>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</si>
  <si>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</si>
  <si>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</si>
  <si>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</si>
  <si>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</si>
  <si>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</si>
  <si>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目标分指数公式常量 k0。</t>
  </si>
  <si>
    <t>目标分指数公式kWeek。</t>
  </si>
  <si>
    <t>目标分指数公式 kDay。</t>
  </si>
  <si>
    <t>向上取整粒度。</t>
  </si>
  <si>
    <t>目标分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</si>
  <si>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</si>
  <si>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</si>
  <si>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</si>
  <si>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</si>
  <si>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</si>
  <si>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</si>
  <si>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target_score_0</t>
  </si>
  <si>
    <t>TargetScore</t>
  </si>
  <si>
    <t>target_score_1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</si>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</sst>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tabSelected="1" zoomScale="85" zoomScaleNormal="85" topLeftCell="C1" workbookViewId="0">
      <selection activeCell="H9" sqref="H9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2">
      <c r="B4" s="1" t="s">
        <v>29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0.5</v>
      </c>
      <c r="K4" s="1">
        <v>10</v>
      </c>
      <c r="N4" s="1">
        <f>ROUNDUP(EXP($H4+$D4*$I4+$J4*N$3),-1)</f>
        <v>60</v>
      </c>
      <c r="O4" s="1">
        <f t="shared" ref="O4:V4" si="0">ROUNDUP(EXP($H4+$D4*$I4+$J4*O$3),-1)</f>
        <v>100</v>
      </c>
      <c r="P4" s="1">
        <f t="shared" si="0"/>
        <v>150</v>
      </c>
      <c r="Q4" s="1">
        <f t="shared" si="0"/>
        <v>250</v>
      </c>
      <c r="R4" s="1">
        <f t="shared" si="0"/>
        <v>410</v>
      </c>
      <c r="S4" s="1">
        <f t="shared" si="0"/>
        <v>670</v>
      </c>
      <c r="T4" s="1">
        <f t="shared" si="0"/>
        <v>1100</v>
      </c>
      <c r="U4" s="1">
        <f t="shared" si="0"/>
        <v>1810</v>
      </c>
      <c r="V4" s="1">
        <f t="shared" si="0"/>
        <v>2330</v>
      </c>
    </row>
    <row r="5" spans="2:22">
      <c r="B5" s="1" t="s">
        <v>31</v>
      </c>
      <c r="C5" s="1" t="s">
        <v>30</v>
      </c>
      <c r="D5" s="1">
        <v>1</v>
      </c>
      <c r="E5" s="1">
        <v>0</v>
      </c>
      <c r="F5" s="1">
        <v>0</v>
      </c>
      <c r="G5" s="1">
        <v>0</v>
      </c>
      <c r="H5" s="1">
        <v>5.5</v>
      </c>
      <c r="I5" s="1">
        <v>0</v>
      </c>
      <c r="J5" s="1">
        <v>0.33</v>
      </c>
      <c r="K5" s="1">
        <v>100</v>
      </c>
      <c r="N5" s="1">
        <f>ROUNDUP(EXP($H5+$D5*$I5+$J5*N$3),-2)</f>
        <v>300</v>
      </c>
      <c r="O5" s="1">
        <f t="shared" ref="O5:V5" si="1">ROUNDUP(EXP($H5+$D5*$I5+$J5*O$3),-2)</f>
        <v>400</v>
      </c>
      <c r="P5" s="1">
        <f t="shared" si="1"/>
        <v>500</v>
      </c>
      <c r="Q5" s="1">
        <f t="shared" si="1"/>
        <v>700</v>
      </c>
      <c r="R5" s="1">
        <f t="shared" si="1"/>
        <v>1000</v>
      </c>
      <c r="S5" s="1">
        <f t="shared" si="1"/>
        <v>1300</v>
      </c>
      <c r="T5" s="1">
        <f t="shared" si="1"/>
        <v>1800</v>
      </c>
      <c r="U5" s="1">
        <f t="shared" si="1"/>
        <v>2500</v>
      </c>
      <c r="V5" s="1">
        <f t="shared" si="1"/>
        <v>3000</v>
      </c>
    </row>
    <row r="6" spans="2:22">
      <c r="B6" s="1" t="s">
        <v>32</v>
      </c>
      <c r="C6" s="1" t="s">
        <v>30</v>
      </c>
      <c r="D6" s="1">
        <v>2</v>
      </c>
      <c r="E6" s="1">
        <v>0</v>
      </c>
      <c r="F6" s="1">
        <v>0</v>
      </c>
      <c r="G6" s="1">
        <v>0</v>
      </c>
      <c r="H6" s="1">
        <v>7.5</v>
      </c>
      <c r="I6" s="1">
        <v>0</v>
      </c>
      <c r="J6" s="1">
        <v>0.375</v>
      </c>
      <c r="K6" s="1">
        <v>1000</v>
      </c>
      <c r="N6" s="1">
        <f>ROUNDUP(EXP($H6+$D6*$I6+$J6*N$3),-3)</f>
        <v>2000</v>
      </c>
      <c r="O6" s="1">
        <f t="shared" ref="O6:V6" si="2">ROUNDUP(EXP($H6+$D6*$I6+$J6*O$3),-3)</f>
        <v>3000</v>
      </c>
      <c r="P6" s="1">
        <f t="shared" si="2"/>
        <v>4000</v>
      </c>
      <c r="Q6" s="1">
        <f t="shared" si="2"/>
        <v>6000</v>
      </c>
      <c r="R6" s="1">
        <f t="shared" si="2"/>
        <v>9000</v>
      </c>
      <c r="S6" s="1">
        <f t="shared" si="2"/>
        <v>12000</v>
      </c>
      <c r="T6" s="1">
        <f t="shared" si="2"/>
        <v>18000</v>
      </c>
      <c r="U6" s="1">
        <f t="shared" si="2"/>
        <v>25000</v>
      </c>
      <c r="V6" s="1">
        <f t="shared" si="2"/>
        <v>31000</v>
      </c>
    </row>
    <row r="7" spans="2:22">
      <c r="B7" s="1" t="s">
        <v>33</v>
      </c>
      <c r="C7" s="1" t="s">
        <v>30</v>
      </c>
      <c r="D7" s="1">
        <v>3</v>
      </c>
      <c r="E7" s="1">
        <v>0</v>
      </c>
      <c r="F7" s="1">
        <v>0</v>
      </c>
      <c r="G7" s="1">
        <v>0</v>
      </c>
      <c r="H7" s="1">
        <v>10</v>
      </c>
      <c r="I7" s="1">
        <v>0</v>
      </c>
      <c r="J7" s="1">
        <v>0.373</v>
      </c>
      <c r="K7" s="1">
        <v>10000</v>
      </c>
      <c r="N7" s="1">
        <f>ROUNDUP(EXP($H7+$D7*$I7+$J7*N$3),-4)</f>
        <v>30000</v>
      </c>
      <c r="O7" s="1">
        <f t="shared" ref="O7:V7" si="3">ROUNDUP(EXP($H7+$D7*$I7+$J7*O$3),-4)</f>
        <v>40000</v>
      </c>
      <c r="P7" s="1">
        <f t="shared" si="3"/>
        <v>50000</v>
      </c>
      <c r="Q7" s="1">
        <f t="shared" si="3"/>
        <v>70000</v>
      </c>
      <c r="R7" s="1">
        <f t="shared" si="3"/>
        <v>100000</v>
      </c>
      <c r="S7" s="1">
        <f t="shared" si="3"/>
        <v>150000</v>
      </c>
      <c r="T7" s="1">
        <f t="shared" si="3"/>
        <v>210000</v>
      </c>
      <c r="U7" s="1">
        <f t="shared" si="3"/>
        <v>300000</v>
      </c>
      <c r="V7" s="1">
        <f t="shared" si="3"/>
        <v>370000</v>
      </c>
    </row>
    <row r="8" spans="2:22">
      <c r="B8" s="1" t="s">
        <v>34</v>
      </c>
      <c r="C8" s="1" t="s">
        <v>30</v>
      </c>
      <c r="D8" s="1">
        <v>4</v>
      </c>
      <c r="E8" s="1">
        <v>0</v>
      </c>
      <c r="F8" s="1">
        <v>0</v>
      </c>
      <c r="G8" s="1">
        <v>0</v>
      </c>
      <c r="H8" s="1">
        <v>12</v>
      </c>
      <c r="I8" s="1">
        <v>0</v>
      </c>
      <c r="J8" s="1">
        <v>0.324</v>
      </c>
      <c r="K8" s="1">
        <v>100000</v>
      </c>
      <c r="N8" s="1">
        <f>ROUND(EXP($H8+$D8*$I8+$J8*N$3),-5)</f>
        <v>200000</v>
      </c>
      <c r="O8" s="1">
        <f t="shared" ref="O8:V8" si="4">ROUND(EXP($H8+$D8*$I8+$J8*O$3),-5)</f>
        <v>200000</v>
      </c>
      <c r="P8" s="1">
        <f t="shared" si="4"/>
        <v>300000</v>
      </c>
      <c r="Q8" s="1">
        <f t="shared" si="4"/>
        <v>400000</v>
      </c>
      <c r="R8" s="1">
        <f t="shared" si="4"/>
        <v>600000</v>
      </c>
      <c r="S8" s="1">
        <f t="shared" si="4"/>
        <v>800000</v>
      </c>
      <c r="T8" s="1">
        <f t="shared" si="4"/>
        <v>1100000</v>
      </c>
      <c r="U8" s="1">
        <f t="shared" si="4"/>
        <v>1600000</v>
      </c>
      <c r="V8" s="1">
        <f t="shared" si="4"/>
        <v>1800000</v>
      </c>
    </row>
    <row r="9" spans="2:11">
      <c r="B9" s="1" t="s">
        <v>35</v>
      </c>
      <c r="C9" s="1" t="s">
        <v>36</v>
      </c>
      <c r="E9" s="1">
        <v>10</v>
      </c>
      <c r="F9" s="1">
        <v>10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37</v>
      </c>
      <c r="C10" s="1" t="s">
        <v>38</v>
      </c>
      <c r="E10" s="1">
        <v>10</v>
      </c>
      <c r="F10" s="1">
        <v>10</v>
      </c>
      <c r="G10" s="1">
        <v>1</v>
      </c>
      <c r="H10" s="1">
        <v>0</v>
      </c>
      <c r="I10" s="1">
        <v>0</v>
      </c>
      <c r="J10" s="1">
        <v>0</v>
      </c>
      <c r="K10" s="1">
        <v>1</v>
      </c>
    </row>
    <row r="11" spans="2:11">
      <c r="B11" s="1" t="s">
        <v>39</v>
      </c>
      <c r="C11" s="1" t="s">
        <v>40</v>
      </c>
      <c r="E11" s="1">
        <v>10</v>
      </c>
      <c r="F11" s="1">
        <v>10</v>
      </c>
      <c r="G11" s="1">
        <v>1</v>
      </c>
      <c r="H11" s="1">
        <v>0</v>
      </c>
      <c r="I11" s="1">
        <v>0</v>
      </c>
      <c r="J11" s="1">
        <v>0</v>
      </c>
      <c r="K11" s="1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D38" sqref="D38"/>
    </sheetView>
  </sheetViews>
  <sheetFormatPr defaultColWidth="9" defaultRowHeight="16.8" outlineLevelRow="6"/>
  <cols>
    <col min="1" max="1" width="9" style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/>
  </cols>
  <sheetData>
    <row r="1" spans="1:6">
      <c r="A1" s="1" t="s">
        <v>0</v>
      </c>
      <c r="B1" s="1" t="s">
        <v>1</v>
      </c>
      <c r="C1" s="1" t="s">
        <v>41</v>
      </c>
      <c r="D1" s="1" t="s">
        <v>42</v>
      </c>
      <c r="E1" s="1" t="s">
        <v>43</v>
      </c>
      <c r="F1" s="1" t="s">
        <v>44</v>
      </c>
    </row>
    <row r="2" spans="1:6">
      <c r="A2" s="1" t="s">
        <v>11</v>
      </c>
      <c r="B2" s="1" t="s">
        <v>45</v>
      </c>
      <c r="C2" s="1" t="s">
        <v>46</v>
      </c>
      <c r="D2" s="1" t="s">
        <v>47</v>
      </c>
      <c r="E2" s="1" t="s">
        <v>48</v>
      </c>
      <c r="F2" s="1" t="s">
        <v>49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50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 t="shared" ref="J4:Q4" si="0">$C$4+$D$4*$H4+J$3*$E$4</f>
        <v>33</v>
      </c>
      <c r="K4" s="1">
        <f t="shared" si="0"/>
        <v>36</v>
      </c>
      <c r="L4" s="1">
        <f t="shared" si="0"/>
        <v>39</v>
      </c>
      <c r="M4" s="1">
        <f t="shared" si="0"/>
        <v>42</v>
      </c>
      <c r="N4" s="1">
        <f t="shared" si="0"/>
        <v>45</v>
      </c>
      <c r="O4" s="1">
        <f t="shared" si="0"/>
        <v>48</v>
      </c>
      <c r="P4" s="1">
        <f t="shared" si="0"/>
        <v>51</v>
      </c>
      <c r="Q4" s="1">
        <f t="shared" si="0"/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  <row r="7" spans="8:17">
      <c r="H7" s="1">
        <v>4</v>
      </c>
      <c r="I7" s="1">
        <f>$C$4+$D$4*$H7+I$3*$E$4</f>
        <v>60</v>
      </c>
      <c r="J7" s="1">
        <f>$C$4+$D$4*$H7+J$3*$E$4</f>
        <v>63</v>
      </c>
      <c r="K7" s="1">
        <f>$C$4+$D$4*$H7+K$3*$E$4</f>
        <v>66</v>
      </c>
      <c r="L7" s="1">
        <f>$C$4+$D$4*$H7+L$3*$E$4</f>
        <v>69</v>
      </c>
      <c r="M7" s="1">
        <f>$C$4+$D$4*$H7+M$3*$E$4</f>
        <v>72</v>
      </c>
      <c r="N7" s="1">
        <f>$C$4+$D$4*$H7+N$3*$E$4</f>
        <v>75</v>
      </c>
      <c r="O7" s="1">
        <f>$C$4+$D$4*$H7+O$3*$E$4</f>
        <v>78</v>
      </c>
      <c r="P7" s="1">
        <f>$C$4+$D$4*$H7+P$3*$E$4</f>
        <v>81</v>
      </c>
      <c r="Q7" s="1">
        <f>$C$4+$D$4*$H7+Q$3*$E$4</f>
        <v>82.5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B1" workbookViewId="0">
      <selection activeCell="J7" sqref="J7:Q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2026-07-05T17:13:00Z</dcterms:created>
  <dcterms:modified xsi:type="dcterms:W3CDTF">2026-07-29T17:19:38Z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FF214AD1DC21AB2DD355586ABE67FE25_42</vt:lpwstr>
  </property>
  <property fmtid="{D5CDD505-2E9C-101B-9397-08002B2CF9AE}" pid="3" name="KSOProductBuildVer">
    <vt:lpwstr>2052-6.1.0.8274</vt:lpwstr>
  </property>
</Properties>
</file>