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3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<sst xmlns="http://schemas.openxmlformats.org/spreadsheetml/2006/main" count="110" uniqueCount="73">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</sst>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opLeftCell="F1" workbookViewId="0">
      <selection activeCell="J4" sqref="J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0.4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500</v>
      </c>
      <c r="Q4" s="1">
        <f>ROUNDUP(EXP($H4+$D4*$I4+$J4*Q$3),-2)</f>
        <v>700</v>
      </c>
      <c r="R4" s="1">
        <f>ROUNDUP(EXP($H4+$D4*$I4+$J4*R$3),-2)</f>
        <v>900</v>
      </c>
      <c r="S4" s="1">
        <f>ROUNDUP(EXP($H4+$D4*$I4+$J4*S$3),-2)</f>
        <v>1400</v>
      </c>
      <c r="T4" s="1">
        <f>ROUNDUP(EXP($H4+$D4*$I4+$J4*T$3),-2)</f>
        <v>2000</v>
      </c>
      <c r="U4" s="1">
        <f>ROUNDUP(EXP($H4+$D4*$I4+$J4*U$3),-2)</f>
        <v>3000</v>
      </c>
      <c r="V4" s="1">
        <f>ROUNDUP(EXP($H4+$D4*$I4+$J4*V$3),-2)</f>
        <v>3700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0.403</v>
      </c>
      <c r="K5" s="1">
        <v>1000</v>
      </c>
      <c r="N5" s="1">
        <f>ROUNDUP(EXP($H5+$D5*$I5+$J5*N$3),-3)</f>
        <v>4000</v>
      </c>
      <c r="O5" s="1">
        <f>ROUNDUP(EXP($H5+$D5*$I5+$J5*O$3),-3)</f>
        <v>6000</v>
      </c>
      <c r="P5" s="1">
        <f>ROUNDUP(EXP($H5+$D5*$I5+$J5*P$3),-3)</f>
        <v>9000</v>
      </c>
      <c r="Q5" s="1">
        <f>ROUNDUP(EXP($H5+$D5*$I5+$J5*Q$3),-3)</f>
        <v>13000</v>
      </c>
      <c r="R5" s="1">
        <f>ROUNDUP(EXP($H5+$D5*$I5+$J5*R$3),-3)</f>
        <v>19000</v>
      </c>
      <c r="S5" s="1">
        <f>ROUNDUP(EXP($H5+$D5*$I5+$J5*S$3),-3)</f>
        <v>28000</v>
      </c>
      <c r="T5" s="1">
        <f>ROUNDUP(EXP($H5+$D5*$I5+$J5*T$3),-3)</f>
        <v>41000</v>
      </c>
      <c r="U5" s="1">
        <f>ROUNDUP(EXP($H5+$D5*$I5+$J5*U$3),-3)</f>
        <v>62000</v>
      </c>
      <c r="V5" s="1">
        <f>ROUNDUP(EXP($H5+$D5*$I5+$J5*V$3),-3)</f>
        <v>75000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</v>
      </c>
      <c r="I6" s="1">
        <v>0</v>
      </c>
      <c r="J6" s="1">
        <v>0.375</v>
      </c>
      <c r="K6" s="1">
        <v>10000</v>
      </c>
      <c r="N6" s="1">
        <f>ROUNDUP(EXP($H6+$D6*$I6+$J6*N$3),-4)</f>
        <v>60000</v>
      </c>
      <c r="O6" s="1">
        <f>ROUNDUP(EXP($H6+$D6*$I6+$J6*O$3),-4)</f>
        <v>90000</v>
      </c>
      <c r="P6" s="1">
        <f>ROUNDUP(EXP($H6+$D6*$I6+$J6*P$3),-4)</f>
        <v>130000</v>
      </c>
      <c r="Q6" s="1">
        <f>ROUNDUP(EXP($H6+$D6*$I6+$J6*Q$3),-4)</f>
        <v>190000</v>
      </c>
      <c r="R6" s="1">
        <f>ROUNDUP(EXP($H6+$D6*$I6+$J6*R$3),-4)</f>
        <v>270000</v>
      </c>
      <c r="S6" s="1">
        <f>ROUNDUP(EXP($H6+$D6*$I6+$J6*S$3),-4)</f>
        <v>400000</v>
      </c>
      <c r="T6" s="1">
        <f>ROUNDUP(EXP($H6+$D6*$I6+$J6*T$3),-4)</f>
        <v>570000</v>
      </c>
      <c r="U6" s="1">
        <f>ROUNDUP(EXP($H6+$D6*$I6+$J6*U$3),-4)</f>
        <v>830000</v>
      </c>
      <c r="V6" s="1">
        <f>ROUNDUP(EXP($H6+$D6*$I6+$J6*V$3),-4)</f>
        <v>1000000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tabSelected="1"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G6" sqref="G6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8</v>
      </c>
      <c r="D7">
        <v>0.031</v>
      </c>
      <c r="E7">
        <v>-10</v>
      </c>
      <c r="F7">
        <v>0</v>
      </c>
      <c r="G7">
        <v>15</v>
      </c>
      <c r="I7">
        <f>$C7*EXP(I$3*$D7)+$E7</f>
        <v>-2</v>
      </c>
      <c r="J7">
        <f>$C7*EXP(J$3*$D7)+$E7</f>
        <v>-1.74811596890782</v>
      </c>
      <c r="K7">
        <f t="shared" ref="K7:AE7" si="3">$C7*EXP(K$3*$D7)+$E7</f>
        <v>-1.48830124217573</v>
      </c>
      <c r="L7">
        <f t="shared" si="3"/>
        <v>-1.22030611785534</v>
      </c>
      <c r="M7">
        <f t="shared" si="3"/>
        <v>-0.943873032006598</v>
      </c>
      <c r="N7">
        <f t="shared" si="3"/>
        <v>-0.658736311159</v>
      </c>
      <c r="O7">
        <f t="shared" si="3"/>
        <v>-0.364621916978962</v>
      </c>
      <c r="P7">
        <f t="shared" si="3"/>
        <v>0.907400913057423</v>
      </c>
      <c r="Q7">
        <f t="shared" si="3"/>
        <v>1.25082592689735</v>
      </c>
      <c r="R7">
        <f t="shared" si="3"/>
        <v>1.60506385034527</v>
      </c>
      <c r="S7">
        <f t="shared" si="3"/>
        <v>1.97045513330866</v>
      </c>
      <c r="T7">
        <f t="shared" si="3"/>
        <v>2.3473509449319</v>
      </c>
      <c r="U7">
        <f t="shared" si="3"/>
        <v>2.73611351109681</v>
      </c>
      <c r="V7">
        <f t="shared" si="3"/>
        <v>3.13711646254964</v>
      </c>
      <c r="W7">
        <f t="shared" si="3"/>
        <v>4.87142433477074</v>
      </c>
      <c r="X7">
        <f t="shared" si="3"/>
        <v>5.33965862346129</v>
      </c>
      <c r="Y7">
        <f t="shared" si="3"/>
        <v>5.82263550466821</v>
      </c>
      <c r="Z7">
        <f t="shared" si="3"/>
        <v>6.32081915634548</v>
      </c>
      <c r="AA7">
        <f t="shared" si="3"/>
        <v>6.83468837132382</v>
      </c>
      <c r="AB7">
        <f t="shared" si="3"/>
        <v>7.36473701746754</v>
      </c>
      <c r="AC7">
        <f t="shared" si="3"/>
        <v>7.91147451231946</v>
      </c>
      <c r="AD7">
        <f t="shared" si="3"/>
        <v>14.4209541812348</v>
      </c>
      <c r="AE7">
        <f t="shared" si="3"/>
        <v>23.2961422417667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2026-08-10T04:20:00Z</dcterms:created>
  <dcterms:modified xsi:type="dcterms:W3CDTF">2026-08-20T19:54:25Z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