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<sst xmlns="http://schemas.openxmlformats.org/spreadsheetml/2006/main" count="110" uniqueCount="73">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</sst>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abSelected="1" zoomScale="85" zoomScaleNormal="85" topLeftCell="E1" workbookViewId="0">
      <selection activeCell="V6" sqref="V6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0.37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400</v>
      </c>
      <c r="Q4" s="1">
        <f>ROUNDUP(EXP($H4+$D4*$I4+$J4*Q$3),-2)</f>
        <v>600</v>
      </c>
      <c r="R4" s="1">
        <f>ROUNDUP(EXP($H4+$D4*$I4+$J4*R$3),-2)</f>
        <v>800</v>
      </c>
      <c r="S4" s="1">
        <f>ROUNDUP(EXP($H4+$D4*$I4+$J4*S$3),-2)</f>
        <v>1200</v>
      </c>
      <c r="T4" s="1">
        <f>ROUNDUP(EXP($H4+$D4*$I4+$J4*T$3),-2)</f>
        <v>1700</v>
      </c>
      <c r="U4" s="1">
        <f>ROUNDUP(EXP($H4+$D4*$I4+$J4*U$3),-2)</f>
        <v>2500</v>
      </c>
      <c r="V4" s="1">
        <f>ROUNDUP(EXP($H4+$D4*$I4+$J4*V$3),-2)</f>
        <v>3000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7.5</v>
      </c>
      <c r="I5" s="1">
        <v>0</v>
      </c>
      <c r="J5" s="1">
        <v>0.534</v>
      </c>
      <c r="K5" s="1">
        <v>1000</v>
      </c>
      <c r="N5" s="1">
        <f>ROUNDUP(EXP($H5+$D5*$I5+$J5*N$3),-3)</f>
        <v>2000</v>
      </c>
      <c r="O5" s="1">
        <f>ROUNDUP(EXP($H5+$D5*$I5+$J5*O$3),-3)</f>
        <v>4000</v>
      </c>
      <c r="P5" s="1">
        <f>ROUNDUP(EXP($H5+$D5*$I5+$J5*P$3),-3)</f>
        <v>6000</v>
      </c>
      <c r="Q5" s="1">
        <f>ROUNDUP(EXP($H5+$D5*$I5+$J5*Q$3),-3)</f>
        <v>9000</v>
      </c>
      <c r="R5" s="1">
        <f>ROUNDUP(EXP($H5+$D5*$I5+$J5*R$3),-3)</f>
        <v>16000</v>
      </c>
      <c r="S5" s="1">
        <f>ROUNDUP(EXP($H5+$D5*$I5+$J5*S$3),-3)</f>
        <v>27000</v>
      </c>
      <c r="T5" s="1">
        <f>ROUNDUP(EXP($H5+$D5*$I5+$J5*T$3),-3)</f>
        <v>45000</v>
      </c>
      <c r="U5" s="1">
        <f>ROUNDUP(EXP($H5+$D5*$I5+$J5*U$3),-3)</f>
        <v>76000</v>
      </c>
      <c r="V5" s="1">
        <f>ROUNDUP(EXP($H5+$D5*$I5+$J5*V$3),-3)</f>
        <v>100000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11.2</v>
      </c>
      <c r="I6" s="1">
        <v>0</v>
      </c>
      <c r="J6" s="1">
        <v>0.5631</v>
      </c>
      <c r="K6" s="1">
        <v>10000</v>
      </c>
      <c r="N6" s="1">
        <f>ROUNDUP(EXP($H6+$D6*$I6+$J6*N$3),-4)</f>
        <v>80000</v>
      </c>
      <c r="O6" s="1">
        <f>ROUNDUP(EXP($H6+$D6*$I6+$J6*O$3),-4)</f>
        <v>130000</v>
      </c>
      <c r="P6" s="1">
        <f>ROUNDUP(EXP($H6+$D6*$I6+$J6*P$3),-4)</f>
        <v>230000</v>
      </c>
      <c r="Q6" s="1">
        <f>ROUNDUP(EXP($H6+$D6*$I6+$J6*Q$3),-4)</f>
        <v>400000</v>
      </c>
      <c r="R6" s="1">
        <f>ROUNDUP(EXP($H6+$D6*$I6+$J6*R$3),-4)</f>
        <v>700000</v>
      </c>
      <c r="S6" s="1">
        <f>ROUNDUP(EXP($H6+$D6*$I6+$J6*S$3),-4)</f>
        <v>1230000</v>
      </c>
      <c r="T6" s="1">
        <f>ROUNDUP(EXP($H6+$D6*$I6+$J6*T$3),-4)</f>
        <v>2150000</v>
      </c>
      <c r="U6" s="1">
        <f>ROUNDUP(EXP($H6+$D6*$I6+$J6*U$3),-4)</f>
        <v>3770000</v>
      </c>
      <c r="V6" s="1">
        <f>ROUNDUP(EXP($H6+$D6*$I6+$J6*V$3),-4)</f>
        <v>5000000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"/>
  <sheetViews>
    <sheetView workbookViewId="0">
      <selection activeCell="E1" sqref="E1:E2"/>
    </sheetView>
  </sheetViews>
  <sheetFormatPr defaultColWidth="9" defaultRowHeight="16.8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24</v>
      </c>
      <c r="D4" s="1">
        <v>4</v>
      </c>
      <c r="E4" s="1">
        <v>1.5</v>
      </c>
      <c r="F4" s="1">
        <v>0.15</v>
      </c>
      <c r="H4" s="1">
        <v>1</v>
      </c>
      <c r="I4" s="1">
        <f>$C$4+$D$4*$H4+I$3*$E$4</f>
        <v>28</v>
      </c>
      <c r="J4" s="1">
        <f>$C$4+$D$4*$H4+J$3*$E$4</f>
        <v>29.5</v>
      </c>
      <c r="K4" s="1">
        <f>$C$4+$D$4*$H4+K$3*$E$4</f>
        <v>31</v>
      </c>
      <c r="L4" s="1">
        <f>$C$4+$D$4*$H4+L$3*$E$4</f>
        <v>32.5</v>
      </c>
      <c r="M4" s="1">
        <f>$C$4+$D$4*$H4+M$3*$E$4</f>
        <v>34</v>
      </c>
      <c r="N4" s="1">
        <f>$C$4+$D$4*$H4+N$3*$E$4</f>
        <v>35.5</v>
      </c>
      <c r="O4" s="1">
        <f>$C$4+$D$4*$H4+O$3*$E$4</f>
        <v>37</v>
      </c>
      <c r="P4" s="1">
        <f>$C$4+$D$4*$H4+P$3*$E$4</f>
        <v>38.5</v>
      </c>
      <c r="Q4" s="1">
        <f>$C$4+$D$4*$H4+Q$3*$E$4</f>
        <v>39.25</v>
      </c>
    </row>
    <row r="5" spans="8:17">
      <c r="H5" s="1">
        <v>2</v>
      </c>
      <c r="I5" s="1">
        <f>$C$4+$D$4*$H5+I$3*$E$4</f>
        <v>32</v>
      </c>
      <c r="J5" s="1">
        <f>$C$4+$D$4*$H5+J$3*$E$4</f>
        <v>33.5</v>
      </c>
      <c r="K5" s="1">
        <f>$C$4+$D$4*$H5+K$3*$E$4</f>
        <v>35</v>
      </c>
      <c r="L5" s="1">
        <f>$C$4+$D$4*$H5+L$3*$E$4</f>
        <v>36.5</v>
      </c>
      <c r="M5" s="1">
        <f>$C$4+$D$4*$H5+M$3*$E$4</f>
        <v>38</v>
      </c>
      <c r="N5" s="1">
        <f>$C$4+$D$4*$H5+N$3*$E$4</f>
        <v>39.5</v>
      </c>
      <c r="O5" s="1">
        <f>$C$4+$D$4*$H5+O$3*$E$4</f>
        <v>41</v>
      </c>
      <c r="P5" s="1">
        <f>$C$4+$D$4*$H5+P$3*$E$4</f>
        <v>42.5</v>
      </c>
      <c r="Q5" s="1">
        <f>$C$4+$D$4*$H5+Q$3*$E$4</f>
        <v>43.25</v>
      </c>
    </row>
    <row r="6" spans="8:17">
      <c r="H6" s="1">
        <v>3</v>
      </c>
      <c r="I6" s="1">
        <f>$C$4+$D$4*$H6+I$3*$E$4</f>
        <v>36</v>
      </c>
      <c r="J6" s="1">
        <f>$C$4+$D$4*$H6+J$3*$E$4</f>
        <v>37.5</v>
      </c>
      <c r="K6" s="1">
        <f>$C$4+$D$4*$H6+K$3*$E$4</f>
        <v>39</v>
      </c>
      <c r="L6" s="1">
        <f>$C$4+$D$4*$H6+L$3*$E$4</f>
        <v>40.5</v>
      </c>
      <c r="M6" s="1">
        <f>$C$4+$D$4*$H6+M$3*$E$4</f>
        <v>42</v>
      </c>
      <c r="N6" s="1">
        <f>$C$4+$D$4*$H6+N$3*$E$4</f>
        <v>43.5</v>
      </c>
      <c r="O6" s="1">
        <f>$C$4+$D$4*$H6+O$3*$E$4</f>
        <v>45</v>
      </c>
      <c r="P6" s="1">
        <f>$C$4+$D$4*$H6+P$3*$E$4</f>
        <v>46.5</v>
      </c>
      <c r="Q6" s="1">
        <f>$C$4+$D$4*$H6+Q$3*$E$4</f>
        <v>47.25</v>
      </c>
    </row>
    <row r="8" spans="12:12">
      <c r="L8" s="1">
        <f>SUM(I4:P6)</f>
        <v>894</v>
      </c>
    </row>
    <row r="9" spans="12:14">
      <c r="L9" s="1">
        <v>1212</v>
      </c>
      <c r="N9" s="1">
        <f>L8/L9</f>
        <v>0.737623762376238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zoomScale="85" zoomScaleNormal="85" workbookViewId="0">
      <pane xSplit="1" ySplit="3" topLeftCell="G4" activePane="bottomRight" state="frozen"/>
      <selection/>
      <selection pane="topRight"/>
      <selection pane="bottomLeft"/>
      <selection pane="bottomRight" activeCell="AC8" sqref="AC3:AC8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5</v>
      </c>
      <c r="D7">
        <v>0.031</v>
      </c>
      <c r="E7">
        <v>-7</v>
      </c>
      <c r="F7">
        <v>0</v>
      </c>
      <c r="G7">
        <v>10</v>
      </c>
      <c r="I7">
        <f>$C7*EXP(I$3*$D7)+$E7</f>
        <v>-2</v>
      </c>
      <c r="J7">
        <f>$C7*EXP(J$3*$D7)+$E7</f>
        <v>-1.84257248056739</v>
      </c>
      <c r="K7">
        <f t="shared" ref="K7:AE7" si="3">$C7*EXP(K$3*$D7)+$E7</f>
        <v>-1.68018827635983</v>
      </c>
      <c r="L7">
        <f t="shared" si="3"/>
        <v>-1.51269132365959</v>
      </c>
      <c r="M7">
        <f t="shared" si="3"/>
        <v>-1.33992064500412</v>
      </c>
      <c r="N7">
        <f t="shared" si="3"/>
        <v>-1.16171019447438</v>
      </c>
      <c r="O7">
        <f t="shared" si="3"/>
        <v>-0.977888698111851</v>
      </c>
      <c r="P7">
        <f t="shared" si="3"/>
        <v>-0.182874429339111</v>
      </c>
      <c r="Q7">
        <f t="shared" si="3"/>
        <v>0.0317662043108449</v>
      </c>
      <c r="R7">
        <f t="shared" si="3"/>
        <v>0.253164906465795</v>
      </c>
      <c r="S7">
        <f t="shared" si="3"/>
        <v>0.481534458317913</v>
      </c>
      <c r="T7">
        <f t="shared" si="3"/>
        <v>0.717094340582435</v>
      </c>
      <c r="U7">
        <f t="shared" si="3"/>
        <v>0.960070944435506</v>
      </c>
      <c r="V7">
        <f t="shared" si="3"/>
        <v>1.21069778909353</v>
      </c>
      <c r="W7">
        <f t="shared" si="3"/>
        <v>2.29464020923171</v>
      </c>
      <c r="X7">
        <f t="shared" si="3"/>
        <v>2.58728663966331</v>
      </c>
      <c r="Y7">
        <f t="shared" si="3"/>
        <v>2.88914719041763</v>
      </c>
      <c r="Z7">
        <f t="shared" si="3"/>
        <v>3.20051197271592</v>
      </c>
      <c r="AA7">
        <f t="shared" si="3"/>
        <v>3.52168023207739</v>
      </c>
      <c r="AB7">
        <f t="shared" si="3"/>
        <v>3.85296063591721</v>
      </c>
      <c r="AC7">
        <f t="shared" si="3"/>
        <v>4.19467157019966</v>
      </c>
      <c r="AD7">
        <f t="shared" si="3"/>
        <v>8.26309636327172</v>
      </c>
      <c r="AE7">
        <f t="shared" si="3"/>
        <v>13.8100889011042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2026-08-11T20:20:00Z</dcterms:created>
  <dcterms:modified xsi:type="dcterms:W3CDTF">2026-08-27T20:17:59Z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