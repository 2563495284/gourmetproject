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3"/>
  </bookViews>
  <sheets>
    <sheet name="hidden_score_curve" sheetId="1" r:id="rId1"/>
    <sheet name="gold_reward_curve" sheetId="2" r:id="rId2"/>
    <sheet name="item_luck_curve" sheetId="3" r:id="rId3"/>
    <sheet name="item_quality_luck" sheetId="4" r:id="rId4"/>
    <sheet name="Sheet1" sheetId="5" r:id="rId5"/>
  </sheets>
  <calcPr calcId="144525"/>
</workbook>
</file>

<file path=xl/sharedStrings.xml><?xml version="1.0" encoding="utf-8"?>
<sst xmlns="http://schemas.openxmlformats.org/spreadsheetml/2006/main" count="101" uniqueCount="67">
  <si>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</si>
  <si>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</si>
  <si>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</si>
  <si>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</si>
  <si>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</si>
  <si>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</si>
  <si>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</si>
  <si>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</si>
  <si>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</si>
  <si>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</si>
  <si>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</si>
  <si>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</si>
  <si>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</si>
  <si>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</si>
  <si>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</si>
  <si>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</si>
  <si>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</si>
  <si>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</si>
  <si>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目标美味值指数公式常量 k0。</t>
  </si>
  <si>
    <t>目标美味值指数公式kWeek。</t>
  </si>
  <si>
    <t>目标美味值指数公式 kDay。</t>
  </si>
  <si>
    <t>向上取整粒度。</t>
  </si>
  <si>
    <t>目标美味值 = exp(k0 + kWeek*周数 + kDay*当周过去天数)</t>
  </si>
  <si>
    <t>##type</t>
  </si>
  <si>
    <t>string</t>
  </si>
  <si>
    <t>HiddenScorePurpose</t>
  </si>
  <si>
    <t>(list#sep=,),int</t>
  </si>
  <si>
    <t>float</t>
  </si>
  <si>
    <t>int</t>
  </si>
  <si>
    <t>target_score_1</t>
  </si>
  <si>
    <t>TargetScore</t>
  </si>
  <si>
    <t>target_score_2</t>
  </si>
  <si>
    <t>target_score_3</t>
  </si>
  <si>
    <t>hidden_dish</t>
  </si>
  <si>
    <t>Dish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</si>
  <si>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</si>
  <si>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</si>
  <si>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</si>
  <si>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</si>
  <si>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</si>
  <si>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</si>
  <si>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</si>
  <si>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</si>
  <si>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</si>
  <si>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</si>
  <si>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</si>
  <si>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</si>
  <si>
    <t>minLuck</t>
  </si>
  <si>
    <t>maxLuck</t>
  </si>
  <si>
    <t>装饰品运气曲线ID。</t>
  </si>
  <si>
    <t>开局基础运气。</t>
  </si>
  <si>
    <t>每经过1周增加的运气。</t>
  </si>
  <si>
    <t>当周每经过1天增加的运气。</t>
  </si>
  <si>
    <t>指数计算的最小安全运气。</t>
  </si>
  <si>
    <t>指数计算的最大安全运气。</t>
  </si>
  <si>
    <t>item_luck_default</t>
  </si>
  <si>
    <t>quality</t>
  </si>
  <si>
    <t>baseWeight</t>
  </si>
  <si>
    <t>luckGrowth</t>
  </si>
  <si>
    <t>装饰品品质。</t>
  </si>
  <si>
    <t>运气为0时的品质基础权重。</t>
  </si>
  <si>
    <t>品质权重随运气变化的指数成长系数。</t>
  </si>
  <si>
    <t>ItemQuality</t>
  </si>
  <si>
    <t>Common</t>
  </si>
  <si>
    <t>Uncommon</t>
  </si>
  <si>
    <t>Rare</t>
  </si>
  <si>
    <t>Epic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</si>
</sst>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9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525" cmpd="sng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"/>
  <sheetViews>
    <sheetView topLeftCell="F1" workbookViewId="0">
      <selection activeCell="J14" sqref="J14"/>
    </sheetView>
  </sheetViews>
  <sheetFormatPr defaultColWidth="9" defaultRowHeight="16.8" outlineLevelRow="7"/>
  <cols>
    <col min="1" max="1" width="13.0769230769231" style="1" customWidth="1"/>
    <col min="2" max="2" width="26.6923076923077" style="1" customWidth="1"/>
    <col min="3" max="3" width="21.1538461538462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3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M2" s="2" t="s">
        <v>22</v>
      </c>
    </row>
    <row r="3" spans="1:22">
      <c r="A3" s="1" t="s">
        <v>23</v>
      </c>
      <c r="B3" s="1" t="s">
        <v>24</v>
      </c>
      <c r="C3" s="1" t="s">
        <v>25</v>
      </c>
      <c r="D3" s="1" t="s">
        <v>26</v>
      </c>
      <c r="E3" s="1" t="s">
        <v>27</v>
      </c>
      <c r="F3" s="1" t="s">
        <v>27</v>
      </c>
      <c r="G3" s="1" t="s">
        <v>27</v>
      </c>
      <c r="H3" s="1" t="s">
        <v>27</v>
      </c>
      <c r="I3" s="1" t="s">
        <v>27</v>
      </c>
      <c r="J3" s="1" t="s">
        <v>27</v>
      </c>
      <c r="K3" s="1" t="s">
        <v>28</v>
      </c>
      <c r="M3" s="2"/>
      <c r="N3" s="1">
        <v>0</v>
      </c>
      <c r="O3" s="1">
        <v>1</v>
      </c>
      <c r="P3" s="1">
        <v>2</v>
      </c>
      <c r="Q3" s="1">
        <v>3</v>
      </c>
      <c r="R3" s="1">
        <v>4</v>
      </c>
      <c r="S3" s="1">
        <v>5</v>
      </c>
      <c r="T3" s="1">
        <v>6</v>
      </c>
      <c r="U3" s="1">
        <v>7</v>
      </c>
      <c r="V3" s="1">
        <v>7.5</v>
      </c>
    </row>
    <row r="4" spans="2:27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5.2</v>
      </c>
      <c r="I4" s="1">
        <v>0</v>
      </c>
      <c r="J4" s="1">
        <v>0.44</v>
      </c>
      <c r="K4" s="1">
        <v>100</v>
      </c>
      <c r="N4" s="1">
        <f>ROUNDUP(EXP($H4+$D4*$I4+$J4*N$3),-2)</f>
        <v>200</v>
      </c>
      <c r="O4" s="1">
        <f>ROUNDUP(EXP($H4+$D4*$I4+$J4*O$3),-2)</f>
        <v>300</v>
      </c>
      <c r="P4" s="1">
        <f>ROUNDUP(EXP($H4+$D4*$I4+$J4*P$3),-2)</f>
        <v>500</v>
      </c>
      <c r="Q4" s="1">
        <f>ROUNDUP(EXP($H4+$D4*$I4+$J4*Q$3),-2)</f>
        <v>700</v>
      </c>
      <c r="R4" s="1">
        <f>ROUNDUP(EXP($H4+$D4*$I4+$J4*R$3),-2)</f>
        <v>1100</v>
      </c>
      <c r="S4" s="1">
        <f>ROUNDUP(EXP($H4+$D4*$I4+$J4*S$3),-2)</f>
        <v>1700</v>
      </c>
      <c r="T4" s="1">
        <f>ROUNDUP(EXP($H4+$D4*$I4+$J4*T$3),-2)</f>
        <v>2600</v>
      </c>
      <c r="U4" s="1">
        <f>ROUNDUP(EXP($H4+$D4*$I4+$J4*U$3),-2)</f>
        <v>4000</v>
      </c>
      <c r="V4" s="1">
        <f>ROUNDUP(EXP($H4+$D4*$I4+$J4*V$3),-2)</f>
        <v>5000</v>
      </c>
      <c r="Y4" s="1">
        <v>5.5</v>
      </c>
      <c r="Z4" s="1">
        <v>0</v>
      </c>
      <c r="AA4" s="1">
        <v>0.4</v>
      </c>
    </row>
    <row r="5" spans="2:27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8.2</v>
      </c>
      <c r="I5" s="1">
        <v>0</v>
      </c>
      <c r="J5" s="1">
        <v>0.403</v>
      </c>
      <c r="K5" s="1">
        <v>1000</v>
      </c>
      <c r="N5" s="1">
        <f>ROUNDUP(EXP($H5+$D5*$I5+$J5*N$3),-3)</f>
        <v>4000</v>
      </c>
      <c r="O5" s="1">
        <f>ROUNDUP(EXP($H5+$D5*$I5+$J5*O$3),-3)</f>
        <v>6000</v>
      </c>
      <c r="P5" s="1">
        <f>ROUNDUP(EXP($H5+$D5*$I5+$J5*P$3),-3)</f>
        <v>9000</v>
      </c>
      <c r="Q5" s="1">
        <f>ROUNDUP(EXP($H5+$D5*$I5+$J5*Q$3),-3)</f>
        <v>13000</v>
      </c>
      <c r="R5" s="1">
        <f>ROUNDUP(EXP($H5+$D5*$I5+$J5*R$3),-3)</f>
        <v>19000</v>
      </c>
      <c r="S5" s="1">
        <f>ROUNDUP(EXP($H5+$D5*$I5+$J5*S$3),-3)</f>
        <v>28000</v>
      </c>
      <c r="T5" s="1">
        <f>ROUNDUP(EXP($H5+$D5*$I5+$J5*T$3),-3)</f>
        <v>41000</v>
      </c>
      <c r="U5" s="1">
        <f>ROUNDUP(EXP($H5+$D5*$I5+$J5*U$3),-3)</f>
        <v>62000</v>
      </c>
      <c r="V5" s="1">
        <f>ROUNDUP(EXP($H5+$D5*$I5+$J5*V$3),-3)</f>
        <v>75000</v>
      </c>
      <c r="Y5" s="1">
        <v>7.7</v>
      </c>
      <c r="Z5" s="1">
        <v>0</v>
      </c>
      <c r="AA5" s="1">
        <v>0.45</v>
      </c>
    </row>
    <row r="6" spans="2:27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11</v>
      </c>
      <c r="I6" s="1">
        <v>0</v>
      </c>
      <c r="J6" s="1">
        <v>0.375</v>
      </c>
      <c r="K6" s="1">
        <v>10000</v>
      </c>
      <c r="N6" s="1">
        <f>ROUNDUP(EXP($H6+$D6*$I6+$J6*N$3),-4)</f>
        <v>60000</v>
      </c>
      <c r="O6" s="1">
        <f>ROUNDUP(EXP($H6+$D6*$I6+$J6*O$3),-4)</f>
        <v>90000</v>
      </c>
      <c r="P6" s="1">
        <f>ROUNDUP(EXP($H6+$D6*$I6+$J6*P$3),-4)</f>
        <v>130000</v>
      </c>
      <c r="Q6" s="1">
        <f>ROUNDUP(EXP($H6+$D6*$I6+$J6*Q$3),-4)</f>
        <v>190000</v>
      </c>
      <c r="R6" s="1">
        <f>ROUNDUP(EXP($H6+$D6*$I6+$J6*R$3),-4)</f>
        <v>270000</v>
      </c>
      <c r="S6" s="1">
        <f>ROUNDUP(EXP($H6+$D6*$I6+$J6*S$3),-4)</f>
        <v>400000</v>
      </c>
      <c r="T6" s="1">
        <f>ROUNDUP(EXP($H6+$D6*$I6+$J6*T$3),-4)</f>
        <v>570000</v>
      </c>
      <c r="U6" s="1">
        <f>ROUNDUP(EXP($H6+$D6*$I6+$J6*U$3),-4)</f>
        <v>830000</v>
      </c>
      <c r="V6" s="1">
        <f>ROUNDUP(EXP($H6+$D6*$I6+$J6*V$3),-4)</f>
        <v>1000000</v>
      </c>
      <c r="Y6" s="1">
        <v>10.6</v>
      </c>
      <c r="Z6" s="1">
        <v>0</v>
      </c>
      <c r="AA6" s="1">
        <v>0.452</v>
      </c>
    </row>
    <row r="7" spans="2:11">
      <c r="B7" s="1" t="s">
        <v>33</v>
      </c>
      <c r="C7" s="1" t="s">
        <v>34</v>
      </c>
      <c r="E7" s="1">
        <v>10</v>
      </c>
      <c r="F7" s="1">
        <v>10</v>
      </c>
      <c r="G7" s="1">
        <v>1</v>
      </c>
      <c r="H7" s="1">
        <v>0</v>
      </c>
      <c r="I7" s="1">
        <v>0</v>
      </c>
      <c r="J7" s="1">
        <v>0</v>
      </c>
      <c r="K7" s="1">
        <v>1</v>
      </c>
    </row>
    <row r="8" spans="2:11">
      <c r="B8" s="1" t="s">
        <v>35</v>
      </c>
      <c r="C8" s="1" t="s">
        <v>36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workbookViewId="0">
      <selection activeCell="A7" sqref="$A7:$XFD7"/>
    </sheetView>
  </sheetViews>
  <sheetFormatPr defaultColWidth="9" defaultRowHeight="16.8" outlineLevelRow="5"/>
  <cols>
    <col min="1" max="1" width="9" style="1" customWidth="1"/>
    <col min="2" max="2" width="20.3846153846154" style="1" customWidth="1"/>
    <col min="3" max="4" width="32.1538461538462" style="1" customWidth="1"/>
    <col min="5" max="5" width="20" style="1" customWidth="1"/>
    <col min="6" max="7" width="15.1538461538462" style="1" customWidth="1"/>
    <col min="8" max="8" width="7.84615384615385" style="1" customWidth="1"/>
    <col min="9" max="17" width="6.73076923076923" style="1" customWidth="1"/>
    <col min="18" max="16384" width="9" style="1" customWidth="1"/>
  </cols>
  <sheetData>
    <row r="1" spans="1:6">
      <c r="A1" s="1" t="s">
        <v>0</v>
      </c>
      <c r="B1" s="1" t="s">
        <v>1</v>
      </c>
      <c r="C1" s="1" t="s">
        <v>37</v>
      </c>
      <c r="D1" s="1" t="s">
        <v>38</v>
      </c>
      <c r="E1" s="1" t="s">
        <v>39</v>
      </c>
      <c r="F1" s="1" t="s">
        <v>40</v>
      </c>
    </row>
    <row r="2" spans="1:6">
      <c r="A2" s="1" t="s">
        <v>11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</row>
    <row r="3" spans="1:17">
      <c r="A3" s="1" t="s">
        <v>23</v>
      </c>
      <c r="B3" s="1" t="s">
        <v>24</v>
      </c>
      <c r="C3" s="1" t="s">
        <v>27</v>
      </c>
      <c r="D3" s="1" t="s">
        <v>27</v>
      </c>
      <c r="E3" s="1" t="s">
        <v>27</v>
      </c>
      <c r="F3" s="1" t="s">
        <v>27</v>
      </c>
      <c r="I3" s="1">
        <v>0</v>
      </c>
      <c r="J3" s="1">
        <v>1</v>
      </c>
      <c r="K3" s="1">
        <v>2</v>
      </c>
      <c r="L3" s="1">
        <v>3</v>
      </c>
      <c r="M3" s="1">
        <v>4</v>
      </c>
      <c r="N3" s="1">
        <v>5</v>
      </c>
      <c r="O3" s="1">
        <v>6</v>
      </c>
      <c r="P3" s="1">
        <v>7</v>
      </c>
      <c r="Q3" s="1">
        <v>7.5</v>
      </c>
    </row>
    <row r="4" spans="2:17">
      <c r="B4" s="1" t="s">
        <v>46</v>
      </c>
      <c r="C4" s="1">
        <v>20</v>
      </c>
      <c r="D4" s="1">
        <v>10</v>
      </c>
      <c r="E4" s="1">
        <v>3</v>
      </c>
      <c r="F4" s="1">
        <v>0.2</v>
      </c>
      <c r="H4" s="1">
        <v>1</v>
      </c>
      <c r="I4" s="1">
        <f>$C$4+$D$4*$H4+I$3*$E$4</f>
        <v>30</v>
      </c>
      <c r="J4" s="1">
        <f>$C$4+$D$4*$H4+J$3*$E$4</f>
        <v>33</v>
      </c>
      <c r="K4" s="1">
        <f>$C$4+$D$4*$H4+K$3*$E$4</f>
        <v>36</v>
      </c>
      <c r="L4" s="1">
        <f>$C$4+$D$4*$H4+L$3*$E$4</f>
        <v>39</v>
      </c>
      <c r="M4" s="1">
        <f>$C$4+$D$4*$H4+M$3*$E$4</f>
        <v>42</v>
      </c>
      <c r="N4" s="1">
        <f>$C$4+$D$4*$H4+N$3*$E$4</f>
        <v>45</v>
      </c>
      <c r="O4" s="1">
        <f>$C$4+$D$4*$H4+O$3*$E$4</f>
        <v>48</v>
      </c>
      <c r="P4" s="1">
        <f>$C$4+$D$4*$H4+P$3*$E$4</f>
        <v>51</v>
      </c>
      <c r="Q4" s="1">
        <f>$C$4+$D$4*$H4+Q$3*$E$4</f>
        <v>52.5</v>
      </c>
    </row>
    <row r="5" spans="8:17">
      <c r="H5" s="1">
        <v>2</v>
      </c>
      <c r="I5" s="1">
        <f>$C$4+$D$4*$H5+I$3*$E$4</f>
        <v>40</v>
      </c>
      <c r="J5" s="1">
        <f>$C$4+$D$4*$H5+J$3*$E$4</f>
        <v>43</v>
      </c>
      <c r="K5" s="1">
        <f>$C$4+$D$4*$H5+K$3*$E$4</f>
        <v>46</v>
      </c>
      <c r="L5" s="1">
        <f>$C$4+$D$4*$H5+L$3*$E$4</f>
        <v>49</v>
      </c>
      <c r="M5" s="1">
        <f>$C$4+$D$4*$H5+M$3*$E$4</f>
        <v>52</v>
      </c>
      <c r="N5" s="1">
        <f>$C$4+$D$4*$H5+N$3*$E$4</f>
        <v>55</v>
      </c>
      <c r="O5" s="1">
        <f>$C$4+$D$4*$H5+O$3*$E$4</f>
        <v>58</v>
      </c>
      <c r="P5" s="1">
        <f>$C$4+$D$4*$H5+P$3*$E$4</f>
        <v>61</v>
      </c>
      <c r="Q5" s="1">
        <f>$C$4+$D$4*$H5+Q$3*$E$4</f>
        <v>62.5</v>
      </c>
    </row>
    <row r="6" spans="8:17">
      <c r="H6" s="1">
        <v>3</v>
      </c>
      <c r="I6" s="1">
        <f>$C$4+$D$4*$H6+I$3*$E$4</f>
        <v>50</v>
      </c>
      <c r="J6" s="1">
        <f>$C$4+$D$4*$H6+J$3*$E$4</f>
        <v>53</v>
      </c>
      <c r="K6" s="1">
        <f>$C$4+$D$4*$H6+K$3*$E$4</f>
        <v>56</v>
      </c>
      <c r="L6" s="1">
        <f>$C$4+$D$4*$H6+L$3*$E$4</f>
        <v>59</v>
      </c>
      <c r="M6" s="1">
        <f>$C$4+$D$4*$H6+M$3*$E$4</f>
        <v>62</v>
      </c>
      <c r="N6" s="1">
        <f>$C$4+$D$4*$H6+N$3*$E$4</f>
        <v>65</v>
      </c>
      <c r="O6" s="1">
        <f>$C$4+$D$4*$H6+O$3*$E$4</f>
        <v>68</v>
      </c>
      <c r="P6" s="1">
        <f>$C$4+$D$4*$H6+P$3*$E$4</f>
        <v>71</v>
      </c>
      <c r="Q6" s="1">
        <f>$C$4+$D$4*$H6+Q$3*$E$4</f>
        <v>72.5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 outlineLevelRow="3" outlineLevelCol="6"/>
  <cols>
    <col min="1" max="1" width="12" customWidth="1"/>
    <col min="2" max="7" width="24" customWidth="1"/>
  </cols>
  <sheetData>
    <row r="1" spans="1:7">
      <c r="A1" t="s">
        <v>0</v>
      </c>
      <c r="B1" t="s">
        <v>1</v>
      </c>
      <c r="C1" t="s">
        <v>37</v>
      </c>
      <c r="D1" t="s">
        <v>38</v>
      </c>
      <c r="E1" t="s">
        <v>39</v>
      </c>
      <c r="F1" t="s">
        <v>47</v>
      </c>
      <c r="G1" t="s">
        <v>48</v>
      </c>
    </row>
    <row r="2" spans="1:7">
      <c r="A2" t="s">
        <v>11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</row>
    <row r="3" spans="1:7">
      <c r="A3" t="s">
        <v>23</v>
      </c>
      <c r="B3" t="s">
        <v>24</v>
      </c>
      <c r="C3" t="s">
        <v>27</v>
      </c>
      <c r="D3" t="s">
        <v>27</v>
      </c>
      <c r="E3" t="s">
        <v>27</v>
      </c>
      <c r="F3" t="s">
        <v>27</v>
      </c>
      <c r="G3" t="s">
        <v>27</v>
      </c>
    </row>
    <row r="4" spans="2:7">
      <c r="B4" t="s">
        <v>55</v>
      </c>
      <c r="C4">
        <v>0</v>
      </c>
      <c r="D4">
        <v>10</v>
      </c>
      <c r="E4">
        <v>1</v>
      </c>
      <c r="F4">
        <v>-100</v>
      </c>
      <c r="G4">
        <v>100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"/>
  <sheetViews>
    <sheetView tabSelected="1" zoomScale="85" zoomScaleNormal="85" workbookViewId="0">
      <pane xSplit="1" ySplit="3" topLeftCell="B4" activePane="bottomRight" state="frozen"/>
      <selection/>
      <selection pane="topRight"/>
      <selection pane="bottomLeft"/>
      <selection pane="bottomRight" activeCell="D6" sqref="D6"/>
    </sheetView>
  </sheetViews>
  <sheetFormatPr defaultColWidth="9" defaultRowHeight="16.8"/>
  <cols>
    <col min="1" max="1" width="12" customWidth="1"/>
    <col min="2" max="2" width="24" customWidth="1"/>
    <col min="3" max="3" width="30.8461538461538" customWidth="1"/>
    <col min="4" max="4" width="24" customWidth="1"/>
    <col min="9" max="15" width="14.0769230769231"/>
    <col min="16" max="28" width="12.9230769230769"/>
  </cols>
  <sheetData>
    <row r="1" spans="1:4">
      <c r="A1" t="s">
        <v>0</v>
      </c>
      <c r="B1" t="s">
        <v>56</v>
      </c>
      <c r="C1" t="s">
        <v>57</v>
      </c>
      <c r="D1" t="s">
        <v>58</v>
      </c>
    </row>
    <row r="2" spans="1:4">
      <c r="A2" t="s">
        <v>11</v>
      </c>
      <c r="B2" t="s">
        <v>59</v>
      </c>
      <c r="C2" t="s">
        <v>60</v>
      </c>
      <c r="D2" t="s">
        <v>61</v>
      </c>
    </row>
    <row r="3" spans="1:29">
      <c r="A3" t="s">
        <v>23</v>
      </c>
      <c r="B3" t="s">
        <v>62</v>
      </c>
      <c r="C3" t="s">
        <v>27</v>
      </c>
      <c r="D3" t="s">
        <v>27</v>
      </c>
      <c r="I3">
        <v>0</v>
      </c>
      <c r="J3">
        <v>1</v>
      </c>
      <c r="K3">
        <v>2</v>
      </c>
      <c r="L3">
        <v>3</v>
      </c>
      <c r="M3">
        <v>4</v>
      </c>
      <c r="N3">
        <v>5</v>
      </c>
      <c r="O3">
        <v>6</v>
      </c>
      <c r="P3">
        <v>10</v>
      </c>
      <c r="Q3">
        <v>11</v>
      </c>
      <c r="R3">
        <v>12</v>
      </c>
      <c r="S3">
        <v>13</v>
      </c>
      <c r="T3">
        <v>14</v>
      </c>
      <c r="U3">
        <v>15</v>
      </c>
      <c r="V3">
        <v>16</v>
      </c>
      <c r="W3">
        <v>20</v>
      </c>
      <c r="X3">
        <v>21</v>
      </c>
      <c r="Y3">
        <v>22</v>
      </c>
      <c r="Z3">
        <v>23</v>
      </c>
      <c r="AA3">
        <v>24</v>
      </c>
      <c r="AB3">
        <v>25</v>
      </c>
      <c r="AC3">
        <v>26</v>
      </c>
    </row>
    <row r="4" spans="2:29">
      <c r="B4" t="s">
        <v>63</v>
      </c>
      <c r="C4">
        <v>63</v>
      </c>
      <c r="D4">
        <v>-0.035</v>
      </c>
      <c r="I4">
        <f>$C4*EXP(I$3*$D4)</f>
        <v>63</v>
      </c>
      <c r="J4">
        <f t="shared" ref="J4:O4" si="0">$C4*EXP(J$3*$D4)</f>
        <v>60.8331412242267</v>
      </c>
      <c r="K4">
        <f t="shared" si="0"/>
        <v>58.7408106540747</v>
      </c>
      <c r="L4">
        <f t="shared" si="0"/>
        <v>56.7204449229347</v>
      </c>
      <c r="M4">
        <f t="shared" si="0"/>
        <v>54.7695688301248</v>
      </c>
      <c r="N4">
        <f t="shared" si="0"/>
        <v>52.8857923084601</v>
      </c>
      <c r="O4">
        <f t="shared" si="0"/>
        <v>51.0668074961218</v>
      </c>
      <c r="P4">
        <f t="shared" ref="P4:AC4" si="1">$C4*EXP(P$3*$D4)</f>
        <v>44.3953496522789</v>
      </c>
      <c r="Q4">
        <f t="shared" si="1"/>
        <v>42.868390080889</v>
      </c>
      <c r="R4">
        <f t="shared" si="1"/>
        <v>41.3939496483486</v>
      </c>
      <c r="S4">
        <f t="shared" si="1"/>
        <v>39.9702219807384</v>
      </c>
      <c r="T4">
        <f t="shared" si="1"/>
        <v>38.5954628336182</v>
      </c>
      <c r="U4">
        <f t="shared" si="1"/>
        <v>37.2679879551094</v>
      </c>
      <c r="V4">
        <f t="shared" si="1"/>
        <v>35.9861710224753</v>
      </c>
      <c r="W4">
        <f t="shared" si="1"/>
        <v>31.2848741388588</v>
      </c>
      <c r="X4">
        <f t="shared" si="1"/>
        <v>30.2088439154183</v>
      </c>
      <c r="Y4">
        <f t="shared" si="1"/>
        <v>29.1698233036074</v>
      </c>
      <c r="Z4">
        <f t="shared" si="1"/>
        <v>28.1665393732395</v>
      </c>
      <c r="AA4">
        <f t="shared" si="1"/>
        <v>27.197762976032</v>
      </c>
      <c r="AB4">
        <f t="shared" si="1"/>
        <v>26.262307239746</v>
      </c>
      <c r="AC4">
        <f t="shared" si="1"/>
        <v>25.3590261141191</v>
      </c>
    </row>
    <row r="5" spans="2:29">
      <c r="B5" t="s">
        <v>64</v>
      </c>
      <c r="C5">
        <v>25</v>
      </c>
      <c r="D5">
        <v>0.013</v>
      </c>
      <c r="I5">
        <f>$C5*EXP(I$3*$D5)</f>
        <v>25</v>
      </c>
      <c r="J5">
        <f>$C5*EXP(J$3*$D5)</f>
        <v>25.3271216839952</v>
      </c>
      <c r="K5">
        <f>$C5*EXP(K$3*$D5)</f>
        <v>25.6585237118361</v>
      </c>
      <c r="L5">
        <f>$C5*EXP(L$3*$D5)</f>
        <v>25.9942620912539</v>
      </c>
      <c r="M5">
        <f>$C5*EXP(M$3*$D5)</f>
        <v>26.3343935628341</v>
      </c>
      <c r="N5">
        <f>$C5*EXP(N$3*$D5)</f>
        <v>26.6789756096048</v>
      </c>
      <c r="O5">
        <f>$C5*EXP(O$3*$D5)</f>
        <v>27.0280664667521</v>
      </c>
      <c r="P5">
        <f t="shared" ref="P5:AC5" si="2">$C5*EXP(P$3*$D5)</f>
        <v>28.4707095831155</v>
      </c>
      <c r="Q5">
        <f t="shared" si="2"/>
        <v>28.8432450416503</v>
      </c>
      <c r="R5">
        <f t="shared" si="2"/>
        <v>29.2206550772467</v>
      </c>
      <c r="S5">
        <f t="shared" si="2"/>
        <v>29.6030034730992</v>
      </c>
      <c r="T5">
        <f t="shared" si="2"/>
        <v>29.9903548469967</v>
      </c>
      <c r="U5">
        <f t="shared" si="2"/>
        <v>30.3827746622433</v>
      </c>
      <c r="V5">
        <f t="shared" si="2"/>
        <v>30.7803292387217</v>
      </c>
      <c r="W5">
        <f t="shared" si="2"/>
        <v>32.4232521666443</v>
      </c>
      <c r="X5">
        <f t="shared" si="2"/>
        <v>32.8475061206185</v>
      </c>
      <c r="Y5">
        <f t="shared" si="2"/>
        <v>33.2773113813073</v>
      </c>
      <c r="Z5">
        <f t="shared" si="2"/>
        <v>33.7127405868228</v>
      </c>
      <c r="AA5">
        <f t="shared" si="2"/>
        <v>34.153867325737</v>
      </c>
      <c r="AB5">
        <f t="shared" si="2"/>
        <v>34.6007661495188</v>
      </c>
      <c r="AC5">
        <f t="shared" si="2"/>
        <v>35.053512585133</v>
      </c>
    </row>
    <row r="6" spans="2:29">
      <c r="B6" t="s">
        <v>65</v>
      </c>
      <c r="C6">
        <v>10</v>
      </c>
      <c r="D6">
        <v>0.0352</v>
      </c>
      <c r="I6">
        <f>$C6*EXP(I$3*$D6)</f>
        <v>10</v>
      </c>
      <c r="J6">
        <f>$C6*EXP(J$3*$D6)</f>
        <v>10.3582685345516</v>
      </c>
      <c r="K6">
        <f>$C6*EXP(K$3*$D6)</f>
        <v>10.7293727033881</v>
      </c>
      <c r="L6">
        <f>$C6*EXP(L$3*$D6)</f>
        <v>11.1137723668982</v>
      </c>
      <c r="M6">
        <f>$C6*EXP(M$3*$D6)</f>
        <v>11.5119438608211</v>
      </c>
      <c r="N6">
        <f>$C6*EXP(N$3*$D6)</f>
        <v>11.9243805865067</v>
      </c>
      <c r="O6">
        <f>$C6*EXP(O$3*$D6)</f>
        <v>12.351593622323</v>
      </c>
      <c r="P6">
        <f t="shared" ref="P6:AC6" si="3">$C6*EXP(P$3*$D6)</f>
        <v>14.2190852371858</v>
      </c>
      <c r="Q6">
        <f t="shared" si="3"/>
        <v>14.7285103202448</v>
      </c>
      <c r="R6">
        <f t="shared" si="3"/>
        <v>15.256186501101</v>
      </c>
      <c r="S6">
        <f t="shared" si="3"/>
        <v>15.8027676591605</v>
      </c>
      <c r="T6">
        <f t="shared" si="3"/>
        <v>16.3689311002712</v>
      </c>
      <c r="U6">
        <f t="shared" si="3"/>
        <v>16.9553783960182</v>
      </c>
      <c r="V6">
        <f t="shared" si="3"/>
        <v>17.5628362530891</v>
      </c>
      <c r="W6">
        <f t="shared" si="3"/>
        <v>20.2182384982354</v>
      </c>
      <c r="X6">
        <f t="shared" si="3"/>
        <v>20.9425943660332</v>
      </c>
      <c r="Y6">
        <f t="shared" si="3"/>
        <v>21.6929016253559</v>
      </c>
      <c r="Z6">
        <f t="shared" si="3"/>
        <v>22.4700900329046</v>
      </c>
      <c r="AA6">
        <f t="shared" si="3"/>
        <v>23.2751226556377</v>
      </c>
      <c r="AB6">
        <f t="shared" si="3"/>
        <v>24.1089970641721</v>
      </c>
      <c r="AC6">
        <f t="shared" si="3"/>
        <v>24.972746568941</v>
      </c>
    </row>
    <row r="7" spans="2:29">
      <c r="B7" t="s">
        <v>66</v>
      </c>
      <c r="C7">
        <v>2</v>
      </c>
      <c r="D7">
        <v>0.0775</v>
      </c>
      <c r="I7">
        <f>$C7*EXP(I$3*$D7)</f>
        <v>2</v>
      </c>
      <c r="J7">
        <f>$C7*EXP(J$3*$D7)</f>
        <v>2.16116446491712</v>
      </c>
      <c r="K7">
        <f>$C7*EXP(K$3*$D7)</f>
        <v>2.33531592221025</v>
      </c>
      <c r="L7">
        <f>$C7*EXP(L$3*$D7)</f>
        <v>2.52350089271797</v>
      </c>
      <c r="M7">
        <f>$C7*EXP(M$3*$D7)</f>
        <v>2.72685022826436</v>
      </c>
      <c r="N7">
        <f>$C7*EXP(N$3*$D7)</f>
        <v>2.94658590723803</v>
      </c>
      <c r="O7">
        <f>$C7*EXP(O$3*$D7)</f>
        <v>3.1840283777742</v>
      </c>
      <c r="P7">
        <f t="shared" ref="P7:AC7" si="4">$C7*EXP(P$3*$D7)</f>
        <v>4.34118425436689</v>
      </c>
      <c r="Q7">
        <f t="shared" si="4"/>
        <v>4.69100657309772</v>
      </c>
      <c r="R7">
        <f t="shared" si="4"/>
        <v>5.06901835523571</v>
      </c>
      <c r="S7">
        <f t="shared" si="4"/>
        <v>5.47749117067402</v>
      </c>
      <c r="T7">
        <f t="shared" si="4"/>
        <v>5.91887963747898</v>
      </c>
      <c r="U7">
        <f t="shared" si="4"/>
        <v>6.39583617232055</v>
      </c>
      <c r="V7">
        <f t="shared" si="4"/>
        <v>6.91122692952535</v>
      </c>
      <c r="W7">
        <f t="shared" si="4"/>
        <v>9.42294036518148</v>
      </c>
      <c r="X7">
        <f t="shared" si="4"/>
        <v>10.1822619361317</v>
      </c>
      <c r="Y7">
        <f t="shared" si="4"/>
        <v>11.002771334423</v>
      </c>
      <c r="Z7">
        <f t="shared" si="4"/>
        <v>11.8893992117818</v>
      </c>
      <c r="AA7">
        <f t="shared" si="4"/>
        <v>12.8474735428583</v>
      </c>
      <c r="AB7">
        <f t="shared" si="4"/>
        <v>13.8827516423941</v>
      </c>
      <c r="AC7">
        <f t="shared" si="4"/>
        <v>15.0014547624059</v>
      </c>
    </row>
    <row r="10" spans="9:10">
      <c r="I10">
        <v>63</v>
      </c>
      <c r="J10">
        <v>25</v>
      </c>
    </row>
    <row r="11" spans="9:10">
      <c r="I11">
        <v>25</v>
      </c>
      <c r="J11">
        <v>35</v>
      </c>
    </row>
    <row r="12" spans="9:10">
      <c r="I12">
        <v>10</v>
      </c>
      <c r="J12">
        <v>25</v>
      </c>
    </row>
    <row r="13" spans="9:10">
      <c r="I13">
        <v>2</v>
      </c>
      <c r="J13">
        <v>15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M1" workbookViewId="0">
      <selection activeCell="Z17" sqref="Z1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hidden_score_curve</vt:lpstr>
      <vt:lpstr>gold_reward_curve</vt:lpstr>
      <vt:lpstr>item_luck_curve</vt:lpstr>
      <vt:lpstr>item_quality_luck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2026-08-08T12:20:00Z</dcterms:created>
  <dcterms:modified xsi:type="dcterms:W3CDTF">2026-08-19T14:52:14Z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4CB8C74977816FE4C47C746AD0AE41EF_42</vt:lpwstr>
  </property>
  <property fmtid="{D5CDD505-2E9C-101B-9397-08002B2CF9AE}" pid="3" name="KSOProductBuildVer">
    <vt:lpwstr>2052-6.1.0.8274</vt:lpwstr>
  </property>
</Properties>
</file>