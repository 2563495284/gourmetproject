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fd76f4b8494d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idden_score_curve" sheetId="1" r:id="R43f2a8db5fbb4564"/>
    <x:sheet xmlns:r="http://schemas.openxmlformats.org/officeDocument/2006/relationships" name="gold_reward_curve" sheetId="2" r:id="Ree3bf674b53243cd"/>
    <x:sheet xmlns:r="http://schemas.openxmlformats.org/officeDocument/2006/relationships" name="Sheet1" sheetId="3" r:id="R35fbaa2a2fcf4014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<x:sst xmlns:x="http://schemas.openxmlformats.org/spreadsheetml/2006/main">
  <x:si>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</x:si>
  <x:si>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</x:si>
  <x:si>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purpose</x:t>
  </x:si>
  <x:si>
    <x:t xml:space="preserve">weekList</x:t>
  </x:si>
  <x:si>
    <x:t xml:space="preserve">linearBase</x:t>
  </x:si>
  <x:si>
    <x:t xml:space="preserve">weekCoeff</x:t>
  </x:si>
  <x:si>
    <x:t xml:space="preserve">dayCoeff</x:t>
  </x:si>
  <x:si>
    <x:t xml:space="preserve">expConstant</x:t>
  </x:si>
  <x:si>
    <x:t xml:space="preserve">expWeekCoeff</x:t>
  </x:si>
  <x:si>
    <x:t xml:space="preserve">expDayCoeff</x:t>
  </x:si>
  <x:si>
    <x:t xml:space="preserve">roundTo</x:t>
  </x:si>
  <x:si>
    <x:t xml:space="preserve">##comment</x:t>
  </x:si>
  <x:si>
    <x:t xml:space="preserve">隐藏分曲线ID。</x:t>
  </x:si>
  <x:si>
    <x:t xml:space="preserve">曲线用途</x:t>
  </x:si>
  <x:si>
    <x:t xml:space="preserve">适用周数列表；空=不限。</x:t>
  </x:si>
  <x:si>
    <x:t xml:space="preserve">线性公式常量项。</x:t>
  </x:si>
  <x:si>
    <x:t xml:space="preserve">线性公式：周数系数。</x:t>
  </x:si>
  <x:si>
    <x:t xml:space="preserve">线性公式：当周过去天数系数。</x:t>
  </x:si>
  <x:si>
    <x:t xml:space="preserve">向上取整粒度。</x:t>
  </x:si>
  <x:si>
    <x:t xml:space="preserve">##type</x:t>
  </x:si>
  <x:si>
    <x:t xml:space="preserve">string</x:t>
  </x:si>
  <x:si>
    <x:t xml:space="preserve">HiddenScorePurpose</x:t>
  </x:si>
  <x:si>
    <x:t xml:space="preserve">(list#sep=,),int</x:t>
  </x:si>
  <x:si>
    <x:t xml:space="preserve">float</x:t>
  </x:si>
  <x:si>
    <x:t xml:space="preserve">int</x:t>
  </x:si>
  <x:si>
    <x:t xml:space="preserve">target_score_0</x:t>
  </x:si>
  <x:si>
    <x:t xml:space="preserve">TargetScore</x:t>
  </x:si>
  <x:si>
    <x:t xml:space="preserve">target_score_1</x:t>
  </x:si>
  <x:si>
    <x:t xml:space="preserve">target_score_2</x:t>
  </x:si>
  <x:si>
    <x:t xml:space="preserve">target_score_3</x:t>
  </x:si>
  <x:si>
    <x:t xml:space="preserve">target_score_4</x:t>
  </x:si>
  <x:si>
    <x:t xml:space="preserve">hidden_dish</x:t>
  </x:si>
  <x:si>
    <x:t xml:space="preserve">Dish</x:t>
  </x:si>
  <x:si>
    <x:t xml:space="preserve">hidden_passive_item</x:t>
  </x:si>
  <x:si>
    <x:t xml:space="preserve">PassiveItem</x:t>
  </x:si>
  <x:si>
    <x:t xml:space="preserve">hidden_fragment</x:t>
  </x:si>
  <x:si>
    <x:t xml:space="preserve">Fragment</x:t>
  </x:si>
  <x:si>
    <x:t xml:space="preserve">baseValue</x:t>
  </x:si>
  <x:si>
    <x:t xml:space="preserve">perWeek</x:t>
  </x:si>
  <x:si>
    <x:t xml:space="preserve">perDay</x:t>
  </x:si>
  <x:si>
    <x:t xml:space="preserve">fluctuationPct</x:t>
  </x:si>
  <x:si>
    <x:t xml:space="preserve">金币奖励曲线ID。</x:t>
  </x:si>
  <x:si>
    <x:t xml:space="preserve">金币奖励隐藏分基础值。</x:t>
  </x:si>
  <x:si>
    <x:t xml:space="preserve">每周递增值。</x:t>
  </x:si>
  <x:si>
    <x:t xml:space="preserve">每天数递增值。</x:t>
  </x:si>
  <x:si>
    <x:t xml:space="preserve">上下浮动比例</x:t>
  </x:si>
  <x:si>
    <x:t xml:space="preserve">gold_default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</x:si>
</x:sst>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color theme="1"/>
      <x:name val="宋体"/>
    </x:font>
    <x:font>
      <x:sz val="9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2" fillId="0" borderId="0">
      <x:alignment vertical="center"/>
    </x:xf>
    <x:xf numFmtId="0" fontId="3" fillId="0" borderId="0">
      <x:alignment vertical="center"/>
    </x:xf>
    <x:xf numFmtId="0" fontId="0" fillId="2" borderId="1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0">
      <x:alignment vertical="center"/>
    </x:xf>
    <x:xf numFmtId="0" fontId="7" fillId="0" borderId="2">
      <x:alignment vertical="center"/>
    </x:xf>
    <x:xf numFmtId="0" fontId="8" fillId="0" borderId="2">
      <x:alignment vertical="center"/>
    </x:xf>
    <x:xf numFmtId="0" fontId="9" fillId="0" borderId="3">
      <x:alignment vertical="center"/>
    </x:xf>
    <x:xf numFmtId="0" fontId="9" fillId="0" borderId="0">
      <x:alignment vertical="center"/>
    </x:xf>
    <x:xf numFmtId="0" fontId="10" fillId="3" borderId="4">
      <x:alignment vertical="center"/>
    </x:xf>
    <x:xf numFmtId="0" fontId="11" fillId="4" borderId="5">
      <x:alignment vertical="center"/>
    </x:xf>
    <x:xf numFmtId="0" fontId="12" fillId="4" borderId="4">
      <x:alignment vertical="center"/>
    </x:xf>
    <x:xf numFmtId="0" fontId="13" fillId="5" borderId="6">
      <x:alignment vertical="center"/>
    </x:xf>
    <x:xf numFmtId="0" fontId="14" fillId="0" borderId="7">
      <x:alignment vertical="center"/>
    </x:xf>
    <x:xf numFmtId="0" fontId="15" fillId="0" borderId="8">
      <x:alignment vertical="center"/>
    </x:xf>
    <x:xf numFmtId="0" fontId="16" fillId="6" borderId="0">
      <x:alignment vertical="center"/>
    </x:xf>
    <x:xf numFmtId="0" fontId="17" fillId="7" borderId="0">
      <x:alignment vertical="center"/>
    </x:xf>
    <x:xf numFmtId="0" fontId="18" fillId="8" borderId="0">
      <x:alignment vertical="center"/>
    </x:xf>
    <x:xf numFmtId="0" fontId="19" fillId="9" borderId="0">
      <x:alignment vertical="center"/>
    </x:xf>
    <x:xf numFmtId="0" fontId="20" fillId="10" borderId="0">
      <x:alignment vertical="center"/>
    </x:xf>
    <x:xf numFmtId="0" fontId="20" fillId="11" borderId="0">
      <x:alignment vertical="center"/>
    </x:xf>
    <x:xf numFmtId="0" fontId="19" fillId="12" borderId="0">
      <x:alignment vertical="center"/>
    </x:xf>
    <x:xf numFmtId="0" fontId="19" fillId="13" borderId="0">
      <x:alignment vertical="center"/>
    </x:xf>
    <x:xf numFmtId="0" fontId="20" fillId="14" borderId="0">
      <x:alignment vertical="center"/>
    </x:xf>
    <x:xf numFmtId="0" fontId="20" fillId="15" borderId="0">
      <x:alignment vertical="center"/>
    </x:xf>
    <x:xf numFmtId="0" fontId="19" fillId="16" borderId="0">
      <x:alignment vertical="center"/>
    </x:xf>
    <x:xf numFmtId="0" fontId="19" fillId="17" borderId="0">
      <x:alignment vertical="center"/>
    </x:xf>
    <x:xf numFmtId="0" fontId="20" fillId="18" borderId="0">
      <x:alignment vertical="center"/>
    </x:xf>
    <x:xf numFmtId="0" fontId="20" fillId="19" borderId="0">
      <x:alignment vertical="center"/>
    </x:xf>
    <x:xf numFmtId="0" fontId="19" fillId="20" borderId="0">
      <x:alignment vertical="center"/>
    </x:xf>
    <x:xf numFmtId="0" fontId="19" fillId="21" borderId="0">
      <x:alignment vertical="center"/>
    </x:xf>
    <x:xf numFmtId="0" fontId="20" fillId="22" borderId="0">
      <x:alignment vertical="center"/>
    </x:xf>
    <x:xf numFmtId="0" fontId="20" fillId="23" borderId="0">
      <x:alignment vertical="center"/>
    </x:xf>
    <x:xf numFmtId="0" fontId="19" fillId="24" borderId="0">
      <x:alignment vertical="center"/>
    </x:xf>
    <x:xf numFmtId="0" fontId="19" fillId="25" borderId="0">
      <x:alignment vertical="center"/>
    </x:xf>
    <x:xf numFmtId="0" fontId="20" fillId="26" borderId="0">
      <x:alignment vertical="center"/>
    </x:xf>
    <x:xf numFmtId="0" fontId="20" fillId="27" borderId="0">
      <x:alignment vertical="center"/>
    </x:xf>
    <x:xf numFmtId="0" fontId="19" fillId="28" borderId="0">
      <x:alignment vertical="center"/>
    </x:xf>
    <x:xf numFmtId="0" fontId="19" fillId="29" borderId="0">
      <x:alignment vertical="center"/>
    </x:xf>
    <x:xf numFmtId="0" fontId="20" fillId="30" borderId="0">
      <x:alignment vertical="center"/>
    </x:xf>
    <x:xf numFmtId="0" fontId="20" fillId="31" borderId="0">
      <x:alignment vertical="center"/>
    </x:xf>
    <x:xf numFmtId="0" fontId="19" fillId="32" borderId="0">
      <x:alignment vertical="center"/>
    </x:xf>
  </x:cellStyleXfs>
  <x:cellXfs count="3">
    <x:xf numFmtId="0" fontId="0" fillId="0" borderId="0" xfId="0"/>
    <x:xf numFmtId="0" fontId="0" fillId="0" borderId="0" xfId="0" applyAlignment="1">
      <x:alignment horizontal="center" vertical="center"/>
    </x:xf>
    <x:xf numFmtId="0" fontId="1" fillId="0" borderId="0" xfId="0" applyFont="1"/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b40d058316497d" /><Relationship Type="http://schemas.openxmlformats.org/officeDocument/2006/relationships/theme" Target="/xl/theme/theme1.xml" Id="Raf7433813446418c" /><Relationship Type="http://schemas.openxmlformats.org/officeDocument/2006/relationships/sharedStrings" Target="/xl/sharedStrings.xml" Id="R99a573a12ae04244" /><Relationship Type="http://schemas.openxmlformats.org/officeDocument/2006/relationships/worksheet" Target="/xl/worksheets/sheet1.xml" Id="R43f2a8db5fbb4564" /><Relationship Type="http://schemas.openxmlformats.org/officeDocument/2006/relationships/worksheet" Target="/xl/worksheets/sheet2.xml" Id="Ree3bf674b53243cd" /><Relationship Type="http://schemas.openxmlformats.org/officeDocument/2006/relationships/worksheet" Target="/xl/worksheets/sheet3.xml" Id="R35fbaa2a2fcf401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cb9e50828294b52" /><Relationship Type="http://schemas.openxmlformats.org/officeDocument/2006/relationships/chart" Target="/xl/drawings/charts/chart2.xml" Id="R3d0b5425c9ed483b" /></Relationships>
</file>

<file path=xl/drawings/charts/chart1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i="0" u="none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i="0" u="none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c:spPr>
          <c:dLbls>
            <c:delete val="1"/>
          </c:dLbls>
          <c:cat>
            <c:strLit>
              <c:ptCount val="0"/>
            </c:strLit>
          </c:cat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  <a:prstDash val="solid"/>
          </a:ln>
        </c:spPr>
        <c:txPr>
          <a:bodyPr xmlns:a="http://schemas.openxmlformats.org/drawingml/2006/main" rot="-60000000" spcFirstLastPara="0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525357570"/>
        <c:crosses val="autoZero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noFill/>
            <a:prstDash val="solid"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65240976"/>
        <c:crosses val="autoZero"/>
        <c:crossBetween val="between"/>
      </c:valAx>
    </c:plotArea>
    <c:plotVisOnly val="1"/>
  </c:chart>
</c:chartSpace>
</file>

<file path=xl/drawings/charts/chart2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i="0" u="none">
                <a:solidFill>
                  <a:schemeClr val="tx1"/>
                </a:solidFill>
                <a:latin typeface="+mn-lt"/>
                <a:ea typeface="+mn-lt"/>
                <a:cs typeface="+mn-lt"/>
              </a:rPr>
              <a:t>None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i="0" u="none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spPr>
            <a:ln xmlns:a="http://schemas.openxmlformats.org/drawingml/2006/main" w="28575" cmpd="sng">
              <a:solidFill>
                <a:schemeClr val="accent1"/>
              </a:solidFill>
              <a:prstDash val="solid"/>
            </a:ln>
          </c:spPr>
          <c:marker>
            <c:symbol val="none"/>
          </c:marker>
          <c:dLbls>
            <c:delete val="1"/>
          </c:dLbls>
          <c:cat>
            <c:strLit>
              <c:ptCount val="0"/>
            </c:strLit>
          </c:cat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  <a:prstDash val="solid"/>
          </a:ln>
        </c:spPr>
        <c:txPr>
          <a:bodyPr xmlns:a="http://schemas.openxmlformats.org/drawingml/2006/main" rot="-60000000" spcFirstLastPara="0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360099976"/>
        <c:crosses val="autoZero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noFill/>
            <a:prstDash val="solid"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803373185"/>
        <c:crosses val="autoZero"/>
        <c:crossBetween val="between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cb9e50828294b52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0b5425c9ed483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141e8fca0a2c477a" /></Relationships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6.69230842590332" style="1" customWidth="1"/>
    <x:col min="3" max="3" width="21.153846740722656" style="1" customWidth="1"/>
    <x:col min="4" max="4" width="28.923076629638672" style="1" customWidth="1"/>
    <x:col min="5" max="5" width="20" style="1" customWidth="1"/>
    <x:col min="6" max="6" width="24.846153259277344" style="1" customWidth="1"/>
    <x:col min="7" max="7" width="34.53845977783203" style="1" customWidth="1"/>
    <x:col min="8" max="8" width="27.69230842590332" style="1" customWidth="1"/>
    <x:col min="9" max="9" width="26.461538314819336" style="1" customWidth="1"/>
    <x:col min="10" max="10" width="25.923076629638672" style="1" customWidth="1"/>
    <x:col min="11" max="11" width="17.615385055541992" style="1" customWidth="1"/>
    <x:col min="12" max="12" width="10.384614944458008" style="1" customWidth="1"/>
    <x:col min="13" max="16384" width="9" style="1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</x:row>
    <x:row r="2">
      <x:c r="A2" s="1" t="s">
        <x:v>11</x:v>
      </x:c>
      <x:c r="B2" s="1" t="s">
        <x:v>12</x:v>
      </x:c>
      <x:c r="C2" s="1" t="s">
        <x:v>13</x:v>
      </x:c>
      <x:c r="D2" s="1" t="s">
        <x:v>14</x:v>
      </x:c>
      <x:c r="E2" s="1" t="s">
        <x:v>15</x:v>
      </x:c>
      <x:c r="F2" s="1" t="s">
        <x:v>16</x:v>
      </x:c>
      <x:c r="G2" s="1" t="s">
        <x:v>17</x:v>
      </x:c>
      <x:c r="H2" s="1" t="str">
        <x:v>目标美味值指数公式常量 k0。</x:v>
      </x:c>
      <x:c r="I2" s="1" t="str">
        <x:v>目标美味值指数公式kWeek。</x:v>
      </x:c>
      <x:c r="J2" s="1" t="str">
        <x:v>目标美味值指数公式 kDay。</x:v>
      </x:c>
      <x:c r="K2" s="1" t="s">
        <x:v>18</x:v>
      </x:c>
      <x:c r="M2" s="2" t="str">
        <x:v>目标美味值 = exp(k0 + kWeek*周数 + kDay*当周过去天数)</x:v>
      </x:c>
    </x:row>
    <x:row r="3">
      <x:c r="A3" s="1" t="s">
        <x:v>19</x:v>
      </x:c>
      <x:c r="B3" s="1" t="s">
        <x:v>20</x:v>
      </x:c>
      <x:c r="C3" s="1" t="s">
        <x:v>21</x:v>
      </x:c>
      <x:c r="D3" s="1" t="s">
        <x:v>22</x:v>
      </x:c>
      <x:c r="E3" s="1" t="s">
        <x:v>23</x:v>
      </x:c>
      <x:c r="F3" s="1" t="s">
        <x:v>23</x:v>
      </x:c>
      <x:c r="G3" s="1" t="s">
        <x:v>23</x:v>
      </x:c>
      <x:c r="H3" s="1" t="s">
        <x:v>23</x:v>
      </x:c>
      <x:c r="I3" s="1" t="s">
        <x:v>23</x:v>
      </x:c>
      <x:c r="J3" s="1" t="s">
        <x:v>23</x:v>
      </x:c>
      <x:c r="K3" s="1" t="s">
        <x:v>24</x:v>
      </x:c>
      <x:c r="M3" s="2"/>
      <x:c r="N3" s="1">
        <x:v>0</x:v>
      </x:c>
      <x:c r="O3" s="1">
        <x:v>1</x:v>
      </x:c>
      <x:c r="P3" s="1">
        <x:v>2</x:v>
      </x:c>
      <x:c r="Q3" s="1">
        <x:v>3</x:v>
      </x:c>
      <x:c r="R3" s="1">
        <x:v>4</x:v>
      </x:c>
      <x:c r="S3" s="1">
        <x:v>5</x:v>
      </x:c>
      <x:c r="T3" s="1">
        <x:v>6</x:v>
      </x:c>
      <x:c r="U3" s="1">
        <x:v>7</x:v>
      </x:c>
      <x:c r="V3" s="1">
        <x:v>7.5</x:v>
      </x:c>
    </x:row>
    <x:row r="4">
      <x:c r="B4" s="1" t="s">
        <x:v>25</x:v>
      </x:c>
      <x:c r="C4" s="1" t="s">
        <x:v>26</x:v>
      </x:c>
      <x:c r="D4" s="1">
        <x:v>0</x:v>
      </x:c>
      <x:c r="E4" s="1">
        <x:v>0</x:v>
      </x:c>
      <x:c r="F4" s="1">
        <x:v>0</x:v>
      </x:c>
      <x:c r="G4" s="1">
        <x:v>0</x:v>
      </x:c>
      <x:c r="H4" s="1">
        <x:v>4</x:v>
      </x:c>
      <x:c r="I4" s="1">
        <x:v>0</x:v>
      </x:c>
      <x:c r="J4" s="1">
        <x:v>0.5</x:v>
      </x:c>
      <x:c r="K4" s="1">
        <x:v>10</x:v>
      </x:c>
      <x:c r="N4" s="1" t="n">
        <x:f>ROUNDUP(EXP($H4+$D4*$I4+$J4*N$3),-1)</x:f>
        <x:v>60</x:v>
      </x:c>
      <x:c r="O4" s="1" t="n">
        <x:f t="shared" ref="O4:V4" si="0">ROUNDUP(EXP($H4+$D4*$I4+$J4*O$3),-1)</x:f>
        <x:v>100</x:v>
      </x:c>
      <x:c r="P4" s="1">
        <x:f t="shared" si="0"/>
        <x:v>150</x:v>
      </x:c>
      <x:c r="Q4" s="1">
        <x:f t="shared" si="0"/>
        <x:v>250</x:v>
      </x:c>
      <x:c r="R4" s="1">
        <x:f t="shared" si="0"/>
        <x:v>410</x:v>
      </x:c>
      <x:c r="S4" s="1">
        <x:f t="shared" si="0"/>
        <x:v>670</x:v>
      </x:c>
      <x:c r="T4" s="1">
        <x:f t="shared" si="0"/>
        <x:v>1100</x:v>
      </x:c>
      <x:c r="U4" s="1">
        <x:f t="shared" si="0"/>
        <x:v>1810</x:v>
      </x:c>
      <x:c r="V4" s="1">
        <x:f t="shared" si="0"/>
        <x:v>2330</x:v>
      </x:c>
    </x:row>
    <x:row r="5">
      <x:c r="B5" s="1" t="s">
        <x:v>27</x:v>
      </x:c>
      <x:c r="C5" s="1" t="s">
        <x:v>26</x:v>
      </x:c>
      <x:c r="D5" s="1">
        <x:v>1</x:v>
      </x:c>
      <x:c r="E5" s="1">
        <x:v>0</x:v>
      </x:c>
      <x:c r="F5" s="1">
        <x:v>0</x:v>
      </x:c>
      <x:c r="G5" s="1">
        <x:v>0</x:v>
      </x:c>
      <x:c r="H5" s="1">
        <x:v>5.5</x:v>
      </x:c>
      <x:c r="I5" s="1">
        <x:v>0</x:v>
      </x:c>
      <x:c r="J5" s="1">
        <x:v>0.33</x:v>
      </x:c>
      <x:c r="K5" s="1">
        <x:v>100</x:v>
      </x:c>
      <x:c r="N5" s="1" t="n">
        <x:f>ROUNDUP(EXP($H5+$D5*$I5+$J5*N$3),-2)</x:f>
        <x:v>300</x:v>
      </x:c>
      <x:c r="O5" s="1" t="n">
        <x:f t="shared" ref="O5:V5" si="1">ROUNDUP(EXP($H5+$D5*$I5+$J5*O$3),-2)</x:f>
        <x:v>400</x:v>
      </x:c>
      <x:c r="P5" s="1">
        <x:f t="shared" si="1"/>
        <x:v>500</x:v>
      </x:c>
      <x:c r="Q5" s="1">
        <x:f t="shared" si="1"/>
        <x:v>700</x:v>
      </x:c>
      <x:c r="R5" s="1">
        <x:f t="shared" si="1"/>
        <x:v>1000</x:v>
      </x:c>
      <x:c r="S5" s="1">
        <x:f t="shared" si="1"/>
        <x:v>1300</x:v>
      </x:c>
      <x:c r="T5" s="1">
        <x:f t="shared" si="1"/>
        <x:v>1800</x:v>
      </x:c>
      <x:c r="U5" s="1">
        <x:f t="shared" si="1"/>
        <x:v>2500</x:v>
      </x:c>
      <x:c r="V5" s="1">
        <x:f t="shared" si="1"/>
        <x:v>3000</x:v>
      </x:c>
    </x:row>
    <x:row r="6">
      <x:c r="B6" s="1" t="s">
        <x:v>28</x:v>
      </x:c>
      <x:c r="C6" s="1" t="s">
        <x:v>26</x:v>
      </x:c>
      <x:c r="D6" s="1">
        <x:v>2</x:v>
      </x:c>
      <x:c r="E6" s="1">
        <x:v>0</x:v>
      </x:c>
      <x:c r="F6" s="1">
        <x:v>0</x:v>
      </x:c>
      <x:c r="G6" s="1">
        <x:v>0</x:v>
      </x:c>
      <x:c r="H6" s="1">
        <x:v>7.5</x:v>
      </x:c>
      <x:c r="I6" s="1">
        <x:v>0</x:v>
      </x:c>
      <x:c r="J6" s="1">
        <x:v>0.375</x:v>
      </x:c>
      <x:c r="K6" s="1">
        <x:v>1000</x:v>
      </x:c>
      <x:c r="N6" s="1" t="n">
        <x:f>ROUNDUP(EXP($H6+$D6*$I6+$J6*N$3),-3)</x:f>
        <x:v>2000</x:v>
      </x:c>
      <x:c r="O6" s="1" t="n">
        <x:f t="shared" ref="O6:V6" si="2">ROUNDUP(EXP($H6+$D6*$I6+$J6*O$3),-3)</x:f>
        <x:v>3000</x:v>
      </x:c>
      <x:c r="P6" s="1">
        <x:f t="shared" si="2"/>
        <x:v>4000</x:v>
      </x:c>
      <x:c r="Q6" s="1">
        <x:f t="shared" si="2"/>
        <x:v>6000</x:v>
      </x:c>
      <x:c r="R6" s="1">
        <x:f t="shared" si="2"/>
        <x:v>9000</x:v>
      </x:c>
      <x:c r="S6" s="1">
        <x:f t="shared" si="2"/>
        <x:v>12000</x:v>
      </x:c>
      <x:c r="T6" s="1">
        <x:f t="shared" si="2"/>
        <x:v>18000</x:v>
      </x:c>
      <x:c r="U6" s="1">
        <x:f t="shared" si="2"/>
        <x:v>25000</x:v>
      </x:c>
      <x:c r="V6" s="1">
        <x:f t="shared" si="2"/>
        <x:v>31000</x:v>
      </x:c>
    </x:row>
    <x:row r="7">
      <x:c r="B7" s="1" t="s">
        <x:v>29</x:v>
      </x:c>
      <x:c r="C7" s="1" t="s">
        <x:v>26</x:v>
      </x:c>
      <x:c r="D7" s="1">
        <x:v>3</x:v>
      </x:c>
      <x:c r="E7" s="1">
        <x:v>0</x:v>
      </x:c>
      <x:c r="F7" s="1">
        <x:v>0</x:v>
      </x:c>
      <x:c r="G7" s="1">
        <x:v>0</x:v>
      </x:c>
      <x:c r="H7" s="1">
        <x:v>10</x:v>
      </x:c>
      <x:c r="I7" s="1">
        <x:v>0</x:v>
      </x:c>
      <x:c r="J7" s="1">
        <x:v>0.373</x:v>
      </x:c>
      <x:c r="K7" s="1">
        <x:v>10000</x:v>
      </x:c>
      <x:c r="N7" s="1" t="n">
        <x:f>ROUNDUP(EXP($H7+$D7*$I7+$J7*N$3),-4)</x:f>
        <x:v>30000</x:v>
      </x:c>
      <x:c r="O7" s="1" t="n">
        <x:f t="shared" ref="O7:V7" si="3">ROUNDUP(EXP($H7+$D7*$I7+$J7*O$3),-4)</x:f>
        <x:v>40000</x:v>
      </x:c>
      <x:c r="P7" s="1">
        <x:f t="shared" si="3"/>
        <x:v>50000</x:v>
      </x:c>
      <x:c r="Q7" s="1">
        <x:f t="shared" si="3"/>
        <x:v>70000</x:v>
      </x:c>
      <x:c r="R7" s="1">
        <x:f t="shared" si="3"/>
        <x:v>100000</x:v>
      </x:c>
      <x:c r="S7" s="1">
        <x:f t="shared" si="3"/>
        <x:v>150000</x:v>
      </x:c>
      <x:c r="T7" s="1">
        <x:f t="shared" si="3"/>
        <x:v>210000</x:v>
      </x:c>
      <x:c r="U7" s="1">
        <x:f t="shared" si="3"/>
        <x:v>300000</x:v>
      </x:c>
      <x:c r="V7" s="1">
        <x:f t="shared" si="3"/>
        <x:v>370000</x:v>
      </x:c>
    </x:row>
    <x:row r="8">
      <x:c r="B8" s="1" t="s">
        <x:v>30</x:v>
      </x:c>
      <x:c r="C8" s="1" t="s">
        <x:v>26</x:v>
      </x:c>
      <x:c r="D8" s="1">
        <x:v>4</x:v>
      </x:c>
      <x:c r="E8" s="1">
        <x:v>0</x:v>
      </x:c>
      <x:c r="F8" s="1">
        <x:v>0</x:v>
      </x:c>
      <x:c r="G8" s="1">
        <x:v>0</x:v>
      </x:c>
      <x:c r="H8" s="1">
        <x:v>12</x:v>
      </x:c>
      <x:c r="I8" s="1">
        <x:v>0</x:v>
      </x:c>
      <x:c r="J8" s="1">
        <x:v>0.324</x:v>
      </x:c>
      <x:c r="K8" s="1">
        <x:v>100000</x:v>
      </x:c>
      <x:c r="N8" s="1" t="n">
        <x:f>ROUND(EXP($H8+$D8*$I8+$J8*N$3),-5)</x:f>
        <x:v>200000</x:v>
      </x:c>
      <x:c r="O8" s="1" t="n">
        <x:f t="shared" ref="O8:V8" si="4">ROUND(EXP($H8+$D8*$I8+$J8*O$3),-5)</x:f>
        <x:v>200000</x:v>
      </x:c>
      <x:c r="P8" s="1">
        <x:f t="shared" si="4"/>
        <x:v>300000</x:v>
      </x:c>
      <x:c r="Q8" s="1">
        <x:f t="shared" si="4"/>
        <x:v>400000</x:v>
      </x:c>
      <x:c r="R8" s="1">
        <x:f t="shared" si="4"/>
        <x:v>600000</x:v>
      </x:c>
      <x:c r="S8" s="1">
        <x:f t="shared" si="4"/>
        <x:v>800000</x:v>
      </x:c>
      <x:c r="T8" s="1">
        <x:f t="shared" si="4"/>
        <x:v>1100000</x:v>
      </x:c>
      <x:c r="U8" s="1">
        <x:f t="shared" si="4"/>
        <x:v>1600000</x:v>
      </x:c>
      <x:c r="V8" s="1">
        <x:f t="shared" si="4"/>
        <x:v>1800000</x:v>
      </x:c>
    </x:row>
    <x:row r="9">
      <x:c r="B9" s="1" t="s">
        <x:v>31</x:v>
      </x:c>
      <x:c r="C9" s="1" t="s">
        <x:v>32</x:v>
      </x:c>
      <x:c r="E9" s="1">
        <x:v>10</x:v>
      </x:c>
      <x:c r="F9" s="1">
        <x:v>10</x:v>
      </x:c>
      <x:c r="G9" s="1">
        <x:v>1</x:v>
      </x:c>
      <x:c r="H9" s="1">
        <x:v>0</x:v>
      </x:c>
      <x:c r="I9" s="1">
        <x:v>0</x:v>
      </x:c>
      <x:c r="J9" s="1">
        <x:v>0</x:v>
      </x:c>
      <x:c r="K9" s="1">
        <x:v>1</x:v>
      </x:c>
    </x:row>
    <x:row r="10">
      <x:c r="B10" s="1" t="s">
        <x:v>33</x:v>
      </x:c>
      <x:c r="C10" s="1" t="s">
        <x:v>34</x:v>
      </x:c>
      <x:c r="E10" s="1">
        <x:v>10</x:v>
      </x:c>
      <x:c r="F10" s="1">
        <x:v>10</x:v>
      </x:c>
      <x:c r="G10" s="1">
        <x:v>1</x:v>
      </x:c>
      <x:c r="H10" s="1">
        <x:v>0</x:v>
      </x:c>
      <x:c r="I10" s="1">
        <x:v>0</x:v>
      </x:c>
      <x:c r="J10" s="1">
        <x:v>0</x:v>
      </x:c>
      <x:c r="K10" s="1">
        <x:v>1</x:v>
      </x:c>
    </x:row>
    <x:row r="11">
      <x:c r="B11" s="1" t="s">
        <x:v>35</x:v>
      </x:c>
      <x:c r="C11" s="1" t="s">
        <x:v>36</x:v>
      </x:c>
      <x:c r="E11" s="1">
        <x:v>10</x:v>
      </x:c>
      <x:c r="F11" s="1">
        <x:v>10</x:v>
      </x:c>
      <x:c r="G11" s="1">
        <x:v>1</x:v>
      </x:c>
      <x:c r="H11" s="1">
        <x:v>0</x:v>
      </x:c>
      <x:c r="I11" s="1">
        <x:v>0</x:v>
      </x:c>
      <x:c r="J11" s="1">
        <x:v>0</x:v>
      </x:c>
      <x:c r="K11" s="1">
        <x:v>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9" style="1" customWidth="0"/>
    <x:col min="2" max="2" width="20.384614944458008" style="1" customWidth="1"/>
    <x:col min="3" max="4" width="32.153846740722656" style="1" customWidth="1"/>
    <x:col min="5" max="5" width="20" style="1" customWidth="1"/>
    <x:col min="6" max="7" width="15.15384578704834" style="1" customWidth="1"/>
    <x:col min="8" max="8" width="7.846153736114502" style="1" customWidth="1"/>
    <x:col min="9" max="17" width="6.730769157409668" style="1" customWidth="1"/>
    <x:col min="18" max="16384" width="9" style="1" customWidth="0"/>
  </x:cols>
  <x:sheetData>
    <x:row r="1">
      <x:c r="A1" s="1" t="s">
        <x:v>0</x:v>
      </x:c>
      <x:c r="B1" s="1" t="s">
        <x:v>1</x:v>
      </x:c>
      <x:c r="C1" s="1" t="s">
        <x:v>37</x:v>
      </x:c>
      <x:c r="D1" s="1" t="s">
        <x:v>38</x:v>
      </x:c>
      <x:c r="E1" s="1" t="s">
        <x:v>39</x:v>
      </x:c>
      <x:c r="F1" s="1" t="s">
        <x:v>40</x:v>
      </x:c>
    </x:row>
    <x:row r="2">
      <x:c r="A2" s="1" t="s">
        <x:v>11</x:v>
      </x:c>
      <x:c r="B2" s="1" t="s">
        <x:v>41</x:v>
      </x:c>
      <x:c r="C2" s="1" t="s">
        <x:v>42</x:v>
      </x:c>
      <x:c r="D2" s="1" t="s">
        <x:v>43</x:v>
      </x:c>
      <x:c r="E2" s="1" t="s">
        <x:v>44</x:v>
      </x:c>
      <x:c r="F2" s="1" t="s">
        <x:v>45</x:v>
      </x:c>
    </x:row>
    <x:row r="3">
      <x:c r="A3" s="1" t="s">
        <x:v>19</x:v>
      </x:c>
      <x:c r="B3" s="1" t="s">
        <x:v>20</x:v>
      </x:c>
      <x:c r="C3" s="1" t="s">
        <x:v>23</x:v>
      </x:c>
      <x:c r="D3" s="1" t="s">
        <x:v>23</x:v>
      </x:c>
      <x:c r="E3" s="1" t="s">
        <x:v>23</x:v>
      </x:c>
      <x:c r="F3" s="1" t="s">
        <x:v>23</x:v>
      </x:c>
      <x:c r="I3" s="1">
        <x:v>0</x:v>
      </x:c>
      <x:c r="J3" s="1">
        <x:v>1</x:v>
      </x:c>
      <x:c r="K3" s="1">
        <x:v>2</x:v>
      </x:c>
      <x:c r="L3" s="1">
        <x:v>3</x:v>
      </x:c>
      <x:c r="M3" s="1">
        <x:v>4</x:v>
      </x:c>
      <x:c r="N3" s="1">
        <x:v>5</x:v>
      </x:c>
      <x:c r="O3" s="1">
        <x:v>6</x:v>
      </x:c>
      <x:c r="P3" s="1">
        <x:v>7</x:v>
      </x:c>
      <x:c r="Q3" s="1">
        <x:v>7.5</x:v>
      </x:c>
    </x:row>
    <x:row r="4">
      <x:c r="B4" s="1" t="s">
        <x:v>46</x:v>
      </x:c>
      <x:c r="C4" s="1">
        <x:v>20</x:v>
      </x:c>
      <x:c r="D4" s="1">
        <x:v>10</x:v>
      </x:c>
      <x:c r="E4" s="1">
        <x:v>3</x:v>
      </x:c>
      <x:c r="F4" s="1">
        <x:v>0.2</x:v>
      </x:c>
      <x:c r="H4" s="1">
        <x:v>1</x:v>
      </x:c>
      <x:c r="I4" s="1" t="n">
        <x:f>$C$4+$D$4*$H4+I$3*$E$4</x:f>
        <x:v>30</x:v>
      </x:c>
      <x:c r="J4" s="1" t="n">
        <x:f t="shared" ref="J4:Q4" si="0">$C$4+$D$4*$H4+J$3*$E$4</x:f>
        <x:v>33</x:v>
      </x:c>
      <x:c r="K4" s="1">
        <x:f t="shared" si="0"/>
        <x:v>36</x:v>
      </x:c>
      <x:c r="L4" s="1">
        <x:f t="shared" si="0"/>
        <x:v>39</x:v>
      </x:c>
      <x:c r="M4" s="1">
        <x:f t="shared" si="0"/>
        <x:v>42</x:v>
      </x:c>
      <x:c r="N4" s="1">
        <x:f t="shared" si="0"/>
        <x:v>45</x:v>
      </x:c>
      <x:c r="O4" s="1">
        <x:f t="shared" si="0"/>
        <x:v>48</x:v>
      </x:c>
      <x:c r="P4" s="1">
        <x:f t="shared" si="0"/>
        <x:v>51</x:v>
      </x:c>
      <x:c r="Q4" s="1">
        <x:f t="shared" si="0"/>
        <x:v>52.5</x:v>
      </x:c>
    </x:row>
    <x:row r="5">
      <x:c r="H5" s="1">
        <x:v>2</x:v>
      </x:c>
      <x:c r="I5" s="1" t="n">
        <x:f>$C$4+$D$4*$H5+I$3*$E$4</x:f>
        <x:v>40</x:v>
      </x:c>
      <x:c r="J5" s="1" t="n">
        <x:f>$C$4+$D$4*$H5+J$3*$E$4</x:f>
        <x:v>43</x:v>
      </x:c>
      <x:c r="K5" s="1" t="n">
        <x:f>$C$4+$D$4*$H5+K$3*$E$4</x:f>
        <x:v>46</x:v>
      </x:c>
      <x:c r="L5" s="1" t="n">
        <x:f>$C$4+$D$4*$H5+L$3*$E$4</x:f>
        <x:v>49</x:v>
      </x:c>
      <x:c r="M5" s="1" t="n">
        <x:f>$C$4+$D$4*$H5+M$3*$E$4</x:f>
        <x:v>52</x:v>
      </x:c>
      <x:c r="N5" s="1" t="n">
        <x:f>$C$4+$D$4*$H5+N$3*$E$4</x:f>
        <x:v>55</x:v>
      </x:c>
      <x:c r="O5" s="1" t="n">
        <x:f>$C$4+$D$4*$H5+O$3*$E$4</x:f>
        <x:v>58</x:v>
      </x:c>
      <x:c r="P5" s="1" t="n">
        <x:f>$C$4+$D$4*$H5+P$3*$E$4</x:f>
        <x:v>61</x:v>
      </x:c>
      <x:c r="Q5" s="1" t="n">
        <x:f>$C$4+$D$4*$H5+Q$3*$E$4</x:f>
        <x:v>62.5</x:v>
      </x:c>
    </x:row>
    <x:row r="6">
      <x:c r="H6" s="1">
        <x:v>3</x:v>
      </x:c>
      <x:c r="I6" s="1" t="n">
        <x:f>$C$4+$D$4*$H6+I$3*$E$4</x:f>
        <x:v>50</x:v>
      </x:c>
      <x:c r="J6" s="1" t="n">
        <x:f>$C$4+$D$4*$H6+J$3*$E$4</x:f>
        <x:v>53</x:v>
      </x:c>
      <x:c r="K6" s="1" t="n">
        <x:f>$C$4+$D$4*$H6+K$3*$E$4</x:f>
        <x:v>56</x:v>
      </x:c>
      <x:c r="L6" s="1" t="n">
        <x:f>$C$4+$D$4*$H6+L$3*$E$4</x:f>
        <x:v>59</x:v>
      </x:c>
      <x:c r="M6" s="1" t="n">
        <x:f>$C$4+$D$4*$H6+M$3*$E$4</x:f>
        <x:v>62</x:v>
      </x:c>
      <x:c r="N6" s="1" t="n">
        <x:f>$C$4+$D$4*$H6+N$3*$E$4</x:f>
        <x:v>65</x:v>
      </x:c>
      <x:c r="O6" s="1" t="n">
        <x:f>$C$4+$D$4*$H6+O$3*$E$4</x:f>
        <x:v>68</x:v>
      </x:c>
      <x:c r="P6" s="1" t="n">
        <x:f>$C$4+$D$4*$H6+P$3*$E$4</x:f>
        <x:v>71</x:v>
      </x:c>
      <x:c r="Q6" s="1" t="n">
        <x:f>$C$4+$D$4*$H6+Q$3*$E$4</x:f>
        <x:v>72.5</x:v>
      </x:c>
    </x:row>
    <x:row r="7">
      <x:c r="H7" s="1">
        <x:v>4</x:v>
      </x:c>
      <x:c r="I7" s="1" t="n">
        <x:f>$C$4+$D$4*$H7+I$3*$E$4</x:f>
        <x:v>60</x:v>
      </x:c>
      <x:c r="J7" s="1" t="n">
        <x:f>$C$4+$D$4*$H7+J$3*$E$4</x:f>
        <x:v>63</x:v>
      </x:c>
      <x:c r="K7" s="1" t="n">
        <x:f>$C$4+$D$4*$H7+K$3*$E$4</x:f>
        <x:v>66</x:v>
      </x:c>
      <x:c r="L7" s="1" t="n">
        <x:f>$C$4+$D$4*$H7+L$3*$E$4</x:f>
        <x:v>69</x:v>
      </x:c>
      <x:c r="M7" s="1" t="n">
        <x:f>$C$4+$D$4*$H7+M$3*$E$4</x:f>
        <x:v>72</x:v>
      </x:c>
      <x:c r="N7" s="1" t="n">
        <x:f>$C$4+$D$4*$H7+N$3*$E$4</x:f>
        <x:v>75</x:v>
      </x:c>
      <x:c r="O7" s="1" t="n">
        <x:f>$C$4+$D$4*$H7+O$3*$E$4</x:f>
        <x:v>78</x:v>
      </x:c>
      <x:c r="P7" s="1" t="n">
        <x:f>$C$4+$D$4*$H7+P$3*$E$4</x:f>
        <x:v>81</x:v>
      </x:c>
      <x:c r="Q7" s="1" t="n">
        <x:f>$C$4+$D$4*$H7+Q$3*$E$4</x:f>
        <x:v>82.5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0769157409668" defaultRowHeight="16.799999237060547"/>
  <x:cols>
    <x:col min="3" max="19" width="12.923076629638672" customWidth="1"/>
    <x:col min="20" max="20" width="14.076923370361328" customWidth="1"/>
    <x:col min="21" max="22" width="12.923076629638672" customWidth="1"/>
    <x:col min="23" max="23" width="14.076923370361328" customWidth="1"/>
    <x:col min="24" max="36" width="12.923076629638672" customWidth="1"/>
    <x:col min="37" max="38" width="10.692307472229004" customWidth="1"/>
    <x:col min="39" max="39" width="12.923076629638672" customWidth="1"/>
  </x:cols>
  <x:sheetData>
    <x:row r="3">
      <x:c r="B3">
        <x:v>1.5</x:v>
      </x:c>
      <x:c r="C3">
        <x:v>300</x:v>
      </x:c>
      <x:c r="D3" t="n">
        <x:f>C3*1.5</x:f>
        <x:v>450</x:v>
      </x:c>
      <x:c r="E3" t="n">
        <x:f>C3*2</x:f>
        <x:v>600</x:v>
      </x:c>
      <x:c r="F3">
        <x:v>800</x:v>
      </x:c>
      <x:c r="G3" t="n">
        <x:f>F3*1.5</x:f>
        <x:v>1200</x:v>
      </x:c>
      <x:c r="H3" t="n">
        <x:f>F3*2</x:f>
        <x:v>1600</x:v>
      </x:c>
      <x:c r="I3">
        <x:v>2000</x:v>
      </x:c>
      <x:c r="J3" t="n">
        <x:f>I3*1.5</x:f>
        <x:v>3000</x:v>
      </x:c>
      <x:c r="K3" t="n">
        <x:f>I3*2</x:f>
        <x:v>4000</x:v>
      </x:c>
      <x:c r="L3">
        <x:v>5000</x:v>
      </x:c>
      <x:c r="M3" t="n">
        <x:f>L3*1.5</x:f>
        <x:v>7500</x:v>
      </x:c>
      <x:c r="N3" t="n">
        <x:f>L3*2</x:f>
        <x:v>10000</x:v>
      </x:c>
      <x:c r="O3">
        <x:v>11000</x:v>
      </x:c>
      <x:c r="P3" t="n">
        <x:f>O3*1.5</x:f>
        <x:v>16500</x:v>
      </x:c>
      <x:c r="Q3" t="n">
        <x:f>O3*2</x:f>
        <x:v>22000</x:v>
      </x:c>
      <x:c r="R3">
        <x:v>20000</x:v>
      </x:c>
      <x:c r="S3" t="n">
        <x:f>R3*1.5</x:f>
        <x:v>30000</x:v>
      </x:c>
      <x:c r="T3" t="n">
        <x:f>R3*2</x:f>
        <x:v>40000</x:v>
      </x:c>
      <x:c r="U3">
        <x:v>35000</x:v>
      </x:c>
      <x:c r="V3" t="n">
        <x:f>U3*1.5</x:f>
        <x:v>52500</x:v>
      </x:c>
      <x:c r="W3" t="n">
        <x:f>U3*2</x:f>
        <x:v>70000</x:v>
      </x:c>
      <x:c r="X3">
        <x:v>50000</x:v>
      </x:c>
      <x:c r="Y3" t="n">
        <x:f>X3*1.5</x:f>
        <x:v>75000</x:v>
      </x:c>
      <x:c r="Z3" t="n">
        <x:f>X3*2</x:f>
        <x:v>100000</x:v>
      </x:c>
      <x:c r="AA3">
        <x:v>110000</x:v>
      </x:c>
      <x:c r="AB3" t="n">
        <x:f>AA3*1.5</x:f>
        <x:v>165000</x:v>
      </x:c>
      <x:c r="AC3" t="n">
        <x:f>AA3*2</x:f>
        <x:v>220000</x:v>
      </x:c>
      <x:c r="AD3">
        <x:v>560000</x:v>
      </x:c>
      <x:c r="AE3" t="n">
        <x:f>AD3*1.5</x:f>
        <x:v>840000</x:v>
      </x:c>
      <x:c r="AF3" t="n">
        <x:f>AD3*2</x:f>
        <x:v>1120000</x:v>
      </x:c>
      <x:c r="AG3">
        <x:v>7200000</x:v>
      </x:c>
      <x:c r="AH3" t="n">
        <x:f>AG3*1.5</x:f>
        <x:v>10800000</x:v>
      </x:c>
      <x:c r="AI3" t="n">
        <x:f>AG3*2</x:f>
        <x:v>14400000</x:v>
      </x:c>
      <x:c r="AJ3">
        <x:v>300000000</x:v>
      </x:c>
      <x:c r="AK3" t="n">
        <x:f>AJ3*1.5</x:f>
        <x:v>450000000</x:v>
      </x:c>
      <x:c r="AL3" t="n">
        <x:f>AJ3*2</x:f>
        <x:v>600000000</x:v>
      </x:c>
    </x:row>
    <x:row r="5">
      <x:c r="B5" t="n">
        <x:f t="shared" ref="B5:AL5" si="0">LOG10(B3)</x:f>
        <x:v>0.176091259055681</x:v>
      </x:c>
      <x:c r="C5">
        <x:f t="shared" si="0"/>
        <x:v>2.47712125471966</x:v>
      </x:c>
      <x:c r="D5">
        <x:f t="shared" si="0"/>
        <x:v>2.65321251377534</x:v>
      </x:c>
      <x:c r="E5">
        <x:f t="shared" si="0"/>
        <x:v>2.77815125038364</x:v>
      </x:c>
      <x:c r="F5">
        <x:f t="shared" si="0"/>
        <x:v>2.90308998699194</x:v>
      </x:c>
      <x:c r="G5">
        <x:f t="shared" si="0"/>
        <x:v>3.07918124604762</x:v>
      </x:c>
      <x:c r="H5">
        <x:f t="shared" si="0"/>
        <x:v>3.20411998265592</x:v>
      </x:c>
      <x:c r="I5">
        <x:f t="shared" si="0"/>
        <x:v>3.30102999566398</x:v>
      </x:c>
      <x:c r="J5">
        <x:f t="shared" si="0"/>
        <x:v>3.47712125471966</x:v>
      </x:c>
      <x:c r="K5">
        <x:f t="shared" si="0"/>
        <x:v>3.60205999132796</x:v>
      </x:c>
      <x:c r="L5">
        <x:f t="shared" si="0"/>
        <x:v>3.69897000433602</x:v>
      </x:c>
      <x:c r="M5">
        <x:f t="shared" si="0"/>
        <x:v>3.8750612633917</x:v>
      </x:c>
      <x:c r="N5">
        <x:f t="shared" si="0"/>
        <x:v>4</x:v>
      </x:c>
      <x:c r="O5">
        <x:f t="shared" si="0"/>
        <x:v>4.04139268515823</x:v>
      </x:c>
      <x:c r="P5">
        <x:f t="shared" si="0"/>
        <x:v>4.21748394421391</x:v>
      </x:c>
      <x:c r="Q5">
        <x:f t="shared" si="0"/>
        <x:v>4.34242268082221</x:v>
      </x:c>
      <x:c r="R5">
        <x:f t="shared" si="0"/>
        <x:v>4.30102999566398</x:v>
      </x:c>
      <x:c r="S5">
        <x:f t="shared" si="0"/>
        <x:v>4.47712125471966</x:v>
      </x:c>
      <x:c r="T5">
        <x:f t="shared" si="0"/>
        <x:v>4.60205999132796</x:v>
      </x:c>
      <x:c r="U5">
        <x:f t="shared" si="0"/>
        <x:v>4.54406804435028</x:v>
      </x:c>
      <x:c r="V5">
        <x:f t="shared" si="0"/>
        <x:v>4.72015930340596</x:v>
      </x:c>
      <x:c r="W5">
        <x:f t="shared" si="0"/>
        <x:v>4.84509804001426</x:v>
      </x:c>
      <x:c r="X5">
        <x:f t="shared" si="0"/>
        <x:v>4.69897000433602</x:v>
      </x:c>
      <x:c r="Y5">
        <x:f t="shared" si="0"/>
        <x:v>4.8750612633917</x:v>
      </x:c>
      <x:c r="Z5">
        <x:f t="shared" si="0"/>
        <x:v>5</x:v>
      </x:c>
      <x:c r="AA5">
        <x:f t="shared" si="0"/>
        <x:v>5.04139268515823</x:v>
      </x:c>
      <x:c r="AB5">
        <x:f t="shared" si="0"/>
        <x:v>5.21748394421391</x:v>
      </x:c>
      <x:c r="AC5">
        <x:f t="shared" si="0"/>
        <x:v>5.34242268082221</x:v>
      </x:c>
      <x:c r="AD5">
        <x:f t="shared" si="0"/>
        <x:v>5.7481880270062</x:v>
      </x:c>
      <x:c r="AE5">
        <x:f t="shared" si="0"/>
        <x:v>5.92427928606188</x:v>
      </x:c>
      <x:c r="AF5">
        <x:f t="shared" si="0"/>
        <x:v>6.04921802267018</x:v>
      </x:c>
      <x:c r="AG5">
        <x:f t="shared" si="0"/>
        <x:v>6.85733249643127</x:v>
      </x:c>
      <x:c r="AH5">
        <x:f t="shared" si="0"/>
        <x:v>7.03342375548695</x:v>
      </x:c>
      <x:c r="AI5">
        <x:f t="shared" si="0"/>
        <x:v>7.15836249209525</x:v>
      </x:c>
      <x:c r="AJ5">
        <x:f t="shared" si="0"/>
        <x:v>8.47712125471966</x:v>
      </x:c>
      <x:c r="AK5">
        <x:f t="shared" si="0"/>
        <x:v>8.65321251377534</x:v>
      </x:c>
      <x:c r="AL5">
        <x:f t="shared" si="0"/>
        <x:v>8.77815125038364</x:v>
      </x:c>
    </x:row>
    <x:row r="7">
      <x:c r="C7" t="n">
        <x:f t="shared" ref="C7:AL7" si="1">LN(C3)</x:f>
        <x:v>5.703782474656201</x:v>
      </x:c>
      <x:c r="D7">
        <x:f t="shared" si="1"/>
        <x:v>6.10924758276437</x:v>
      </x:c>
      <x:c r="E7">
        <x:f t="shared" si="1"/>
        <x:v>6.39692965521615</x:v>
      </x:c>
      <x:c r="F7">
        <x:f t="shared" si="1"/>
        <x:v>6.68461172766793</x:v>
      </x:c>
      <x:c r="G7">
        <x:f t="shared" si="1"/>
        <x:v>7.09007683577609</x:v>
      </x:c>
      <x:c r="H7">
        <x:f t="shared" si="1"/>
        <x:v>7.37775890822787</x:v>
      </x:c>
      <x:c r="I7">
        <x:f t="shared" si="1"/>
        <x:v>7.60090245954208</x:v>
      </x:c>
      <x:c r="J7">
        <x:f t="shared" si="1"/>
        <x:v>8.00636756765025</x:v>
      </x:c>
      <x:c r="K7">
        <x:f t="shared" si="1"/>
        <x:v>8.29404964010203</x:v>
      </x:c>
      <x:c r="L7">
        <x:f t="shared" si="1"/>
        <x:v>8.51719319141624</x:v>
      </x:c>
      <x:c r="M7">
        <x:f t="shared" si="1"/>
        <x:v>8.9226582995244</x:v>
      </x:c>
      <x:c r="N7">
        <x:f t="shared" si="1"/>
        <x:v>9.21034037197618</x:v>
      </x:c>
      <x:c r="O7">
        <x:f t="shared" si="1"/>
        <x:v>9.30565055178051</x:v>
      </x:c>
      <x:c r="P7">
        <x:f t="shared" si="1"/>
        <x:v>9.71111565988867</x:v>
      </x:c>
      <x:c r="Q7">
        <x:f t="shared" si="1"/>
        <x:v>9.99879773234045</x:v>
      </x:c>
      <x:c r="R7">
        <x:f t="shared" si="1"/>
        <x:v>9.90348755253613</x:v>
      </x:c>
      <x:c r="S7">
        <x:f t="shared" si="1"/>
        <x:v>10.3089526606443</x:v>
      </x:c>
      <x:c r="T7">
        <x:f t="shared" si="1"/>
        <x:v>10.5966347330961</x:v>
      </x:c>
      <x:c r="U7">
        <x:f t="shared" si="1"/>
        <x:v>10.4631033404716</x:v>
      </x:c>
      <x:c r="V7">
        <x:f t="shared" si="1"/>
        <x:v>10.8685684485797</x:v>
      </x:c>
      <x:c r="W7">
        <x:f t="shared" si="1"/>
        <x:v>11.1562505210315</x:v>
      </x:c>
      <x:c r="X7">
        <x:f t="shared" si="1"/>
        <x:v>10.8197782844103</x:v>
      </x:c>
      <x:c r="Y7">
        <x:f t="shared" si="1"/>
        <x:v>11.2252433925184</x:v>
      </x:c>
      <x:c r="Z7">
        <x:f t="shared" si="1"/>
        <x:v>11.5129254649702</x:v>
      </x:c>
      <x:c r="AA7">
        <x:f t="shared" si="1"/>
        <x:v>11.6082356447746</x:v>
      </x:c>
      <x:c r="AB7">
        <x:f t="shared" si="1"/>
        <x:v>12.0137007528827</x:v>
      </x:c>
      <x:c r="AC7">
        <x:f t="shared" si="1"/>
        <x:v>12.3013828253345</x:v>
      </x:c>
      <x:c r="AD7">
        <x:f t="shared" si="1"/>
        <x:v>13.2356920627113</x:v>
      </x:c>
      <x:c r="AE7">
        <x:f t="shared" si="1"/>
        <x:v>13.6411571708195</x:v>
      </x:c>
      <x:c r="AF7">
        <x:f t="shared" si="1"/>
        <x:v>13.9288392432713</x:v>
      </x:c>
      <x:c r="AG7">
        <x:f t="shared" si="1"/>
        <x:v>15.7895915839863</x:v>
      </x:c>
      <x:c r="AH7">
        <x:f t="shared" si="1"/>
        <x:v>16.1950566920944</x:v>
      </x:c>
      <x:c r="AI7">
        <x:f t="shared" si="1"/>
        <x:v>16.4827387645462</x:v>
      </x:c>
      <x:c r="AJ7">
        <x:f t="shared" si="1"/>
        <x:v>19.5192930326205</x:v>
      </x:c>
      <x:c r="AK7">
        <x:f t="shared" si="1"/>
        <x:v>19.9247581407286</x:v>
      </x:c>
      <x:c r="AL7">
        <x:f t="shared" si="1"/>
        <x:v>20.2124402131804</x:v>
      </x:c>
    </x:row>
    <x:row r="9">
      <x:c r="C9" t="n">
        <x:f t="shared" ref="C9:AL9" si="2">D7-C7</x:f>
        <x:v>0.40546510810816905</x:v>
      </x:c>
      <x:c r="D9">
        <x:f t="shared" si="2"/>
        <x:v>0.287682072451781</x:v>
      </x:c>
      <x:c r="E9">
        <x:f t="shared" si="2"/>
        <x:v>0.287682072451782</x:v>
      </x:c>
      <x:c r="F9">
        <x:f t="shared" si="2"/>
        <x:v>0.405465108108164</x:v>
      </x:c>
      <x:c r="G9">
        <x:f t="shared" si="2"/>
        <x:v>0.287682072451781</x:v>
      </x:c>
      <x:c r="H9">
        <x:f t="shared" si="2"/>
        <x:v>0.223143551314211</x:v>
      </x:c>
      <x:c r="I9">
        <x:f t="shared" si="2"/>
        <x:v>0.405465108108165</x:v>
      </x:c>
      <x:c r="J9">
        <x:f t="shared" si="2"/>
        <x:v>0.28768207245178</x:v>
      </x:c>
      <x:c r="K9">
        <x:f t="shared" si="2"/>
        <x:v>0.223143551314211</x:v>
      </x:c>
      <x:c r="L9">
        <x:f t="shared" si="2"/>
        <x:v>0.405465108108164</x:v>
      </x:c>
      <x:c r="M9">
        <x:f t="shared" si="2"/>
        <x:v>0.287682072451782</x:v>
      </x:c>
      <x:c r="N9">
        <x:f t="shared" si="2"/>
        <x:v>0.0953101798043257</x:v>
      </x:c>
      <x:c r="O9">
        <x:f t="shared" si="2"/>
        <x:v>0.405465108108164</x:v>
      </x:c>
      <x:c r="P9">
        <x:f t="shared" si="2"/>
        <x:v>0.287682072451782</x:v>
      </x:c>
      <x:c r="Q9">
        <x:f t="shared" si="2"/>
        <x:v>-0.0953101798043257</x:v>
      </x:c>
      <x:c r="R9">
        <x:f t="shared" si="2"/>
        <x:v>0.405465108108164</x:v>
      </x:c>
      <x:c r="S9">
        <x:f t="shared" si="2"/>
        <x:v>0.287682072451782</x:v>
      </x:c>
      <x:c r="T9">
        <x:f t="shared" si="2"/>
        <x:v>-0.133531392624523</x:v>
      </x:c>
      <x:c r="U9">
        <x:f t="shared" si="2"/>
        <x:v>0.405465108108164</x:v>
      </x:c>
      <x:c r="V9">
        <x:f t="shared" si="2"/>
        <x:v>0.287682072451782</x:v>
      </x:c>
      <x:c r="W9">
        <x:f t="shared" si="2"/>
        <x:v>-0.336472236621214</x:v>
      </x:c>
      <x:c r="X9">
        <x:f t="shared" si="2"/>
        <x:v>0.405465108108165</x:v>
      </x:c>
      <x:c r="Y9">
        <x:f t="shared" si="2"/>
        <x:v>0.28768207245178</x:v>
      </x:c>
      <x:c r="Z9">
        <x:f t="shared" si="2"/>
        <x:v>0.0953101798043257</x:v>
      </x:c>
      <x:c r="AA9">
        <x:f t="shared" si="2"/>
        <x:v>0.405465108108165</x:v>
      </x:c>
      <x:c r="AB9">
        <x:f t="shared" si="2"/>
        <x:v>0.28768207245178</x:v>
      </x:c>
      <x:c r="AC9">
        <x:f t="shared" si="2"/>
        <x:v>0.934309237376834</x:v>
      </x:c>
      <x:c r="AD9">
        <x:f t="shared" si="2"/>
        <x:v>0.405465108108164</x:v>
      </x:c>
      <x:c r="AE9">
        <x:f t="shared" si="2"/>
        <x:v>0.287682072451782</x:v>
      </x:c>
      <x:c r="AF9">
        <x:f t="shared" si="2"/>
        <x:v>1.860752340715</x:v>
      </x:c>
      <x:c r="AG9">
        <x:f t="shared" si="2"/>
        <x:v>0.405465108108164</x:v>
      </x:c>
      <x:c r="AH9">
        <x:f t="shared" si="2"/>
        <x:v>0.287682072451783</x:v>
      </x:c>
      <x:c r="AI9">
        <x:f t="shared" si="2"/>
        <x:v>3.03655426807424</x:v>
      </x:c>
      <x:c r="AJ9">
        <x:f t="shared" si="2"/>
        <x:v>0.405465108108167</x:v>
      </x:c>
      <x:c r="AK9">
        <x:f t="shared" si="2"/>
        <x:v>0.28768207245178</x:v>
      </x:c>
      <x:c r="AL9">
        <x:f t="shared" si="2"/>
        <x:v>-20.2124402131804</x:v>
      </x:c>
    </x:row>
    <x:row r="11">
      <x:c r="C11" t="n">
        <x:f t="shared" ref="C11:AL11" si="3">LOG(C3,1.5)</x:f>
        <x:v>14.0672584658866</x:v>
      </x:c>
      <x:c r="D11">
        <x:f t="shared" si="3"/>
        <x:v>15.0672584658866</x:v>
      </x:c>
      <x:c r="E11">
        <x:f t="shared" si="3"/>
        <x:v>15.7767697572381</x:v>
      </x:c>
      <x:c r="F11">
        <x:f t="shared" si="3"/>
        <x:v>16.4862810485895</x:v>
      </x:c>
      <x:c r="G11">
        <x:f t="shared" si="3"/>
        <x:v>17.4862810485895</x:v>
      </x:c>
      <x:c r="H11">
        <x:f t="shared" si="3"/>
        <x:v>18.195792339941</x:v>
      </x:c>
      <x:c r="I11">
        <x:f t="shared" si="3"/>
        <x:v>18.7461320531542</x:v>
      </x:c>
      <x:c r="J11">
        <x:f t="shared" si="3"/>
        <x:v>19.7461320531542</x:v>
      </x:c>
      <x:c r="K11">
        <x:f t="shared" si="3"/>
        <x:v>20.4556433445056</x:v>
      </x:c>
      <x:c r="L11">
        <x:f t="shared" si="3"/>
        <x:v>21.0059830577188</x:v>
      </x:c>
      <x:c r="M11">
        <x:f t="shared" si="3"/>
        <x:v>22.0059830577188</x:v>
      </x:c>
      <x:c r="N11">
        <x:f t="shared" si="3"/>
        <x:v>22.7154943490703</x:v>
      </x:c>
      <x:c r="O11">
        <x:f t="shared" si="3"/>
        <x:v>22.9505581755214</x:v>
      </x:c>
      <x:c r="P11">
        <x:f t="shared" si="3"/>
        <x:v>23.9505581755214</x:v>
      </x:c>
      <x:c r="Q11">
        <x:f t="shared" si="3"/>
        <x:v>24.6600694668729</x:v>
      </x:c>
      <x:c r="R11">
        <x:f t="shared" si="3"/>
        <x:v>24.4250056404217</x:v>
      </x:c>
      <x:c r="S11">
        <x:f t="shared" si="3"/>
        <x:v>25.4250056404217</x:v>
      </x:c>
      <x:c r="T11">
        <x:f t="shared" si="3"/>
        <x:v>26.1345169317732</x:v>
      </x:c>
      <x:c r="U11">
        <x:f t="shared" si="3"/>
        <x:v>25.8051879958074</x:v>
      </x:c>
      <x:c r="V11">
        <x:f t="shared" si="3"/>
        <x:v>26.8051879958074</x:v>
      </x:c>
      <x:c r="W11">
        <x:f t="shared" si="3"/>
        <x:v>27.5146992871589</x:v>
      </x:c>
      <x:c r="X11">
        <x:f t="shared" si="3"/>
        <x:v>26.6848566449864</x:v>
      </x:c>
      <x:c r="Y11">
        <x:f t="shared" si="3"/>
        <x:v>27.6848566449864</x:v>
      </x:c>
      <x:c r="Z11">
        <x:f t="shared" si="3"/>
        <x:v>28.3943679363379</x:v>
      </x:c>
      <x:c r="AA11">
        <x:f t="shared" si="3"/>
        <x:v>28.629431762789</x:v>
      </x:c>
      <x:c r="AB11">
        <x:f t="shared" si="3"/>
        <x:v>29.629431762789</x:v>
      </x:c>
      <x:c r="AC11">
        <x:f t="shared" si="3"/>
        <x:v>30.3389430541404</x:v>
      </x:c>
      <x:c r="AD11">
        <x:f t="shared" si="3"/>
        <x:v>32.6432331612132</x:v>
      </x:c>
      <x:c r="AE11">
        <x:f t="shared" si="3"/>
        <x:v>33.6432331612132</x:v>
      </x:c>
      <x:c r="AF11">
        <x:f t="shared" si="3"/>
        <x:v>34.3527444525647</x:v>
      </x:c>
      <x:c r="AG11">
        <x:f t="shared" si="3"/>
        <x:v>38.9419243930951</x:v>
      </x:c>
      <x:c r="AH11">
        <x:f t="shared" si="3"/>
        <x:v>39.9419243930951</x:v>
      </x:c>
      <x:c r="AI11">
        <x:f t="shared" si="3"/>
        <x:v>40.6514356844466</x:v>
      </x:c>
      <x:c r="AJ11">
        <x:f t="shared" si="3"/>
        <x:v>48.140499989492</x:v>
      </x:c>
      <x:c r="AK11">
        <x:f t="shared" si="3"/>
        <x:v>49.140499989492</x:v>
      </x:c>
      <x:c r="AL11">
        <x:f t="shared" si="3"/>
        <x:v>49.8500112808435</x:v>
      </x:c>
    </x:row>
    <x:row r="17">
      <x:c r="C17">
        <x:v>300</x:v>
      </x:c>
      <x:c r="D17" t="n">
        <x:f>C17*1.5</x:f>
        <x:v>450</x:v>
      </x:c>
      <x:c r="E17" t="n">
        <x:f>C17*2</x:f>
        <x:v>600</x:v>
      </x:c>
      <x:c r="F17">
        <x:v>900</x:v>
      </x:c>
      <x:c r="G17" t="n">
        <x:f>F17*1.5</x:f>
        <x:v>1350</x:v>
      </x:c>
      <x:c r="H17" t="n">
        <x:f>F17*2</x:f>
        <x:v>1800</x:v>
      </x:c>
      <x:c r="I17">
        <x:v>2600</x:v>
      </x:c>
      <x:c r="J17" t="n">
        <x:f>I17*1.5</x:f>
        <x:v>3900</x:v>
      </x:c>
      <x:c r="K17" t="n">
        <x:f>I17*2</x:f>
        <x:v>5200</x:v>
      </x:c>
      <x:c r="L17">
        <x:v>8000</x:v>
      </x:c>
      <x:c r="M17" t="n">
        <x:f>L17*1.5</x:f>
        <x:v>12000</x:v>
      </x:c>
      <x:c r="N17" t="n">
        <x:f>L17*2</x:f>
        <x:v>16000</x:v>
      </x:c>
      <x:c r="O17">
        <x:v>20000</x:v>
      </x:c>
      <x:c r="P17" t="n">
        <x:f>O17*1.5</x:f>
        <x:v>30000</x:v>
      </x:c>
      <x:c r="Q17" t="n">
        <x:f>O17*2</x:f>
        <x:v>40000</x:v>
      </x:c>
      <x:c r="R17">
        <x:v>36000</x:v>
      </x:c>
      <x:c r="S17" t="n">
        <x:f>R17*1.5</x:f>
        <x:v>54000</x:v>
      </x:c>
      <x:c r="T17" t="n">
        <x:f>R17*2</x:f>
        <x:v>72000</x:v>
      </x:c>
      <x:c r="U17">
        <x:v>60000</x:v>
      </x:c>
      <x:c r="V17" t="n">
        <x:f>U17*1.5</x:f>
        <x:v>90000</x:v>
      </x:c>
      <x:c r="W17" t="n">
        <x:f>U17*2</x:f>
        <x:v>120000</x:v>
      </x:c>
      <x:c r="X17">
        <x:v>100000</x:v>
      </x:c>
      <x:c r="Y17" t="n">
        <x:f>X17*1.5</x:f>
        <x:v>150000</x:v>
      </x:c>
      <x:c r="Z17" t="n">
        <x:f>X17*2</x:f>
        <x:v>200000</x:v>
      </x:c>
      <x:c r="AA17">
        <x:v>230000</x:v>
      </x:c>
      <x:c r="AB17" t="n">
        <x:f>AA17*1.5</x:f>
        <x:v>345000</x:v>
      </x:c>
      <x:c r="AC17" t="n">
        <x:f>AA17*2</x:f>
        <x:v>460000</x:v>
      </x:c>
      <x:c r="AD17">
        <x:v>1100000</x:v>
      </x:c>
      <x:c r="AE17" t="n">
        <x:f>AD17*1.5</x:f>
        <x:v>1650000</x:v>
      </x:c>
      <x:c r="AF17" t="n">
        <x:f>AD17*2</x:f>
        <x:v>2200000</x:v>
      </x:c>
      <x:c r="AG17">
        <x:v>14000000</x:v>
      </x:c>
      <x:c r="AH17" t="n">
        <x:f>AG17*1.5</x:f>
        <x:v>21000000</x:v>
      </x:c>
      <x:c r="AI17" t="n">
        <x:f>AG17*2</x:f>
        <x:v>28000000</x:v>
      </x:c>
      <x:c r="AJ17">
        <x:v>60000000</x:v>
      </x:c>
      <x:c r="AK17" t="n">
        <x:f>AJ17*1.5</x:f>
        <x:v>90000000</x:v>
      </x:c>
      <x:c r="AL17" t="n">
        <x:f>AJ17*2</x:f>
        <x:v>120000000</x:v>
      </x:c>
    </x:row>
    <x:row r="21">
      <x:c r="C21">
        <x:v>200</x:v>
      </x:c>
      <x:c r="D21">
        <x:v>300</x:v>
      </x:c>
      <x:c r="E21">
        <x:v>500</x:v>
      </x:c>
      <x:c r="F21">
        <x:v>800</x:v>
      </x:c>
      <x:c r="G21">
        <x:v>1000</x:v>
      </x:c>
      <x:c r="H21">
        <x:v>1400</x:v>
      </x:c>
      <x:c r="I21">
        <x:v>2000</x:v>
      </x:c>
    </x:row>
    <x:row r="23">
      <x:c r="C23">
        <x:v>11</x:v>
      </x:c>
      <x:c r="D23">
        <x:v>12</x:v>
      </x:c>
      <x:c r="E23">
        <x:v>13</x:v>
      </x:c>
      <x:c r="F23">
        <x:v>14</x:v>
      </x:c>
      <x:c r="G23">
        <x:v>15</x:v>
      </x:c>
      <x:c r="H23">
        <x:v>16</x:v>
      </x:c>
      <x:c r="I23">
        <x:v>17</x:v>
      </x:c>
    </x:row>
    <x:row r="25">
      <x:c r="C25" t="n">
        <x:f t="shared" ref="C25:I25" si="4">LN(C21)</x:f>
        <x:v>5.298317366548036</x:v>
      </x:c>
      <x:c r="D25">
        <x:f t="shared" si="4"/>
        <x:v>5.7037824746562</x:v>
      </x:c>
      <x:c r="E25">
        <x:f t="shared" si="4"/>
        <x:v>6.21460809842219</x:v>
      </x:c>
      <x:c r="F25">
        <x:f t="shared" si="4"/>
        <x:v>6.68461172766793</x:v>
      </x:c>
      <x:c r="G25">
        <x:f t="shared" si="4"/>
        <x:v>6.90775527898214</x:v>
      </x:c>
      <x:c r="H25">
        <x:f t="shared" si="4"/>
        <x:v>7.24422751560335</x:v>
      </x:c>
      <x:c r="I25">
        <x:f t="shared" si="4"/>
        <x:v>7.60090245954208</x:v>
      </x:c>
    </x:row>
    <x:row r="27">
      <x:c r="C27" t="n">
        <x:f>I25-C25</x:f>
        <x:v>2.302585092994044</x:v>
      </x:c>
    </x:row>
    <x:row r="28">
      <x:c r="C28" t="n">
        <x:f>C27/7</x:f>
        <x:v>0.32894072757057774</x:v>
      </x:c>
    </x:row>
  </x:sheetData>
  <x:pageMargins left="0.7" right="0.7" top="0.75" bottom="0.75" header="0.3" footer="0.3"/>
  <x:drawing xmlns:r="http://schemas.openxmlformats.org/officeDocument/2006/relationships" r:id="R141e8fca0a2c477a"/>
</x:worksheet>
</file>