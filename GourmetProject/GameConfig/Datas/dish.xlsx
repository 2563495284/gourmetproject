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60" activeTab="1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食物设计" sheetId="7" r:id="rId8"/>
    <sheet name="位置" sheetId="8" r:id="rId9"/>
  </sheets>
  <calcPr calcId="144525"/>
</workbook>
</file>

<file path=xl/sharedStrings.xml><?xml version="1.0" encoding="utf-8"?>
<sst xmlns="http://schemas.openxmlformats.org/spreadsheetml/2006/main" count="2647" uniqueCount="787">
  <si>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</si>
  <si>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</si>
  <si>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</si>
  <si>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</si>
  <si>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</si>
  <si>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</si>
  <si>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</si>
  <si>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</si>
  <si>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</si>
  <si>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sortOrder</t>
  </si>
  <si>
    <t>##comment</t>
  </si>
  <si>
    <t>食物基础ID</t>
  </si>
  <si>
    <t>食物名称</t>
  </si>
  <si>
    <t>基础分数</t>
  </si>
  <si>
    <t>是否允许旋转摆放</t>
  </si>
  <si>
    <t>技能ID列表(| 分隔)</t>
  </si>
  <si>
    <t>食物分类(如cake;空=无)</t>
  </si>
  <si>
    <t>视为食物数(默认1)</t>
  </si>
  <si>
    <t>食物形状行列表</t>
  </si>
  <si>
    <t>食谱展示顺序(升序:从上到下、从左到右)</t>
  </si>
  <si>
    <t>##type</t>
  </si>
  <si>
    <t>string</t>
  </si>
  <si>
    <t>int</t>
  </si>
  <si>
    <t>bool</t>
  </si>
  <si>
    <t>list,string</t>
  </si>
  <si>
    <t>arrow_cookie_1</t>
  </si>
  <si>
    <t>右箭头饼干</t>
  </si>
  <si>
    <t>false</t>
  </si>
  <si>
    <t>sk_arrow_cookie_1</t>
  </si>
  <si>
    <t>XX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</si>
  <si>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</si>
  <si>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</si>
  <si>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</si>
  <si>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</si>
  <si>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</si>
  <si>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</si>
  <si>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</si>
  <si>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</si>
  <si>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</si>
  <si>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</si>
  <si>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</si>
  <si>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</si>
  <si>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</si>
  <si>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</si>
  <si>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</si>
  <si>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</si>
  <si>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</si>
  <si>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eggtart</t>
  </si>
  <si>
    <t>蛋挞</t>
  </si>
  <si>
    <t>sk_eggtart</t>
  </si>
  <si>
    <t>sugarbean</t>
  </si>
  <si>
    <t>糖豆</t>
  </si>
  <si>
    <t>sk_sugarbean</t>
  </si>
  <si>
    <t>cheesecake</t>
  </si>
  <si>
    <t>芝士蛋糕</t>
  </si>
  <si>
    <t>sk_cheesecake</t>
  </si>
  <si>
    <t>0 周</t>
  </si>
  <si>
    <t>mousse</t>
  </si>
  <si>
    <t>慕斯蛋糕</t>
  </si>
  <si>
    <t>sk_mousse</t>
  </si>
  <si>
    <t>1 周</t>
  </si>
  <si>
    <t>fruit_candy</t>
  </si>
  <si>
    <t>水果糖</t>
  </si>
  <si>
    <t>sk_fruit_candy</t>
  </si>
  <si>
    <t>2 周</t>
  </si>
  <si>
    <t>3 周</t>
  </si>
  <si>
    <t>choco_bar</t>
  </si>
  <si>
    <t>巧克力棒</t>
  </si>
  <si>
    <t>sk_choco_bar</t>
  </si>
  <si>
    <t>4 周</t>
  </si>
  <si>
    <t>mochi</t>
  </si>
  <si>
    <t>麻薯</t>
  </si>
  <si>
    <t>sk_mochi</t>
  </si>
  <si>
    <t>cup_cake</t>
  </si>
  <si>
    <t>杯子蛋糕</t>
  </si>
  <si>
    <t>sk_cup_cake</t>
  </si>
  <si>
    <t>cream</t>
  </si>
  <si>
    <t>奶油</t>
  </si>
  <si>
    <t>sk_cream</t>
  </si>
  <si>
    <t>普通</t>
  </si>
  <si>
    <t>加强</t>
  </si>
  <si>
    <t>eggroll</t>
  </si>
  <si>
    <t>蛋卷</t>
  </si>
  <si>
    <t>sk_eggroll</t>
  </si>
  <si>
    <t>XXX</t>
  </si>
  <si>
    <t>10,40</t>
  </si>
  <si>
    <t>40,80</t>
  </si>
  <si>
    <t>baguette</t>
  </si>
  <si>
    <t>法棍</t>
  </si>
  <si>
    <t>sk_baguette</t>
  </si>
  <si>
    <t>10,45</t>
  </si>
  <si>
    <t>45,80</t>
  </si>
  <si>
    <t>tanghulu</t>
  </si>
  <si>
    <t>糖葫芦</t>
  </si>
  <si>
    <t>sk_tanghulu</t>
  </si>
  <si>
    <t>20,60</t>
  </si>
  <si>
    <t>50,90</t>
  </si>
  <si>
    <t>cake_slice</t>
  </si>
  <si>
    <t>蛋糕切角</t>
  </si>
  <si>
    <t>sk_cake_slice</t>
  </si>
  <si>
    <t>30,75</t>
  </si>
  <si>
    <t>55,100</t>
  </si>
  <si>
    <t>long_cake</t>
  </si>
  <si>
    <t>长条蛋糕</t>
  </si>
  <si>
    <t>sk_long_cake</t>
  </si>
  <si>
    <t>40,90</t>
  </si>
  <si>
    <t>70,120</t>
  </si>
  <si>
    <t>eclair</t>
  </si>
  <si>
    <t>闪电泡芙</t>
  </si>
  <si>
    <t>sk_eclair</t>
  </si>
  <si>
    <t>9+</t>
  </si>
  <si>
    <t>45,100</t>
  </si>
  <si>
    <t>80,130</t>
  </si>
  <si>
    <t>gummy</t>
  </si>
  <si>
    <t>软糖</t>
  </si>
  <si>
    <t>sk_gummy</t>
  </si>
  <si>
    <t>chocolate_strip</t>
  </si>
  <si>
    <t>巧克力条</t>
  </si>
  <si>
    <t>sk_chocolate_strip</t>
  </si>
  <si>
    <t>cake_roll</t>
  </si>
  <si>
    <t>蛋糕卷</t>
  </si>
  <si>
    <t>sk_cake_roll</t>
  </si>
  <si>
    <t>palmier</t>
  </si>
  <si>
    <t>蝴蝶酥</t>
  </si>
  <si>
    <t>sk_palmier</t>
  </si>
  <si>
    <t>chiffion</t>
  </si>
  <si>
    <t>戚风蛋糕</t>
  </si>
  <si>
    <t>sk_chiffion</t>
  </si>
  <si>
    <t>maple_sugar</t>
  </si>
  <si>
    <t>枫糖</t>
  </si>
  <si>
    <t>sk_maple_sugar</t>
  </si>
  <si>
    <t>taosu</t>
  </si>
  <si>
    <t>桃酥</t>
  </si>
  <si>
    <t>sk_taosu</t>
  </si>
  <si>
    <t>waffle</t>
  </si>
  <si>
    <t>华夫饼</t>
  </si>
  <si>
    <t>sk_waffle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</si>
  <si>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</si>
  <si>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</si>
  <si>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</si>
  <si>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</si>
  <si>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</si>
  <si>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</si>
  <si>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</si>
  <si>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black_forest_cake</t>
  </si>
  <si>
    <t>黑森林蛋糕</t>
  </si>
  <si>
    <t>sk_black_forest_cake</t>
  </si>
  <si>
    <t>chocolate_sauce</t>
  </si>
  <si>
    <t>巧克力酱</t>
  </si>
  <si>
    <t>sk_chocolate_sauce</t>
  </si>
  <si>
    <t>mango_sago</t>
  </si>
  <si>
    <t>杨枝甘露</t>
  </si>
  <si>
    <t>sk_mango_sago</t>
  </si>
  <si>
    <t>fruit_cake</t>
  </si>
  <si>
    <t>水果蛋糕</t>
  </si>
  <si>
    <t>sk_fruit_cake</t>
  </si>
  <si>
    <t>parfait</t>
  </si>
  <si>
    <t>芭菲</t>
  </si>
  <si>
    <t>sk_parfait</t>
  </si>
  <si>
    <t>marshmallow</t>
  </si>
  <si>
    <t>棉花糖</t>
  </si>
  <si>
    <t>sk_marshmallow</t>
  </si>
  <si>
    <t>big_lollipop</t>
  </si>
  <si>
    <t>大棒棒糖</t>
  </si>
  <si>
    <t>sk_big_lollipop</t>
  </si>
  <si>
    <t>apple_pie</t>
  </si>
  <si>
    <t>苹果派</t>
  </si>
  <si>
    <t>sk_apple_pie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</si>
  <si>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</si>
  <si>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</si>
  <si>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</si>
  <si>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</si>
  <si>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</si>
  <si>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</si>
  <si>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</si>
  <si>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</si>
  <si>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</si>
  <si>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</si>
  <si>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</si>
  <si>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</si>
  <si>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</si>
  <si>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rotation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</si>
  <si>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</si>
  <si>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</si>
  <si>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</si>
  <si>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</si>
  <si>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</si>
  <si>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</si>
  <si>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</si>
  <si>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</si>
  <si>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</si>
  <si>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共用固定旋转朝向(整格四向)</t>
  </si>
  <si>
    <t>策划备注</t>
  </si>
  <si>
    <t>float</t>
  </si>
  <si>
    <t>HiddenRange</t>
  </si>
  <si>
    <t>DishRotation</t>
  </si>
  <si>
    <t>0,0</t>
  </si>
  <si>
    <t>Deg0</t>
  </si>
  <si>
    <t>箭头饼干1</t>
  </si>
  <si>
    <t>箭头饼干2</t>
  </si>
  <si>
    <t>箭头饼干3</t>
  </si>
  <si>
    <t>箭头饼干4</t>
  </si>
  <si>
    <t>t_sweet|t_sour|t_salty|t_bitter|t_numb|t_rust</t>
  </si>
  <si>
    <t>subSkills</t>
  </si>
  <si>
    <t>技能ID</t>
  </si>
  <si>
    <t>本技能独占的有序子技能ID列表（| 分隔，命名为 skillId_序号）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</si>
  <si>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</si>
  <si>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</si>
  <si>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</si>
  <si>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</si>
  <si>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</si>
  <si>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</si>
  <si>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</si>
  <si>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</si>
  <si>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sk_sugarbean_1</t>
  </si>
  <si>
    <t>sk_sugarbean_2</t>
  </si>
  <si>
    <t>sk_cheesecake_1|sk_cheesecake_2</t>
  </si>
  <si>
    <t>sk_cheesecake_1</t>
  </si>
  <si>
    <t>sk_cheesecake_2</t>
  </si>
  <si>
    <t>sk_mousse_1</t>
  </si>
  <si>
    <t>sk_fruit_candy_1|sk_fruit_candy_2</t>
  </si>
  <si>
    <t>sk_fruit_candy_1</t>
  </si>
  <si>
    <t>sk_fruit_candy_2</t>
  </si>
  <si>
    <t>sk_choco_bar_1|sk_choco_bar_2</t>
  </si>
  <si>
    <t>sk_choco_bar_1</t>
  </si>
  <si>
    <t>sk_choco_bar_2</t>
  </si>
  <si>
    <t>sk_mochi_1</t>
  </si>
  <si>
    <t>sk_cup_cake_1|sk_cup_cake_2</t>
  </si>
  <si>
    <t>sk_cup_cake_1</t>
  </si>
  <si>
    <t>sk_cup_cake_2</t>
  </si>
  <si>
    <t>sk_cream_1</t>
  </si>
  <si>
    <t>sk_eggroll_1</t>
  </si>
  <si>
    <t>sk_baguette_1</t>
  </si>
  <si>
    <t>sk_tanghulu_1|sk_tanghulu_2</t>
  </si>
  <si>
    <t>sk_tanghulu_1</t>
  </si>
  <si>
    <t>sk_tanghulu_2</t>
  </si>
  <si>
    <t>sk_cake_slice_1|sk_cake_slice_2</t>
  </si>
  <si>
    <t>sk_cake_slice_1</t>
  </si>
  <si>
    <t>sk_cake_slice_2</t>
  </si>
  <si>
    <t>sk_long_cake_1|sk_long_cake_2</t>
  </si>
  <si>
    <t>sk_long_cake_1</t>
  </si>
  <si>
    <t>sk_long_cake_2</t>
  </si>
  <si>
    <t>sk_eclair_1</t>
  </si>
  <si>
    <t>sk_gummy_1</t>
  </si>
  <si>
    <t>sk_chocolate_strip_1|sk_chocolate_strip_2</t>
  </si>
  <si>
    <t>sk_chocolate_strip_1</t>
  </si>
  <si>
    <t>sk_chocolate_strip_2</t>
  </si>
  <si>
    <t>sk_cake_roll_1|sk_cake_roll_2</t>
  </si>
  <si>
    <t>sk_cake_roll_1</t>
  </si>
  <si>
    <t>sk_cake_roll_2</t>
  </si>
  <si>
    <t>sk_palmier_1</t>
  </si>
  <si>
    <t>sk_chiffion_1</t>
  </si>
  <si>
    <t>sk_maple_sugar_1</t>
  </si>
  <si>
    <t>sk_taosu_1</t>
  </si>
  <si>
    <t>sk_waffle_1</t>
  </si>
  <si>
    <t>sk_cream_cake_1|sk_cream_cake_2</t>
  </si>
  <si>
    <t>sk_cream_cake_1</t>
  </si>
  <si>
    <t>sk_cream_cake_2</t>
  </si>
  <si>
    <t>sk_candycane_1|sk_candycane_2</t>
  </si>
  <si>
    <t>sk_candycane_1</t>
  </si>
  <si>
    <t>sk_candycane_2</t>
  </si>
  <si>
    <t>sk_black_forest_cake_1|sk_black_forest_cake_2</t>
  </si>
  <si>
    <t>sk_black_forest_cake_1</t>
  </si>
  <si>
    <t>sk_black_forest_cake_2</t>
  </si>
  <si>
    <t>sk_chocolate_sauce_1|sk_chocolate_sauce_2</t>
  </si>
  <si>
    <t>sk_chocolate_sauce_1</t>
  </si>
  <si>
    <t>sk_chocolate_sauce_2</t>
  </si>
  <si>
    <t>sk_mango_sago_1</t>
  </si>
  <si>
    <t>sk_fruit_cake_1|sk_fruit_cake_2</t>
  </si>
  <si>
    <t>sk_fruit_cake_1</t>
  </si>
  <si>
    <t>sk_fruit_cake_2</t>
  </si>
  <si>
    <t>sk_parfait_1</t>
  </si>
  <si>
    <t>sk_marshmallow_1</t>
  </si>
  <si>
    <t>sk_big_lollipop_1|sk_big_lollipop_2</t>
  </si>
  <si>
    <t>sk_big_lollipop_1</t>
  </si>
  <si>
    <t>sk_big_lollipop_2</t>
  </si>
  <si>
    <t>sk_apple_pie_1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</si>
  <si>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</si>
  <si>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</si>
  <si>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</si>
  <si>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</si>
  <si>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</si>
  <si>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</si>
  <si>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</si>
  <si>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</si>
  <si>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</si>
  <si>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</si>
  <si>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</si>
  <si>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</si>
  <si>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</si>
  <si>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同一食物本体下的风味展示顺序(升序)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</si>
  <si>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</si>
  <si>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</si>
  <si>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</si>
  <si>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</si>
  <si>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</si>
  <si>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</si>
  <si>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</si>
  <si>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</si>
  <si>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</si>
  <si>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</si>
  <si>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</si>
  <si>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</si>
  <si>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</si>
  <si>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t_rust</t>
  </si>
  <si>
    <t>鲜</t>
  </si>
  <si>
    <t>结算时
+10 金币</t>
  </si>
  <si>
    <t>GrantGold</t>
  </si>
  <si>
    <t>结算时获得 10 金币。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</si>
  <si>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</si>
  <si>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</si>
  <si>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</si>
  <si>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</si>
  <si>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</si>
  <si>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</si>
  <si>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</si>
  <si>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结算开始时，若在食谱中
场上食物倍率 ×1.5</t>
  </si>
  <si>
    <t>SourRecipeMult</t>
  </si>
  <si>
    <t>1.5</t>
  </si>
  <si>
    <t>t_salty</t>
  </si>
  <si>
    <t>咸</t>
  </si>
  <si>
    <t>结算开始时，若在食谱中
场上食物基础分数 +20</t>
  </si>
  <si>
    <t>SaltyRecipeFlat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</si>
  <si>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</si>
  <si>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</si>
  <si>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</si>
  <si>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</si>
  <si>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</si>
  <si>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</si>
  <si>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</si>
  <si>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</si>
  <si>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</si>
  <si>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</si>
  <si>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</si>
  <si>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</si>
  <si>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</si>
  <si>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层数≥1：蛋糕基础分数 +3×层数</t>
  </si>
  <si>
    <t>clb_multflat</t>
  </si>
  <si>
    <t>AddMultFlat</t>
  </si>
  <si>
    <t>层数≥50：蛋糕倍率 +0.05×层数</t>
  </si>
  <si>
    <t>clb_mult</t>
  </si>
  <si>
    <t>AddMult</t>
  </si>
  <si>
    <t>层数≥100：蛋糕倍率 ×(0.02×层数)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</si>
  <si>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</si>
  <si>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</si>
  <si>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</si>
  <si>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</si>
  <si>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</si>
  <si>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</si>
  <si>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</si>
  <si>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</si>
  <si>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</si>
  <si>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</si>
  <si>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</si>
  <si>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</si>
  <si>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</si>
  <si>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</si>
  <si>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</si>
  <si>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</si>
  <si>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</si>
  <si>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</si>
  <si>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</si>
  <si>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</si>
  <si>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</si>
  <si>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</si>
  <si>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</si>
  <si>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</si>
  <si>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</si>
  <si>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</si>
  <si>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</si>
  <si>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</si>
  <si>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</si>
  <si>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</si>
  <si>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</si>
  <si>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</si>
  <si>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</si>
  <si>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</si>
  <si>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</si>
  <si>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</si>
  <si>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</si>
  <si>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None</t>
  </si>
  <si>
    <t>Self</t>
  </si>
  <si>
    <t>Instances</t>
  </si>
  <si>
    <t>Gate</t>
  </si>
  <si>
    <t>RightAndSelf</t>
  </si>
  <si>
    <t>true</t>
  </si>
  <si>
    <t>{ascope}
分数 {0}</t>
  </si>
  <si>
    <t>LeftAndSelf</t>
  </si>
  <si>
    <t>{ascope}
倍率 {0}</t>
  </si>
  <si>
    <t>DownAndSelf</t>
  </si>
  <si>
    <t>UpAndSelf</t>
  </si>
  <si>
    <t>PositionFilled</t>
  </si>
  <si>
    <t>RoundAndSelf</t>
  </si>
  <si>
    <t>{cscope}
没有空格时，倍率 {0}</t>
  </si>
  <si>
    <t>SkillCount</t>
  </si>
  <si>
    <t>Per</t>
  </si>
  <si>
    <t>AddLayer</t>
  </si>
  <si>
    <t>CakeBuff</t>
  </si>
  <si>
    <t>{cscope}每有 1 {unit}技能
欢乐蛋糕 {0} 层</t>
  </si>
  <si>
    <t>clb</t>
  </si>
  <si>
    <t>欢乐蛋糕</t>
  </si>
  <si>
    <t>DishCount</t>
  </si>
  <si>
    <t>{cscope}
每有 1 {unit}食物，倍率 {0}</t>
  </si>
  <si>
    <t>{cscope}
每有 1 {unit}技能，分数 {0}</t>
  </si>
  <si>
    <t>Right</t>
  </si>
  <si>
    <t>TransferSkills</t>
  </si>
  <si>
    <t>Other</t>
  </si>
  <si>
    <t>甜蜜传递 {count} 个食物</t>
  </si>
  <si>
    <t>term_sweet_transfer</t>
  </si>
  <si>
    <t>{ascope}分数 {0}</t>
  </si>
  <si>
    <t>欢乐蛋糕 {0} 层</t>
  </si>
  <si>
    <t>{cscope}每有 1 {unit}食物
欢乐蛋糕 {0} 层</t>
  </si>
  <si>
    <t>{ascope}倍率 {0}</t>
  </si>
  <si>
    <t>Up</t>
  </si>
  <si>
    <t>{cscope}
每有 1 {unit}食物，分数 {0}</t>
  </si>
  <si>
    <t>div:2</t>
  </si>
  <si>
    <t>{cscope}
每有 2 {unit}食物，倍率 {0}</t>
  </si>
  <si>
    <t>ColumnAndSelf</t>
  </si>
  <si>
    <t>All</t>
  </si>
  <si>
    <t>{cscope}没有空格时
{ascope}食物分数 {0}</t>
  </si>
  <si>
    <t>RowAndSelf</t>
  </si>
  <si>
    <t>AddCountAs</t>
  </si>
  <si>
    <t>{ascope}额外视为 {value} 个食物</t>
  </si>
  <si>
    <t>Category</t>
  </si>
  <si>
    <t>cat:cake</t>
  </si>
  <si>
    <t>{cat}类食物倍率 {0}</t>
  </si>
  <si>
    <t>Reach</t>
  </si>
  <si>
    <t>tiers:6|15|30</t>
  </si>
  <si>
    <t>tiervals:2.5|5|8</t>
  </si>
  <si>
    <t>{cscope}食物数量达 {tiers} 时
倍率 {tiervals}</t>
  </si>
  <si>
    <t>when:transfer;resultscope:ColumnAndSelf</t>
  </si>
  <si>
    <t>结算后，{cscope}
发动甜蜜传递，倍率 ×{0}</t>
  </si>
  <si>
    <t>PermanentAddFlat</t>
  </si>
  <si>
    <t>{ascope}分数永久 {0}</t>
  </si>
  <si>
    <t>AddCurrentScore</t>
  </si>
  <si>
    <t>将自身分数加至{cat}类食物上</t>
  </si>
  <si>
    <t>{ascope}倍率 ×{0}</t>
  </si>
  <si>
    <t>multfloor:20</t>
  </si>
  <si>
    <t>欢乐蛋糕层数 ×{0}
至少 +{floor} 层</t>
  </si>
  <si>
    <t>TriggerSweetTransfer</t>
  </si>
  <si>
    <t>skilltype:TransferSkills</t>
  </si>
  <si>
    <t>使{ascope}带甜蜜传递的食物
额外结算 1 次甜蜜传递</t>
  </si>
  <si>
    <t>tiers:8|16|25</t>
  </si>
  <si>
    <t>tiervals:2|3|4</t>
  </si>
  <si>
    <t>{cscope}食物达 {tiers} 个时
倍率 ×{tiervals}</t>
  </si>
  <si>
    <t>{cscope}每有 1 {unit}食物
倍率 {0}</t>
  </si>
  <si>
    <t>{ascope}{cat}类食物分数 {0}</t>
  </si>
  <si>
    <t>{cscope}每有 1 {unit}技能
倍率 {0}</t>
  </si>
  <si>
    <t>Round</t>
  </si>
  <si>
    <t>{ascope}{cat}类食物倍率 ×{0}</t>
  </si>
  <si>
    <t>CategoryCount</t>
  </si>
  <si>
    <t>cake;tiers:3|5|8</t>
  </si>
  <si>
    <t>tiervals:15|30|50</t>
  </si>
  <si>
    <t>{cat}数量达 {tiers} 时
欢乐蛋糕 {tiervals} 层</t>
  </si>
  <si>
    <t>{cscope}每有 1 {unit}食物
倍率 ×{0}</t>
  </si>
  <si>
    <t>OccupiedCell</t>
  </si>
  <si>
    <t>source:board</t>
  </si>
  <si>
    <t>将餐桌格总数
加至欢乐蛋糕层数</t>
  </si>
  <si>
    <t>target:occupiedcells</t>
  </si>
  <si>
    <t>{ascope}食物额外视为 N 个食物
（N 为各自所占格子数）</t>
  </si>
  <si>
    <t>Down</t>
  </si>
  <si>
    <t>modifier:add-targets</t>
  </si>
  <si>
    <t>{ascope}食物发动甜蜜传递时
额外选择 {0} 个目标</t>
  </si>
  <si>
    <t>{cscope}
每有 1 {unit}技能，倍率 ×{0}</t>
  </si>
  <si>
    <t>axis:rowcol;skilltype:TransferSkills</t>
  </si>
  <si>
    <t>甜蜜传递至同行列食物</t>
  </si>
  <si>
    <t>{ascope}食物把食物数量加入倍率</t>
  </si>
  <si>
    <t>CopySkill</t>
  </si>
  <si>
    <t>{ascope}获得 {0} 种不同的{cat}技能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</si>
  <si>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</si>
  <si>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</si>
  <si>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</si>
  <si>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</si>
  <si>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</si>
  <si>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</si>
  <si>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</si>
  <si>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</si>
  <si>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</si>
  <si>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</si>
  <si>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</si>
  <si>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</si>
  <si>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</si>
  <si>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</si>
  <si>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</si>
  <si>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</si>
  <si>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</si>
  <si>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2 个通用食物</t>
  </si>
  <si>
    <t>周围及自身
没有空格时，倍率 +1.5</t>
  </si>
  <si>
    <t>通用</t>
  </si>
  <si>
    <t>周围</t>
  </si>
  <si>
    <t>周围及自身每有1 个技能
欢乐蛋糕 +2 层</t>
  </si>
  <si>
    <t>蛋糕+传递</t>
  </si>
  <si>
    <t>buff</t>
  </si>
  <si>
    <t>左侧及自身
每有1 个食物，倍率 +0.8</t>
  </si>
  <si>
    <t>个数</t>
  </si>
  <si>
    <t>左</t>
  </si>
  <si>
    <t>右侧及自身
每有1 个技能，分数 +6
甜蜜传递1 个食物</t>
  </si>
  <si>
    <t>传递</t>
  </si>
  <si>
    <t>分数</t>
  </si>
  <si>
    <t>右</t>
  </si>
  <si>
    <t>周围及自身分数 +10
欢乐蛋糕 +6 层</t>
  </si>
  <si>
    <t>蛋糕</t>
  </si>
  <si>
    <t>分数+buff</t>
  </si>
  <si>
    <t>左侧及自身
每有1 个食物，欢乐蛋糕 +2 层</t>
  </si>
  <si>
    <t>个数+蛋糕</t>
  </si>
  <si>
    <t>上侧及自身倍率 +0.4
甜蜜传递2 个食物</t>
  </si>
  <si>
    <t>上</t>
  </si>
  <si>
    <t>周围及自身
每有1 个食物，分数 +5
甜蜜传递1 个食物</t>
  </si>
  <si>
    <t>传递+个数</t>
  </si>
  <si>
    <t>下侧及自身
每有2 个食物，倍率 +0.8
额外视为1 个食物</t>
  </si>
  <si>
    <t>下</t>
  </si>
  <si>
    <t>本列食物倍率 +0.5
欢乐蛋糕 +5 层</t>
  </si>
  <si>
    <t>列</t>
  </si>
  <si>
    <t>全场没有空格时
所有食物分数 +10</t>
  </si>
  <si>
    <t>所有</t>
  </si>
  <si>
    <t>3+3+3 个略高级的食物
（数值进一步增强，在普通机制的基础上有更进一步的机制</t>
  </si>
  <si>
    <t>本行
每有1 个食物，分数 +10
额外视为2 个食物</t>
  </si>
  <si>
    <t>行</t>
  </si>
  <si>
    <t>周围及自身
额外视为3 个食物</t>
  </si>
  <si>
    <t>右侧及自身
倍率 +2
甜蜜传递1 个食物</t>
  </si>
  <si>
    <t>蛋糕类食物倍率 +1.5
本行分数 +30</t>
  </si>
  <si>
    <t>周围及自身
倍率 +1
欢乐蛋糕 +15 层</t>
  </si>
  <si>
    <t>本列食物数量达6/15/30
倍率 +2.5/5/8
额外视为2 个食物</t>
  </si>
  <si>
    <t>本列食物
发动甜蜜传递时，倍率 ×1.5</t>
  </si>
  <si>
    <t>周围及自身
分数永久 +15
甜蜜传递1 个食物</t>
  </si>
  <si>
    <t>欢乐蛋糕 +10 层
将自身分数加至蛋糕类食物上</t>
  </si>
  <si>
    <t>左侧及自身
倍率 ×2</t>
  </si>
  <si>
    <t>2+2+2 个略高级的食物
（数值进一步增强，在普通机制的基础上有更进一步的机制</t>
  </si>
  <si>
    <t>欢乐蛋糕x1.5 层
至少 +20 层</t>
  </si>
  <si>
    <t>使3 个带有甜蜜传递的食物
额外结算1 次甜蜜传递</t>
  </si>
  <si>
    <t>本行食物
达8/16/25 个时，倍率 ×2/3/4
额外视为5 个食物</t>
  </si>
  <si>
    <t>本列
每有1 个食物，倍率 +0.3
额外视为4 个食物</t>
  </si>
  <si>
    <t>欢乐蛋糕 +25 层
本列蛋糕类食物
分数 +30</t>
  </si>
  <si>
    <t>每有1 个技能
倍率 +3
甜蜜传递3 个食物</t>
  </si>
  <si>
    <t>2+2+2 个高级的食物
（数值进一步增强，在普通机制的基础上有更进一步的机制</t>
  </si>
  <si>
    <t>本行蛋糕类
食物倍率 ×2
蛋糕数量达3/5/8时
蛋糕层数 +15/30/50</t>
  </si>
  <si>
    <t>右侧及自身
倍率 ×2.5
甜蜜传递1 个食物</t>
  </si>
  <si>
    <t>周围及自身
每有1 个食物，倍率 ×1.1
额外视为7 个食物</t>
  </si>
  <si>
    <t>本行蛋糕类食物
倍率 ×2
将餐桌格总数
加至蛋糕层数上</t>
  </si>
  <si>
    <t>所有食物额外视为N个食物
（N为食物所占格子数）</t>
  </si>
  <si>
    <t>下侧食物
甜蜜传递时额外选择2目标</t>
  </si>
  <si>
    <t>1+1+1</t>
  </si>
  <si>
    <t>同行同列带有甜蜜传递的食物
执行一次它们的甜蜜传递</t>
  </si>
  <si>
    <t>所有食物
把个数加入倍率</t>
  </si>
  <si>
    <t>获得3种的蛋糕类食物技能</t>
  </si>
  <si>
    <t>每有1 个技能
倍率 ×2
甜蜜传递至同行食物</t>
  </si>
  <si>
    <t>作用倍率</t>
  </si>
  <si>
    <t>（前期/中期/后期）</t>
  </si>
  <si>
    <t>所属build</t>
  </si>
  <si>
    <t>目标</t>
  </si>
  <si>
    <t>分析</t>
  </si>
  <si>
    <t>数值</t>
  </si>
  <si>
    <t>曲奇</t>
  </si>
  <si>
    <t>处在棋盘边缘时
倍率 +3</t>
  </si>
  <si>
    <t>前</t>
  </si>
  <si>
    <t>小而多</t>
  </si>
  <si>
    <t>自己</t>
  </si>
  <si>
    <t>有条件（前期易达成），自身加倍率</t>
  </si>
  <si>
    <t>马卡龙</t>
  </si>
  <si>
    <t>周围每有 1 种食物
分数 +5
甜蜜传递1</t>
  </si>
  <si>
    <t>自己与另一</t>
  </si>
  <si>
    <t>前期更易，自身和另一个同行的加分数</t>
  </si>
  <si>
    <t>布丁</t>
  </si>
  <si>
    <t>周围每有1 个空格
分数 -2</t>
  </si>
  <si>
    <t>保证空格少</t>
  </si>
  <si>
    <t>泡芙</t>
  </si>
  <si>
    <t>周围每有 1 个食物
欢乐蛋糕 +2 层</t>
  </si>
  <si>
    <t>前中后</t>
  </si>
  <si>
    <t>攒Buff/小而多</t>
  </si>
  <si>
    <t>都适用，加层4～8+</t>
  </si>
  <si>
    <t>结算时
分数永久 +8</t>
  </si>
  <si>
    <t>自身永久加分数</t>
  </si>
  <si>
    <t>4回合回本</t>
  </si>
  <si>
    <t>本列每有1 个食物
倍率 +0.4</t>
  </si>
  <si>
    <t>前中</t>
  </si>
  <si>
    <t>列检测数量，加倍率</t>
  </si>
  <si>
    <t>大福</t>
  </si>
  <si>
    <t>本行每有1 个食物
分数 +8</t>
  </si>
  <si>
    <t>周围没有空格时
自身倍率 +2</t>
  </si>
  <si>
    <t>行检测数量，加分数</t>
  </si>
  <si>
    <t>巧克力糖</t>
  </si>
  <si>
    <t>分数永久
+5*技能个数</t>
  </si>
  <si>
    <t>周围及自身每有1 个技能
欢乐蛋糕 +5 层</t>
  </si>
  <si>
    <t>永久加分数</t>
  </si>
  <si>
    <t>技能检测数量，永久加分数</t>
  </si>
  <si>
    <t>前提</t>
  </si>
  <si>
    <t>本行
每有1 个食物，倍率 +0.1</t>
  </si>
  <si>
    <t>左侧及自身
每有1 个食物，倍率 +0.5
额外视为1 个食物</t>
  </si>
  <si>
    <t>自己及周围</t>
  </si>
  <si>
    <t>行检测种数，范围加倍率</t>
  </si>
  <si>
    <t>奶油小格</t>
  </si>
  <si>
    <t>欢乐蛋糕 +8 层</t>
  </si>
  <si>
    <t>右侧及自身每有1 个技能
分数 +10
甜蜜传递1 个食物</t>
  </si>
  <si>
    <t>攒Buff</t>
  </si>
  <si>
    <t>加层数</t>
  </si>
  <si>
    <t>类别</t>
  </si>
  <si>
    <t>技能机制</t>
  </si>
  <si>
    <t>技能详情</t>
  </si>
  <si>
    <t>周围每有1 个食物
倍率 +0.2
甜蜜传递至周围1 个食物</t>
  </si>
  <si>
    <t>周围及自身
分数 +10
欢乐蛋糕 +10 层</t>
  </si>
  <si>
    <t>周围检测数量，加倍率，传递到周围</t>
  </si>
  <si>
    <t>空间</t>
  </si>
  <si>
    <t>位置检测</t>
  </si>
  <si>
    <t>如果（同行/同列/周围/全部）被填满</t>
  </si>
  <si>
    <t>金巧克力</t>
  </si>
  <si>
    <t>若周围被填满
获得10 个金币</t>
  </si>
  <si>
    <t>左侧及自身每有1 个食物
欢乐蛋糕 +3 层</t>
  </si>
  <si>
    <t>金币</t>
  </si>
  <si>
    <t>加钱</t>
  </si>
  <si>
    <t>空格检测</t>
  </si>
  <si>
    <t>（周围/同列/同行/空）每有1 个空格</t>
  </si>
  <si>
    <t>奶片</t>
  </si>
  <si>
    <t>若本列被填满
欢乐蛋糕 +10 层</t>
  </si>
  <si>
    <t>上侧及自身
倍率 +10
甜蜜传递2 个食物</t>
  </si>
  <si>
    <t>有条件加层数</t>
  </si>
  <si>
    <t>1 格</t>
  </si>
  <si>
    <t>边缘检测</t>
  </si>
  <si>
    <t>若本食物处在边缘</t>
  </si>
  <si>
    <t>圣代</t>
  </si>
  <si>
    <t>额外视为 1 个食物
本行每有 1 个食物
倍率 +0.5</t>
  </si>
  <si>
    <t>中</t>
  </si>
  <si>
    <t>行检测数量，加自身倍率</t>
  </si>
  <si>
    <t>2 格</t>
  </si>
  <si>
    <t>数量</t>
  </si>
  <si>
    <t>检测数量</t>
  </si>
  <si>
    <t>（周围/同列/同行/空）每有1（种/个）食物</t>
  </si>
  <si>
    <t>甜筒</t>
  </si>
  <si>
    <t>蛋糕 +15 层
额外视为2 个食物</t>
  </si>
  <si>
    <t>周围及自身
每有1 个食物，分数 +10
甜蜜传递1 个食物</t>
  </si>
  <si>
    <t>加层数，过度</t>
  </si>
  <si>
    <t>3 格</t>
  </si>
  <si>
    <t>阶梯数量</t>
  </si>
  <si>
    <t>（周围/同列/同行/空）食物数量达到[2/5/10]时</t>
  </si>
  <si>
    <t>4 格</t>
  </si>
  <si>
    <t>大小检测</t>
  </si>
  <si>
    <t>（周围/同列/同行/空）每有1（种/个）（大于等于/小于等于）3 格的食物</t>
  </si>
  <si>
    <t>棒棒糖</t>
  </si>
  <si>
    <t>周围有占1 格的食物时
倍率 ×1.5
甜蜜传递至同行2 个食物</t>
  </si>
  <si>
    <t>下侧及自身
每有2 个食物，倍率 +0.5
额外视为1 个食物</t>
  </si>
  <si>
    <t>传递/小而多</t>
  </si>
  <si>
    <t>自己与另二</t>
  </si>
  <si>
    <t>周围检测，同列传递</t>
  </si>
  <si>
    <t>顺序检测</t>
  </si>
  <si>
    <t>（前面/后面）每有1 个食物</t>
  </si>
  <si>
    <t>本行食物分数 +10
甜蜜传递至同列1 个食物</t>
  </si>
  <si>
    <t>加分数</t>
  </si>
  <si>
    <t>中后</t>
  </si>
  <si>
    <t>本行</t>
  </si>
  <si>
    <t>种类</t>
  </si>
  <si>
    <t>空间相同检测</t>
  </si>
  <si>
    <t>（周围/同列/同行/空）每有1（种/个）相同的食物</t>
  </si>
  <si>
    <t>每有1 个技能
欢乐蛋糕 +6 层
甜蜜传递至同行1 个食物</t>
  </si>
  <si>
    <t>buff/传递</t>
  </si>
  <si>
    <t>技能转层数</t>
  </si>
  <si>
    <t>大局相同检测</t>
  </si>
  <si>
    <t>本局每结算过一次本种食物</t>
  </si>
  <si>
    <t>蛋糕食物
倍率 ×1.2
欢乐蛋糕 +5 层</t>
  </si>
  <si>
    <t>一类乘倍率，加buff</t>
  </si>
  <si>
    <t>小局相同检测</t>
  </si>
  <si>
    <t>本场经营挑战经营挑战，每（结算过一次/有一个）本种食物</t>
  </si>
  <si>
    <t>餐桌没有空格时
所有食物分数 +20</t>
  </si>
  <si>
    <t>标签</t>
  </si>
  <si>
    <t>标签检测</t>
  </si>
  <si>
    <t>本食物每有1（种/个）技能</t>
  </si>
  <si>
    <t>太妃糖</t>
  </si>
  <si>
    <t>分数永久 +10
甜蜜传递至同列2 个食物</t>
  </si>
  <si>
    <t>分数永久加</t>
  </si>
  <si>
    <t>形状检测</t>
  </si>
  <si>
    <t>（周围/同列/同行/空）每有1（种/个）1*1的食物</t>
  </si>
  <si>
    <t>若（周围/全部）存在xx形状的空格</t>
  </si>
  <si>
    <t>牛轧糖</t>
  </si>
  <si>
    <t>周围及自身分数 +10
甜蜜传递至同行2 个食物</t>
  </si>
  <si>
    <t>结算</t>
  </si>
  <si>
    <t>周围加，同行传</t>
  </si>
  <si>
    <t>上菜</t>
  </si>
  <si>
    <t>上菜时检测</t>
  </si>
  <si>
    <t>上菜时，（同行/同列/周围/全部）每有1（种/个）食物</t>
  </si>
  <si>
    <t>上菜检测</t>
  </si>
  <si>
    <t>上菜时</t>
  </si>
  <si>
    <t>额外视为3 个食物
全场每有1 个食物
倍率 +0.2</t>
  </si>
  <si>
    <t>全场检测加自身倍率</t>
  </si>
  <si>
    <t>食谱</t>
  </si>
  <si>
    <t>食谱检测</t>
  </si>
  <si>
    <t>食谱中食物（大于等于/小于等于）3（种/个）时</t>
  </si>
  <si>
    <t>周围及自身倍率 +1.5
甜蜜传递1 个食物</t>
  </si>
  <si>
    <t>倍率</t>
  </si>
  <si>
    <t>周围加倍率，随机传</t>
  </si>
  <si>
    <t>特定种类检测</t>
  </si>
  <si>
    <t>带有“蛋糕”的食物数量达到4（种/个）时</t>
  </si>
  <si>
    <t>最多消耗5 层欢乐蛋糕
每消耗一层
本行倍率 +0.8</t>
  </si>
  <si>
    <t>本行倍率加</t>
  </si>
  <si>
    <t>传递检测</t>
  </si>
  <si>
    <t>本食物每有1 个被传递的技能</t>
  </si>
  <si>
    <t>本食物有被传递的技能时</t>
  </si>
  <si>
    <t>传递次数检测</t>
  </si>
  <si>
    <t>本局传递次数达到10 次时</t>
  </si>
  <si>
    <t>本列食物
倍率 +1
甜蜜传递至同行2 个食物</t>
  </si>
  <si>
    <t>本列</t>
  </si>
  <si>
    <t>本列倍率加</t>
  </si>
  <si>
    <t>层数检测</t>
  </si>
  <si>
    <t>欢乐蛋糕层数小于等于10 层时</t>
  </si>
  <si>
    <t>X.</t>
  </si>
  <si>
    <t>状态</t>
  </si>
  <si>
    <t>特殊状态检测</t>
  </si>
  <si>
    <t>（周围/同列/同行/空）有n个（失效/消耗）的食物时</t>
  </si>
  <si>
    <t>舒芙蕾</t>
  </si>
  <si>
    <t>欢乐蛋糕x1.5 层
至少 +10 层</t>
  </si>
  <si>
    <t>使1 个带有甜蜜传递的食物
额外结算1 次甜蜜传递</t>
  </si>
  <si>
    <t>本行倍率乘</t>
  </si>
  <si>
    <t>层数消耗</t>
  </si>
  <si>
    <t>消耗（5 层/所有）欢乐蛋糕层数</t>
  </si>
  <si>
    <t>层数转化分数</t>
  </si>
  <si>
    <t>每10 层使（周围/同列/同行/空/下一个结算）（全部/随机两个）食物分数（x1.5/+10）</t>
  </si>
  <si>
    <t>额外视为5 个食物
本列食物达「10/18/25」个时
本列倍率x「2/3/4」</t>
  </si>
  <si>
    <t>周围倍率乘</t>
  </si>
  <si>
    <t>层数转化结算</t>
  </si>
  <si>
    <t>每10 层使（周围/同列/同行/空/下一个结算）（全部/随机两个）食物额外结算1 次</t>
  </si>
  <si>
    <t>层数增加</t>
  </si>
  <si>
    <t>欢乐蛋糕层数（x1.5/+10）</t>
  </si>
  <si>
    <t>月饼</t>
  </si>
  <si>
    <t>额外视为4 个食物
周围及自身倍率 ×2.5</t>
  </si>
  <si>
    <t>周围倍率加</t>
  </si>
  <si>
    <t>多次结算</t>
  </si>
  <si>
    <t>（周围/同列/同行/全部/本/下一个结算）（随机2 个/空）食物，（周围/同列/同行/全部/本）（随机2 个/空）额外结算1 次</t>
  </si>
  <si>
    <t>额外视为7 个食物
本行每有1 个食物
周围及自身倍率 +0.3</t>
  </si>
  <si>
    <t>分数增加</t>
  </si>
  <si>
    <t>（周围/同列/同行/空/下一个结算）（全部/随机两个）食物分数（x1.5/+10）</t>
  </si>
  <si>
    <t>分数传递</t>
  </si>
  <si>
    <t>将（所有/1 个）（周围/同列/同行/任意/下一个结算）食物分数（的1/3），加至（本/n个/所有）（同列/周围/同行/任意/下一个结算）食物上</t>
  </si>
  <si>
    <t>铜锣烧</t>
  </si>
  <si>
    <t>本列食物
额外被视为2 个食物
本列食物分数 +50</t>
  </si>
  <si>
    <t>经济运营</t>
  </si>
  <si>
    <t>获得5 个金币</t>
  </si>
  <si>
    <t>临时复制</t>
  </si>
  <si>
    <t>临时复制（周围/同列/同行/空/下一个结算）（全部/随机两个）食物的到空格中</t>
  </si>
  <si>
    <t>分数永久 +10
将本食物的分数加至蛋糕食物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</si>
  <si>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</si>
  <si>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</si>
  <si>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</si>
  <si>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 个/空）食物</t>
  </si>
  <si>
    <t>甜甜圈</t>
  </si>
  <si>
    <t>蛋糕层数 +40</t>
  </si>
  <si>
    <t>自身</t>
  </si>
  <si>
    <t>技能复制</t>
  </si>
  <si>
    <t>复制（周围/同列/同行/全部/本/下一个结算）（随机2 个/空）食物的任意一个技能</t>
  </si>
  <si>
    <t>技能获得</t>
  </si>
  <si>
    <t>（周围/同列/同行/全部/本/下一个结算）（随机2 个/空）食物获得技能</t>
  </si>
  <si>
    <t>椪糖</t>
  </si>
  <si>
    <t>每有1 个技能
倍率 +3
甜蜜传递至同列3 个食物</t>
  </si>
  <si>
    <t>后</t>
  </si>
  <si>
    <t>失效食物</t>
  </si>
  <si>
    <t>使（周围/同列/同行/全部/本/下一个结算）（随机2 个/空）食物技能在本局失效</t>
  </si>
  <si>
    <t>多数菜</t>
  </si>
  <si>
    <t>本菜视为2种菜</t>
  </si>
  <si>
    <t>额外视为9 个食物
周围每有1 个食物
周围及自身倍率 ×1.2</t>
  </si>
  <si>
    <t>大圣代</t>
  </si>
  <si>
    <t>额外视为4 个食物
本列倍率×N
（N=1+周围食物数量×0.2）</t>
  </si>
  <si>
    <t>瑞士卷</t>
  </si>
  <si>
    <t>蛋糕层数 +20
所有食物倍率 +1</t>
  </si>
  <si>
    <t>额外视为7 个食物
将所有占1 格食物的倍率
添加到自身</t>
  </si>
  <si>
    <t>倍率 +8
将倍率加到蛋糕食物上</t>
  </si>
  <si>
    <t>本行每有1 个食物
周围及自身倍率 +0.5</t>
  </si>
  <si>
    <t>蛋糕食物倍率 ×2
蛋糕数量达3/5/8时
蛋糕层数 +30/50/80</t>
  </si>
  <si>
    <t>巧克力</t>
  </si>
  <si>
    <t>甜蜜传递食物达「3/5/8」种
此类食物倍率x「2/3/4」</t>
  </si>
  <si>
    <t>牛角包</t>
  </si>
  <si>
    <t>周围每有1种食物
蛋糕层数 +10 层</t>
  </si>
  <si>
    <t>额外视为3 个食物
周围及自身倍率×N
（N=1+本列食物数量×0.05）</t>
  </si>
  <si>
    <t>本列食物倍率 ×1.3
甜蜜传递至周围1 个食物</t>
  </si>
  <si>
    <t>.X.</t>
  </si>
  <si>
    <t>.XXX.</t>
  </si>
  <si>
    <t>获得3种不同的蛋糕技能</t>
  </si>
  <si>
    <t>XXXXX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</si>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</sst>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2"/>
      <color rgb="FF101418"/>
      <name val="宋体"/>
      <charset val="134"/>
    </font>
    <font>
      <sz val="11"/>
      <name val="宋体"/>
      <charset val="134"/>
    </font>
    <font>
      <sz val="12"/>
      <name val="Calibri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12" borderId="5">
      <alignment vertical="center"/>
    </xf>
    <xf numFmtId="0" fontId="14" fillId="13" borderId="6">
      <alignment vertical="center"/>
    </xf>
    <xf numFmtId="0" fontId="15" fillId="13" borderId="5">
      <alignment vertical="center"/>
    </xf>
    <xf numFmtId="0" fontId="16" fillId="14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2" fillId="41" borderId="0">
      <alignment vertical="center"/>
    </xf>
  </cellStyleXfs>
  <cellXfs count="3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0" fillId="0" borderId="0" xfId="0" applyNumberFormat="1" applyFont="1" applyFill="1" applyBorder="1" applyAlignment="1">
      <alignment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20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18.3846153846154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0" width="25" style="1" customWidth="1"/>
    <col min="11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  <col min="16382" max="16384" width="9" style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t="s">
        <v>9</v>
      </c>
      <c r="K1" s="1" t="str">
        <f>""</f>
        <v/>
      </c>
    </row>
    <row r="2" ht="36" customHeight="1" spans="1:11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35" t="s">
        <v>19</v>
      </c>
      <c r="K2" s="1" t="str">
        <f>""</f>
        <v/>
      </c>
    </row>
    <row r="3" spans="1:11">
      <c r="A3" s="1" t="s">
        <v>20</v>
      </c>
      <c r="B3" s="1" t="s">
        <v>21</v>
      </c>
      <c r="C3" s="1" t="s">
        <v>21</v>
      </c>
      <c r="D3" s="1" t="s">
        <v>22</v>
      </c>
      <c r="E3" s="1" t="s">
        <v>23</v>
      </c>
      <c r="F3" s="1" t="s">
        <v>21</v>
      </c>
      <c r="G3" s="1" t="s">
        <v>21</v>
      </c>
      <c r="H3" s="1" t="s">
        <v>22</v>
      </c>
      <c r="I3" s="1" t="s">
        <v>24</v>
      </c>
      <c r="J3" t="s">
        <v>22</v>
      </c>
      <c r="K3" s="1" t="str">
        <f>""</f>
        <v/>
      </c>
    </row>
    <row r="4" spans="2:15">
      <c r="B4" s="8" t="s">
        <v>25</v>
      </c>
      <c r="C4" s="1" t="s">
        <v>26</v>
      </c>
      <c r="D4" s="1">
        <v>10</v>
      </c>
      <c r="E4" s="1" t="s">
        <v>27</v>
      </c>
      <c r="F4" s="1" t="s">
        <v>28</v>
      </c>
      <c r="H4" s="1">
        <v>1</v>
      </c>
      <c r="I4" s="1" t="s">
        <v>29</v>
      </c>
      <c r="J4">
        <v>10</v>
      </c>
      <c r="K4" s="1">
        <v>2</v>
      </c>
      <c r="L4" s="1" t="str">
        <f>VLOOKUP(K4,$R$26:$U$30,3,FALSE)</f>
        <v>10,45</v>
      </c>
      <c r="M4" s="1" t="str">
        <f>VLOOKUP(K4,$R$26:$U$30,4,FALSE)</f>
        <v>45,80</v>
      </c>
      <c r="N4" s="1">
        <f>ROUNDUP(1.5*K4*10,0)</f>
        <v>30</v>
      </c>
      <c r="O4" s="1">
        <f>ROUNDUP(N4*1.5+20,-1)</f>
        <v>70</v>
      </c>
    </row>
    <row r="5" spans="2:15">
      <c r="B5" s="8" t="s">
        <v>30</v>
      </c>
      <c r="C5" s="1" t="s">
        <v>31</v>
      </c>
      <c r="D5" s="1">
        <v>10</v>
      </c>
      <c r="E5" s="1" t="s">
        <v>27</v>
      </c>
      <c r="F5" s="1" t="s">
        <v>32</v>
      </c>
      <c r="H5" s="1">
        <v>1</v>
      </c>
      <c r="I5" s="1" t="s">
        <v>29</v>
      </c>
      <c r="J5">
        <v>20</v>
      </c>
      <c r="K5" s="1">
        <v>2</v>
      </c>
      <c r="L5" s="1" t="str">
        <f t="shared" ref="L5:L34" si="0">VLOOKUP(K5,$R$26:$U$30,3,FALSE)</f>
        <v>10,45</v>
      </c>
      <c r="M5" s="1" t="str">
        <f>VLOOKUP(K5,$R$26:$U$30,4,FALSE)</f>
        <v>45,80</v>
      </c>
      <c r="N5" s="1">
        <f t="shared" ref="N5:N34" si="1">ROUNDUP(1.5*K5*10,0)</f>
        <v>30</v>
      </c>
      <c r="O5" s="1">
        <f>ROUNDUP(N5*1.5+20,-1)</f>
        <v>70</v>
      </c>
    </row>
    <row r="6" spans="2:15">
      <c r="B6" s="1" t="s">
        <v>33</v>
      </c>
      <c r="C6" s="1" t="s">
        <v>34</v>
      </c>
      <c r="D6" s="1">
        <v>10</v>
      </c>
      <c r="E6" s="1" t="s">
        <v>27</v>
      </c>
      <c r="F6" s="1" t="s">
        <v>35</v>
      </c>
      <c r="H6" s="1">
        <v>1</v>
      </c>
      <c r="I6" s="1" t="s">
        <v>36</v>
      </c>
      <c r="J6">
        <v>30</v>
      </c>
      <c r="K6" s="1">
        <v>2</v>
      </c>
      <c r="L6" s="1" t="str">
        <f t="shared" si="0"/>
        <v>10,45</v>
      </c>
      <c r="M6" s="1" t="str">
        <f>VLOOKUP(K6,$R$26:$U$30,4,FALSE)</f>
        <v>45,80</v>
      </c>
      <c r="N6" s="1">
        <f t="shared" si="1"/>
        <v>30</v>
      </c>
      <c r="O6" s="1">
        <f>ROUNDUP(N6*1.5+20,-1)</f>
        <v>70</v>
      </c>
    </row>
    <row r="7" spans="9:10">
      <c r="I7" s="1" t="s">
        <v>36</v>
      </c>
      <c r="J7"/>
    </row>
    <row r="8" spans="2:15">
      <c r="B8" s="1" t="s">
        <v>37</v>
      </c>
      <c r="C8" s="1" t="s">
        <v>38</v>
      </c>
      <c r="D8" s="1">
        <v>10</v>
      </c>
      <c r="E8" s="1" t="s">
        <v>27</v>
      </c>
      <c r="F8" s="1" t="s">
        <v>39</v>
      </c>
      <c r="H8" s="1">
        <v>1</v>
      </c>
      <c r="I8" s="1" t="s">
        <v>36</v>
      </c>
      <c r="J8">
        <v>40</v>
      </c>
      <c r="K8" s="1">
        <v>2</v>
      </c>
      <c r="L8" s="1" t="str">
        <f t="shared" si="0"/>
        <v>10,45</v>
      </c>
      <c r="M8" s="1" t="str">
        <f t="shared" ref="M8:M37" si="2">VLOOKUP(K8,$R$26:$U$30,4,FALSE)</f>
        <v>45,80</v>
      </c>
      <c r="N8" s="1">
        <f t="shared" si="1"/>
        <v>30</v>
      </c>
      <c r="O8" s="1">
        <f t="shared" ref="O8:O37" si="3">ROUNDUP(N8*1.5+20,-1)</f>
        <v>70</v>
      </c>
    </row>
    <row r="9" spans="9:10">
      <c r="I9" s="1" t="s">
        <v>36</v>
      </c>
      <c r="J9"/>
    </row>
    <row r="10" spans="2:15">
      <c r="B10" s="1" t="s">
        <v>40</v>
      </c>
      <c r="C10" s="1" t="s">
        <v>41</v>
      </c>
      <c r="D10" s="1">
        <v>20</v>
      </c>
      <c r="E10" s="1" t="s">
        <v>27</v>
      </c>
      <c r="F10" s="1" t="s">
        <v>42</v>
      </c>
      <c r="H10" s="1">
        <v>1</v>
      </c>
      <c r="I10" s="1" t="s">
        <v>29</v>
      </c>
      <c r="J10">
        <v>50</v>
      </c>
      <c r="K10" s="1">
        <v>2</v>
      </c>
      <c r="L10" s="1" t="str">
        <f t="shared" si="0"/>
        <v>10,45</v>
      </c>
      <c r="M10" s="1" t="str">
        <f t="shared" si="2"/>
        <v>45,80</v>
      </c>
      <c r="N10" s="1">
        <f t="shared" si="1"/>
        <v>30</v>
      </c>
      <c r="O10" s="1">
        <f t="shared" si="3"/>
        <v>70</v>
      </c>
    </row>
    <row r="11" spans="2:15">
      <c r="B11" s="1" t="s">
        <v>43</v>
      </c>
      <c r="C11" s="1" t="s">
        <v>44</v>
      </c>
      <c r="D11" s="1">
        <v>20</v>
      </c>
      <c r="E11" s="1" t="s">
        <v>27</v>
      </c>
      <c r="F11" s="1" t="s">
        <v>45</v>
      </c>
      <c r="G11" s="1" t="s">
        <v>46</v>
      </c>
      <c r="H11" s="1">
        <v>1</v>
      </c>
      <c r="I11" s="1" t="s">
        <v>29</v>
      </c>
      <c r="J11">
        <v>60</v>
      </c>
      <c r="K11" s="1">
        <v>2</v>
      </c>
      <c r="L11" s="1" t="str">
        <f t="shared" si="0"/>
        <v>10,45</v>
      </c>
      <c r="M11" s="1" t="str">
        <f t="shared" si="2"/>
        <v>45,80</v>
      </c>
      <c r="N11" s="1">
        <f t="shared" si="1"/>
        <v>30</v>
      </c>
      <c r="O11" s="1">
        <f t="shared" si="3"/>
        <v>70</v>
      </c>
    </row>
    <row r="12" spans="2:15">
      <c r="B12" s="1" t="s">
        <v>47</v>
      </c>
      <c r="C12" s="1" t="s">
        <v>48</v>
      </c>
      <c r="D12" s="1">
        <v>20</v>
      </c>
      <c r="E12" s="1" t="s">
        <v>27</v>
      </c>
      <c r="F12" s="1" t="s">
        <v>49</v>
      </c>
      <c r="H12" s="1">
        <v>1</v>
      </c>
      <c r="I12" s="1" t="s">
        <v>29</v>
      </c>
      <c r="J12">
        <v>70</v>
      </c>
      <c r="K12" s="1">
        <v>2</v>
      </c>
      <c r="L12" s="1" t="str">
        <f t="shared" si="0"/>
        <v>10,45</v>
      </c>
      <c r="M12" s="1" t="str">
        <f t="shared" si="2"/>
        <v>45,80</v>
      </c>
      <c r="N12" s="1">
        <f t="shared" si="1"/>
        <v>30</v>
      </c>
      <c r="O12" s="1">
        <f t="shared" si="3"/>
        <v>70</v>
      </c>
    </row>
    <row r="13" spans="2:15">
      <c r="B13" s="1" t="s">
        <v>50</v>
      </c>
      <c r="C13" s="1" t="s">
        <v>51</v>
      </c>
      <c r="D13" s="1">
        <v>20</v>
      </c>
      <c r="E13" s="1" t="s">
        <v>27</v>
      </c>
      <c r="F13" s="1" t="s">
        <v>52</v>
      </c>
      <c r="H13" s="1">
        <v>1</v>
      </c>
      <c r="I13" s="1" t="s">
        <v>29</v>
      </c>
      <c r="J13">
        <v>80</v>
      </c>
      <c r="K13" s="1">
        <v>2</v>
      </c>
      <c r="L13" s="1" t="str">
        <f t="shared" si="0"/>
        <v>10,45</v>
      </c>
      <c r="M13" s="1" t="str">
        <f t="shared" si="2"/>
        <v>45,80</v>
      </c>
      <c r="N13" s="1">
        <f t="shared" si="1"/>
        <v>30</v>
      </c>
      <c r="O13" s="1">
        <f t="shared" si="3"/>
        <v>70</v>
      </c>
    </row>
    <row r="14" spans="2:25">
      <c r="B14" s="1" t="s">
        <v>53</v>
      </c>
      <c r="C14" s="1" t="s">
        <v>54</v>
      </c>
      <c r="D14" s="1">
        <v>20</v>
      </c>
      <c r="E14" s="1" t="s">
        <v>27</v>
      </c>
      <c r="F14" s="1" t="s">
        <v>55</v>
      </c>
      <c r="G14" s="1" t="s">
        <v>46</v>
      </c>
      <c r="H14" s="1">
        <v>1</v>
      </c>
      <c r="I14" s="1" t="s">
        <v>29</v>
      </c>
      <c r="J14">
        <v>90</v>
      </c>
      <c r="K14" s="1">
        <v>2</v>
      </c>
      <c r="L14" s="1" t="str">
        <f t="shared" si="0"/>
        <v>10,45</v>
      </c>
      <c r="M14" s="1" t="str">
        <f t="shared" si="2"/>
        <v>45,80</v>
      </c>
      <c r="N14" s="1">
        <f t="shared" si="1"/>
        <v>30</v>
      </c>
      <c r="O14" s="1">
        <f t="shared" si="3"/>
        <v>70</v>
      </c>
      <c r="Q14" s="1" t="s">
        <v>56</v>
      </c>
      <c r="R14" s="1">
        <v>10</v>
      </c>
      <c r="S14" s="1">
        <v>11</v>
      </c>
      <c r="T14" s="1">
        <v>12</v>
      </c>
      <c r="U14" s="1">
        <v>13</v>
      </c>
      <c r="V14" s="1">
        <v>14</v>
      </c>
      <c r="W14" s="1">
        <v>15</v>
      </c>
      <c r="X14" s="1">
        <v>16</v>
      </c>
      <c r="Y14" s="1">
        <v>17</v>
      </c>
    </row>
    <row r="15" spans="2:25">
      <c r="B15" s="1" t="s">
        <v>57</v>
      </c>
      <c r="C15" s="1" t="s">
        <v>58</v>
      </c>
      <c r="D15" s="1">
        <v>20</v>
      </c>
      <c r="E15" s="1" t="s">
        <v>27</v>
      </c>
      <c r="F15" s="1" t="s">
        <v>59</v>
      </c>
      <c r="G15" s="1" t="s">
        <v>46</v>
      </c>
      <c r="H15" s="1">
        <v>1</v>
      </c>
      <c r="I15" s="1" t="s">
        <v>29</v>
      </c>
      <c r="J15">
        <v>100</v>
      </c>
      <c r="K15" s="1">
        <v>2</v>
      </c>
      <c r="L15" s="1" t="str">
        <f t="shared" si="0"/>
        <v>10,45</v>
      </c>
      <c r="M15" s="1" t="str">
        <f t="shared" si="2"/>
        <v>45,80</v>
      </c>
      <c r="N15" s="1">
        <f t="shared" si="1"/>
        <v>30</v>
      </c>
      <c r="O15" s="1">
        <f t="shared" si="3"/>
        <v>70</v>
      </c>
      <c r="Q15" s="1" t="s">
        <v>60</v>
      </c>
      <c r="R15" s="1">
        <v>20</v>
      </c>
      <c r="S15" s="1">
        <v>21</v>
      </c>
      <c r="T15" s="1">
        <v>22</v>
      </c>
      <c r="U15" s="1">
        <v>23</v>
      </c>
      <c r="V15" s="1">
        <v>24</v>
      </c>
      <c r="W15" s="1">
        <v>25</v>
      </c>
      <c r="X15" s="1">
        <v>26</v>
      </c>
      <c r="Y15" s="1">
        <v>27</v>
      </c>
    </row>
    <row r="16" spans="2:25">
      <c r="B16" s="1" t="s">
        <v>61</v>
      </c>
      <c r="C16" s="1" t="s">
        <v>62</v>
      </c>
      <c r="D16" s="1">
        <v>20</v>
      </c>
      <c r="E16" s="1" t="s">
        <v>27</v>
      </c>
      <c r="F16" s="1" t="s">
        <v>63</v>
      </c>
      <c r="H16" s="1">
        <v>1</v>
      </c>
      <c r="I16" s="1" t="s">
        <v>36</v>
      </c>
      <c r="J16">
        <v>110</v>
      </c>
      <c r="K16" s="1">
        <v>2</v>
      </c>
      <c r="L16" s="1" t="str">
        <f t="shared" si="0"/>
        <v>10,45</v>
      </c>
      <c r="M16" s="1" t="str">
        <f t="shared" si="2"/>
        <v>45,80</v>
      </c>
      <c r="N16" s="1">
        <f t="shared" si="1"/>
        <v>30</v>
      </c>
      <c r="O16" s="1">
        <f t="shared" si="3"/>
        <v>70</v>
      </c>
      <c r="Q16" s="1" t="s">
        <v>64</v>
      </c>
      <c r="R16" s="1">
        <v>30</v>
      </c>
      <c r="S16" s="1">
        <v>31</v>
      </c>
      <c r="T16" s="1">
        <v>32</v>
      </c>
      <c r="U16" s="1">
        <v>33</v>
      </c>
      <c r="V16" s="1">
        <v>34</v>
      </c>
      <c r="W16" s="1">
        <v>35</v>
      </c>
      <c r="X16" s="1">
        <v>36</v>
      </c>
      <c r="Y16" s="1">
        <v>37</v>
      </c>
    </row>
    <row r="17" spans="9:25">
      <c r="I17" s="1" t="s">
        <v>36</v>
      </c>
      <c r="J17"/>
      <c r="Q17" s="1" t="s">
        <v>65</v>
      </c>
      <c r="R17" s="1">
        <v>40</v>
      </c>
      <c r="S17" s="1">
        <v>41</v>
      </c>
      <c r="T17" s="1">
        <v>42</v>
      </c>
      <c r="U17" s="1">
        <v>43</v>
      </c>
      <c r="V17" s="1">
        <v>44</v>
      </c>
      <c r="W17" s="1">
        <v>45</v>
      </c>
      <c r="X17" s="1">
        <v>46</v>
      </c>
      <c r="Y17" s="1">
        <v>47</v>
      </c>
    </row>
    <row r="18" spans="2:25">
      <c r="B18" s="1" t="s">
        <v>66</v>
      </c>
      <c r="C18" s="1" t="s">
        <v>67</v>
      </c>
      <c r="D18" s="1">
        <v>20</v>
      </c>
      <c r="E18" s="1" t="s">
        <v>27</v>
      </c>
      <c r="F18" s="1" t="s">
        <v>68</v>
      </c>
      <c r="H18" s="1">
        <v>1</v>
      </c>
      <c r="I18" s="1" t="s">
        <v>36</v>
      </c>
      <c r="J18">
        <v>120</v>
      </c>
      <c r="K18" s="1">
        <v>2</v>
      </c>
      <c r="L18" s="1" t="str">
        <f t="shared" si="0"/>
        <v>10,45</v>
      </c>
      <c r="M18" s="1" t="str">
        <f t="shared" si="2"/>
        <v>45,80</v>
      </c>
      <c r="N18" s="1">
        <f t="shared" si="1"/>
        <v>30</v>
      </c>
      <c r="O18" s="1">
        <f t="shared" si="3"/>
        <v>70</v>
      </c>
      <c r="Q18" s="1" t="s">
        <v>69</v>
      </c>
      <c r="R18" s="1">
        <v>50</v>
      </c>
      <c r="S18" s="1">
        <v>51</v>
      </c>
      <c r="T18" s="1">
        <v>52</v>
      </c>
      <c r="U18" s="1">
        <v>53</v>
      </c>
      <c r="V18" s="1">
        <v>54</v>
      </c>
      <c r="W18" s="1">
        <v>55</v>
      </c>
      <c r="X18" s="1">
        <v>56</v>
      </c>
      <c r="Y18" s="1">
        <v>57</v>
      </c>
    </row>
    <row r="19" spans="9:10">
      <c r="I19" s="1" t="s">
        <v>36</v>
      </c>
      <c r="J19"/>
    </row>
    <row r="20" spans="2:15">
      <c r="B20" s="1" t="s">
        <v>70</v>
      </c>
      <c r="C20" s="1" t="s">
        <v>71</v>
      </c>
      <c r="D20" s="1">
        <v>20</v>
      </c>
      <c r="E20" s="1" t="s">
        <v>27</v>
      </c>
      <c r="F20" s="1" t="s">
        <v>72</v>
      </c>
      <c r="H20" s="1">
        <v>2</v>
      </c>
      <c r="I20" s="1" t="s">
        <v>36</v>
      </c>
      <c r="J20">
        <v>130</v>
      </c>
      <c r="K20" s="1">
        <v>2</v>
      </c>
      <c r="L20" s="1" t="str">
        <f t="shared" si="0"/>
        <v>10,45</v>
      </c>
      <c r="M20" s="1" t="str">
        <f t="shared" si="2"/>
        <v>45,80</v>
      </c>
      <c r="N20" s="1">
        <f t="shared" si="1"/>
        <v>30</v>
      </c>
      <c r="O20" s="1">
        <f t="shared" si="3"/>
        <v>70</v>
      </c>
    </row>
    <row r="21" spans="9:10">
      <c r="I21" s="1" t="s">
        <v>36</v>
      </c>
      <c r="J21"/>
    </row>
    <row r="22" spans="2:15">
      <c r="B22" s="1" t="s">
        <v>73</v>
      </c>
      <c r="C22" s="1" t="s">
        <v>74</v>
      </c>
      <c r="D22" s="1">
        <v>20</v>
      </c>
      <c r="E22" s="1" t="s">
        <v>27</v>
      </c>
      <c r="F22" s="1" t="s">
        <v>75</v>
      </c>
      <c r="G22" s="1" t="s">
        <v>46</v>
      </c>
      <c r="H22" s="1">
        <v>1</v>
      </c>
      <c r="I22" s="1" t="s">
        <v>36</v>
      </c>
      <c r="J22">
        <v>140</v>
      </c>
      <c r="K22" s="1">
        <v>2</v>
      </c>
      <c r="L22" s="1" t="str">
        <f t="shared" si="0"/>
        <v>10,45</v>
      </c>
      <c r="M22" s="1" t="str">
        <f t="shared" si="2"/>
        <v>45,80</v>
      </c>
      <c r="N22" s="1">
        <f t="shared" si="1"/>
        <v>30</v>
      </c>
      <c r="O22" s="1">
        <f t="shared" si="3"/>
        <v>70</v>
      </c>
    </row>
    <row r="23" spans="9:10">
      <c r="I23" s="1" t="s">
        <v>36</v>
      </c>
      <c r="J23"/>
    </row>
    <row r="24" spans="2:15">
      <c r="B24" s="1" t="s">
        <v>76</v>
      </c>
      <c r="C24" s="1" t="s">
        <v>77</v>
      </c>
      <c r="D24" s="1">
        <v>20</v>
      </c>
      <c r="E24" s="1" t="s">
        <v>27</v>
      </c>
      <c r="F24" s="1" t="s">
        <v>78</v>
      </c>
      <c r="H24" s="1">
        <v>1</v>
      </c>
      <c r="I24" s="1" t="s">
        <v>36</v>
      </c>
      <c r="J24">
        <v>150</v>
      </c>
      <c r="K24" s="1">
        <v>2</v>
      </c>
      <c r="L24" s="1" t="str">
        <f t="shared" si="0"/>
        <v>10,45</v>
      </c>
      <c r="M24" s="1" t="str">
        <f t="shared" si="2"/>
        <v>45,80</v>
      </c>
      <c r="N24" s="1">
        <f t="shared" si="1"/>
        <v>30</v>
      </c>
      <c r="O24" s="1">
        <f t="shared" si="3"/>
        <v>70</v>
      </c>
    </row>
    <row r="25" spans="9:21">
      <c r="I25" s="1" t="s">
        <v>36</v>
      </c>
      <c r="J25"/>
      <c r="T25" s="1" t="s">
        <v>79</v>
      </c>
      <c r="U25" s="1" t="s">
        <v>80</v>
      </c>
    </row>
    <row r="26" spans="2:21">
      <c r="B26" s="1" t="s">
        <v>81</v>
      </c>
      <c r="C26" s="1" t="s">
        <v>82</v>
      </c>
      <c r="D26" s="1">
        <v>30</v>
      </c>
      <c r="E26" s="1" t="s">
        <v>27</v>
      </c>
      <c r="F26" s="1" t="s">
        <v>83</v>
      </c>
      <c r="H26" s="1">
        <v>3</v>
      </c>
      <c r="I26" s="1" t="s">
        <v>84</v>
      </c>
      <c r="J26">
        <v>160</v>
      </c>
      <c r="K26" s="1">
        <v>3</v>
      </c>
      <c r="L26" s="1" t="str">
        <f t="shared" si="0"/>
        <v>20,60</v>
      </c>
      <c r="M26" s="1" t="str">
        <f t="shared" si="2"/>
        <v>50,90</v>
      </c>
      <c r="N26" s="1">
        <f t="shared" si="1"/>
        <v>45</v>
      </c>
      <c r="O26" s="1">
        <f t="shared" si="3"/>
        <v>90</v>
      </c>
      <c r="R26" s="1">
        <v>1</v>
      </c>
      <c r="T26" s="1" t="s">
        <v>85</v>
      </c>
      <c r="U26" s="1" t="s">
        <v>86</v>
      </c>
    </row>
    <row r="27" spans="2:21">
      <c r="B27" s="1" t="s">
        <v>87</v>
      </c>
      <c r="C27" s="1" t="s">
        <v>88</v>
      </c>
      <c r="D27" s="1">
        <v>30</v>
      </c>
      <c r="E27" s="1" t="s">
        <v>27</v>
      </c>
      <c r="F27" s="1" t="s">
        <v>89</v>
      </c>
      <c r="H27" s="1">
        <v>1</v>
      </c>
      <c r="I27" s="1" t="s">
        <v>84</v>
      </c>
      <c r="J27">
        <v>170</v>
      </c>
      <c r="K27" s="1">
        <v>3</v>
      </c>
      <c r="L27" s="1" t="str">
        <f t="shared" si="0"/>
        <v>20,60</v>
      </c>
      <c r="M27" s="1" t="str">
        <f t="shared" si="2"/>
        <v>50,90</v>
      </c>
      <c r="N27" s="1">
        <f t="shared" si="1"/>
        <v>45</v>
      </c>
      <c r="O27" s="1">
        <f t="shared" si="3"/>
        <v>90</v>
      </c>
      <c r="R27" s="1">
        <v>2</v>
      </c>
      <c r="T27" s="1" t="s">
        <v>90</v>
      </c>
      <c r="U27" s="1" t="s">
        <v>91</v>
      </c>
    </row>
    <row r="28" spans="2:21">
      <c r="B28" s="1" t="s">
        <v>92</v>
      </c>
      <c r="C28" s="1" t="s">
        <v>93</v>
      </c>
      <c r="D28" s="1">
        <v>30</v>
      </c>
      <c r="E28" s="1" t="s">
        <v>27</v>
      </c>
      <c r="F28" s="1" t="s">
        <v>94</v>
      </c>
      <c r="H28" s="1">
        <v>1</v>
      </c>
      <c r="I28" s="1" t="s">
        <v>84</v>
      </c>
      <c r="J28">
        <v>180</v>
      </c>
      <c r="K28" s="1">
        <v>3</v>
      </c>
      <c r="L28" s="1" t="str">
        <f t="shared" si="0"/>
        <v>20,60</v>
      </c>
      <c r="M28" s="1" t="str">
        <f t="shared" si="2"/>
        <v>50,90</v>
      </c>
      <c r="N28" s="1">
        <f t="shared" si="1"/>
        <v>45</v>
      </c>
      <c r="O28" s="1">
        <f t="shared" si="3"/>
        <v>90</v>
      </c>
      <c r="R28" s="1">
        <v>3</v>
      </c>
      <c r="T28" s="1" t="s">
        <v>95</v>
      </c>
      <c r="U28" s="1" t="s">
        <v>96</v>
      </c>
    </row>
    <row r="29" spans="2:21">
      <c r="B29" s="1" t="s">
        <v>97</v>
      </c>
      <c r="C29" s="1" t="s">
        <v>98</v>
      </c>
      <c r="D29" s="1">
        <v>30</v>
      </c>
      <c r="E29" s="1" t="s">
        <v>27</v>
      </c>
      <c r="F29" s="1" t="s">
        <v>99</v>
      </c>
      <c r="G29" s="1" t="s">
        <v>46</v>
      </c>
      <c r="H29" s="1">
        <v>1</v>
      </c>
      <c r="I29" s="1" t="s">
        <v>84</v>
      </c>
      <c r="J29">
        <v>190</v>
      </c>
      <c r="K29" s="1">
        <v>3</v>
      </c>
      <c r="L29" s="1" t="str">
        <f t="shared" si="0"/>
        <v>20,60</v>
      </c>
      <c r="M29" s="1" t="str">
        <f t="shared" si="2"/>
        <v>50,90</v>
      </c>
      <c r="N29" s="1">
        <f t="shared" si="1"/>
        <v>45</v>
      </c>
      <c r="O29" s="1">
        <f t="shared" si="3"/>
        <v>90</v>
      </c>
      <c r="R29" s="1">
        <v>4</v>
      </c>
      <c r="T29" s="1" t="s">
        <v>100</v>
      </c>
      <c r="U29" s="36" t="s">
        <v>101</v>
      </c>
    </row>
    <row r="30" spans="2:21">
      <c r="B30" s="1" t="s">
        <v>102</v>
      </c>
      <c r="C30" s="1" t="s">
        <v>103</v>
      </c>
      <c r="D30" s="1">
        <v>30</v>
      </c>
      <c r="E30" s="1" t="s">
        <v>27</v>
      </c>
      <c r="F30" s="1" t="s">
        <v>104</v>
      </c>
      <c r="G30" s="1" t="s">
        <v>46</v>
      </c>
      <c r="H30" s="1">
        <v>1</v>
      </c>
      <c r="I30" s="1" t="s">
        <v>84</v>
      </c>
      <c r="J30">
        <v>200</v>
      </c>
      <c r="K30" s="1">
        <v>3</v>
      </c>
      <c r="L30" s="1" t="str">
        <f t="shared" si="0"/>
        <v>20,60</v>
      </c>
      <c r="M30" s="1" t="str">
        <f t="shared" si="2"/>
        <v>50,90</v>
      </c>
      <c r="N30" s="1">
        <f t="shared" si="1"/>
        <v>45</v>
      </c>
      <c r="O30" s="1">
        <f t="shared" si="3"/>
        <v>90</v>
      </c>
      <c r="R30" s="1">
        <v>6</v>
      </c>
      <c r="T30" s="1" t="s">
        <v>105</v>
      </c>
      <c r="U30" s="36" t="s">
        <v>106</v>
      </c>
    </row>
    <row r="31" spans="2:21">
      <c r="B31" s="1" t="s">
        <v>107</v>
      </c>
      <c r="C31" s="1" t="s">
        <v>108</v>
      </c>
      <c r="D31" s="1">
        <v>30</v>
      </c>
      <c r="E31" s="1" t="s">
        <v>27</v>
      </c>
      <c r="F31" s="1" t="s">
        <v>109</v>
      </c>
      <c r="H31" s="1">
        <v>3</v>
      </c>
      <c r="I31" s="1" t="s">
        <v>36</v>
      </c>
      <c r="J31">
        <v>210</v>
      </c>
      <c r="K31" s="1">
        <v>3</v>
      </c>
      <c r="L31" s="1" t="str">
        <f t="shared" si="0"/>
        <v>20,60</v>
      </c>
      <c r="M31" s="1" t="str">
        <f t="shared" si="2"/>
        <v>50,90</v>
      </c>
      <c r="N31" s="1">
        <f t="shared" si="1"/>
        <v>45</v>
      </c>
      <c r="O31" s="1">
        <f t="shared" si="3"/>
        <v>90</v>
      </c>
      <c r="R31" s="1" t="s">
        <v>110</v>
      </c>
      <c r="S31" s="36"/>
      <c r="T31" s="36" t="s">
        <v>111</v>
      </c>
      <c r="U31" s="36" t="s">
        <v>112</v>
      </c>
    </row>
    <row r="32" spans="9:20">
      <c r="I32" s="1" t="s">
        <v>36</v>
      </c>
      <c r="J32"/>
      <c r="S32" s="36"/>
      <c r="T32" s="36"/>
    </row>
    <row r="33" spans="9:10">
      <c r="I33" s="1" t="s">
        <v>36</v>
      </c>
      <c r="J33"/>
    </row>
    <row r="34" spans="2:15">
      <c r="B34" s="1" t="s">
        <v>113</v>
      </c>
      <c r="C34" s="1" t="s">
        <v>114</v>
      </c>
      <c r="D34" s="1">
        <v>30</v>
      </c>
      <c r="E34" s="1" t="s">
        <v>27</v>
      </c>
      <c r="F34" s="1" t="s">
        <v>115</v>
      </c>
      <c r="H34" s="1">
        <v>1</v>
      </c>
      <c r="I34" s="1" t="s">
        <v>36</v>
      </c>
      <c r="J34">
        <v>220</v>
      </c>
      <c r="K34" s="1">
        <v>3</v>
      </c>
      <c r="L34" s="1" t="str">
        <f t="shared" si="0"/>
        <v>20,60</v>
      </c>
      <c r="M34" s="1" t="str">
        <f t="shared" si="2"/>
        <v>50,90</v>
      </c>
      <c r="N34" s="1">
        <f t="shared" si="1"/>
        <v>45</v>
      </c>
      <c r="O34" s="1">
        <f t="shared" si="3"/>
        <v>90</v>
      </c>
    </row>
    <row r="35" spans="9:10">
      <c r="I35" s="1" t="s">
        <v>36</v>
      </c>
      <c r="J35"/>
    </row>
    <row r="36" spans="9:10">
      <c r="I36" s="1" t="s">
        <v>36</v>
      </c>
      <c r="J36"/>
    </row>
    <row r="37" spans="2:15">
      <c r="B37" s="1" t="s">
        <v>116</v>
      </c>
      <c r="C37" s="1" t="s">
        <v>117</v>
      </c>
      <c r="D37" s="1">
        <v>30</v>
      </c>
      <c r="E37" s="1" t="s">
        <v>27</v>
      </c>
      <c r="F37" s="1" t="s">
        <v>118</v>
      </c>
      <c r="H37" s="1">
        <v>1</v>
      </c>
      <c r="I37" s="1" t="s">
        <v>36</v>
      </c>
      <c r="J37">
        <v>230</v>
      </c>
      <c r="K37" s="1">
        <v>3</v>
      </c>
      <c r="L37" s="1" t="str">
        <f>VLOOKUP(K37,$R$26:$U$30,3,FALSE)</f>
        <v>20,60</v>
      </c>
      <c r="M37" s="1" t="str">
        <f t="shared" si="2"/>
        <v>50,90</v>
      </c>
      <c r="N37" s="1">
        <f>ROUNDUP(1.5*K37*10,0)</f>
        <v>45</v>
      </c>
      <c r="O37" s="1">
        <f t="shared" si="3"/>
        <v>90</v>
      </c>
    </row>
    <row r="38" spans="9:10">
      <c r="I38" s="1" t="s">
        <v>36</v>
      </c>
      <c r="J38"/>
    </row>
    <row r="39" spans="9:10">
      <c r="I39" s="1" t="s">
        <v>36</v>
      </c>
      <c r="J39"/>
    </row>
    <row r="40" spans="2:15">
      <c r="B40" s="1" t="s">
        <v>119</v>
      </c>
      <c r="C40" s="1" t="s">
        <v>120</v>
      </c>
      <c r="D40" s="1">
        <v>30</v>
      </c>
      <c r="E40" s="1" t="s">
        <v>27</v>
      </c>
      <c r="F40" s="1" t="s">
        <v>121</v>
      </c>
      <c r="G40" s="1" t="s">
        <v>46</v>
      </c>
      <c r="H40" s="1">
        <v>1</v>
      </c>
      <c r="I40" s="1" t="s">
        <v>36</v>
      </c>
      <c r="J40">
        <v>240</v>
      </c>
      <c r="K40" s="1">
        <v>3</v>
      </c>
      <c r="L40" s="1" t="str">
        <f>VLOOKUP(K40,$R$26:$U$30,3,FALSE)</f>
        <v>20,60</v>
      </c>
      <c r="M40" s="1" t="str">
        <f>VLOOKUP(K40,$R$26:$U$30,4,FALSE)</f>
        <v>50,90</v>
      </c>
      <c r="N40" s="1">
        <f>ROUNDUP(1.5*K40*10,0)</f>
        <v>45</v>
      </c>
      <c r="O40" s="1">
        <f>ROUNDUP(N40*1.5+20,-1)</f>
        <v>90</v>
      </c>
    </row>
    <row r="41" spans="9:10">
      <c r="I41" s="1" t="s">
        <v>36</v>
      </c>
      <c r="J41"/>
    </row>
    <row r="42" spans="9:10">
      <c r="I42" s="1" t="s">
        <v>36</v>
      </c>
      <c r="J42"/>
    </row>
    <row r="43" spans="2:15">
      <c r="B43" s="1" t="s">
        <v>122</v>
      </c>
      <c r="C43" s="1" t="s">
        <v>123</v>
      </c>
      <c r="D43" s="1">
        <v>30</v>
      </c>
      <c r="E43" s="1" t="s">
        <v>27</v>
      </c>
      <c r="F43" s="1" t="s">
        <v>124</v>
      </c>
      <c r="H43" s="1">
        <v>1</v>
      </c>
      <c r="I43" s="1" t="s">
        <v>29</v>
      </c>
      <c r="J43">
        <v>250</v>
      </c>
      <c r="K43" s="1">
        <v>3</v>
      </c>
      <c r="L43" s="1" t="str">
        <f>VLOOKUP(K43,$R$26:$U$30,3,FALSE)</f>
        <v>20,60</v>
      </c>
      <c r="M43" s="1" t="str">
        <f>VLOOKUP(K43,$R$26:$U$30,4,FALSE)</f>
        <v>50,90</v>
      </c>
      <c r="N43" s="1">
        <f>ROUNDUP(1.5*K43*10,0)</f>
        <v>45</v>
      </c>
      <c r="O43" s="1">
        <f>ROUNDUP(N43*1.5+20,-1)</f>
        <v>90</v>
      </c>
    </row>
    <row r="44" spans="9:10">
      <c r="I44" s="1" t="s">
        <v>29</v>
      </c>
      <c r="J44"/>
    </row>
    <row r="45" spans="2:15">
      <c r="B45" s="1" t="s">
        <v>125</v>
      </c>
      <c r="C45" s="1" t="s">
        <v>126</v>
      </c>
      <c r="D45" s="1">
        <v>40</v>
      </c>
      <c r="E45" s="1" t="s">
        <v>27</v>
      </c>
      <c r="F45" s="1" t="s">
        <v>127</v>
      </c>
      <c r="G45" s="1" t="s">
        <v>46</v>
      </c>
      <c r="H45" s="1">
        <v>1</v>
      </c>
      <c r="I45" s="1" t="s">
        <v>29</v>
      </c>
      <c r="J45">
        <v>260</v>
      </c>
      <c r="K45" s="1">
        <v>4</v>
      </c>
      <c r="L45" s="1" t="str">
        <f>VLOOKUP(K45,$R$26:$U$30,3,FALSE)</f>
        <v>30,75</v>
      </c>
      <c r="M45" s="1" t="str">
        <f>VLOOKUP(K45,$R$26:$U$30,4,FALSE)</f>
        <v>55,100</v>
      </c>
      <c r="N45" s="1">
        <f>ROUNDUP(1.5*K45*10,0)</f>
        <v>60</v>
      </c>
      <c r="O45" s="1">
        <f>ROUNDUP(N45*1.5+20,-1)</f>
        <v>110</v>
      </c>
    </row>
    <row r="46" spans="9:10">
      <c r="I46" s="1" t="s">
        <v>29</v>
      </c>
      <c r="J46"/>
    </row>
    <row r="47" spans="2:15">
      <c r="B47" s="1" t="s">
        <v>128</v>
      </c>
      <c r="C47" s="1" t="s">
        <v>129</v>
      </c>
      <c r="D47" s="1">
        <v>40</v>
      </c>
      <c r="E47" s="1" t="s">
        <v>27</v>
      </c>
      <c r="F47" s="1" t="s">
        <v>130</v>
      </c>
      <c r="H47" s="1">
        <v>1</v>
      </c>
      <c r="I47" s="1" t="s">
        <v>29</v>
      </c>
      <c r="J47">
        <v>270</v>
      </c>
      <c r="K47" s="1">
        <v>4</v>
      </c>
      <c r="L47" s="1" t="str">
        <f>VLOOKUP(K47,$R$26:$U$30,3,FALSE)</f>
        <v>30,75</v>
      </c>
      <c r="M47" s="1" t="str">
        <f>VLOOKUP(K47,$R$26:$U$30,4,FALSE)</f>
        <v>55,100</v>
      </c>
      <c r="N47" s="1">
        <f>ROUNDUP(1.5*K47*10,0)</f>
        <v>60</v>
      </c>
      <c r="O47" s="1">
        <f>ROUNDUP(N47*1.5+20,-1)</f>
        <v>110</v>
      </c>
    </row>
    <row r="48" spans="9:10">
      <c r="I48" s="1" t="s">
        <v>29</v>
      </c>
      <c r="J48"/>
    </row>
    <row r="49" spans="2:15">
      <c r="B49" s="1" t="s">
        <v>131</v>
      </c>
      <c r="C49" s="1" t="s">
        <v>132</v>
      </c>
      <c r="D49" s="1">
        <v>40</v>
      </c>
      <c r="E49" s="1" t="s">
        <v>27</v>
      </c>
      <c r="F49" s="1" t="s">
        <v>133</v>
      </c>
      <c r="H49" s="1">
        <v>6</v>
      </c>
      <c r="I49" s="1" t="s">
        <v>29</v>
      </c>
      <c r="J49">
        <v>280</v>
      </c>
      <c r="K49" s="1">
        <v>4</v>
      </c>
      <c r="L49" s="1" t="str">
        <f>VLOOKUP(K49,$R$26:$U$30,3,FALSE)</f>
        <v>30,75</v>
      </c>
      <c r="M49" s="1" t="str">
        <f>VLOOKUP(K49,$R$26:$U$30,4,FALSE)</f>
        <v>55,100</v>
      </c>
      <c r="N49" s="1">
        <f>ROUNDUP(1.5*K49*10,0)</f>
        <v>60</v>
      </c>
      <c r="O49" s="1">
        <f>ROUNDUP(N49*1.5+20,-1)</f>
        <v>110</v>
      </c>
    </row>
    <row r="50" spans="9:10">
      <c r="I50" s="1" t="s">
        <v>29</v>
      </c>
      <c r="J50"/>
    </row>
    <row r="51" spans="2:15">
      <c r="B51" s="1" t="s">
        <v>134</v>
      </c>
      <c r="C51" s="1" t="s">
        <v>135</v>
      </c>
      <c r="D51" s="1">
        <v>40</v>
      </c>
      <c r="E51" s="1" t="s">
        <v>27</v>
      </c>
      <c r="F51" s="1" t="s">
        <v>136</v>
      </c>
      <c r="H51" s="1">
        <v>5</v>
      </c>
      <c r="I51" s="1" t="s">
        <v>29</v>
      </c>
      <c r="J51">
        <v>290</v>
      </c>
      <c r="K51" s="1">
        <v>4</v>
      </c>
      <c r="L51" s="1" t="str">
        <f>VLOOKUP(K51,$R$26:$U$30,3,FALSE)</f>
        <v>30,75</v>
      </c>
      <c r="M51" s="1" t="str">
        <f>VLOOKUP(K51,$R$26:$U$30,4,FALSE)</f>
        <v>55,100</v>
      </c>
      <c r="N51" s="1">
        <f>ROUNDUP(1.5*K51*10,0)</f>
        <v>60</v>
      </c>
      <c r="O51" s="1">
        <f>ROUNDUP(N51*1.5+20,-1)</f>
        <v>110</v>
      </c>
    </row>
    <row r="52" spans="9:10">
      <c r="I52" s="1" t="s">
        <v>29</v>
      </c>
      <c r="J52"/>
    </row>
    <row r="53" spans="2:15">
      <c r="B53" s="1" t="s">
        <v>137</v>
      </c>
      <c r="C53" s="1" t="s">
        <v>138</v>
      </c>
      <c r="D53" s="1">
        <v>40</v>
      </c>
      <c r="E53" s="1" t="s">
        <v>27</v>
      </c>
      <c r="F53" s="1" t="s">
        <v>139</v>
      </c>
      <c r="G53" s="1" t="s">
        <v>46</v>
      </c>
      <c r="H53" s="1">
        <v>1</v>
      </c>
      <c r="I53" s="1" t="s">
        <v>29</v>
      </c>
      <c r="J53">
        <v>300</v>
      </c>
      <c r="K53" s="1">
        <v>4</v>
      </c>
      <c r="L53" s="1" t="str">
        <f>VLOOKUP(K53,$R$26:$U$30,3,FALSE)</f>
        <v>30,75</v>
      </c>
      <c r="M53" s="1" t="str">
        <f>VLOOKUP(K53,$R$26:$U$30,4,FALSE)</f>
        <v>55,100</v>
      </c>
      <c r="N53" s="1">
        <f>ROUNDUP(1.5*K53*10,0)</f>
        <v>60</v>
      </c>
      <c r="O53" s="1">
        <f>ROUNDUP(N53*1.5+20,-1)</f>
        <v>110</v>
      </c>
    </row>
    <row r="54" spans="9:10">
      <c r="I54" s="1" t="s">
        <v>29</v>
      </c>
      <c r="J54"/>
    </row>
    <row r="55" spans="2:15">
      <c r="B55" s="1" t="s">
        <v>140</v>
      </c>
      <c r="C55" s="1" t="s">
        <v>141</v>
      </c>
      <c r="D55" s="1">
        <v>40</v>
      </c>
      <c r="E55" s="1" t="s">
        <v>27</v>
      </c>
      <c r="F55" s="1" t="s">
        <v>142</v>
      </c>
      <c r="H55" s="1">
        <v>1</v>
      </c>
      <c r="I55" s="1" t="s">
        <v>29</v>
      </c>
      <c r="J55">
        <v>310</v>
      </c>
      <c r="K55" s="1">
        <v>4</v>
      </c>
      <c r="L55" s="1" t="str">
        <f>VLOOKUP(K55,$R$26:$U$30,3,FALSE)</f>
        <v>30,75</v>
      </c>
      <c r="M55" s="1" t="str">
        <f>VLOOKUP(K55,$R$26:$U$30,4,FALSE)</f>
        <v>55,100</v>
      </c>
      <c r="N55" s="1">
        <f>ROUNDUP(1.5*K55*10,0)</f>
        <v>60</v>
      </c>
      <c r="O55" s="1">
        <f>ROUNDUP(N55*1.5+20,-1)</f>
        <v>110</v>
      </c>
    </row>
    <row r="56" spans="9:10">
      <c r="I56" s="1" t="s">
        <v>143</v>
      </c>
      <c r="J56"/>
    </row>
    <row r="57" spans="9:10">
      <c r="I57" s="1" t="s">
        <v>143</v>
      </c>
      <c r="J57"/>
    </row>
    <row r="58" spans="2:15">
      <c r="B58" s="1" t="s">
        <v>144</v>
      </c>
      <c r="C58" s="1" t="s">
        <v>145</v>
      </c>
      <c r="D58" s="1">
        <v>60</v>
      </c>
      <c r="E58" s="1" t="s">
        <v>27</v>
      </c>
      <c r="F58" s="1" t="s">
        <v>146</v>
      </c>
      <c r="G58" s="1" t="s">
        <v>46</v>
      </c>
      <c r="H58" s="1">
        <v>1</v>
      </c>
      <c r="I58" s="1" t="s">
        <v>84</v>
      </c>
      <c r="J58">
        <v>320</v>
      </c>
      <c r="K58" s="1">
        <v>6</v>
      </c>
      <c r="L58" s="1" t="str">
        <f>VLOOKUP(K58,$R$26:$U$30,3,FALSE)</f>
        <v>40,90</v>
      </c>
      <c r="M58" s="1" t="str">
        <f>VLOOKUP(K58,$R$26:$U$30,4,FALSE)</f>
        <v>70,120</v>
      </c>
      <c r="N58" s="1">
        <f>ROUNDUP(1.5*K58*10,0)</f>
        <v>90</v>
      </c>
      <c r="O58" s="1">
        <f>ROUNDUP(N58*1.5+20,-1)</f>
        <v>160</v>
      </c>
    </row>
    <row r="59" spans="9:10">
      <c r="I59" s="1" t="s">
        <v>84</v>
      </c>
      <c r="J59"/>
    </row>
    <row r="60" spans="2:15">
      <c r="B60" s="1" t="s">
        <v>147</v>
      </c>
      <c r="C60" s="1" t="s">
        <v>148</v>
      </c>
      <c r="D60" s="1">
        <v>60</v>
      </c>
      <c r="E60" s="1" t="s">
        <v>27</v>
      </c>
      <c r="F60" s="1" t="s">
        <v>149</v>
      </c>
      <c r="H60" s="1">
        <v>1</v>
      </c>
      <c r="I60" s="1" t="s">
        <v>84</v>
      </c>
      <c r="J60">
        <v>330</v>
      </c>
      <c r="K60" s="1">
        <v>6</v>
      </c>
      <c r="L60" s="1" t="str">
        <f>VLOOKUP(K60,$R$26:$U$30,3,FALSE)</f>
        <v>40,90</v>
      </c>
      <c r="M60" s="1" t="str">
        <f>VLOOKUP(K60,$R$26:$U$30,4,FALSE)</f>
        <v>70,120</v>
      </c>
      <c r="N60" s="1">
        <f>ROUNDUP(1.5*K60*10,0)</f>
        <v>90</v>
      </c>
      <c r="O60" s="1">
        <f>ROUNDUP(N60*1.5+20,-1)</f>
        <v>160</v>
      </c>
    </row>
    <row r="61" spans="9:10">
      <c r="I61" s="1" t="s">
        <v>84</v>
      </c>
      <c r="J61"/>
    </row>
    <row r="62" spans="2:15">
      <c r="B62" s="1" t="s">
        <v>150</v>
      </c>
      <c r="C62" s="1" t="s">
        <v>151</v>
      </c>
      <c r="D62" s="1">
        <v>60</v>
      </c>
      <c r="E62" s="1" t="s">
        <v>27</v>
      </c>
      <c r="F62" s="1" t="s">
        <v>152</v>
      </c>
      <c r="H62" s="1">
        <v>8</v>
      </c>
      <c r="I62" s="1" t="s">
        <v>84</v>
      </c>
      <c r="J62">
        <v>340</v>
      </c>
      <c r="K62" s="1">
        <v>6</v>
      </c>
      <c r="L62" s="1" t="str">
        <f>VLOOKUP(K62,$R$26:$U$30,3,FALSE)</f>
        <v>40,90</v>
      </c>
      <c r="M62" s="1" t="str">
        <f>VLOOKUP(K62,$R$26:$U$30,4,FALSE)</f>
        <v>70,120</v>
      </c>
      <c r="N62" s="1">
        <f>ROUNDUP(1.5*K62*10,0)</f>
        <v>90</v>
      </c>
      <c r="O62" s="1">
        <f>ROUNDUP(N62*1.5+20,-1)</f>
        <v>160</v>
      </c>
    </row>
    <row r="63" spans="9:10">
      <c r="I63" s="1" t="s">
        <v>84</v>
      </c>
      <c r="J63"/>
    </row>
    <row r="64" spans="2:15">
      <c r="B64" s="1" t="s">
        <v>153</v>
      </c>
      <c r="C64" s="1" t="s">
        <v>154</v>
      </c>
      <c r="D64" s="1">
        <v>60</v>
      </c>
      <c r="E64" s="1" t="s">
        <v>27</v>
      </c>
      <c r="F64" s="1" t="s">
        <v>155</v>
      </c>
      <c r="G64" s="1" t="s">
        <v>46</v>
      </c>
      <c r="H64" s="1">
        <v>1</v>
      </c>
      <c r="I64" s="1" t="s">
        <v>29</v>
      </c>
      <c r="J64">
        <v>350</v>
      </c>
      <c r="K64" s="1">
        <v>6</v>
      </c>
      <c r="L64" s="1" t="str">
        <f>VLOOKUP(K64,$R$26:$U$30,3,FALSE)</f>
        <v>40,90</v>
      </c>
      <c r="M64" s="1" t="str">
        <f>VLOOKUP(K64,$R$26:$U$30,4,FALSE)</f>
        <v>70,120</v>
      </c>
      <c r="N64" s="1">
        <f>ROUNDUP(1.5*K64*10,0)</f>
        <v>90</v>
      </c>
      <c r="O64" s="1">
        <f>ROUNDUP(N64*1.5+20,-1)</f>
        <v>160</v>
      </c>
    </row>
    <row r="65" spans="9:10">
      <c r="I65" s="1" t="s">
        <v>29</v>
      </c>
      <c r="J65"/>
    </row>
    <row r="66" spans="9:10">
      <c r="I66" s="1" t="s">
        <v>29</v>
      </c>
      <c r="J66"/>
    </row>
    <row r="67" spans="2:15">
      <c r="B67" s="1" t="s">
        <v>156</v>
      </c>
      <c r="C67" s="1" t="s">
        <v>157</v>
      </c>
      <c r="D67" s="1">
        <v>60</v>
      </c>
      <c r="E67" s="1" t="s">
        <v>27</v>
      </c>
      <c r="F67" s="1" t="s">
        <v>158</v>
      </c>
      <c r="H67" s="1">
        <v>1</v>
      </c>
      <c r="I67" s="1" t="s">
        <v>29</v>
      </c>
      <c r="J67">
        <v>360</v>
      </c>
      <c r="K67" s="1">
        <v>6</v>
      </c>
      <c r="L67" s="1" t="str">
        <f>VLOOKUP(K67,$R$26:$U$30,3,FALSE)</f>
        <v>40,90</v>
      </c>
      <c r="M67" s="1" t="str">
        <f>VLOOKUP(K67,$R$26:$U$30,4,FALSE)</f>
        <v>70,120</v>
      </c>
      <c r="N67" s="1">
        <f>ROUNDUP(1.5*K67*10,0)</f>
        <v>90</v>
      </c>
      <c r="O67" s="1">
        <f>ROUNDUP(N67*1.5+20,-1)</f>
        <v>160</v>
      </c>
    </row>
    <row r="68" spans="9:10">
      <c r="I68" s="1" t="s">
        <v>29</v>
      </c>
      <c r="J68"/>
    </row>
    <row r="69" spans="9:10">
      <c r="I69" s="1" t="s">
        <v>29</v>
      </c>
      <c r="J69"/>
    </row>
    <row r="70" spans="2:15">
      <c r="B70" s="1" t="s">
        <v>159</v>
      </c>
      <c r="C70" s="1" t="s">
        <v>160</v>
      </c>
      <c r="D70" s="1">
        <v>60</v>
      </c>
      <c r="E70" s="1" t="s">
        <v>27</v>
      </c>
      <c r="F70" s="1" t="s">
        <v>161</v>
      </c>
      <c r="H70" s="1">
        <v>1</v>
      </c>
      <c r="I70" s="1" t="s">
        <v>29</v>
      </c>
      <c r="J70">
        <v>370</v>
      </c>
      <c r="K70" s="1">
        <v>6</v>
      </c>
      <c r="L70" s="1" t="str">
        <f>VLOOKUP(K70,$R$26:$U$30,3,FALSE)</f>
        <v>40,90</v>
      </c>
      <c r="M70" s="1" t="str">
        <f>VLOOKUP(K70,$R$26:$U$30,4,FALSE)</f>
        <v>70,120</v>
      </c>
      <c r="N70" s="1">
        <f>ROUNDUP(1.5*K70*10,0)</f>
        <v>90</v>
      </c>
      <c r="O70" s="1">
        <f>ROUNDUP(N70*1.5+20,-1)</f>
        <v>160</v>
      </c>
    </row>
    <row r="71" spans="9:10">
      <c r="I71" s="1" t="s">
        <v>29</v>
      </c>
      <c r="J71"/>
    </row>
    <row r="72" spans="9:10">
      <c r="I72" s="1" t="s">
        <v>29</v>
      </c>
      <c r="J72"/>
    </row>
    <row r="73" spans="2:15">
      <c r="B73" s="1" t="s">
        <v>162</v>
      </c>
      <c r="C73" s="1" t="s">
        <v>163</v>
      </c>
      <c r="D73" s="1">
        <v>110</v>
      </c>
      <c r="E73" s="1" t="s">
        <v>27</v>
      </c>
      <c r="F73" s="1" t="s">
        <v>164</v>
      </c>
      <c r="H73" s="1">
        <v>1</v>
      </c>
      <c r="I73" s="1" t="s">
        <v>84</v>
      </c>
      <c r="J73">
        <v>380</v>
      </c>
      <c r="K73" s="1">
        <v>9</v>
      </c>
      <c r="L73" s="36" t="s">
        <v>111</v>
      </c>
      <c r="M73" s="36" t="s">
        <v>112</v>
      </c>
      <c r="N73" s="1">
        <f>ROUNDUP(1.5*K73*10,0)</f>
        <v>135</v>
      </c>
      <c r="O73" s="1">
        <f>ROUNDUP(N73*1.5+20,-1)</f>
        <v>230</v>
      </c>
    </row>
    <row r="74" spans="9:10">
      <c r="I74" s="1" t="s">
        <v>84</v>
      </c>
      <c r="J74"/>
    </row>
    <row r="75" spans="9:10">
      <c r="I75" s="1" t="s">
        <v>84</v>
      </c>
      <c r="J75"/>
    </row>
    <row r="76" spans="2:15">
      <c r="B76" s="1" t="s">
        <v>165</v>
      </c>
      <c r="C76" s="1" t="s">
        <v>166</v>
      </c>
      <c r="D76" s="1">
        <v>90</v>
      </c>
      <c r="E76" s="1" t="s">
        <v>27</v>
      </c>
      <c r="F76" s="1" t="s">
        <v>167</v>
      </c>
      <c r="H76" s="1">
        <v>1</v>
      </c>
      <c r="I76" s="1" t="s">
        <v>84</v>
      </c>
      <c r="J76">
        <v>390</v>
      </c>
      <c r="K76" s="1">
        <v>9</v>
      </c>
      <c r="L76" s="36" t="s">
        <v>111</v>
      </c>
      <c r="M76" s="36" t="s">
        <v>112</v>
      </c>
      <c r="N76" s="1">
        <f>ROUNDUP(1.5*K76*10,0)</f>
        <v>135</v>
      </c>
      <c r="O76" s="1">
        <f>ROUNDUP(N76*1.5+20,-1)</f>
        <v>230</v>
      </c>
    </row>
    <row r="77" spans="9:10">
      <c r="I77" s="1" t="s">
        <v>84</v>
      </c>
      <c r="J77"/>
    </row>
    <row r="78" spans="9:10">
      <c r="I78" s="1" t="s">
        <v>84</v>
      </c>
      <c r="J78"/>
    </row>
    <row r="79" spans="2:15">
      <c r="B79" s="1" t="s">
        <v>168</v>
      </c>
      <c r="C79" s="1" t="s">
        <v>169</v>
      </c>
      <c r="D79" s="1">
        <v>120</v>
      </c>
      <c r="E79" s="1" t="s">
        <v>27</v>
      </c>
      <c r="F79" s="1" t="s">
        <v>170</v>
      </c>
      <c r="G79" s="1" t="s">
        <v>46</v>
      </c>
      <c r="H79" s="1">
        <v>1</v>
      </c>
      <c r="I79" s="1" t="s">
        <v>84</v>
      </c>
      <c r="J79">
        <v>400</v>
      </c>
      <c r="K79" s="1">
        <v>12</v>
      </c>
      <c r="L79" s="36" t="s">
        <v>111</v>
      </c>
      <c r="M79" s="36" t="s">
        <v>112</v>
      </c>
      <c r="N79" s="1">
        <f>ROUNDUP(1.5*K79*10,0)</f>
        <v>180</v>
      </c>
      <c r="O79" s="1">
        <f>ROUNDUP(N79*1.5+20,-1)</f>
        <v>290</v>
      </c>
    </row>
    <row r="80" spans="9:10">
      <c r="I80" s="1" t="s">
        <v>84</v>
      </c>
      <c r="J80"/>
    </row>
    <row r="81" spans="9:10">
      <c r="I81" s="1" t="s">
        <v>84</v>
      </c>
      <c r="J81"/>
    </row>
    <row r="82" spans="9:10">
      <c r="I82" s="1" t="s">
        <v>84</v>
      </c>
      <c r="J82"/>
    </row>
    <row r="83" spans="2:10">
      <c r="B83" s="1" t="s">
        <v>171</v>
      </c>
      <c r="C83" s="1" t="s">
        <v>172</v>
      </c>
      <c r="D83" s="1">
        <v>10</v>
      </c>
      <c r="E83" s="1" t="s">
        <v>27</v>
      </c>
      <c r="H83" s="1">
        <v>1</v>
      </c>
      <c r="I83" s="1" t="s">
        <v>36</v>
      </c>
      <c r="J83">
        <v>10000</v>
      </c>
    </row>
    <row r="84" spans="10:10">
      <c r="J84"/>
    </row>
    <row r="85" spans="10:13">
      <c r="J85"/>
      <c r="M85" s="36"/>
    </row>
    <row r="86" spans="10:13">
      <c r="J86"/>
      <c r="M86" s="36"/>
    </row>
    <row r="87" spans="10:13">
      <c r="J87"/>
      <c r="M87" s="36"/>
    </row>
    <row r="88" spans="10:13">
      <c r="J88"/>
      <c r="M88" s="36"/>
    </row>
    <row r="89" spans="10:13">
      <c r="J89"/>
      <c r="M89" s="36"/>
    </row>
    <row r="90" spans="10:13">
      <c r="J90"/>
      <c r="M90" s="36"/>
    </row>
    <row r="91" spans="10:13">
      <c r="J91"/>
      <c r="M91" s="36"/>
    </row>
    <row r="92" spans="10:13">
      <c r="J92"/>
      <c r="M92" s="36"/>
    </row>
    <row r="93" spans="10:13">
      <c r="J93"/>
      <c r="M93" s="36"/>
    </row>
    <row r="94" spans="10:13">
      <c r="J94"/>
      <c r="M94" s="36"/>
    </row>
    <row r="95" spans="10:13">
      <c r="J95"/>
      <c r="M95" s="36"/>
    </row>
    <row r="96" spans="10:13">
      <c r="J96"/>
      <c r="M96" s="36"/>
    </row>
    <row r="97" spans="10:13">
      <c r="J97"/>
      <c r="M97" s="36"/>
    </row>
    <row r="98" spans="10:10">
      <c r="J98"/>
    </row>
    <row r="99" spans="10:10">
      <c r="J99"/>
    </row>
    <row r="100" spans="10:10">
      <c r="J100"/>
    </row>
    <row r="101" spans="10:10">
      <c r="J101"/>
    </row>
    <row r="102" spans="10:10">
      <c r="J102"/>
    </row>
    <row r="103" spans="10:10">
      <c r="J103"/>
    </row>
    <row r="104" spans="10:10">
      <c r="J104"/>
    </row>
    <row r="105" spans="10:10">
      <c r="J105"/>
    </row>
    <row r="106" spans="10:10">
      <c r="J106"/>
    </row>
    <row r="107" spans="10:10">
      <c r="J107"/>
    </row>
    <row r="108" spans="10:10">
      <c r="J108"/>
    </row>
    <row r="109" spans="10:10">
      <c r="J109"/>
    </row>
    <row r="110" spans="10:10">
      <c r="J110"/>
    </row>
    <row r="111" spans="10:10">
      <c r="J111"/>
    </row>
    <row r="112" spans="10:10">
      <c r="J112"/>
    </row>
    <row r="113" spans="10:10">
      <c r="J113"/>
    </row>
    <row r="114" spans="10:10">
      <c r="J114"/>
    </row>
    <row r="115" spans="10:10">
      <c r="J115"/>
    </row>
    <row r="116" spans="10:10">
      <c r="J116"/>
    </row>
    <row r="117" spans="10:10">
      <c r="J117"/>
    </row>
    <row r="118" spans="10:10">
      <c r="J118"/>
    </row>
    <row r="119" spans="10:10">
      <c r="J119"/>
    </row>
    <row r="120" spans="10:10">
      <c r="J120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2"/>
  <sheetViews>
    <sheetView tabSelected="1" workbookViewId="0">
      <selection activeCell="B44" sqref="B44:B322"/>
    </sheetView>
  </sheetViews>
  <sheetFormatPr defaultColWidth="9" defaultRowHeight="16.8"/>
  <cols>
    <col min="1" max="1" width="13.0769230769231" style="1" customWidth="1"/>
    <col min="2" max="2" width="21.4615384615385" style="1" customWidth="1"/>
    <col min="3" max="3" width="20.3846153846154" style="1" customWidth="1"/>
    <col min="4" max="4" width="38" style="1" customWidth="1"/>
    <col min="5" max="5" width="15.1538461538462" style="1" customWidth="1"/>
    <col min="6" max="6" width="10.3076923076923" style="1" customWidth="1"/>
    <col min="7" max="7" width="23" style="36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173</v>
      </c>
      <c r="D1" s="1" t="s">
        <v>174</v>
      </c>
      <c r="E1" s="1" t="s">
        <v>175</v>
      </c>
      <c r="F1" s="1" t="s">
        <v>176</v>
      </c>
      <c r="G1" s="36" t="s">
        <v>177</v>
      </c>
      <c r="H1" s="1" t="s">
        <v>178</v>
      </c>
      <c r="I1" t="s">
        <v>179</v>
      </c>
      <c r="J1" t="s">
        <v>180</v>
      </c>
      <c r="K1" t="s">
        <v>181</v>
      </c>
      <c r="L1"/>
    </row>
    <row r="2" spans="1:12">
      <c r="A2" s="1" t="s">
        <v>10</v>
      </c>
      <c r="B2" s="1" t="s">
        <v>182</v>
      </c>
      <c r="C2" s="1" t="s">
        <v>183</v>
      </c>
      <c r="D2" s="1" t="s">
        <v>184</v>
      </c>
      <c r="E2" s="1" t="s">
        <v>185</v>
      </c>
      <c r="F2" s="1" t="s">
        <v>186</v>
      </c>
      <c r="G2" s="36" t="s">
        <v>187</v>
      </c>
      <c r="H2" s="1" t="s">
        <v>188</v>
      </c>
      <c r="I2" t="s">
        <v>189</v>
      </c>
      <c r="J2" t="s">
        <v>190</v>
      </c>
      <c r="K2" t="s">
        <v>191</v>
      </c>
      <c r="L2" t="s">
        <v>192</v>
      </c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193</v>
      </c>
      <c r="F3" s="1" t="s">
        <v>22</v>
      </c>
      <c r="G3" s="36" t="s">
        <v>194</v>
      </c>
      <c r="H3" s="1" t="s">
        <v>193</v>
      </c>
      <c r="I3" t="s">
        <v>22</v>
      </c>
      <c r="J3" t="s">
        <v>194</v>
      </c>
      <c r="K3" t="s">
        <v>195</v>
      </c>
      <c r="L3"/>
    </row>
    <row r="4" spans="1:12">
      <c r="A4"/>
      <c r="B4" s="1" t="s">
        <v>25</v>
      </c>
      <c r="C4" s="8" t="s">
        <v>25</v>
      </c>
      <c r="D4" s="37"/>
      <c r="E4" s="1">
        <v>0</v>
      </c>
      <c r="F4" s="1">
        <v>100</v>
      </c>
      <c r="G4" s="36" t="s">
        <v>196</v>
      </c>
      <c r="H4" s="1">
        <v>0</v>
      </c>
      <c r="I4">
        <v>0</v>
      </c>
      <c r="J4" t="s">
        <v>196</v>
      </c>
      <c r="K4" t="s">
        <v>197</v>
      </c>
      <c r="L4" t="s">
        <v>198</v>
      </c>
    </row>
    <row r="5" spans="1:12">
      <c r="A5"/>
      <c r="B5" s="1" t="str">
        <f>C5&amp;D5</f>
        <v>arrow_cookie_2</v>
      </c>
      <c r="C5" s="1" t="s">
        <v>30</v>
      </c>
      <c r="D5" s="37"/>
      <c r="E5" s="1">
        <v>0</v>
      </c>
      <c r="F5" s="1">
        <v>100</v>
      </c>
      <c r="G5" s="36" t="s">
        <v>196</v>
      </c>
      <c r="H5" s="1">
        <v>0</v>
      </c>
      <c r="I5">
        <v>0</v>
      </c>
      <c r="J5" t="s">
        <v>196</v>
      </c>
      <c r="K5" t="s">
        <v>197</v>
      </c>
      <c r="L5" t="s">
        <v>199</v>
      </c>
    </row>
    <row r="6" spans="1:12">
      <c r="A6"/>
      <c r="B6" s="1" t="str">
        <f>C6&amp;D6</f>
        <v>arrow_cookie_3</v>
      </c>
      <c r="C6" s="1" t="s">
        <v>33</v>
      </c>
      <c r="D6" s="37"/>
      <c r="E6" s="1">
        <v>0</v>
      </c>
      <c r="F6" s="1">
        <v>100</v>
      </c>
      <c r="G6" s="36" t="s">
        <v>196</v>
      </c>
      <c r="H6" s="1">
        <v>0</v>
      </c>
      <c r="I6">
        <v>0</v>
      </c>
      <c r="J6" t="s">
        <v>196</v>
      </c>
      <c r="K6" t="s">
        <v>197</v>
      </c>
      <c r="L6" t="s">
        <v>200</v>
      </c>
    </row>
    <row r="7" spans="1:12">
      <c r="A7"/>
      <c r="B7" s="1" t="str">
        <f>C7&amp;D7</f>
        <v>arrow_cookie_4</v>
      </c>
      <c r="C7" s="1" t="s">
        <v>37</v>
      </c>
      <c r="D7" s="37"/>
      <c r="E7" s="1">
        <v>0</v>
      </c>
      <c r="F7" s="1">
        <v>100</v>
      </c>
      <c r="G7" s="36" t="s">
        <v>196</v>
      </c>
      <c r="H7" s="1">
        <v>0</v>
      </c>
      <c r="I7">
        <v>0</v>
      </c>
      <c r="J7" t="s">
        <v>196</v>
      </c>
      <c r="K7" t="s">
        <v>197</v>
      </c>
      <c r="L7" t="s">
        <v>201</v>
      </c>
    </row>
    <row r="8" spans="1:12">
      <c r="A8"/>
      <c r="B8" s="1" t="str">
        <f>C8</f>
        <v>jelly</v>
      </c>
      <c r="C8" s="1" t="s">
        <v>40</v>
      </c>
      <c r="D8" s="37" t="s">
        <v>202</v>
      </c>
      <c r="E8" s="1">
        <v>1200</v>
      </c>
      <c r="F8" s="1">
        <v>30</v>
      </c>
      <c r="G8" s="36" t="s">
        <v>90</v>
      </c>
      <c r="H8" s="1">
        <v>100</v>
      </c>
      <c r="I8">
        <v>70</v>
      </c>
      <c r="J8" t="s">
        <v>91</v>
      </c>
      <c r="K8" t="s">
        <v>197</v>
      </c>
      <c r="L8" t="s">
        <v>41</v>
      </c>
    </row>
    <row r="9" spans="1:12">
      <c r="A9"/>
      <c r="B9" s="1" t="str">
        <f t="shared" ref="B9:B72" si="0">C9</f>
        <v>cupcake</v>
      </c>
      <c r="C9" s="1" t="s">
        <v>43</v>
      </c>
      <c r="D9" s="37" t="s">
        <v>202</v>
      </c>
      <c r="E9" s="1">
        <v>1200</v>
      </c>
      <c r="F9" s="1">
        <v>30</v>
      </c>
      <c r="G9" s="36" t="s">
        <v>90</v>
      </c>
      <c r="H9" s="1">
        <v>100</v>
      </c>
      <c r="I9">
        <v>70</v>
      </c>
      <c r="J9" t="s">
        <v>91</v>
      </c>
      <c r="K9" t="s">
        <v>197</v>
      </c>
      <c r="L9" t="s">
        <v>44</v>
      </c>
    </row>
    <row r="10" spans="1:12">
      <c r="A10"/>
      <c r="B10" s="1" t="str">
        <f t="shared" si="0"/>
        <v>eggtart</v>
      </c>
      <c r="C10" s="1" t="s">
        <v>47</v>
      </c>
      <c r="D10" s="37" t="s">
        <v>202</v>
      </c>
      <c r="E10" s="1">
        <v>1200</v>
      </c>
      <c r="F10" s="1">
        <v>30</v>
      </c>
      <c r="G10" s="36" t="s">
        <v>90</v>
      </c>
      <c r="H10" s="1">
        <v>100</v>
      </c>
      <c r="I10">
        <v>70</v>
      </c>
      <c r="J10" t="s">
        <v>91</v>
      </c>
      <c r="K10" t="s">
        <v>197</v>
      </c>
      <c r="L10" t="s">
        <v>48</v>
      </c>
    </row>
    <row r="11" spans="1:12">
      <c r="A11"/>
      <c r="B11" s="1" t="str">
        <f t="shared" si="0"/>
        <v>sugarbean</v>
      </c>
      <c r="C11" s="1" t="s">
        <v>50</v>
      </c>
      <c r="D11" s="37" t="s">
        <v>202</v>
      </c>
      <c r="E11" s="1">
        <v>1200</v>
      </c>
      <c r="F11" s="1">
        <v>30</v>
      </c>
      <c r="G11" s="36" t="s">
        <v>90</v>
      </c>
      <c r="H11" s="1">
        <v>100</v>
      </c>
      <c r="I11">
        <v>70</v>
      </c>
      <c r="J11" t="s">
        <v>91</v>
      </c>
      <c r="K11" t="s">
        <v>197</v>
      </c>
      <c r="L11" t="s">
        <v>51</v>
      </c>
    </row>
    <row r="12" spans="1:12">
      <c r="A12"/>
      <c r="B12" s="1" t="str">
        <f t="shared" si="0"/>
        <v>cheesecake</v>
      </c>
      <c r="C12" s="1" t="s">
        <v>53</v>
      </c>
      <c r="D12" s="37" t="s">
        <v>202</v>
      </c>
      <c r="E12" s="1">
        <v>1200</v>
      </c>
      <c r="F12" s="1">
        <v>30</v>
      </c>
      <c r="G12" s="36" t="s">
        <v>90</v>
      </c>
      <c r="H12" s="1">
        <v>100</v>
      </c>
      <c r="I12">
        <v>70</v>
      </c>
      <c r="J12" t="s">
        <v>91</v>
      </c>
      <c r="K12" t="s">
        <v>197</v>
      </c>
      <c r="L12" t="s">
        <v>54</v>
      </c>
    </row>
    <row r="13" spans="1:12">
      <c r="A13"/>
      <c r="B13" s="1" t="str">
        <f t="shared" si="0"/>
        <v>mousse</v>
      </c>
      <c r="C13" s="1" t="s">
        <v>57</v>
      </c>
      <c r="D13" s="37" t="s">
        <v>202</v>
      </c>
      <c r="E13" s="1">
        <v>1200</v>
      </c>
      <c r="F13" s="1">
        <v>30</v>
      </c>
      <c r="G13" s="36" t="s">
        <v>90</v>
      </c>
      <c r="H13" s="1">
        <v>100</v>
      </c>
      <c r="I13">
        <v>70</v>
      </c>
      <c r="J13" t="s">
        <v>91</v>
      </c>
      <c r="K13" t="s">
        <v>197</v>
      </c>
      <c r="L13" t="s">
        <v>58</v>
      </c>
    </row>
    <row r="14" spans="1:12">
      <c r="A14"/>
      <c r="B14" s="1" t="str">
        <f t="shared" si="0"/>
        <v>fruit_candy</v>
      </c>
      <c r="C14" s="1" t="s">
        <v>61</v>
      </c>
      <c r="D14" s="37" t="s">
        <v>202</v>
      </c>
      <c r="E14" s="1">
        <v>1200</v>
      </c>
      <c r="F14" s="1">
        <v>30</v>
      </c>
      <c r="G14" s="36" t="s">
        <v>90</v>
      </c>
      <c r="H14" s="1">
        <v>100</v>
      </c>
      <c r="I14">
        <v>70</v>
      </c>
      <c r="J14" t="s">
        <v>91</v>
      </c>
      <c r="K14" t="s">
        <v>197</v>
      </c>
      <c r="L14" t="s">
        <v>62</v>
      </c>
    </row>
    <row r="15" spans="1:12">
      <c r="A15"/>
      <c r="B15" s="1" t="str">
        <f t="shared" si="0"/>
        <v>choco_bar</v>
      </c>
      <c r="C15" s="1" t="s">
        <v>66</v>
      </c>
      <c r="D15" s="37" t="s">
        <v>202</v>
      </c>
      <c r="E15" s="1">
        <v>1200</v>
      </c>
      <c r="F15" s="1">
        <v>30</v>
      </c>
      <c r="G15" s="36" t="s">
        <v>90</v>
      </c>
      <c r="H15" s="1">
        <v>100</v>
      </c>
      <c r="I15">
        <v>70</v>
      </c>
      <c r="J15" t="s">
        <v>91</v>
      </c>
      <c r="K15" t="s">
        <v>197</v>
      </c>
      <c r="L15" t="s">
        <v>67</v>
      </c>
    </row>
    <row r="16" spans="1:12">
      <c r="A16"/>
      <c r="B16" s="1" t="str">
        <f t="shared" si="0"/>
        <v>mochi</v>
      </c>
      <c r="C16" s="1" t="s">
        <v>70</v>
      </c>
      <c r="D16" s="37" t="s">
        <v>202</v>
      </c>
      <c r="E16" s="1">
        <v>1200</v>
      </c>
      <c r="F16" s="1">
        <v>30</v>
      </c>
      <c r="G16" s="36" t="s">
        <v>90</v>
      </c>
      <c r="H16" s="1">
        <v>100</v>
      </c>
      <c r="I16">
        <v>70</v>
      </c>
      <c r="J16" t="s">
        <v>91</v>
      </c>
      <c r="K16" t="s">
        <v>197</v>
      </c>
      <c r="L16" t="s">
        <v>71</v>
      </c>
    </row>
    <row r="17" spans="1:12">
      <c r="A17"/>
      <c r="B17" s="1" t="str">
        <f t="shared" si="0"/>
        <v>cup_cake</v>
      </c>
      <c r="C17" s="1" t="s">
        <v>73</v>
      </c>
      <c r="D17" s="37" t="s">
        <v>202</v>
      </c>
      <c r="E17" s="1">
        <v>1200</v>
      </c>
      <c r="F17" s="1">
        <v>30</v>
      </c>
      <c r="G17" s="36" t="s">
        <v>90</v>
      </c>
      <c r="H17" s="1">
        <v>100</v>
      </c>
      <c r="I17">
        <v>70</v>
      </c>
      <c r="J17" t="s">
        <v>91</v>
      </c>
      <c r="K17" t="s">
        <v>197</v>
      </c>
      <c r="L17" t="s">
        <v>74</v>
      </c>
    </row>
    <row r="18" spans="1:12">
      <c r="A18"/>
      <c r="B18" s="1" t="str">
        <f t="shared" si="0"/>
        <v>cream</v>
      </c>
      <c r="C18" s="1" t="s">
        <v>76</v>
      </c>
      <c r="D18" s="37" t="s">
        <v>202</v>
      </c>
      <c r="E18" s="1">
        <v>1200</v>
      </c>
      <c r="F18" s="1">
        <v>30</v>
      </c>
      <c r="G18" s="36" t="s">
        <v>90</v>
      </c>
      <c r="H18" s="1">
        <v>100</v>
      </c>
      <c r="I18">
        <v>70</v>
      </c>
      <c r="J18" t="s">
        <v>91</v>
      </c>
      <c r="K18" t="s">
        <v>197</v>
      </c>
      <c r="L18" t="s">
        <v>77</v>
      </c>
    </row>
    <row r="19" spans="1:12">
      <c r="A19"/>
      <c r="B19" s="1" t="str">
        <f t="shared" si="0"/>
        <v>eggroll</v>
      </c>
      <c r="C19" s="1" t="s">
        <v>81</v>
      </c>
      <c r="D19" s="37" t="s">
        <v>202</v>
      </c>
      <c r="E19" s="1">
        <v>1200</v>
      </c>
      <c r="F19" s="1">
        <v>45</v>
      </c>
      <c r="G19" s="36" t="s">
        <v>95</v>
      </c>
      <c r="H19" s="1">
        <v>100</v>
      </c>
      <c r="I19">
        <v>90</v>
      </c>
      <c r="J19" t="s">
        <v>96</v>
      </c>
      <c r="K19" t="s">
        <v>197</v>
      </c>
      <c r="L19" t="s">
        <v>82</v>
      </c>
    </row>
    <row r="20" spans="1:12">
      <c r="A20"/>
      <c r="B20" s="1" t="str">
        <f t="shared" si="0"/>
        <v>baguette</v>
      </c>
      <c r="C20" s="1" t="s">
        <v>87</v>
      </c>
      <c r="D20" s="37" t="s">
        <v>202</v>
      </c>
      <c r="E20" s="1">
        <v>1200</v>
      </c>
      <c r="F20" s="1">
        <v>45</v>
      </c>
      <c r="G20" s="36" t="s">
        <v>95</v>
      </c>
      <c r="H20" s="1">
        <v>100</v>
      </c>
      <c r="I20">
        <v>90</v>
      </c>
      <c r="J20" t="s">
        <v>96</v>
      </c>
      <c r="K20" t="s">
        <v>197</v>
      </c>
      <c r="L20" t="s">
        <v>88</v>
      </c>
    </row>
    <row r="21" spans="1:12">
      <c r="A21"/>
      <c r="B21" s="1" t="str">
        <f t="shared" si="0"/>
        <v>tanghulu</v>
      </c>
      <c r="C21" s="1" t="s">
        <v>92</v>
      </c>
      <c r="D21" s="37" t="s">
        <v>202</v>
      </c>
      <c r="E21" s="1">
        <v>1200</v>
      </c>
      <c r="F21" s="1">
        <v>45</v>
      </c>
      <c r="G21" s="36" t="s">
        <v>95</v>
      </c>
      <c r="H21" s="1">
        <v>100</v>
      </c>
      <c r="I21">
        <v>90</v>
      </c>
      <c r="J21" t="s">
        <v>96</v>
      </c>
      <c r="K21" t="s">
        <v>197</v>
      </c>
      <c r="L21" t="s">
        <v>93</v>
      </c>
    </row>
    <row r="22" spans="1:12">
      <c r="A22"/>
      <c r="B22" s="1" t="str">
        <f t="shared" si="0"/>
        <v>cake_slice</v>
      </c>
      <c r="C22" s="1" t="s">
        <v>97</v>
      </c>
      <c r="D22" s="37" t="s">
        <v>202</v>
      </c>
      <c r="E22" s="1">
        <v>1200</v>
      </c>
      <c r="F22" s="1">
        <v>45</v>
      </c>
      <c r="G22" s="36" t="s">
        <v>95</v>
      </c>
      <c r="H22" s="1">
        <v>100</v>
      </c>
      <c r="I22">
        <v>90</v>
      </c>
      <c r="J22" t="s">
        <v>96</v>
      </c>
      <c r="K22" t="s">
        <v>197</v>
      </c>
      <c r="L22" t="s">
        <v>98</v>
      </c>
    </row>
    <row r="23" spans="1:12">
      <c r="A23"/>
      <c r="B23" s="1" t="str">
        <f t="shared" si="0"/>
        <v>long_cake</v>
      </c>
      <c r="C23" s="1" t="s">
        <v>102</v>
      </c>
      <c r="D23" s="37" t="s">
        <v>202</v>
      </c>
      <c r="E23" s="1">
        <v>1200</v>
      </c>
      <c r="F23" s="1">
        <v>45</v>
      </c>
      <c r="G23" s="36" t="s">
        <v>95</v>
      </c>
      <c r="H23" s="1">
        <v>100</v>
      </c>
      <c r="I23">
        <v>90</v>
      </c>
      <c r="J23" t="s">
        <v>96</v>
      </c>
      <c r="K23" t="s">
        <v>197</v>
      </c>
      <c r="L23" t="s">
        <v>103</v>
      </c>
    </row>
    <row r="24" spans="1:12">
      <c r="A24"/>
      <c r="B24" s="1" t="str">
        <f t="shared" si="0"/>
        <v>eclair</v>
      </c>
      <c r="C24" s="1" t="s">
        <v>107</v>
      </c>
      <c r="D24" s="37" t="s">
        <v>202</v>
      </c>
      <c r="E24" s="1">
        <v>1200</v>
      </c>
      <c r="F24" s="1">
        <v>45</v>
      </c>
      <c r="G24" s="36" t="s">
        <v>95</v>
      </c>
      <c r="H24" s="1">
        <v>100</v>
      </c>
      <c r="I24">
        <v>90</v>
      </c>
      <c r="J24" t="s">
        <v>96</v>
      </c>
      <c r="K24" t="s">
        <v>197</v>
      </c>
      <c r="L24" t="s">
        <v>108</v>
      </c>
    </row>
    <row r="25" spans="1:12">
      <c r="A25"/>
      <c r="B25" s="1" t="str">
        <f t="shared" si="0"/>
        <v>gummy</v>
      </c>
      <c r="C25" s="1" t="s">
        <v>113</v>
      </c>
      <c r="D25" s="37" t="s">
        <v>202</v>
      </c>
      <c r="E25" s="1">
        <v>1200</v>
      </c>
      <c r="F25" s="1">
        <v>45</v>
      </c>
      <c r="G25" s="36" t="s">
        <v>95</v>
      </c>
      <c r="H25" s="1">
        <v>100</v>
      </c>
      <c r="I25">
        <v>90</v>
      </c>
      <c r="J25" t="s">
        <v>96</v>
      </c>
      <c r="K25" t="s">
        <v>197</v>
      </c>
      <c r="L25" t="s">
        <v>114</v>
      </c>
    </row>
    <row r="26" spans="1:12">
      <c r="A26"/>
      <c r="B26" s="1" t="str">
        <f t="shared" si="0"/>
        <v>chocolate_strip</v>
      </c>
      <c r="C26" s="1" t="s">
        <v>116</v>
      </c>
      <c r="D26" s="37" t="s">
        <v>202</v>
      </c>
      <c r="E26" s="1">
        <v>1200</v>
      </c>
      <c r="F26" s="1">
        <v>45</v>
      </c>
      <c r="G26" s="36" t="s">
        <v>95</v>
      </c>
      <c r="H26" s="1">
        <v>100</v>
      </c>
      <c r="I26">
        <v>90</v>
      </c>
      <c r="J26" t="s">
        <v>96</v>
      </c>
      <c r="K26" t="s">
        <v>197</v>
      </c>
      <c r="L26" t="s">
        <v>117</v>
      </c>
    </row>
    <row r="27" spans="1:12">
      <c r="A27"/>
      <c r="B27" s="1" t="str">
        <f t="shared" si="0"/>
        <v>cake_roll</v>
      </c>
      <c r="C27" s="1" t="s">
        <v>119</v>
      </c>
      <c r="D27" s="37" t="s">
        <v>202</v>
      </c>
      <c r="E27" s="1">
        <v>1200</v>
      </c>
      <c r="F27" s="1">
        <v>45</v>
      </c>
      <c r="G27" s="36" t="s">
        <v>95</v>
      </c>
      <c r="H27" s="1">
        <v>100</v>
      </c>
      <c r="I27">
        <v>90</v>
      </c>
      <c r="J27" t="s">
        <v>96</v>
      </c>
      <c r="K27" t="s">
        <v>197</v>
      </c>
      <c r="L27" t="s">
        <v>120</v>
      </c>
    </row>
    <row r="28" spans="1:12">
      <c r="A28"/>
      <c r="B28" s="1" t="str">
        <f t="shared" si="0"/>
        <v>palmier</v>
      </c>
      <c r="C28" s="8" t="s">
        <v>122</v>
      </c>
      <c r="D28" s="1" t="s">
        <v>202</v>
      </c>
      <c r="E28" s="1">
        <v>1200</v>
      </c>
      <c r="F28" s="1">
        <v>45</v>
      </c>
      <c r="G28" s="36" t="s">
        <v>95</v>
      </c>
      <c r="H28" s="1">
        <v>100</v>
      </c>
      <c r="I28">
        <v>90</v>
      </c>
      <c r="J28" t="s">
        <v>96</v>
      </c>
      <c r="K28" t="s">
        <v>197</v>
      </c>
      <c r="L28" t="s">
        <v>123</v>
      </c>
    </row>
    <row r="29" spans="1:12">
      <c r="A29"/>
      <c r="B29" s="1" t="str">
        <f t="shared" si="0"/>
        <v>chiffion</v>
      </c>
      <c r="C29" s="8" t="s">
        <v>125</v>
      </c>
      <c r="D29" t="s">
        <v>202</v>
      </c>
      <c r="E29" s="1">
        <v>1200</v>
      </c>
      <c r="F29" s="1">
        <v>60</v>
      </c>
      <c r="G29" s="36" t="s">
        <v>100</v>
      </c>
      <c r="H29" s="1">
        <v>100</v>
      </c>
      <c r="I29">
        <v>110</v>
      </c>
      <c r="J29" t="s">
        <v>101</v>
      </c>
      <c r="K29" t="s">
        <v>197</v>
      </c>
      <c r="L29" t="s">
        <v>126</v>
      </c>
    </row>
    <row r="30" spans="1:12">
      <c r="A30"/>
      <c r="B30" s="1" t="str">
        <f t="shared" si="0"/>
        <v>maple_sugar</v>
      </c>
      <c r="C30" s="8" t="s">
        <v>128</v>
      </c>
      <c r="D30" s="1" t="s">
        <v>202</v>
      </c>
      <c r="E30" s="1">
        <v>1200</v>
      </c>
      <c r="F30" s="1">
        <v>60</v>
      </c>
      <c r="G30" s="36" t="s">
        <v>100</v>
      </c>
      <c r="H30" s="1">
        <v>100</v>
      </c>
      <c r="I30">
        <v>110</v>
      </c>
      <c r="J30" t="s">
        <v>101</v>
      </c>
      <c r="K30" t="s">
        <v>197</v>
      </c>
      <c r="L30" t="s">
        <v>129</v>
      </c>
    </row>
    <row r="31" spans="1:12">
      <c r="A31"/>
      <c r="B31" s="1" t="str">
        <f t="shared" si="0"/>
        <v>taosu</v>
      </c>
      <c r="C31" s="8" t="s">
        <v>131</v>
      </c>
      <c r="D31" s="1" t="s">
        <v>202</v>
      </c>
      <c r="E31" s="1">
        <v>1200</v>
      </c>
      <c r="F31" s="1">
        <v>60</v>
      </c>
      <c r="G31" s="36" t="s">
        <v>100</v>
      </c>
      <c r="H31" s="1">
        <v>100</v>
      </c>
      <c r="I31">
        <v>110</v>
      </c>
      <c r="J31" t="s">
        <v>101</v>
      </c>
      <c r="K31" t="s">
        <v>197</v>
      </c>
      <c r="L31" t="s">
        <v>132</v>
      </c>
    </row>
    <row r="32" spans="1:12">
      <c r="A32"/>
      <c r="B32" s="1" t="str">
        <f t="shared" si="0"/>
        <v>waffle</v>
      </c>
      <c r="C32" s="8" t="s">
        <v>134</v>
      </c>
      <c r="D32" s="1" t="s">
        <v>202</v>
      </c>
      <c r="E32" s="1">
        <v>1200</v>
      </c>
      <c r="F32" s="1">
        <v>60</v>
      </c>
      <c r="G32" s="36" t="s">
        <v>100</v>
      </c>
      <c r="H32" s="1">
        <v>100</v>
      </c>
      <c r="I32">
        <v>110</v>
      </c>
      <c r="J32" t="s">
        <v>101</v>
      </c>
      <c r="K32" t="s">
        <v>197</v>
      </c>
      <c r="L32" t="s">
        <v>135</v>
      </c>
    </row>
    <row r="33" spans="1:12">
      <c r="A33"/>
      <c r="B33" s="1" t="str">
        <f t="shared" si="0"/>
        <v>cream_cake</v>
      </c>
      <c r="C33" s="8" t="s">
        <v>137</v>
      </c>
      <c r="D33" s="1" t="s">
        <v>202</v>
      </c>
      <c r="E33" s="1">
        <v>1200</v>
      </c>
      <c r="F33" s="1">
        <v>60</v>
      </c>
      <c r="G33" s="36" t="s">
        <v>100</v>
      </c>
      <c r="H33" s="1">
        <v>100</v>
      </c>
      <c r="I33">
        <v>110</v>
      </c>
      <c r="J33" t="s">
        <v>101</v>
      </c>
      <c r="K33" t="s">
        <v>197</v>
      </c>
      <c r="L33" t="s">
        <v>138</v>
      </c>
    </row>
    <row r="34" spans="1:12">
      <c r="A34"/>
      <c r="B34" s="1" t="str">
        <f t="shared" si="0"/>
        <v>candycane</v>
      </c>
      <c r="C34" s="8" t="s">
        <v>140</v>
      </c>
      <c r="D34" s="1" t="s">
        <v>202</v>
      </c>
      <c r="E34" s="1">
        <v>1200</v>
      </c>
      <c r="F34" s="1">
        <v>60</v>
      </c>
      <c r="G34" s="36" t="s">
        <v>100</v>
      </c>
      <c r="H34" s="1">
        <v>100</v>
      </c>
      <c r="I34">
        <v>110</v>
      </c>
      <c r="J34" t="s">
        <v>101</v>
      </c>
      <c r="K34" t="s">
        <v>197</v>
      </c>
      <c r="L34" t="s">
        <v>141</v>
      </c>
    </row>
    <row r="35" spans="1:12">
      <c r="A35"/>
      <c r="B35" s="1" t="str">
        <f t="shared" si="0"/>
        <v>black_forest_cake</v>
      </c>
      <c r="C35" s="8" t="s">
        <v>144</v>
      </c>
      <c r="D35" s="1" t="s">
        <v>202</v>
      </c>
      <c r="E35" s="1">
        <v>1200</v>
      </c>
      <c r="F35" s="1">
        <v>90</v>
      </c>
      <c r="G35" s="36" t="s">
        <v>105</v>
      </c>
      <c r="H35" s="1">
        <v>100</v>
      </c>
      <c r="I35">
        <v>160</v>
      </c>
      <c r="J35" t="s">
        <v>106</v>
      </c>
      <c r="K35" t="s">
        <v>197</v>
      </c>
      <c r="L35" t="s">
        <v>145</v>
      </c>
    </row>
    <row r="36" spans="1:12">
      <c r="A36"/>
      <c r="B36" s="1" t="str">
        <f t="shared" si="0"/>
        <v>chocolate_sauce</v>
      </c>
      <c r="C36" s="8" t="s">
        <v>147</v>
      </c>
      <c r="D36" t="s">
        <v>202</v>
      </c>
      <c r="E36" s="1">
        <v>1200</v>
      </c>
      <c r="F36" s="1">
        <v>90</v>
      </c>
      <c r="G36" s="36" t="s">
        <v>105</v>
      </c>
      <c r="H36" s="1">
        <v>100</v>
      </c>
      <c r="I36">
        <v>160</v>
      </c>
      <c r="J36" t="s">
        <v>106</v>
      </c>
      <c r="K36" t="s">
        <v>197</v>
      </c>
      <c r="L36" t="s">
        <v>148</v>
      </c>
    </row>
    <row r="37" spans="1:12">
      <c r="A37"/>
      <c r="B37" s="1" t="str">
        <f t="shared" si="0"/>
        <v>mango_sago</v>
      </c>
      <c r="C37" s="8" t="s">
        <v>150</v>
      </c>
      <c r="D37" s="1" t="s">
        <v>202</v>
      </c>
      <c r="E37" s="1">
        <v>1200</v>
      </c>
      <c r="F37" s="1">
        <v>90</v>
      </c>
      <c r="G37" s="36" t="s">
        <v>105</v>
      </c>
      <c r="H37" s="1">
        <v>100</v>
      </c>
      <c r="I37">
        <v>160</v>
      </c>
      <c r="J37" t="s">
        <v>106</v>
      </c>
      <c r="K37" t="s">
        <v>197</v>
      </c>
      <c r="L37" t="s">
        <v>151</v>
      </c>
    </row>
    <row r="38" spans="1:12">
      <c r="A38"/>
      <c r="B38" s="1" t="str">
        <f t="shared" si="0"/>
        <v>fruit_cake</v>
      </c>
      <c r="C38" s="8" t="s">
        <v>153</v>
      </c>
      <c r="D38" s="1" t="s">
        <v>202</v>
      </c>
      <c r="E38" s="1">
        <v>1200</v>
      </c>
      <c r="F38" s="1">
        <v>90</v>
      </c>
      <c r="G38" s="36" t="s">
        <v>105</v>
      </c>
      <c r="H38" s="1">
        <v>100</v>
      </c>
      <c r="I38">
        <v>160</v>
      </c>
      <c r="J38" t="s">
        <v>106</v>
      </c>
      <c r="K38" t="s">
        <v>197</v>
      </c>
      <c r="L38" t="s">
        <v>154</v>
      </c>
    </row>
    <row r="39" spans="1:12">
      <c r="A39"/>
      <c r="B39" s="1" t="str">
        <f t="shared" si="0"/>
        <v>parfait</v>
      </c>
      <c r="C39" s="8" t="s">
        <v>156</v>
      </c>
      <c r="D39" s="1" t="s">
        <v>202</v>
      </c>
      <c r="E39" s="1">
        <v>1200</v>
      </c>
      <c r="F39" s="1">
        <v>90</v>
      </c>
      <c r="G39" s="36" t="s">
        <v>105</v>
      </c>
      <c r="H39" s="1">
        <v>100</v>
      </c>
      <c r="I39">
        <v>160</v>
      </c>
      <c r="J39" t="s">
        <v>106</v>
      </c>
      <c r="K39" t="s">
        <v>197</v>
      </c>
      <c r="L39" t="s">
        <v>157</v>
      </c>
    </row>
    <row r="40" spans="1:12">
      <c r="A40"/>
      <c r="B40" s="1" t="str">
        <f t="shared" si="0"/>
        <v>marshmallow</v>
      </c>
      <c r="C40" s="8" t="s">
        <v>159</v>
      </c>
      <c r="D40" s="1" t="s">
        <v>202</v>
      </c>
      <c r="E40" s="1">
        <v>1200</v>
      </c>
      <c r="F40" s="1">
        <v>90</v>
      </c>
      <c r="G40" s="36" t="s">
        <v>105</v>
      </c>
      <c r="H40" s="1">
        <v>100</v>
      </c>
      <c r="I40">
        <v>160</v>
      </c>
      <c r="J40" t="s">
        <v>106</v>
      </c>
      <c r="K40" t="s">
        <v>197</v>
      </c>
      <c r="L40" t="s">
        <v>160</v>
      </c>
    </row>
    <row r="41" spans="1:12">
      <c r="A41"/>
      <c r="B41" s="1" t="str">
        <f t="shared" si="0"/>
        <v>big_lollipop</v>
      </c>
      <c r="C41" s="8" t="s">
        <v>162</v>
      </c>
      <c r="D41" s="1" t="s">
        <v>202</v>
      </c>
      <c r="E41" s="1">
        <v>1200</v>
      </c>
      <c r="F41" s="1">
        <v>135</v>
      </c>
      <c r="G41" s="36" t="s">
        <v>111</v>
      </c>
      <c r="H41" s="1">
        <v>100</v>
      </c>
      <c r="I41">
        <v>230</v>
      </c>
      <c r="J41" t="s">
        <v>112</v>
      </c>
      <c r="K41" t="s">
        <v>197</v>
      </c>
      <c r="L41" t="s">
        <v>163</v>
      </c>
    </row>
    <row r="42" spans="1:12">
      <c r="A42"/>
      <c r="B42" s="1" t="str">
        <f t="shared" si="0"/>
        <v>apple_pie</v>
      </c>
      <c r="C42" s="8" t="s">
        <v>165</v>
      </c>
      <c r="D42" s="1" t="s">
        <v>202</v>
      </c>
      <c r="E42" s="1">
        <v>1200</v>
      </c>
      <c r="F42" s="1">
        <v>135</v>
      </c>
      <c r="G42" s="36" t="s">
        <v>111</v>
      </c>
      <c r="H42" s="1">
        <v>100</v>
      </c>
      <c r="I42">
        <v>230</v>
      </c>
      <c r="J42" t="s">
        <v>112</v>
      </c>
      <c r="K42" t="s">
        <v>197</v>
      </c>
      <c r="L42" t="s">
        <v>166</v>
      </c>
    </row>
    <row r="43" spans="1:12">
      <c r="A43"/>
      <c r="B43" s="1" t="str">
        <f t="shared" si="0"/>
        <v>double_cake</v>
      </c>
      <c r="C43" s="8" t="s">
        <v>168</v>
      </c>
      <c r="D43" t="s">
        <v>202</v>
      </c>
      <c r="E43" s="1">
        <v>1200</v>
      </c>
      <c r="F43" s="1">
        <v>180</v>
      </c>
      <c r="G43" s="36" t="s">
        <v>111</v>
      </c>
      <c r="H43" s="1">
        <v>100</v>
      </c>
      <c r="I43">
        <v>290</v>
      </c>
      <c r="J43" t="s">
        <v>112</v>
      </c>
      <c r="K43" t="s">
        <v>197</v>
      </c>
      <c r="L43" t="s">
        <v>169</v>
      </c>
    </row>
    <row r="44" spans="1:10">
      <c r="A44"/>
      <c r="B44" s="1"/>
      <c r="C44" s="8"/>
      <c r="I44"/>
      <c r="J44"/>
    </row>
    <row r="45" spans="1:10">
      <c r="A45"/>
      <c r="B45" s="1"/>
      <c r="C45" s="8"/>
      <c r="I45"/>
      <c r="J45"/>
    </row>
    <row r="46" spans="1:10">
      <c r="A46"/>
      <c r="B46" s="1"/>
      <c r="C46" s="8"/>
      <c r="I46"/>
      <c r="J46"/>
    </row>
    <row r="47" spans="1:10">
      <c r="A47"/>
      <c r="B47" s="1"/>
      <c r="C47" s="8"/>
      <c r="I47"/>
      <c r="J47"/>
    </row>
    <row r="48" spans="1:10">
      <c r="A48"/>
      <c r="B48" s="1"/>
      <c r="C48" s="8"/>
      <c r="I48"/>
      <c r="J48"/>
    </row>
    <row r="49" spans="1:10">
      <c r="A49"/>
      <c r="B49" s="1"/>
      <c r="C49" s="8"/>
      <c r="I49"/>
      <c r="J49"/>
    </row>
    <row r="50" spans="1:10">
      <c r="A50"/>
      <c r="B50" s="1"/>
      <c r="C50" s="8"/>
      <c r="I50"/>
      <c r="J50"/>
    </row>
    <row r="51" spans="1:10">
      <c r="A51"/>
      <c r="B51" s="1"/>
      <c r="C51" s="8"/>
      <c r="I51"/>
      <c r="J51"/>
    </row>
    <row r="52" spans="1:10">
      <c r="A52"/>
      <c r="B52" s="1"/>
      <c r="C52" s="8"/>
      <c r="I52"/>
      <c r="J52"/>
    </row>
    <row r="53" spans="1:10">
      <c r="A53"/>
      <c r="B53" s="1"/>
      <c r="I53"/>
      <c r="J53"/>
    </row>
    <row r="54" spans="1:10">
      <c r="A54"/>
      <c r="B54" s="1"/>
      <c r="I54"/>
      <c r="J54"/>
    </row>
    <row r="55" spans="1:10">
      <c r="A55"/>
      <c r="B55" s="1"/>
      <c r="I55"/>
      <c r="J55"/>
    </row>
    <row r="56" spans="1:10">
      <c r="A56"/>
      <c r="B56" s="1"/>
      <c r="I56"/>
      <c r="J56"/>
    </row>
    <row r="57" spans="1:10">
      <c r="A57"/>
      <c r="B57" s="1"/>
      <c r="I57"/>
      <c r="J57"/>
    </row>
    <row r="58" spans="1:10">
      <c r="A58"/>
      <c r="B58" s="1"/>
      <c r="I58"/>
      <c r="J58"/>
    </row>
    <row r="59" spans="1:10">
      <c r="A59"/>
      <c r="B59" s="1"/>
      <c r="I59"/>
      <c r="J59"/>
    </row>
    <row r="60" spans="1:10">
      <c r="A60"/>
      <c r="B60" s="1"/>
      <c r="I60"/>
      <c r="J60"/>
    </row>
    <row r="61" spans="1:10">
      <c r="A61"/>
      <c r="B61" s="1"/>
      <c r="I61"/>
      <c r="J61"/>
    </row>
    <row r="62" spans="1:10">
      <c r="A62"/>
      <c r="B62" s="1"/>
      <c r="I62"/>
      <c r="J62"/>
    </row>
    <row r="63" spans="1:10">
      <c r="A63"/>
      <c r="B63" s="1"/>
      <c r="I63"/>
      <c r="J63"/>
    </row>
    <row r="64" spans="1:10">
      <c r="A64"/>
      <c r="B64" s="1"/>
      <c r="I64"/>
      <c r="J64"/>
    </row>
    <row r="65" spans="1:10">
      <c r="A65"/>
      <c r="B65" s="1"/>
      <c r="I65"/>
      <c r="J65"/>
    </row>
    <row r="66" spans="1:10">
      <c r="A66"/>
      <c r="B66" s="1"/>
      <c r="I66"/>
      <c r="J66"/>
    </row>
    <row r="67" spans="1:10">
      <c r="A67"/>
      <c r="B67" s="1"/>
      <c r="I67"/>
      <c r="J67"/>
    </row>
    <row r="68" spans="1:10">
      <c r="A68"/>
      <c r="B68" s="1"/>
      <c r="I68"/>
      <c r="J68"/>
    </row>
    <row r="69" spans="1:10">
      <c r="A69"/>
      <c r="B69" s="1"/>
      <c r="I69"/>
      <c r="J69"/>
    </row>
    <row r="70" spans="1:10">
      <c r="A70"/>
      <c r="B70" s="1"/>
      <c r="I70"/>
      <c r="J70"/>
    </row>
    <row r="71" spans="1:10">
      <c r="A71"/>
      <c r="B71" s="1"/>
      <c r="I71"/>
      <c r="J71"/>
    </row>
    <row r="72" spans="1:10">
      <c r="A72"/>
      <c r="B72" s="1"/>
      <c r="I72"/>
      <c r="J72"/>
    </row>
    <row r="73" spans="1:10">
      <c r="A73"/>
      <c r="B73" s="1"/>
      <c r="I73"/>
      <c r="J73"/>
    </row>
    <row r="74" spans="1:10">
      <c r="A74"/>
      <c r="B74" s="1"/>
      <c r="I74"/>
      <c r="J74"/>
    </row>
    <row r="75" spans="1:10">
      <c r="A75"/>
      <c r="B75" s="1"/>
      <c r="I75"/>
      <c r="J75"/>
    </row>
    <row r="76" spans="1:10">
      <c r="A76"/>
      <c r="B76" s="1"/>
      <c r="C76" s="8"/>
      <c r="I76"/>
      <c r="J76"/>
    </row>
    <row r="77" spans="1:10">
      <c r="A77"/>
      <c r="B77" s="1"/>
      <c r="C77" s="8"/>
      <c r="I77"/>
      <c r="J77"/>
    </row>
    <row r="78" spans="1:10">
      <c r="A78"/>
      <c r="B78" s="1"/>
      <c r="C78" s="8"/>
      <c r="I78"/>
      <c r="J78"/>
    </row>
    <row r="79" spans="1:10">
      <c r="A79"/>
      <c r="B79" s="1"/>
      <c r="C79" s="8"/>
      <c r="I79"/>
      <c r="J79"/>
    </row>
    <row r="80" spans="1:10">
      <c r="A80"/>
      <c r="B80" s="1"/>
      <c r="C80" s="8"/>
      <c r="I80"/>
      <c r="J80"/>
    </row>
    <row r="81" spans="1:10">
      <c r="A81"/>
      <c r="B81" s="1"/>
      <c r="C81" s="8"/>
      <c r="I81"/>
      <c r="J81"/>
    </row>
    <row r="82" spans="1:10">
      <c r="A82"/>
      <c r="B82" s="1"/>
      <c r="C82" s="8"/>
      <c r="I82"/>
      <c r="J82"/>
    </row>
    <row r="83" spans="1:10">
      <c r="A83"/>
      <c r="B83" s="1"/>
      <c r="C83" s="8"/>
      <c r="I83"/>
      <c r="J83"/>
    </row>
    <row r="84" spans="1:10">
      <c r="A84"/>
      <c r="B84" s="1"/>
      <c r="C84" s="8"/>
      <c r="I84"/>
      <c r="J84"/>
    </row>
    <row r="85" spans="1:10">
      <c r="A85"/>
      <c r="B85" s="1"/>
      <c r="C85" s="8"/>
      <c r="I85"/>
      <c r="J85"/>
    </row>
    <row r="86" spans="1:10">
      <c r="A86"/>
      <c r="B86" s="1"/>
      <c r="C86" s="8"/>
      <c r="I86"/>
      <c r="J86"/>
    </row>
    <row r="87" spans="1:10">
      <c r="A87"/>
      <c r="B87" s="1"/>
      <c r="C87" s="8"/>
      <c r="I87"/>
      <c r="J87"/>
    </row>
    <row r="88" spans="1:10">
      <c r="A88"/>
      <c r="B88" s="1"/>
      <c r="C88" s="8"/>
      <c r="I88"/>
      <c r="J88"/>
    </row>
    <row r="89" spans="1:10">
      <c r="A89"/>
      <c r="B89" s="1"/>
      <c r="C89" s="8"/>
      <c r="I89"/>
      <c r="J89"/>
    </row>
    <row r="90" spans="1:10">
      <c r="A90"/>
      <c r="B90" s="1"/>
      <c r="C90" s="8"/>
      <c r="I90"/>
      <c r="J90"/>
    </row>
    <row r="91" spans="1:10">
      <c r="A91"/>
      <c r="B91" s="1"/>
      <c r="C91" s="8"/>
      <c r="I91"/>
      <c r="J91"/>
    </row>
    <row r="92" spans="1:10">
      <c r="A92"/>
      <c r="B92" s="1"/>
      <c r="C92" s="8"/>
      <c r="I92"/>
      <c r="J92"/>
    </row>
    <row r="93" spans="1:10">
      <c r="A93"/>
      <c r="B93" s="1"/>
      <c r="C93" s="8"/>
      <c r="I93"/>
      <c r="J93"/>
    </row>
    <row r="94" spans="1:10">
      <c r="A94"/>
      <c r="B94" s="1"/>
      <c r="C94" s="8"/>
      <c r="I94"/>
      <c r="J94"/>
    </row>
    <row r="95" spans="1:10">
      <c r="A95"/>
      <c r="B95" s="1"/>
      <c r="C95" s="8"/>
      <c r="I95"/>
      <c r="J95"/>
    </row>
    <row r="96" spans="1:10">
      <c r="A96"/>
      <c r="B96" s="1"/>
      <c r="C96" s="8"/>
      <c r="I96"/>
      <c r="J96"/>
    </row>
    <row r="97" spans="1:10">
      <c r="A97"/>
      <c r="B97" s="1"/>
      <c r="C97" s="8"/>
      <c r="I97"/>
      <c r="J97"/>
    </row>
    <row r="98" spans="1:10">
      <c r="A98"/>
      <c r="B98" s="1"/>
      <c r="C98" s="8"/>
      <c r="I98"/>
      <c r="J98"/>
    </row>
    <row r="99" spans="1:10">
      <c r="A99"/>
      <c r="B99" s="1"/>
      <c r="C99" s="8"/>
      <c r="I99"/>
      <c r="J99"/>
    </row>
    <row r="100" spans="1:10">
      <c r="A100"/>
      <c r="B100" s="1"/>
      <c r="C100" s="8"/>
      <c r="I100"/>
      <c r="J100"/>
    </row>
    <row r="101" spans="1:10">
      <c r="A101"/>
      <c r="B101" s="1"/>
      <c r="I101"/>
      <c r="J101"/>
    </row>
    <row r="102" spans="1:10">
      <c r="A102"/>
      <c r="B102" s="1"/>
      <c r="I102"/>
      <c r="J102"/>
    </row>
    <row r="103" spans="1:10">
      <c r="A103"/>
      <c r="B103" s="1"/>
      <c r="I103"/>
      <c r="J103"/>
    </row>
    <row r="104" spans="1:10">
      <c r="A104"/>
      <c r="B104" s="1"/>
      <c r="I104"/>
      <c r="J104"/>
    </row>
    <row r="105" spans="1:10">
      <c r="A105"/>
      <c r="B105" s="1"/>
      <c r="I105"/>
      <c r="J105"/>
    </row>
    <row r="106" spans="1:10">
      <c r="A106"/>
      <c r="B106" s="1"/>
      <c r="I106"/>
      <c r="J106"/>
    </row>
    <row r="107" spans="1:10">
      <c r="A107"/>
      <c r="B107" s="1"/>
      <c r="I107"/>
      <c r="J107"/>
    </row>
    <row r="108" spans="1:10">
      <c r="A108"/>
      <c r="B108" s="1"/>
      <c r="I108"/>
      <c r="J108"/>
    </row>
    <row r="109" spans="1:10">
      <c r="A109"/>
      <c r="B109" s="1"/>
      <c r="I109"/>
      <c r="J109"/>
    </row>
    <row r="110" spans="1:10">
      <c r="A110"/>
      <c r="B110" s="1"/>
      <c r="I110"/>
      <c r="J110"/>
    </row>
    <row r="111" spans="1:10">
      <c r="A111"/>
      <c r="B111" s="1"/>
      <c r="I111"/>
      <c r="J111"/>
    </row>
    <row r="112" spans="1:10">
      <c r="A112"/>
      <c r="B112" s="1"/>
      <c r="I112"/>
      <c r="J112"/>
    </row>
    <row r="113" spans="1:10">
      <c r="A113"/>
      <c r="B113" s="1"/>
      <c r="I113"/>
      <c r="J113"/>
    </row>
    <row r="114" spans="1:10">
      <c r="A114"/>
      <c r="B114" s="1"/>
      <c r="I114"/>
      <c r="J114"/>
    </row>
    <row r="115" spans="1:10">
      <c r="A115"/>
      <c r="B115" s="1"/>
      <c r="I115"/>
      <c r="J115"/>
    </row>
    <row r="116" spans="1:10">
      <c r="A116"/>
      <c r="B116" s="1"/>
      <c r="I116"/>
      <c r="J116"/>
    </row>
    <row r="117" spans="1:10">
      <c r="A117"/>
      <c r="B117" s="1"/>
      <c r="I117"/>
      <c r="J117"/>
    </row>
    <row r="118" spans="1:10">
      <c r="A118"/>
      <c r="B118" s="1"/>
      <c r="I118"/>
      <c r="J118"/>
    </row>
    <row r="119" spans="1:10">
      <c r="A119"/>
      <c r="B119" s="1"/>
      <c r="I119"/>
      <c r="J119"/>
    </row>
    <row r="120" spans="1:10">
      <c r="A120"/>
      <c r="B120" s="1"/>
      <c r="I120"/>
      <c r="J120"/>
    </row>
    <row r="121" spans="1:10">
      <c r="A121"/>
      <c r="B121" s="1"/>
      <c r="I121"/>
      <c r="J121"/>
    </row>
    <row r="122" spans="1:10">
      <c r="A122"/>
      <c r="B122" s="1"/>
      <c r="I122"/>
      <c r="J122"/>
    </row>
    <row r="123" spans="1:10">
      <c r="A123"/>
      <c r="B123" s="1"/>
      <c r="I123"/>
      <c r="J123"/>
    </row>
    <row r="124" spans="1:10">
      <c r="A124"/>
      <c r="B124" s="1"/>
      <c r="C124" s="8"/>
      <c r="I124"/>
      <c r="J124"/>
    </row>
    <row r="125" spans="1:10">
      <c r="A125"/>
      <c r="B125" s="1"/>
      <c r="C125" s="8"/>
      <c r="I125"/>
      <c r="J125"/>
    </row>
    <row r="126" spans="1:10">
      <c r="A126"/>
      <c r="B126" s="1"/>
      <c r="C126" s="8"/>
      <c r="I126"/>
      <c r="J126"/>
    </row>
    <row r="127" spans="1:10">
      <c r="A127"/>
      <c r="B127" s="1"/>
      <c r="C127" s="8"/>
      <c r="I127"/>
      <c r="J127"/>
    </row>
    <row r="128" spans="1:10">
      <c r="A128"/>
      <c r="B128" s="1"/>
      <c r="C128" s="8"/>
      <c r="I128"/>
      <c r="J128"/>
    </row>
    <row r="129" spans="1:10">
      <c r="A129"/>
      <c r="B129" s="1"/>
      <c r="C129" s="8"/>
      <c r="I129"/>
      <c r="J129"/>
    </row>
    <row r="130" spans="1:10">
      <c r="A130"/>
      <c r="B130" s="1"/>
      <c r="C130" s="8"/>
      <c r="I130"/>
      <c r="J130"/>
    </row>
    <row r="131" spans="1:10">
      <c r="A131"/>
      <c r="B131" s="1"/>
      <c r="C131" s="8"/>
      <c r="I131"/>
      <c r="J131"/>
    </row>
    <row r="132" spans="1:10">
      <c r="A132"/>
      <c r="B132" s="1"/>
      <c r="C132" s="8"/>
      <c r="I132"/>
      <c r="J132"/>
    </row>
    <row r="133" spans="1:10">
      <c r="A133"/>
      <c r="B133" s="1"/>
      <c r="C133" s="8"/>
      <c r="I133"/>
      <c r="J133"/>
    </row>
    <row r="134" spans="1:10">
      <c r="A134"/>
      <c r="B134" s="1"/>
      <c r="C134" s="8"/>
      <c r="I134"/>
      <c r="J134"/>
    </row>
    <row r="135" spans="1:10">
      <c r="A135"/>
      <c r="B135" s="1"/>
      <c r="C135" s="8"/>
      <c r="I135"/>
      <c r="J135"/>
    </row>
    <row r="136" spans="1:10">
      <c r="A136"/>
      <c r="B136" s="1"/>
      <c r="C136" s="8"/>
      <c r="I136"/>
      <c r="J136"/>
    </row>
    <row r="137" spans="1:10">
      <c r="A137"/>
      <c r="B137" s="1"/>
      <c r="C137" s="8"/>
      <c r="I137"/>
      <c r="J137"/>
    </row>
    <row r="138" spans="1:10">
      <c r="A138"/>
      <c r="B138" s="1"/>
      <c r="C138" s="8"/>
      <c r="I138"/>
      <c r="J138"/>
    </row>
    <row r="139" spans="1:10">
      <c r="A139"/>
      <c r="B139" s="1"/>
      <c r="C139" s="8"/>
      <c r="I139"/>
      <c r="J139"/>
    </row>
    <row r="140" spans="1:10">
      <c r="A140"/>
      <c r="B140" s="1"/>
      <c r="C140" s="8"/>
      <c r="I140"/>
      <c r="J140"/>
    </row>
    <row r="141" spans="1:10">
      <c r="A141"/>
      <c r="B141" s="1"/>
      <c r="C141" s="8"/>
      <c r="I141"/>
      <c r="J141"/>
    </row>
    <row r="142" spans="1:10">
      <c r="A142"/>
      <c r="B142" s="1"/>
      <c r="C142" s="8"/>
      <c r="I142"/>
      <c r="J142"/>
    </row>
    <row r="143" spans="1:10">
      <c r="A143"/>
      <c r="B143" s="1"/>
      <c r="C143" s="8"/>
      <c r="I143"/>
      <c r="J143"/>
    </row>
    <row r="144" spans="1:10">
      <c r="A144"/>
      <c r="B144" s="1"/>
      <c r="C144" s="8"/>
      <c r="I144"/>
      <c r="J144"/>
    </row>
    <row r="145" spans="1:10">
      <c r="A145"/>
      <c r="B145" s="1"/>
      <c r="C145" s="8"/>
      <c r="I145"/>
      <c r="J145"/>
    </row>
    <row r="146" spans="1:10">
      <c r="A146"/>
      <c r="B146" s="1"/>
      <c r="C146" s="8"/>
      <c r="I146"/>
      <c r="J146"/>
    </row>
    <row r="147" spans="1:10">
      <c r="A147"/>
      <c r="B147" s="1"/>
      <c r="C147" s="8"/>
      <c r="I147"/>
      <c r="J147"/>
    </row>
    <row r="148" spans="1:10">
      <c r="A148"/>
      <c r="B148" s="1"/>
      <c r="C148" s="8"/>
      <c r="I148"/>
      <c r="J148"/>
    </row>
    <row r="149" spans="1:10">
      <c r="A149"/>
      <c r="B149" s="1"/>
      <c r="I149"/>
      <c r="J149"/>
    </row>
    <row r="150" spans="1:10">
      <c r="A150"/>
      <c r="B150" s="1"/>
      <c r="I150"/>
      <c r="J150"/>
    </row>
    <row r="151" spans="1:10">
      <c r="A151"/>
      <c r="B151" s="1"/>
      <c r="I151"/>
      <c r="J151"/>
    </row>
    <row r="152" spans="1:10">
      <c r="A152"/>
      <c r="B152" s="1"/>
      <c r="I152"/>
      <c r="J152"/>
    </row>
    <row r="153" spans="1:10">
      <c r="A153"/>
      <c r="B153" s="1"/>
      <c r="I153"/>
      <c r="J153"/>
    </row>
    <row r="154" spans="1:10">
      <c r="A154"/>
      <c r="B154" s="1"/>
      <c r="I154"/>
      <c r="J154"/>
    </row>
    <row r="155" spans="1:10">
      <c r="A155"/>
      <c r="B155" s="1"/>
      <c r="I155"/>
      <c r="J155"/>
    </row>
    <row r="156" spans="1:10">
      <c r="A156"/>
      <c r="B156" s="1"/>
      <c r="I156"/>
      <c r="J156"/>
    </row>
    <row r="157" spans="1:10">
      <c r="A157"/>
      <c r="B157" s="1"/>
      <c r="I157"/>
      <c r="J157"/>
    </row>
    <row r="158" spans="1:10">
      <c r="A158"/>
      <c r="B158" s="1"/>
      <c r="I158"/>
      <c r="J158"/>
    </row>
    <row r="159" spans="1:10">
      <c r="A159"/>
      <c r="B159" s="1"/>
      <c r="I159"/>
      <c r="J159"/>
    </row>
    <row r="160" spans="1:10">
      <c r="A160"/>
      <c r="B160" s="1"/>
      <c r="I160"/>
      <c r="J160"/>
    </row>
    <row r="161" spans="1:10">
      <c r="A161"/>
      <c r="B161" s="1"/>
      <c r="I161"/>
      <c r="J161"/>
    </row>
    <row r="162" spans="1:10">
      <c r="A162"/>
      <c r="B162" s="1"/>
      <c r="I162"/>
      <c r="J162"/>
    </row>
    <row r="163" spans="1:10">
      <c r="A163"/>
      <c r="B163" s="1"/>
      <c r="I163"/>
      <c r="J163"/>
    </row>
    <row r="164" spans="1:10">
      <c r="A164"/>
      <c r="B164" s="1"/>
      <c r="I164"/>
      <c r="J164"/>
    </row>
    <row r="165" spans="1:10">
      <c r="A165"/>
      <c r="B165" s="1"/>
      <c r="I165"/>
      <c r="J165"/>
    </row>
    <row r="166" spans="1:10">
      <c r="A166"/>
      <c r="B166" s="1"/>
      <c r="I166"/>
      <c r="J166"/>
    </row>
    <row r="167" spans="1:10">
      <c r="A167"/>
      <c r="B167" s="1"/>
      <c r="I167"/>
      <c r="J167"/>
    </row>
    <row r="168" spans="1:10">
      <c r="A168"/>
      <c r="B168" s="1"/>
      <c r="I168"/>
      <c r="J168"/>
    </row>
    <row r="169" spans="1:10">
      <c r="A169"/>
      <c r="B169" s="1"/>
      <c r="I169"/>
      <c r="J169"/>
    </row>
    <row r="170" spans="1:10">
      <c r="A170"/>
      <c r="B170" s="1"/>
      <c r="I170"/>
      <c r="J170"/>
    </row>
    <row r="171" spans="1:10">
      <c r="A171"/>
      <c r="B171" s="1"/>
      <c r="I171"/>
      <c r="J171"/>
    </row>
    <row r="172" spans="1:10">
      <c r="A172"/>
      <c r="B172" s="1"/>
      <c r="C172" s="8"/>
      <c r="I172"/>
      <c r="J172"/>
    </row>
    <row r="173" spans="1:10">
      <c r="A173"/>
      <c r="B173" s="1"/>
      <c r="C173" s="8"/>
      <c r="I173"/>
      <c r="J173"/>
    </row>
    <row r="174" spans="1:10">
      <c r="A174"/>
      <c r="B174" s="1"/>
      <c r="C174" s="8"/>
      <c r="I174"/>
      <c r="J174"/>
    </row>
    <row r="175" spans="1:10">
      <c r="A175"/>
      <c r="B175" s="1"/>
      <c r="C175" s="8"/>
      <c r="I175"/>
      <c r="J175"/>
    </row>
    <row r="176" spans="1:10">
      <c r="A176"/>
      <c r="B176" s="1"/>
      <c r="C176" s="8"/>
      <c r="I176"/>
      <c r="J176"/>
    </row>
    <row r="177" spans="1:10">
      <c r="A177"/>
      <c r="B177" s="1"/>
      <c r="C177" s="8"/>
      <c r="I177"/>
      <c r="J177"/>
    </row>
    <row r="178" spans="1:10">
      <c r="A178"/>
      <c r="B178" s="1"/>
      <c r="C178" s="8"/>
      <c r="I178"/>
      <c r="J178"/>
    </row>
    <row r="179" spans="1:10">
      <c r="A179"/>
      <c r="B179" s="1"/>
      <c r="C179" s="8"/>
      <c r="I179"/>
      <c r="J179"/>
    </row>
    <row r="180" spans="1:10">
      <c r="A180"/>
      <c r="B180" s="1"/>
      <c r="C180" s="8"/>
      <c r="I180"/>
      <c r="J180"/>
    </row>
    <row r="181" spans="1:10">
      <c r="A181"/>
      <c r="B181" s="1"/>
      <c r="C181" s="8"/>
      <c r="I181"/>
      <c r="J181"/>
    </row>
    <row r="182" spans="1:10">
      <c r="A182"/>
      <c r="B182" s="1"/>
      <c r="C182" s="8"/>
      <c r="I182"/>
      <c r="J182"/>
    </row>
    <row r="183" spans="1:10">
      <c r="A183"/>
      <c r="B183" s="1"/>
      <c r="C183" s="8"/>
      <c r="I183"/>
      <c r="J183"/>
    </row>
    <row r="184" spans="1:10">
      <c r="A184"/>
      <c r="B184" s="1"/>
      <c r="C184" s="8"/>
      <c r="I184"/>
      <c r="J184"/>
    </row>
    <row r="185" spans="1:10">
      <c r="A185"/>
      <c r="B185" s="1"/>
      <c r="C185" s="8"/>
      <c r="I185"/>
      <c r="J185"/>
    </row>
    <row r="186" spans="1:10">
      <c r="A186"/>
      <c r="B186" s="1"/>
      <c r="C186" s="8"/>
      <c r="I186"/>
      <c r="J186"/>
    </row>
    <row r="187" spans="1:10">
      <c r="A187"/>
      <c r="B187" s="1"/>
      <c r="C187" s="8"/>
      <c r="I187"/>
      <c r="J187"/>
    </row>
    <row r="188" spans="1:10">
      <c r="A188"/>
      <c r="B188" s="1"/>
      <c r="C188" s="8"/>
      <c r="I188"/>
      <c r="J188"/>
    </row>
    <row r="189" spans="1:10">
      <c r="A189"/>
      <c r="B189" s="1"/>
      <c r="C189" s="8"/>
      <c r="I189"/>
      <c r="J189"/>
    </row>
    <row r="190" spans="1:10">
      <c r="A190"/>
      <c r="B190" s="1"/>
      <c r="C190" s="8"/>
      <c r="I190"/>
      <c r="J190"/>
    </row>
    <row r="191" spans="1:10">
      <c r="A191"/>
      <c r="B191" s="1"/>
      <c r="C191" s="8"/>
      <c r="I191"/>
      <c r="J191"/>
    </row>
    <row r="192" spans="1:10">
      <c r="A192"/>
      <c r="B192" s="1"/>
      <c r="C192" s="8"/>
      <c r="I192"/>
      <c r="J192"/>
    </row>
    <row r="193" spans="1:10">
      <c r="A193"/>
      <c r="B193" s="1"/>
      <c r="C193" s="8"/>
      <c r="I193"/>
      <c r="J193"/>
    </row>
    <row r="194" spans="1:10">
      <c r="A194"/>
      <c r="B194" s="1"/>
      <c r="C194" s="8"/>
      <c r="I194"/>
      <c r="J194"/>
    </row>
    <row r="195" spans="1:10">
      <c r="A195"/>
      <c r="B195" s="1"/>
      <c r="C195" s="8"/>
      <c r="I195"/>
      <c r="J195"/>
    </row>
    <row r="196" spans="1:10">
      <c r="A196"/>
      <c r="B196" s="1"/>
      <c r="C196" s="8"/>
      <c r="I196"/>
      <c r="J196"/>
    </row>
    <row r="197" spans="1:10">
      <c r="A197"/>
      <c r="B197" s="1"/>
      <c r="I197"/>
      <c r="J197"/>
    </row>
    <row r="198" spans="1:10">
      <c r="A198"/>
      <c r="B198" s="1"/>
      <c r="I198"/>
      <c r="J198"/>
    </row>
    <row r="199" spans="1:10">
      <c r="A199"/>
      <c r="B199" s="1"/>
      <c r="I199"/>
      <c r="J199"/>
    </row>
    <row r="200" spans="1:10">
      <c r="A200"/>
      <c r="B200" s="1"/>
      <c r="I200"/>
      <c r="J200"/>
    </row>
    <row r="201" spans="1:10">
      <c r="A201"/>
      <c r="B201" s="1"/>
      <c r="I201"/>
      <c r="J201"/>
    </row>
    <row r="202" spans="1:10">
      <c r="A202"/>
      <c r="B202" s="1"/>
      <c r="I202"/>
      <c r="J202"/>
    </row>
    <row r="203" spans="1:10">
      <c r="A203"/>
      <c r="B203" s="1"/>
      <c r="I203"/>
      <c r="J203"/>
    </row>
    <row r="204" spans="1:10">
      <c r="A204"/>
      <c r="B204" s="1"/>
      <c r="I204"/>
      <c r="J204"/>
    </row>
    <row r="205" spans="1:10">
      <c r="A205"/>
      <c r="B205" s="1"/>
      <c r="I205"/>
      <c r="J205"/>
    </row>
    <row r="206" spans="1:10">
      <c r="A206"/>
      <c r="B206" s="1"/>
      <c r="I206"/>
      <c r="J206"/>
    </row>
    <row r="207" spans="1:10">
      <c r="A207"/>
      <c r="B207" s="1"/>
      <c r="I207"/>
      <c r="J207"/>
    </row>
    <row r="208" spans="1:10">
      <c r="A208"/>
      <c r="B208" s="1"/>
      <c r="I208"/>
      <c r="J208"/>
    </row>
    <row r="209" spans="1:10">
      <c r="A209"/>
      <c r="B209" s="1"/>
      <c r="I209"/>
      <c r="J209"/>
    </row>
    <row r="210" spans="1:10">
      <c r="A210"/>
      <c r="B210" s="1"/>
      <c r="I210"/>
      <c r="J210"/>
    </row>
    <row r="211" spans="1:10">
      <c r="A211"/>
      <c r="B211" s="1"/>
      <c r="I211"/>
      <c r="J211"/>
    </row>
    <row r="212" spans="1:10">
      <c r="A212"/>
      <c r="B212" s="1"/>
      <c r="I212"/>
      <c r="J212"/>
    </row>
    <row r="213" spans="1:10">
      <c r="A213"/>
      <c r="B213" s="1"/>
      <c r="I213"/>
      <c r="J213"/>
    </row>
    <row r="214" spans="1:10">
      <c r="A214"/>
      <c r="B214" s="1"/>
      <c r="I214"/>
      <c r="J214"/>
    </row>
    <row r="215" spans="1:10">
      <c r="A215"/>
      <c r="B215" s="1"/>
      <c r="I215"/>
      <c r="J215"/>
    </row>
    <row r="216" spans="1:10">
      <c r="A216"/>
      <c r="B216" s="1"/>
      <c r="I216"/>
      <c r="J216"/>
    </row>
    <row r="217" spans="1:10">
      <c r="A217"/>
      <c r="B217" s="1"/>
      <c r="I217"/>
      <c r="J217"/>
    </row>
    <row r="218" spans="1:9">
      <c r="A218"/>
      <c r="B218" s="1"/>
      <c r="I218"/>
    </row>
    <row r="219" spans="1:10">
      <c r="A219"/>
      <c r="B219" s="1"/>
      <c r="I219"/>
      <c r="J219"/>
    </row>
    <row r="220" spans="1:10">
      <c r="A220"/>
      <c r="B220" s="1"/>
      <c r="C220" s="8"/>
      <c r="I220"/>
      <c r="J220"/>
    </row>
    <row r="221" spans="1:10">
      <c r="A221"/>
      <c r="B221" s="1"/>
      <c r="C221" s="8"/>
      <c r="I221"/>
      <c r="J221"/>
    </row>
    <row r="222" spans="1:10">
      <c r="A222"/>
      <c r="B222" s="1"/>
      <c r="C222" s="8"/>
      <c r="I222"/>
      <c r="J222"/>
    </row>
    <row r="223" spans="1:10">
      <c r="A223"/>
      <c r="B223" s="1"/>
      <c r="C223" s="8"/>
      <c r="I223"/>
      <c r="J223"/>
    </row>
    <row r="224" spans="1:10">
      <c r="A224"/>
      <c r="B224" s="1"/>
      <c r="C224" s="8"/>
      <c r="I224"/>
      <c r="J224"/>
    </row>
    <row r="225" spans="1:10">
      <c r="A225"/>
      <c r="B225" s="1"/>
      <c r="C225" s="8"/>
      <c r="I225"/>
      <c r="J225"/>
    </row>
    <row r="226" spans="1:10">
      <c r="A226"/>
      <c r="B226" s="1"/>
      <c r="C226" s="8"/>
      <c r="I226"/>
      <c r="J226"/>
    </row>
    <row r="227" spans="1:10">
      <c r="A227"/>
      <c r="B227" s="1"/>
      <c r="C227" s="8"/>
      <c r="I227"/>
      <c r="J227"/>
    </row>
    <row r="228" spans="1:10">
      <c r="A228"/>
      <c r="B228" s="1"/>
      <c r="C228" s="8"/>
      <c r="I228"/>
      <c r="J228"/>
    </row>
    <row r="229" spans="1:10">
      <c r="A229"/>
      <c r="B229" s="1"/>
      <c r="C229" s="8"/>
      <c r="I229"/>
      <c r="J229"/>
    </row>
    <row r="230" spans="1:10">
      <c r="A230"/>
      <c r="B230" s="1"/>
      <c r="C230" s="8"/>
      <c r="I230"/>
      <c r="J230"/>
    </row>
    <row r="231" spans="1:10">
      <c r="A231"/>
      <c r="B231" s="1"/>
      <c r="C231" s="8"/>
      <c r="I231"/>
      <c r="J231"/>
    </row>
    <row r="232" spans="1:10">
      <c r="A232"/>
      <c r="B232" s="1"/>
      <c r="C232" s="8"/>
      <c r="I232"/>
      <c r="J232"/>
    </row>
    <row r="233" spans="1:10">
      <c r="A233"/>
      <c r="B233" s="1"/>
      <c r="C233" s="8"/>
      <c r="I233"/>
      <c r="J233"/>
    </row>
    <row r="234" spans="1:10">
      <c r="A234"/>
      <c r="B234" s="1"/>
      <c r="C234" s="8"/>
      <c r="I234"/>
      <c r="J234"/>
    </row>
    <row r="235" spans="1:10">
      <c r="A235"/>
      <c r="B235" s="1"/>
      <c r="C235" s="8"/>
      <c r="I235"/>
      <c r="J235"/>
    </row>
    <row r="236" spans="1:10">
      <c r="A236"/>
      <c r="B236" s="1"/>
      <c r="C236" s="8"/>
      <c r="I236"/>
      <c r="J236"/>
    </row>
    <row r="237" spans="1:10">
      <c r="A237"/>
      <c r="B237" s="1"/>
      <c r="C237" s="8"/>
      <c r="I237"/>
      <c r="J237"/>
    </row>
    <row r="238" spans="1:10">
      <c r="A238"/>
      <c r="B238" s="1"/>
      <c r="C238" s="8"/>
      <c r="I238"/>
      <c r="J238"/>
    </row>
    <row r="239" spans="1:10">
      <c r="A239"/>
      <c r="B239" s="1"/>
      <c r="C239" s="8"/>
      <c r="I239"/>
      <c r="J239"/>
    </row>
    <row r="240" spans="1:10">
      <c r="A240"/>
      <c r="B240" s="1"/>
      <c r="C240" s="8"/>
      <c r="I240"/>
      <c r="J240"/>
    </row>
    <row r="241" spans="1:10">
      <c r="A241"/>
      <c r="B241" s="1"/>
      <c r="C241" s="8"/>
      <c r="I241"/>
      <c r="J241"/>
    </row>
    <row r="242" spans="1:10">
      <c r="A242"/>
      <c r="B242" s="1"/>
      <c r="C242" s="8"/>
      <c r="I242"/>
      <c r="J242"/>
    </row>
    <row r="243" spans="1:10">
      <c r="A243"/>
      <c r="B243" s="1"/>
      <c r="C243" s="8"/>
      <c r="I243"/>
      <c r="J243"/>
    </row>
    <row r="244" spans="1:10">
      <c r="A244"/>
      <c r="B244" s="1"/>
      <c r="C244" s="8"/>
      <c r="I244"/>
      <c r="J244"/>
    </row>
    <row r="245" spans="1:10">
      <c r="A245"/>
      <c r="B245" s="1"/>
      <c r="I245"/>
      <c r="J245"/>
    </row>
    <row r="246" spans="1:10">
      <c r="A246"/>
      <c r="B246" s="1"/>
      <c r="I246"/>
      <c r="J246"/>
    </row>
    <row r="247" spans="1:10">
      <c r="A247"/>
      <c r="B247" s="1"/>
      <c r="I247"/>
      <c r="J247"/>
    </row>
    <row r="248" spans="1:10">
      <c r="A248"/>
      <c r="B248" s="1"/>
      <c r="I248"/>
      <c r="J248"/>
    </row>
    <row r="249" spans="1:10">
      <c r="A249"/>
      <c r="B249" s="1"/>
      <c r="I249"/>
      <c r="J249"/>
    </row>
    <row r="250" spans="1:10">
      <c r="A250"/>
      <c r="B250" s="1"/>
      <c r="I250"/>
      <c r="J250"/>
    </row>
    <row r="251" spans="1:10">
      <c r="A251"/>
      <c r="B251" s="1"/>
      <c r="I251"/>
      <c r="J251"/>
    </row>
    <row r="252" spans="1:10">
      <c r="A252"/>
      <c r="B252" s="1"/>
      <c r="I252"/>
      <c r="J252"/>
    </row>
    <row r="253" spans="1:10">
      <c r="A253"/>
      <c r="B253" s="1"/>
      <c r="I253"/>
      <c r="J253"/>
    </row>
    <row r="254" spans="1:10">
      <c r="A254"/>
      <c r="B254" s="1"/>
      <c r="I254"/>
      <c r="J254"/>
    </row>
    <row r="255" spans="1:10">
      <c r="A255"/>
      <c r="B255" s="1"/>
      <c r="I255"/>
      <c r="J255"/>
    </row>
    <row r="256" spans="1:10">
      <c r="A256"/>
      <c r="B256" s="1"/>
      <c r="I256"/>
      <c r="J256"/>
    </row>
    <row r="257" spans="1:10">
      <c r="A257"/>
      <c r="B257" s="1"/>
      <c r="I257"/>
      <c r="J257"/>
    </row>
    <row r="258" spans="1:10">
      <c r="A258"/>
      <c r="B258" s="1"/>
      <c r="I258"/>
      <c r="J258"/>
    </row>
    <row r="259" spans="1:10">
      <c r="A259"/>
      <c r="B259" s="1"/>
      <c r="I259"/>
      <c r="J259"/>
    </row>
    <row r="268" spans="3:3">
      <c r="C268" s="8"/>
    </row>
    <row r="269" spans="3:3">
      <c r="C269" s="8"/>
    </row>
    <row r="270" spans="3:3">
      <c r="C270" s="8"/>
    </row>
    <row r="271" spans="3:3">
      <c r="C271" s="8"/>
    </row>
    <row r="272" spans="3:3">
      <c r="C272" s="8"/>
    </row>
    <row r="273" spans="3:3">
      <c r="C273" s="8"/>
    </row>
    <row r="274" spans="3:3">
      <c r="C274" s="8"/>
    </row>
    <row r="275" spans="3:3">
      <c r="C275" s="8"/>
    </row>
    <row r="276" spans="3:3">
      <c r="C276" s="8"/>
    </row>
    <row r="277" spans="3:3">
      <c r="C277" s="8"/>
    </row>
    <row r="278" spans="3:3">
      <c r="C278" s="8"/>
    </row>
    <row r="279" spans="3:3">
      <c r="C279" s="8"/>
    </row>
    <row r="280" spans="3:3">
      <c r="C280" s="8"/>
    </row>
    <row r="281" spans="3:3">
      <c r="C281" s="8"/>
    </row>
    <row r="282" spans="3:3">
      <c r="C282" s="8"/>
    </row>
    <row r="283" spans="3:3">
      <c r="C283" s="8"/>
    </row>
    <row r="284" spans="3:3">
      <c r="C284" s="8"/>
    </row>
    <row r="285" spans="3:3">
      <c r="C285" s="8"/>
    </row>
    <row r="286" spans="3:3">
      <c r="C286" s="8"/>
    </row>
    <row r="287" spans="3:3">
      <c r="C287" s="8"/>
    </row>
    <row r="288" spans="3:3">
      <c r="C288" s="8"/>
    </row>
    <row r="289" spans="3:3">
      <c r="C289" s="8"/>
    </row>
    <row r="290" spans="3:3">
      <c r="C290" s="8"/>
    </row>
    <row r="291" spans="3:3">
      <c r="C291" s="8"/>
    </row>
    <row r="292" spans="3:3">
      <c r="C292" s="8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3"/>
  <sheetViews>
    <sheetView workbookViewId="0">
      <selection activeCell="A1" sqref="A1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203</v>
      </c>
    </row>
    <row r="2" spans="1:3">
      <c r="A2" t="s">
        <v>10</v>
      </c>
      <c r="B2" t="s">
        <v>204</v>
      </c>
      <c r="C2" t="s">
        <v>205</v>
      </c>
    </row>
    <row r="3" spans="1:3">
      <c r="A3" t="s">
        <v>20</v>
      </c>
      <c r="B3" t="s">
        <v>21</v>
      </c>
      <c r="C3" t="s">
        <v>21</v>
      </c>
    </row>
    <row r="4" spans="2:11">
      <c r="B4" t="s">
        <v>28</v>
      </c>
      <c r="C4" t="s">
        <v>206</v>
      </c>
      <c r="G4" t="s">
        <v>206</v>
      </c>
      <c r="J4" t="s">
        <v>25</v>
      </c>
      <c r="K4" t="s">
        <v>198</v>
      </c>
    </row>
    <row r="5" spans="2:11">
      <c r="B5" t="s">
        <v>32</v>
      </c>
      <c r="C5" t="s">
        <v>207</v>
      </c>
      <c r="G5" t="s">
        <v>207</v>
      </c>
      <c r="J5" t="s">
        <v>30</v>
      </c>
      <c r="K5" t="s">
        <v>199</v>
      </c>
    </row>
    <row r="6" spans="2:11">
      <c r="B6" t="s">
        <v>35</v>
      </c>
      <c r="C6" t="s">
        <v>208</v>
      </c>
      <c r="G6" t="s">
        <v>208</v>
      </c>
      <c r="J6" t="s">
        <v>33</v>
      </c>
      <c r="K6" t="s">
        <v>200</v>
      </c>
    </row>
    <row r="7" spans="2:11">
      <c r="B7" t="s">
        <v>39</v>
      </c>
      <c r="C7" t="s">
        <v>209</v>
      </c>
      <c r="G7" t="s">
        <v>209</v>
      </c>
      <c r="J7" t="s">
        <v>37</v>
      </c>
      <c r="K7" t="s">
        <v>201</v>
      </c>
    </row>
    <row r="8" spans="2:11">
      <c r="B8" t="s">
        <v>42</v>
      </c>
      <c r="C8" t="s">
        <v>210</v>
      </c>
      <c r="G8" t="s">
        <v>210</v>
      </c>
      <c r="J8" t="s">
        <v>40</v>
      </c>
      <c r="K8" t="s">
        <v>41</v>
      </c>
    </row>
    <row r="9" spans="2:11">
      <c r="B9" t="s">
        <v>45</v>
      </c>
      <c r="C9" t="s">
        <v>211</v>
      </c>
      <c r="G9" t="s">
        <v>211</v>
      </c>
      <c r="J9" t="s">
        <v>43</v>
      </c>
      <c r="K9" t="s">
        <v>44</v>
      </c>
    </row>
    <row r="10" spans="2:11">
      <c r="B10" t="s">
        <v>49</v>
      </c>
      <c r="C10" t="s">
        <v>212</v>
      </c>
      <c r="G10" t="s">
        <v>212</v>
      </c>
      <c r="J10" t="s">
        <v>47</v>
      </c>
      <c r="K10" t="s">
        <v>48</v>
      </c>
    </row>
    <row r="11" spans="2:11">
      <c r="B11" t="s">
        <v>52</v>
      </c>
      <c r="C11" t="s">
        <v>213</v>
      </c>
      <c r="G11" t="s">
        <v>214</v>
      </c>
      <c r="H11" t="s">
        <v>215</v>
      </c>
      <c r="J11" t="s">
        <v>50</v>
      </c>
      <c r="K11" t="s">
        <v>51</v>
      </c>
    </row>
    <row r="12" spans="2:11">
      <c r="B12" t="s">
        <v>55</v>
      </c>
      <c r="C12" t="s">
        <v>216</v>
      </c>
      <c r="G12" t="s">
        <v>217</v>
      </c>
      <c r="H12" t="s">
        <v>218</v>
      </c>
      <c r="J12" t="s">
        <v>53</v>
      </c>
      <c r="K12" t="s">
        <v>54</v>
      </c>
    </row>
    <row r="13" spans="2:11">
      <c r="B13" t="s">
        <v>59</v>
      </c>
      <c r="C13" t="s">
        <v>219</v>
      </c>
      <c r="G13" t="s">
        <v>219</v>
      </c>
      <c r="J13" t="s">
        <v>57</v>
      </c>
      <c r="K13" t="s">
        <v>58</v>
      </c>
    </row>
    <row r="14" spans="2:11">
      <c r="B14" t="s">
        <v>63</v>
      </c>
      <c r="C14" t="s">
        <v>220</v>
      </c>
      <c r="G14" t="s">
        <v>221</v>
      </c>
      <c r="H14" t="s">
        <v>222</v>
      </c>
      <c r="J14" t="s">
        <v>61</v>
      </c>
      <c r="K14" t="s">
        <v>62</v>
      </c>
    </row>
    <row r="15" spans="2:11">
      <c r="B15" t="s">
        <v>68</v>
      </c>
      <c r="C15" t="s">
        <v>223</v>
      </c>
      <c r="G15" t="s">
        <v>224</v>
      </c>
      <c r="H15" t="s">
        <v>225</v>
      </c>
      <c r="J15" t="s">
        <v>66</v>
      </c>
      <c r="K15" t="s">
        <v>67</v>
      </c>
    </row>
    <row r="16" spans="2:11">
      <c r="B16" t="s">
        <v>72</v>
      </c>
      <c r="C16" t="s">
        <v>226</v>
      </c>
      <c r="G16" t="s">
        <v>226</v>
      </c>
      <c r="J16" t="s">
        <v>70</v>
      </c>
      <c r="K16" t="s">
        <v>71</v>
      </c>
    </row>
    <row r="17" spans="2:11">
      <c r="B17" t="s">
        <v>75</v>
      </c>
      <c r="C17" t="s">
        <v>227</v>
      </c>
      <c r="G17" t="s">
        <v>228</v>
      </c>
      <c r="H17" t="s">
        <v>229</v>
      </c>
      <c r="J17" t="s">
        <v>73</v>
      </c>
      <c r="K17" t="s">
        <v>74</v>
      </c>
    </row>
    <row r="18" spans="2:11">
      <c r="B18" t="s">
        <v>78</v>
      </c>
      <c r="C18" t="s">
        <v>230</v>
      </c>
      <c r="G18" t="s">
        <v>230</v>
      </c>
      <c r="J18" t="s">
        <v>76</v>
      </c>
      <c r="K18" t="s">
        <v>77</v>
      </c>
    </row>
    <row r="19" spans="2:11">
      <c r="B19" t="s">
        <v>83</v>
      </c>
      <c r="C19" t="s">
        <v>231</v>
      </c>
      <c r="G19" t="s">
        <v>231</v>
      </c>
      <c r="J19" t="s">
        <v>81</v>
      </c>
      <c r="K19" t="s">
        <v>82</v>
      </c>
    </row>
    <row r="20" spans="2:11">
      <c r="B20" t="s">
        <v>89</v>
      </c>
      <c r="C20" t="s">
        <v>232</v>
      </c>
      <c r="G20" t="s">
        <v>232</v>
      </c>
      <c r="J20" t="s">
        <v>87</v>
      </c>
      <c r="K20" t="s">
        <v>88</v>
      </c>
    </row>
    <row r="21" spans="2:11">
      <c r="B21" t="s">
        <v>94</v>
      </c>
      <c r="C21" t="s">
        <v>233</v>
      </c>
      <c r="G21" t="s">
        <v>234</v>
      </c>
      <c r="H21" t="s">
        <v>235</v>
      </c>
      <c r="J21" t="s">
        <v>92</v>
      </c>
      <c r="K21" t="s">
        <v>93</v>
      </c>
    </row>
    <row r="22" spans="2:11">
      <c r="B22" t="s">
        <v>99</v>
      </c>
      <c r="C22" t="s">
        <v>236</v>
      </c>
      <c r="G22" t="s">
        <v>237</v>
      </c>
      <c r="H22" t="s">
        <v>238</v>
      </c>
      <c r="J22" t="s">
        <v>97</v>
      </c>
      <c r="K22" t="s">
        <v>98</v>
      </c>
    </row>
    <row r="23" spans="2:11">
      <c r="B23" t="s">
        <v>104</v>
      </c>
      <c r="C23" t="s">
        <v>239</v>
      </c>
      <c r="G23" t="s">
        <v>240</v>
      </c>
      <c r="H23" t="s">
        <v>241</v>
      </c>
      <c r="J23" t="s">
        <v>102</v>
      </c>
      <c r="K23" t="s">
        <v>103</v>
      </c>
    </row>
    <row r="24" spans="2:11">
      <c r="B24" t="s">
        <v>109</v>
      </c>
      <c r="C24" t="s">
        <v>242</v>
      </c>
      <c r="G24" t="s">
        <v>242</v>
      </c>
      <c r="J24" t="s">
        <v>107</v>
      </c>
      <c r="K24" t="s">
        <v>108</v>
      </c>
    </row>
    <row r="25" spans="2:11">
      <c r="B25" t="s">
        <v>115</v>
      </c>
      <c r="C25" t="s">
        <v>243</v>
      </c>
      <c r="G25" t="s">
        <v>243</v>
      </c>
      <c r="J25" t="s">
        <v>113</v>
      </c>
      <c r="K25" t="s">
        <v>114</v>
      </c>
    </row>
    <row r="26" spans="2:11">
      <c r="B26" t="s">
        <v>118</v>
      </c>
      <c r="C26" t="s">
        <v>244</v>
      </c>
      <c r="G26" t="s">
        <v>245</v>
      </c>
      <c r="H26" t="s">
        <v>246</v>
      </c>
      <c r="J26" t="s">
        <v>116</v>
      </c>
      <c r="K26" t="s">
        <v>117</v>
      </c>
    </row>
    <row r="27" spans="2:11">
      <c r="B27" t="s">
        <v>121</v>
      </c>
      <c r="C27" t="s">
        <v>247</v>
      </c>
      <c r="G27" t="s">
        <v>248</v>
      </c>
      <c r="H27" t="s">
        <v>249</v>
      </c>
      <c r="J27" t="s">
        <v>119</v>
      </c>
      <c r="K27" t="s">
        <v>120</v>
      </c>
    </row>
    <row r="28" spans="2:11">
      <c r="B28" t="s">
        <v>124</v>
      </c>
      <c r="C28" t="s">
        <v>250</v>
      </c>
      <c r="G28" t="s">
        <v>250</v>
      </c>
      <c r="J28" t="s">
        <v>122</v>
      </c>
      <c r="K28" t="s">
        <v>123</v>
      </c>
    </row>
    <row r="29" spans="2:11">
      <c r="B29" t="s">
        <v>127</v>
      </c>
      <c r="C29" t="s">
        <v>251</v>
      </c>
      <c r="G29" t="s">
        <v>251</v>
      </c>
      <c r="J29" t="s">
        <v>125</v>
      </c>
      <c r="K29" t="s">
        <v>126</v>
      </c>
    </row>
    <row r="30" spans="2:11">
      <c r="B30" t="s">
        <v>130</v>
      </c>
      <c r="C30" t="s">
        <v>252</v>
      </c>
      <c r="G30" t="s">
        <v>252</v>
      </c>
      <c r="J30" t="s">
        <v>128</v>
      </c>
      <c r="K30" t="s">
        <v>129</v>
      </c>
    </row>
    <row r="31" spans="2:11">
      <c r="B31" t="s">
        <v>133</v>
      </c>
      <c r="C31" t="s">
        <v>253</v>
      </c>
      <c r="G31" t="s">
        <v>253</v>
      </c>
      <c r="J31" t="s">
        <v>131</v>
      </c>
      <c r="K31" t="s">
        <v>132</v>
      </c>
    </row>
    <row r="32" spans="2:11">
      <c r="B32" t="s">
        <v>136</v>
      </c>
      <c r="C32" t="s">
        <v>254</v>
      </c>
      <c r="G32" t="s">
        <v>254</v>
      </c>
      <c r="J32" t="s">
        <v>134</v>
      </c>
      <c r="K32" t="s">
        <v>135</v>
      </c>
    </row>
    <row r="33" spans="2:11">
      <c r="B33" t="s">
        <v>139</v>
      </c>
      <c r="C33" t="s">
        <v>255</v>
      </c>
      <c r="G33" t="s">
        <v>256</v>
      </c>
      <c r="H33" t="s">
        <v>257</v>
      </c>
      <c r="J33" t="s">
        <v>137</v>
      </c>
      <c r="K33" t="s">
        <v>138</v>
      </c>
    </row>
    <row r="34" spans="2:11">
      <c r="B34" t="s">
        <v>142</v>
      </c>
      <c r="C34" t="s">
        <v>258</v>
      </c>
      <c r="G34" t="s">
        <v>259</v>
      </c>
      <c r="H34" t="s">
        <v>260</v>
      </c>
      <c r="J34" t="s">
        <v>140</v>
      </c>
      <c r="K34" t="s">
        <v>141</v>
      </c>
    </row>
    <row r="35" spans="2:11">
      <c r="B35" t="s">
        <v>146</v>
      </c>
      <c r="C35" t="s">
        <v>261</v>
      </c>
      <c r="G35" t="s">
        <v>262</v>
      </c>
      <c r="H35" t="s">
        <v>263</v>
      </c>
      <c r="J35" t="s">
        <v>144</v>
      </c>
      <c r="K35" t="s">
        <v>145</v>
      </c>
    </row>
    <row r="36" spans="2:11">
      <c r="B36" t="s">
        <v>149</v>
      </c>
      <c r="C36" t="s">
        <v>264</v>
      </c>
      <c r="G36" t="s">
        <v>265</v>
      </c>
      <c r="H36" t="s">
        <v>266</v>
      </c>
      <c r="J36" t="s">
        <v>147</v>
      </c>
      <c r="K36" t="s">
        <v>148</v>
      </c>
    </row>
    <row r="37" spans="2:11">
      <c r="B37" t="s">
        <v>152</v>
      </c>
      <c r="C37" t="s">
        <v>267</v>
      </c>
      <c r="G37" t="s">
        <v>267</v>
      </c>
      <c r="J37" t="s">
        <v>150</v>
      </c>
      <c r="K37" t="s">
        <v>151</v>
      </c>
    </row>
    <row r="38" spans="2:11">
      <c r="B38" t="s">
        <v>155</v>
      </c>
      <c r="C38" t="s">
        <v>268</v>
      </c>
      <c r="G38" t="s">
        <v>269</v>
      </c>
      <c r="H38" t="s">
        <v>270</v>
      </c>
      <c r="J38" t="s">
        <v>153</v>
      </c>
      <c r="K38" t="s">
        <v>154</v>
      </c>
    </row>
    <row r="39" spans="2:11">
      <c r="B39" t="s">
        <v>158</v>
      </c>
      <c r="C39" t="s">
        <v>271</v>
      </c>
      <c r="G39" t="s">
        <v>271</v>
      </c>
      <c r="J39" t="s">
        <v>156</v>
      </c>
      <c r="K39" t="s">
        <v>157</v>
      </c>
    </row>
    <row r="40" spans="2:11">
      <c r="B40" t="s">
        <v>161</v>
      </c>
      <c r="C40" t="s">
        <v>272</v>
      </c>
      <c r="G40" t="s">
        <v>272</v>
      </c>
      <c r="J40" t="s">
        <v>159</v>
      </c>
      <c r="K40" t="s">
        <v>160</v>
      </c>
    </row>
    <row r="41" spans="2:11">
      <c r="B41" t="s">
        <v>164</v>
      </c>
      <c r="C41" t="s">
        <v>273</v>
      </c>
      <c r="G41" t="s">
        <v>274</v>
      </c>
      <c r="H41" t="s">
        <v>275</v>
      </c>
      <c r="J41" t="s">
        <v>162</v>
      </c>
      <c r="K41" t="s">
        <v>163</v>
      </c>
    </row>
    <row r="42" spans="2:11">
      <c r="B42" t="s">
        <v>167</v>
      </c>
      <c r="C42" t="s">
        <v>276</v>
      </c>
      <c r="G42" t="s">
        <v>276</v>
      </c>
      <c r="J42" t="s">
        <v>165</v>
      </c>
      <c r="K42" t="s">
        <v>166</v>
      </c>
    </row>
    <row r="43" spans="2:11">
      <c r="B43" t="s">
        <v>170</v>
      </c>
      <c r="C43" t="s">
        <v>277</v>
      </c>
      <c r="G43" t="s">
        <v>277</v>
      </c>
      <c r="J43" t="s">
        <v>168</v>
      </c>
      <c r="K43" t="s">
        <v>169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10">
      <c r="A1" s="1" t="s">
        <v>0</v>
      </c>
      <c r="B1" s="1" t="s">
        <v>1</v>
      </c>
      <c r="C1" s="1" t="s">
        <v>2</v>
      </c>
      <c r="D1" s="1" t="s">
        <v>278</v>
      </c>
      <c r="E1" s="1" t="s">
        <v>279</v>
      </c>
      <c r="F1" s="1" t="s">
        <v>280</v>
      </c>
      <c r="G1" s="1" t="s">
        <v>281</v>
      </c>
      <c r="H1" s="1" t="s">
        <v>282</v>
      </c>
      <c r="I1" t="s">
        <v>9</v>
      </c>
      <c r="J1"/>
    </row>
    <row r="2" ht="36" customHeight="1" spans="1:10">
      <c r="A2" s="1" t="s">
        <v>10</v>
      </c>
      <c r="B2" s="1" t="s">
        <v>283</v>
      </c>
      <c r="C2" s="1" t="s">
        <v>284</v>
      </c>
      <c r="D2" s="1" t="s">
        <v>285</v>
      </c>
      <c r="E2" s="1" t="s">
        <v>286</v>
      </c>
      <c r="F2" s="1" t="s">
        <v>287</v>
      </c>
      <c r="G2" s="1" t="s">
        <v>288</v>
      </c>
      <c r="H2" s="1" t="s">
        <v>289</v>
      </c>
      <c r="I2" s="35" t="s">
        <v>290</v>
      </c>
      <c r="J2"/>
    </row>
    <row r="3" spans="1:10">
      <c r="A3" s="1" t="s">
        <v>20</v>
      </c>
      <c r="B3" s="1" t="s">
        <v>21</v>
      </c>
      <c r="C3" s="1" t="s">
        <v>21</v>
      </c>
      <c r="D3" s="1" t="s">
        <v>21</v>
      </c>
      <c r="E3" s="1" t="s">
        <v>291</v>
      </c>
      <c r="F3" s="1" t="s">
        <v>24</v>
      </c>
      <c r="G3" s="1" t="s">
        <v>292</v>
      </c>
      <c r="H3" s="1" t="s">
        <v>21</v>
      </c>
      <c r="I3" t="s">
        <v>22</v>
      </c>
      <c r="J3"/>
    </row>
    <row r="4" spans="2:10">
      <c r="B4" s="1" t="s">
        <v>293</v>
      </c>
      <c r="C4" s="1" t="s">
        <v>294</v>
      </c>
      <c r="D4" s="1" t="s">
        <v>295</v>
      </c>
      <c r="E4" s="1" t="s">
        <v>296</v>
      </c>
      <c r="G4" s="1" t="s">
        <v>297</v>
      </c>
      <c r="I4" s="1">
        <v>10</v>
      </c>
      <c r="J4" t="s">
        <v>298</v>
      </c>
    </row>
    <row r="5" spans="2:10">
      <c r="B5" s="1" t="s">
        <v>299</v>
      </c>
      <c r="C5" s="1" t="s">
        <v>300</v>
      </c>
      <c r="D5" s="1" t="s">
        <v>301</v>
      </c>
      <c r="E5" s="1" t="s">
        <v>296</v>
      </c>
      <c r="G5" s="1" t="s">
        <v>302</v>
      </c>
      <c r="I5" s="1">
        <v>40</v>
      </c>
      <c r="J5" t="s">
        <v>303</v>
      </c>
    </row>
    <row r="6" ht="34" spans="2:10">
      <c r="B6" s="1" t="s">
        <v>304</v>
      </c>
      <c r="C6" s="1" t="s">
        <v>305</v>
      </c>
      <c r="D6" s="19" t="s">
        <v>306</v>
      </c>
      <c r="E6" s="1" t="s">
        <v>307</v>
      </c>
      <c r="G6" s="1">
        <v>10</v>
      </c>
      <c r="I6" s="1">
        <v>60</v>
      </c>
      <c r="J6" t="s">
        <v>308</v>
      </c>
    </row>
    <row r="7" spans="2:10">
      <c r="B7" s="1" t="s">
        <v>309</v>
      </c>
      <c r="C7" s="1" t="s">
        <v>310</v>
      </c>
      <c r="D7" s="1" t="s">
        <v>311</v>
      </c>
      <c r="E7" s="1" t="s">
        <v>312</v>
      </c>
      <c r="G7" s="1" t="s">
        <v>297</v>
      </c>
      <c r="I7" s="1">
        <v>50</v>
      </c>
      <c r="J7" t="s">
        <v>313</v>
      </c>
    </row>
    <row r="8" ht="34" spans="2:10">
      <c r="B8" s="34" t="s">
        <v>314</v>
      </c>
      <c r="C8" s="34" t="s">
        <v>315</v>
      </c>
      <c r="D8" s="24" t="s">
        <v>316</v>
      </c>
      <c r="E8" s="34" t="s">
        <v>317</v>
      </c>
      <c r="F8" s="34"/>
      <c r="G8" s="34" t="s">
        <v>318</v>
      </c>
      <c r="H8" s="34"/>
      <c r="I8">
        <v>20</v>
      </c>
      <c r="J8"/>
    </row>
    <row r="9" ht="34" spans="2:10">
      <c r="B9" s="34" t="s">
        <v>319</v>
      </c>
      <c r="C9" s="34" t="s">
        <v>320</v>
      </c>
      <c r="D9" s="24" t="s">
        <v>321</v>
      </c>
      <c r="E9" s="34" t="s">
        <v>322</v>
      </c>
      <c r="F9" s="34"/>
      <c r="G9" s="34">
        <v>20</v>
      </c>
      <c r="H9" s="34"/>
      <c r="I9">
        <v>30</v>
      </c>
      <c r="J9"/>
    </row>
    <row r="10" spans="9:10">
      <c r="I10"/>
      <c r="J10"/>
    </row>
    <row r="11" spans="9:10">
      <c r="I11"/>
      <c r="J11"/>
    </row>
    <row r="12" spans="9:10">
      <c r="I12"/>
      <c r="J12"/>
    </row>
    <row r="13" spans="9:10">
      <c r="I13"/>
      <c r="J13"/>
    </row>
    <row r="14" spans="9:10">
      <c r="I14"/>
      <c r="J14"/>
    </row>
    <row r="15" spans="9:10">
      <c r="I15"/>
      <c r="J15"/>
    </row>
    <row r="16" spans="9:10">
      <c r="I16"/>
      <c r="J16"/>
    </row>
    <row r="17" spans="9:10">
      <c r="I17"/>
      <c r="J17"/>
    </row>
    <row r="18" spans="9:10">
      <c r="I18"/>
      <c r="J18"/>
    </row>
    <row r="19" spans="9:10">
      <c r="I19"/>
      <c r="J19"/>
    </row>
    <row r="20" spans="9:10">
      <c r="I20"/>
      <c r="J20"/>
    </row>
    <row r="21" spans="9:10">
      <c r="I21"/>
      <c r="J21"/>
    </row>
    <row r="22" spans="9:10">
      <c r="I22"/>
      <c r="J22"/>
    </row>
    <row r="23" spans="9:10">
      <c r="I23"/>
      <c r="J23"/>
    </row>
    <row r="24" spans="9:10">
      <c r="I24"/>
      <c r="J24"/>
    </row>
    <row r="25" spans="9:10">
      <c r="I25"/>
      <c r="J25"/>
    </row>
    <row r="26" spans="9:10">
      <c r="I26"/>
      <c r="J26"/>
    </row>
    <row r="27" spans="9:10">
      <c r="I27"/>
      <c r="J27"/>
    </row>
    <row r="28" spans="9:10">
      <c r="I28"/>
      <c r="J28"/>
    </row>
    <row r="29" spans="9:10">
      <c r="I29"/>
      <c r="J29"/>
    </row>
    <row r="30" spans="9:10">
      <c r="I30"/>
      <c r="J30"/>
    </row>
    <row r="31" spans="9:10">
      <c r="I31"/>
      <c r="J31"/>
    </row>
    <row r="32" spans="9:10">
      <c r="I32"/>
      <c r="J32"/>
    </row>
    <row r="33" spans="9:10">
      <c r="I33"/>
      <c r="J33"/>
    </row>
    <row r="34" spans="9:10">
      <c r="I34"/>
      <c r="J34"/>
    </row>
    <row r="35" spans="9:10">
      <c r="I35"/>
      <c r="J35"/>
    </row>
    <row r="36" spans="9:10">
      <c r="I36"/>
      <c r="J36"/>
    </row>
    <row r="37" spans="9:10">
      <c r="I37"/>
      <c r="J37"/>
    </row>
    <row r="38" spans="9:10">
      <c r="I38"/>
      <c r="J38"/>
    </row>
    <row r="39" spans="9:10">
      <c r="I39"/>
      <c r="J39"/>
    </row>
    <row r="40" spans="9:10">
      <c r="I40"/>
      <c r="J40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323</v>
      </c>
      <c r="D1" t="s">
        <v>324</v>
      </c>
      <c r="E1" t="s">
        <v>6</v>
      </c>
      <c r="F1" t="s">
        <v>279</v>
      </c>
      <c r="G1" t="s">
        <v>325</v>
      </c>
      <c r="H1" t="s">
        <v>278</v>
      </c>
    </row>
    <row r="2" spans="1:8">
      <c r="A2" t="s">
        <v>10</v>
      </c>
      <c r="B2" t="s">
        <v>326</v>
      </c>
      <c r="C2" t="s">
        <v>327</v>
      </c>
      <c r="D2" t="s">
        <v>328</v>
      </c>
      <c r="E2" t="s">
        <v>329</v>
      </c>
      <c r="F2" t="s">
        <v>330</v>
      </c>
      <c r="G2" t="s">
        <v>331</v>
      </c>
      <c r="H2" t="s">
        <v>332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333</v>
      </c>
      <c r="G3" t="s">
        <v>193</v>
      </c>
      <c r="H3" t="s">
        <v>21</v>
      </c>
    </row>
    <row r="4" spans="2:8">
      <c r="B4" t="s">
        <v>334</v>
      </c>
      <c r="C4">
        <v>0</v>
      </c>
      <c r="D4">
        <v>1</v>
      </c>
      <c r="E4" t="s">
        <v>46</v>
      </c>
      <c r="F4" t="s">
        <v>335</v>
      </c>
      <c r="G4">
        <v>3</v>
      </c>
      <c r="H4" t="s">
        <v>336</v>
      </c>
    </row>
    <row r="5" spans="2:13">
      <c r="B5" t="s">
        <v>337</v>
      </c>
      <c r="C5">
        <v>1</v>
      </c>
      <c r="D5">
        <v>50</v>
      </c>
      <c r="E5" t="s">
        <v>46</v>
      </c>
      <c r="F5" t="s">
        <v>338</v>
      </c>
      <c r="G5">
        <v>0.05</v>
      </c>
      <c r="H5" t="s">
        <v>339</v>
      </c>
      <c r="L5">
        <v>8</v>
      </c>
      <c r="M5">
        <v>30</v>
      </c>
    </row>
    <row r="6" spans="2:8">
      <c r="B6" t="s">
        <v>340</v>
      </c>
      <c r="C6">
        <v>2</v>
      </c>
      <c r="D6">
        <v>100</v>
      </c>
      <c r="E6" t="s">
        <v>46</v>
      </c>
      <c r="F6" t="s">
        <v>341</v>
      </c>
      <c r="G6">
        <v>0.02</v>
      </c>
      <c r="H6" t="s">
        <v>342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0"/>
  <sheetViews>
    <sheetView workbookViewId="0">
      <selection activeCell="L35" sqref="L35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343</v>
      </c>
      <c r="D1" s="1" t="s">
        <v>344</v>
      </c>
      <c r="E1" s="1" t="s">
        <v>345</v>
      </c>
      <c r="F1" s="1" t="s">
        <v>346</v>
      </c>
      <c r="G1" s="1" t="s">
        <v>347</v>
      </c>
      <c r="H1" s="1" t="s">
        <v>348</v>
      </c>
      <c r="I1" s="1" t="s">
        <v>349</v>
      </c>
      <c r="J1" s="1" t="s">
        <v>350</v>
      </c>
      <c r="K1" s="1" t="s">
        <v>351</v>
      </c>
      <c r="L1" s="1" t="s">
        <v>352</v>
      </c>
      <c r="M1" s="1" t="s">
        <v>353</v>
      </c>
      <c r="N1" s="1" t="s">
        <v>354</v>
      </c>
      <c r="O1" s="1" t="s">
        <v>355</v>
      </c>
      <c r="P1" s="1" t="s">
        <v>356</v>
      </c>
      <c r="Q1" s="1" t="s">
        <v>282</v>
      </c>
      <c r="R1"/>
      <c r="S1"/>
      <c r="T1"/>
    </row>
    <row r="2" spans="1:20">
      <c r="A2" s="1" t="s">
        <v>10</v>
      </c>
      <c r="B2" s="1" t="s">
        <v>357</v>
      </c>
      <c r="C2" s="1" t="s">
        <v>358</v>
      </c>
      <c r="D2" s="1" t="s">
        <v>359</v>
      </c>
      <c r="E2" s="1" t="s">
        <v>360</v>
      </c>
      <c r="F2" s="1" t="s">
        <v>361</v>
      </c>
      <c r="G2" s="1" t="s">
        <v>362</v>
      </c>
      <c r="H2" s="1" t="s">
        <v>363</v>
      </c>
      <c r="I2" s="1" t="s">
        <v>364</v>
      </c>
      <c r="J2" s="1" t="s">
        <v>365</v>
      </c>
      <c r="K2" s="1" t="s">
        <v>366</v>
      </c>
      <c r="L2" s="1" t="s">
        <v>367</v>
      </c>
      <c r="M2" s="1" t="s">
        <v>368</v>
      </c>
      <c r="N2" s="1" t="s">
        <v>369</v>
      </c>
      <c r="O2" s="1" t="s">
        <v>370</v>
      </c>
      <c r="P2" s="1" t="s">
        <v>371</v>
      </c>
      <c r="Q2" s="1" t="s">
        <v>372</v>
      </c>
      <c r="R2"/>
      <c r="S2"/>
      <c r="T2"/>
    </row>
    <row r="3" spans="1:20">
      <c r="A3" s="1" t="s">
        <v>20</v>
      </c>
      <c r="B3" s="1" t="s">
        <v>21</v>
      </c>
      <c r="C3" s="1" t="s">
        <v>373</v>
      </c>
      <c r="D3" s="1" t="s">
        <v>374</v>
      </c>
      <c r="E3" s="1" t="s">
        <v>375</v>
      </c>
      <c r="F3" s="1" t="s">
        <v>376</v>
      </c>
      <c r="G3" s="1" t="s">
        <v>377</v>
      </c>
      <c r="H3" s="1" t="s">
        <v>21</v>
      </c>
      <c r="I3" s="1" t="s">
        <v>333</v>
      </c>
      <c r="J3" s="1" t="s">
        <v>375</v>
      </c>
      <c r="K3" s="1" t="s">
        <v>22</v>
      </c>
      <c r="L3" s="1" t="s">
        <v>292</v>
      </c>
      <c r="M3" s="1" t="s">
        <v>24</v>
      </c>
      <c r="N3" s="1" t="s">
        <v>23</v>
      </c>
      <c r="O3" s="1" t="s">
        <v>23</v>
      </c>
      <c r="P3" s="1" t="s">
        <v>21</v>
      </c>
      <c r="Q3" s="1" t="s">
        <v>21</v>
      </c>
      <c r="R3"/>
      <c r="S3" s="1" t="s">
        <v>378</v>
      </c>
      <c r="T3" s="1" t="s">
        <v>378</v>
      </c>
    </row>
    <row r="4" ht="34" spans="1:20">
      <c r="A4"/>
      <c r="B4" s="1" t="s">
        <v>206</v>
      </c>
      <c r="C4" s="1" t="s">
        <v>379</v>
      </c>
      <c r="D4" s="1" t="s">
        <v>380</v>
      </c>
      <c r="E4" s="1" t="s">
        <v>381</v>
      </c>
      <c r="F4" s="1" t="s">
        <v>382</v>
      </c>
      <c r="G4" s="1" t="s">
        <v>383</v>
      </c>
      <c r="H4"/>
      <c r="I4" s="1" t="s">
        <v>335</v>
      </c>
      <c r="J4" s="1" t="s">
        <v>384</v>
      </c>
      <c r="K4" s="1">
        <v>0</v>
      </c>
      <c r="L4" s="1">
        <v>10</v>
      </c>
      <c r="M4"/>
      <c r="N4" s="1" t="s">
        <v>27</v>
      </c>
      <c r="O4" s="1" t="s">
        <v>385</v>
      </c>
      <c r="P4" s="19" t="s">
        <v>386</v>
      </c>
      <c r="Q4"/>
      <c r="R4"/>
      <c r="S4" s="33" t="s">
        <v>198</v>
      </c>
      <c r="T4" s="33" t="s">
        <v>384</v>
      </c>
    </row>
    <row r="5" ht="34" spans="1:20">
      <c r="A5"/>
      <c r="B5" s="1" t="s">
        <v>207</v>
      </c>
      <c r="C5" s="1" t="s">
        <v>379</v>
      </c>
      <c r="D5" s="1" t="s">
        <v>380</v>
      </c>
      <c r="E5" s="1" t="s">
        <v>381</v>
      </c>
      <c r="F5" s="1" t="s">
        <v>382</v>
      </c>
      <c r="G5" s="1" t="s">
        <v>383</v>
      </c>
      <c r="H5"/>
      <c r="I5" s="1" t="s">
        <v>338</v>
      </c>
      <c r="J5" s="1" t="s">
        <v>387</v>
      </c>
      <c r="K5" s="1">
        <v>0</v>
      </c>
      <c r="L5" s="1">
        <v>0.5</v>
      </c>
      <c r="M5"/>
      <c r="N5" s="1" t="s">
        <v>27</v>
      </c>
      <c r="O5" s="1" t="s">
        <v>385</v>
      </c>
      <c r="P5" s="19" t="s">
        <v>388</v>
      </c>
      <c r="Q5"/>
      <c r="R5"/>
      <c r="S5" s="33" t="s">
        <v>199</v>
      </c>
      <c r="T5" s="33" t="s">
        <v>387</v>
      </c>
    </row>
    <row r="6" ht="34" spans="1:20">
      <c r="A6"/>
      <c r="B6" s="1" t="s">
        <v>208</v>
      </c>
      <c r="C6" s="1" t="s">
        <v>379</v>
      </c>
      <c r="D6" s="1" t="s">
        <v>380</v>
      </c>
      <c r="E6" s="1" t="s">
        <v>381</v>
      </c>
      <c r="F6" s="1" t="s">
        <v>382</v>
      </c>
      <c r="G6" s="1" t="s">
        <v>383</v>
      </c>
      <c r="H6"/>
      <c r="I6" s="1" t="s">
        <v>335</v>
      </c>
      <c r="J6" s="1" t="s">
        <v>389</v>
      </c>
      <c r="K6" s="1">
        <v>0</v>
      </c>
      <c r="L6" s="1">
        <v>10</v>
      </c>
      <c r="M6"/>
      <c r="N6" s="1" t="s">
        <v>27</v>
      </c>
      <c r="O6" s="1" t="s">
        <v>385</v>
      </c>
      <c r="P6" s="19" t="s">
        <v>386</v>
      </c>
      <c r="Q6"/>
      <c r="R6"/>
      <c r="S6" s="33" t="s">
        <v>200</v>
      </c>
      <c r="T6" s="33" t="s">
        <v>389</v>
      </c>
    </row>
    <row r="7" ht="34" spans="1:20">
      <c r="A7"/>
      <c r="B7" s="1" t="s">
        <v>209</v>
      </c>
      <c r="C7" s="1" t="s">
        <v>379</v>
      </c>
      <c r="D7" s="1" t="s">
        <v>380</v>
      </c>
      <c r="E7" s="1" t="s">
        <v>381</v>
      </c>
      <c r="F7" s="1" t="s">
        <v>382</v>
      </c>
      <c r="G7" s="1" t="s">
        <v>383</v>
      </c>
      <c r="H7"/>
      <c r="I7" s="1" t="s">
        <v>338</v>
      </c>
      <c r="J7" s="1" t="s">
        <v>390</v>
      </c>
      <c r="K7" s="1">
        <v>0</v>
      </c>
      <c r="L7" s="1">
        <v>0.5</v>
      </c>
      <c r="M7"/>
      <c r="N7" s="1" t="s">
        <v>27</v>
      </c>
      <c r="O7" s="1" t="s">
        <v>385</v>
      </c>
      <c r="P7" s="19" t="s">
        <v>388</v>
      </c>
      <c r="Q7"/>
      <c r="R7"/>
      <c r="S7" s="33" t="s">
        <v>201</v>
      </c>
      <c r="T7" s="33" t="s">
        <v>390</v>
      </c>
    </row>
    <row r="8" ht="34" spans="1:20">
      <c r="A8"/>
      <c r="B8" s="1" t="s">
        <v>210</v>
      </c>
      <c r="C8" s="1" t="s">
        <v>379</v>
      </c>
      <c r="D8" s="1" t="s">
        <v>391</v>
      </c>
      <c r="E8" s="1" t="s">
        <v>392</v>
      </c>
      <c r="F8" s="1" t="s">
        <v>382</v>
      </c>
      <c r="G8" s="1" t="s">
        <v>383</v>
      </c>
      <c r="H8"/>
      <c r="I8" s="1" t="s">
        <v>338</v>
      </c>
      <c r="J8" s="1" t="s">
        <v>392</v>
      </c>
      <c r="K8" s="1">
        <v>0</v>
      </c>
      <c r="L8" s="1">
        <v>1.5</v>
      </c>
      <c r="M8"/>
      <c r="N8" s="1" t="s">
        <v>27</v>
      </c>
      <c r="O8" s="1" t="s">
        <v>385</v>
      </c>
      <c r="P8" s="19" t="s">
        <v>393</v>
      </c>
      <c r="Q8"/>
      <c r="R8"/>
      <c r="S8" s="33" t="s">
        <v>41</v>
      </c>
      <c r="T8" s="33" t="s">
        <v>392</v>
      </c>
    </row>
    <row r="9" ht="34" spans="1:20">
      <c r="A9"/>
      <c r="B9" s="1" t="s">
        <v>211</v>
      </c>
      <c r="C9" s="1" t="s">
        <v>379</v>
      </c>
      <c r="D9" s="1" t="s">
        <v>394</v>
      </c>
      <c r="E9" s="1" t="s">
        <v>392</v>
      </c>
      <c r="F9" s="1" t="s">
        <v>382</v>
      </c>
      <c r="G9" s="1" t="s">
        <v>395</v>
      </c>
      <c r="H9"/>
      <c r="I9" s="1" t="s">
        <v>396</v>
      </c>
      <c r="J9" s="1" t="s">
        <v>397</v>
      </c>
      <c r="K9" s="1">
        <v>0</v>
      </c>
      <c r="L9" s="1">
        <v>2</v>
      </c>
      <c r="M9"/>
      <c r="N9" s="1" t="s">
        <v>27</v>
      </c>
      <c r="O9" s="1" t="s">
        <v>385</v>
      </c>
      <c r="P9" s="19" t="s">
        <v>398</v>
      </c>
      <c r="Q9" t="s">
        <v>399</v>
      </c>
      <c r="R9"/>
      <c r="S9" s="33" t="s">
        <v>44</v>
      </c>
      <c r="T9" s="33" t="s">
        <v>400</v>
      </c>
    </row>
    <row r="10" ht="34" spans="1:20">
      <c r="A10"/>
      <c r="B10" s="1" t="s">
        <v>212</v>
      </c>
      <c r="C10" s="1" t="s">
        <v>379</v>
      </c>
      <c r="D10" s="1" t="s">
        <v>401</v>
      </c>
      <c r="E10" s="1" t="s">
        <v>387</v>
      </c>
      <c r="F10" s="1" t="s">
        <v>382</v>
      </c>
      <c r="G10" s="1" t="s">
        <v>395</v>
      </c>
      <c r="H10"/>
      <c r="I10" s="1" t="s">
        <v>338</v>
      </c>
      <c r="J10" s="1" t="s">
        <v>387</v>
      </c>
      <c r="K10" s="1">
        <v>0</v>
      </c>
      <c r="L10" s="1">
        <v>0.8</v>
      </c>
      <c r="M10"/>
      <c r="N10" s="1" t="s">
        <v>27</v>
      </c>
      <c r="O10" s="1" t="s">
        <v>385</v>
      </c>
      <c r="P10" s="19" t="s">
        <v>402</v>
      </c>
      <c r="Q10"/>
      <c r="R10"/>
      <c r="S10" s="33" t="s">
        <v>48</v>
      </c>
      <c r="T10" s="33" t="s">
        <v>387</v>
      </c>
    </row>
    <row r="11" ht="34" spans="1:20">
      <c r="A11"/>
      <c r="B11" s="1" t="s">
        <v>214</v>
      </c>
      <c r="C11" s="1" t="s">
        <v>379</v>
      </c>
      <c r="D11" s="1" t="s">
        <v>394</v>
      </c>
      <c r="E11" s="1" t="s">
        <v>384</v>
      </c>
      <c r="F11" s="1" t="s">
        <v>382</v>
      </c>
      <c r="G11" s="1" t="s">
        <v>395</v>
      </c>
      <c r="H11"/>
      <c r="I11" s="1" t="s">
        <v>335</v>
      </c>
      <c r="J11" s="1" t="s">
        <v>384</v>
      </c>
      <c r="K11" s="1">
        <v>0</v>
      </c>
      <c r="L11" s="1">
        <v>6</v>
      </c>
      <c r="M11"/>
      <c r="N11" s="1" t="s">
        <v>27</v>
      </c>
      <c r="O11" s="1" t="s">
        <v>385</v>
      </c>
      <c r="P11" s="19" t="s">
        <v>403</v>
      </c>
      <c r="Q11"/>
      <c r="R11"/>
      <c r="S11" s="33" t="s">
        <v>51</v>
      </c>
      <c r="T11" s="33" t="s">
        <v>384</v>
      </c>
    </row>
    <row r="12" ht="17" spans="1:20">
      <c r="A12"/>
      <c r="B12" s="1" t="s">
        <v>215</v>
      </c>
      <c r="C12" s="1" t="s">
        <v>379</v>
      </c>
      <c r="D12" s="1" t="s">
        <v>380</v>
      </c>
      <c r="E12" s="1" t="s">
        <v>404</v>
      </c>
      <c r="F12" s="1" t="s">
        <v>382</v>
      </c>
      <c r="G12" s="1" t="s">
        <v>383</v>
      </c>
      <c r="H12"/>
      <c r="I12" s="1" t="s">
        <v>405</v>
      </c>
      <c r="J12" s="1" t="s">
        <v>406</v>
      </c>
      <c r="K12" s="1">
        <v>1</v>
      </c>
      <c r="L12" s="1">
        <v>0</v>
      </c>
      <c r="M12"/>
      <c r="N12" s="1" t="s">
        <v>27</v>
      </c>
      <c r="O12" s="1" t="s">
        <v>27</v>
      </c>
      <c r="P12" s="19" t="s">
        <v>407</v>
      </c>
      <c r="Q12" t="s">
        <v>408</v>
      </c>
      <c r="R12"/>
      <c r="S12" s="33" t="s">
        <v>51</v>
      </c>
      <c r="T12" s="33" t="s">
        <v>406</v>
      </c>
    </row>
    <row r="13" ht="17" spans="1:20">
      <c r="A13"/>
      <c r="B13" s="1" t="s">
        <v>217</v>
      </c>
      <c r="C13" s="1" t="s">
        <v>379</v>
      </c>
      <c r="D13" s="1" t="s">
        <v>380</v>
      </c>
      <c r="E13" s="1" t="s">
        <v>392</v>
      </c>
      <c r="F13" s="1" t="s">
        <v>382</v>
      </c>
      <c r="G13" s="1" t="s">
        <v>383</v>
      </c>
      <c r="H13"/>
      <c r="I13" s="1" t="s">
        <v>335</v>
      </c>
      <c r="J13" s="1" t="s">
        <v>392</v>
      </c>
      <c r="K13" s="1">
        <v>0</v>
      </c>
      <c r="L13" s="1">
        <v>10</v>
      </c>
      <c r="M13"/>
      <c r="N13" s="1" t="s">
        <v>27</v>
      </c>
      <c r="O13" s="1" t="s">
        <v>385</v>
      </c>
      <c r="P13" s="19" t="s">
        <v>409</v>
      </c>
      <c r="Q13"/>
      <c r="R13"/>
      <c r="S13" s="33" t="s">
        <v>54</v>
      </c>
      <c r="T13" s="33" t="s">
        <v>392</v>
      </c>
    </row>
    <row r="14" spans="1:20">
      <c r="A14"/>
      <c r="B14" s="1" t="s">
        <v>218</v>
      </c>
      <c r="C14" s="1" t="s">
        <v>379</v>
      </c>
      <c r="D14" s="1" t="s">
        <v>380</v>
      </c>
      <c r="E14" s="1" t="s">
        <v>381</v>
      </c>
      <c r="F14" s="1" t="s">
        <v>382</v>
      </c>
      <c r="G14" s="1" t="s">
        <v>383</v>
      </c>
      <c r="H14"/>
      <c r="I14" s="1" t="s">
        <v>396</v>
      </c>
      <c r="J14" s="1" t="s">
        <v>397</v>
      </c>
      <c r="K14" s="1">
        <v>0</v>
      </c>
      <c r="L14" s="1">
        <v>6</v>
      </c>
      <c r="M14"/>
      <c r="N14" s="1" t="s">
        <v>27</v>
      </c>
      <c r="O14" s="1" t="s">
        <v>385</v>
      </c>
      <c r="P14" s="1" t="s">
        <v>410</v>
      </c>
      <c r="Q14" t="s">
        <v>399</v>
      </c>
      <c r="R14"/>
      <c r="S14" s="33" t="s">
        <v>54</v>
      </c>
      <c r="T14" s="33" t="s">
        <v>400</v>
      </c>
    </row>
    <row r="15" ht="34" spans="1:20">
      <c r="A15"/>
      <c r="B15" s="1" t="s">
        <v>219</v>
      </c>
      <c r="C15" s="1" t="s">
        <v>379</v>
      </c>
      <c r="D15" s="1" t="s">
        <v>401</v>
      </c>
      <c r="E15" s="1" t="s">
        <v>387</v>
      </c>
      <c r="F15" s="1" t="s">
        <v>382</v>
      </c>
      <c r="G15" s="1" t="s">
        <v>395</v>
      </c>
      <c r="H15"/>
      <c r="I15" s="1" t="s">
        <v>396</v>
      </c>
      <c r="J15" s="1" t="s">
        <v>397</v>
      </c>
      <c r="K15" s="1">
        <v>0</v>
      </c>
      <c r="L15" s="1">
        <v>2</v>
      </c>
      <c r="M15"/>
      <c r="N15" s="1" t="s">
        <v>27</v>
      </c>
      <c r="O15" s="1" t="s">
        <v>385</v>
      </c>
      <c r="P15" s="19" t="s">
        <v>411</v>
      </c>
      <c r="Q15" t="s">
        <v>399</v>
      </c>
      <c r="R15"/>
      <c r="S15" s="33" t="s">
        <v>58</v>
      </c>
      <c r="T15" s="33" t="s">
        <v>400</v>
      </c>
    </row>
    <row r="16" spans="1:20">
      <c r="A16"/>
      <c r="B16" s="1" t="s">
        <v>221</v>
      </c>
      <c r="C16" s="1" t="s">
        <v>379</v>
      </c>
      <c r="D16" s="1" t="s">
        <v>380</v>
      </c>
      <c r="E16" s="1" t="s">
        <v>381</v>
      </c>
      <c r="F16" s="1" t="s">
        <v>382</v>
      </c>
      <c r="G16" s="1" t="s">
        <v>383</v>
      </c>
      <c r="H16"/>
      <c r="I16" s="1" t="s">
        <v>338</v>
      </c>
      <c r="J16" s="1" t="s">
        <v>390</v>
      </c>
      <c r="K16" s="1">
        <v>0</v>
      </c>
      <c r="L16" s="1">
        <v>0.4</v>
      </c>
      <c r="M16"/>
      <c r="N16" s="1" t="s">
        <v>27</v>
      </c>
      <c r="O16" s="1" t="s">
        <v>385</v>
      </c>
      <c r="P16" s="1" t="s">
        <v>412</v>
      </c>
      <c r="Q16"/>
      <c r="R16"/>
      <c r="S16" s="33" t="s">
        <v>62</v>
      </c>
      <c r="T16" s="33" t="s">
        <v>390</v>
      </c>
    </row>
    <row r="17" ht="17" spans="1:20">
      <c r="A17"/>
      <c r="B17" s="1" t="s">
        <v>222</v>
      </c>
      <c r="C17" s="1" t="s">
        <v>379</v>
      </c>
      <c r="D17" s="1" t="s">
        <v>380</v>
      </c>
      <c r="E17" s="1" t="s">
        <v>413</v>
      </c>
      <c r="F17" s="1" t="s">
        <v>382</v>
      </c>
      <c r="G17" s="1" t="s">
        <v>383</v>
      </c>
      <c r="H17"/>
      <c r="I17" s="1" t="s">
        <v>405</v>
      </c>
      <c r="J17" s="1" t="s">
        <v>406</v>
      </c>
      <c r="K17" s="1">
        <v>2</v>
      </c>
      <c r="L17" s="1">
        <v>0</v>
      </c>
      <c r="M17"/>
      <c r="N17" s="1" t="s">
        <v>27</v>
      </c>
      <c r="O17" s="1" t="s">
        <v>27</v>
      </c>
      <c r="P17" s="19" t="s">
        <v>407</v>
      </c>
      <c r="Q17" t="s">
        <v>408</v>
      </c>
      <c r="R17"/>
      <c r="S17" s="33" t="s">
        <v>62</v>
      </c>
      <c r="T17" s="33" t="s">
        <v>406</v>
      </c>
    </row>
    <row r="18" ht="34" spans="1:20">
      <c r="A18"/>
      <c r="B18" s="1" t="s">
        <v>224</v>
      </c>
      <c r="C18" s="1" t="s">
        <v>379</v>
      </c>
      <c r="D18" s="1" t="s">
        <v>401</v>
      </c>
      <c r="E18" s="1" t="s">
        <v>392</v>
      </c>
      <c r="F18" s="1" t="s">
        <v>382</v>
      </c>
      <c r="G18" s="1" t="s">
        <v>395</v>
      </c>
      <c r="H18"/>
      <c r="I18" s="1" t="s">
        <v>335</v>
      </c>
      <c r="J18" s="1" t="s">
        <v>392</v>
      </c>
      <c r="K18" s="1">
        <v>0</v>
      </c>
      <c r="L18" s="1">
        <v>5</v>
      </c>
      <c r="M18"/>
      <c r="N18" s="1" t="s">
        <v>27</v>
      </c>
      <c r="O18" s="1" t="s">
        <v>385</v>
      </c>
      <c r="P18" s="19" t="s">
        <v>414</v>
      </c>
      <c r="Q18"/>
      <c r="R18"/>
      <c r="S18" s="33" t="s">
        <v>67</v>
      </c>
      <c r="T18" s="33" t="s">
        <v>392</v>
      </c>
    </row>
    <row r="19" ht="17" spans="1:20">
      <c r="A19"/>
      <c r="B19" s="1" t="s">
        <v>225</v>
      </c>
      <c r="C19" s="1" t="s">
        <v>379</v>
      </c>
      <c r="D19" s="1" t="s">
        <v>380</v>
      </c>
      <c r="E19" s="1" t="s">
        <v>392</v>
      </c>
      <c r="F19" s="1" t="s">
        <v>382</v>
      </c>
      <c r="G19" s="1" t="s">
        <v>383</v>
      </c>
      <c r="H19"/>
      <c r="I19" s="1" t="s">
        <v>405</v>
      </c>
      <c r="J19" s="1" t="s">
        <v>406</v>
      </c>
      <c r="K19" s="1">
        <v>1</v>
      </c>
      <c r="L19" s="1">
        <v>0</v>
      </c>
      <c r="M19"/>
      <c r="N19" s="1" t="s">
        <v>27</v>
      </c>
      <c r="O19" s="1" t="s">
        <v>27</v>
      </c>
      <c r="P19" s="19" t="s">
        <v>407</v>
      </c>
      <c r="Q19" t="s">
        <v>408</v>
      </c>
      <c r="R19"/>
      <c r="S19" s="33" t="s">
        <v>67</v>
      </c>
      <c r="T19" s="33" t="s">
        <v>406</v>
      </c>
    </row>
    <row r="20" ht="34" spans="1:20">
      <c r="A20"/>
      <c r="B20" s="1" t="s">
        <v>226</v>
      </c>
      <c r="C20" s="1" t="s">
        <v>379</v>
      </c>
      <c r="D20" s="1" t="s">
        <v>401</v>
      </c>
      <c r="E20" s="1" t="s">
        <v>389</v>
      </c>
      <c r="F20" s="1" t="s">
        <v>382</v>
      </c>
      <c r="G20" s="1" t="s">
        <v>395</v>
      </c>
      <c r="H20" t="s">
        <v>415</v>
      </c>
      <c r="I20" s="1" t="s">
        <v>338</v>
      </c>
      <c r="J20" s="1" t="s">
        <v>389</v>
      </c>
      <c r="K20" s="1">
        <v>0</v>
      </c>
      <c r="L20" s="1">
        <v>0.8</v>
      </c>
      <c r="M20"/>
      <c r="N20" s="1" t="s">
        <v>27</v>
      </c>
      <c r="O20" s="1" t="s">
        <v>385</v>
      </c>
      <c r="P20" s="19" t="s">
        <v>416</v>
      </c>
      <c r="Q20"/>
      <c r="R20"/>
      <c r="S20" s="33" t="s">
        <v>71</v>
      </c>
      <c r="T20" s="33" t="s">
        <v>389</v>
      </c>
    </row>
    <row r="21" spans="1:20">
      <c r="A21"/>
      <c r="B21" s="1" t="s">
        <v>228</v>
      </c>
      <c r="C21" s="1" t="s">
        <v>379</v>
      </c>
      <c r="D21" s="1" t="s">
        <v>380</v>
      </c>
      <c r="E21" s="1" t="s">
        <v>417</v>
      </c>
      <c r="F21" s="1" t="s">
        <v>382</v>
      </c>
      <c r="G21" s="1" t="s">
        <v>383</v>
      </c>
      <c r="H21"/>
      <c r="I21" s="1" t="s">
        <v>338</v>
      </c>
      <c r="J21" s="1" t="s">
        <v>417</v>
      </c>
      <c r="K21" s="1">
        <v>0</v>
      </c>
      <c r="L21" s="1">
        <v>0.5</v>
      </c>
      <c r="M21"/>
      <c r="N21" s="1" t="s">
        <v>27</v>
      </c>
      <c r="O21" s="1" t="s">
        <v>385</v>
      </c>
      <c r="P21" s="1" t="s">
        <v>412</v>
      </c>
      <c r="Q21"/>
      <c r="R21"/>
      <c r="S21" s="33" t="s">
        <v>74</v>
      </c>
      <c r="T21" s="33" t="s">
        <v>417</v>
      </c>
    </row>
    <row r="22" spans="1:20">
      <c r="A22"/>
      <c r="B22" s="1" t="s">
        <v>229</v>
      </c>
      <c r="C22" s="1" t="s">
        <v>379</v>
      </c>
      <c r="D22" s="1" t="s">
        <v>380</v>
      </c>
      <c r="E22" s="1" t="s">
        <v>381</v>
      </c>
      <c r="F22" s="1" t="s">
        <v>382</v>
      </c>
      <c r="G22" s="1" t="s">
        <v>383</v>
      </c>
      <c r="H22"/>
      <c r="I22" s="1" t="s">
        <v>396</v>
      </c>
      <c r="J22" s="1" t="s">
        <v>397</v>
      </c>
      <c r="K22" s="1">
        <v>0</v>
      </c>
      <c r="L22" s="1">
        <v>5</v>
      </c>
      <c r="M22"/>
      <c r="N22" s="1" t="s">
        <v>27</v>
      </c>
      <c r="O22" s="1" t="s">
        <v>385</v>
      </c>
      <c r="P22" s="1" t="s">
        <v>410</v>
      </c>
      <c r="Q22" t="s">
        <v>399</v>
      </c>
      <c r="R22"/>
      <c r="S22" s="33" t="s">
        <v>74</v>
      </c>
      <c r="T22" s="33" t="s">
        <v>400</v>
      </c>
    </row>
    <row r="23" ht="34" spans="1:20">
      <c r="A23"/>
      <c r="B23" s="1" t="s">
        <v>230</v>
      </c>
      <c r="C23" s="1" t="s">
        <v>379</v>
      </c>
      <c r="D23" s="1" t="s">
        <v>391</v>
      </c>
      <c r="E23" s="1" t="s">
        <v>418</v>
      </c>
      <c r="F23" s="1" t="s">
        <v>382</v>
      </c>
      <c r="G23" s="1" t="s">
        <v>383</v>
      </c>
      <c r="H23"/>
      <c r="I23" s="1" t="s">
        <v>335</v>
      </c>
      <c r="J23" s="1" t="s">
        <v>418</v>
      </c>
      <c r="K23" s="1">
        <v>0</v>
      </c>
      <c r="L23" s="1">
        <v>10</v>
      </c>
      <c r="M23"/>
      <c r="N23" s="1" t="s">
        <v>27</v>
      </c>
      <c r="O23" s="1" t="s">
        <v>385</v>
      </c>
      <c r="P23" s="19" t="s">
        <v>419</v>
      </c>
      <c r="Q23"/>
      <c r="R23"/>
      <c r="S23" s="33" t="s">
        <v>77</v>
      </c>
      <c r="T23" s="33" t="s">
        <v>418</v>
      </c>
    </row>
    <row r="24" ht="34" spans="1:20">
      <c r="A24"/>
      <c r="B24" s="1" t="s">
        <v>231</v>
      </c>
      <c r="C24" s="1" t="s">
        <v>379</v>
      </c>
      <c r="D24" s="1" t="s">
        <v>401</v>
      </c>
      <c r="E24" s="1" t="s">
        <v>420</v>
      </c>
      <c r="F24" s="1" t="s">
        <v>382</v>
      </c>
      <c r="G24" s="1" t="s">
        <v>395</v>
      </c>
      <c r="H24"/>
      <c r="I24" s="1" t="s">
        <v>335</v>
      </c>
      <c r="J24" s="1" t="s">
        <v>420</v>
      </c>
      <c r="K24" s="1">
        <v>0</v>
      </c>
      <c r="L24" s="1">
        <v>10</v>
      </c>
      <c r="M24"/>
      <c r="N24" s="1" t="s">
        <v>27</v>
      </c>
      <c r="O24" s="1" t="s">
        <v>385</v>
      </c>
      <c r="P24" s="19" t="s">
        <v>414</v>
      </c>
      <c r="R24"/>
      <c r="S24" s="33" t="s">
        <v>82</v>
      </c>
      <c r="T24" s="33" t="s">
        <v>420</v>
      </c>
    </row>
    <row r="25" ht="17" spans="1:20">
      <c r="A25"/>
      <c r="B25" s="1" t="s">
        <v>232</v>
      </c>
      <c r="C25" s="1" t="s">
        <v>379</v>
      </c>
      <c r="D25" s="1" t="s">
        <v>380</v>
      </c>
      <c r="E25" s="1" t="s">
        <v>392</v>
      </c>
      <c r="F25" s="1" t="s">
        <v>382</v>
      </c>
      <c r="G25" s="1" t="s">
        <v>383</v>
      </c>
      <c r="H25"/>
      <c r="I25" s="1" t="s">
        <v>421</v>
      </c>
      <c r="J25" s="1" t="s">
        <v>392</v>
      </c>
      <c r="K25" s="1">
        <v>0</v>
      </c>
      <c r="L25" s="1">
        <v>3</v>
      </c>
      <c r="M25"/>
      <c r="N25" s="1" t="s">
        <v>385</v>
      </c>
      <c r="O25" s="1" t="s">
        <v>385</v>
      </c>
      <c r="P25" s="19" t="s">
        <v>422</v>
      </c>
      <c r="Q25"/>
      <c r="R25"/>
      <c r="S25" s="33" t="s">
        <v>88</v>
      </c>
      <c r="T25" s="33" t="s">
        <v>392</v>
      </c>
    </row>
    <row r="26" spans="1:20">
      <c r="A26"/>
      <c r="B26" s="1" t="s">
        <v>234</v>
      </c>
      <c r="C26" s="1" t="s">
        <v>379</v>
      </c>
      <c r="D26" s="1" t="s">
        <v>380</v>
      </c>
      <c r="E26" s="1" t="s">
        <v>381</v>
      </c>
      <c r="F26" s="1" t="s">
        <v>382</v>
      </c>
      <c r="G26" s="1" t="s">
        <v>383</v>
      </c>
      <c r="H26"/>
      <c r="I26" s="1" t="s">
        <v>338</v>
      </c>
      <c r="J26" s="1" t="s">
        <v>384</v>
      </c>
      <c r="K26" s="1">
        <v>0</v>
      </c>
      <c r="L26" s="1">
        <v>2</v>
      </c>
      <c r="M26"/>
      <c r="N26" s="1" t="s">
        <v>27</v>
      </c>
      <c r="O26" s="1" t="s">
        <v>385</v>
      </c>
      <c r="P26" s="1" t="s">
        <v>412</v>
      </c>
      <c r="R26"/>
      <c r="S26" s="33" t="s">
        <v>93</v>
      </c>
      <c r="T26" s="33" t="s">
        <v>384</v>
      </c>
    </row>
    <row r="27" ht="17" spans="1:20">
      <c r="A27"/>
      <c r="B27" s="1" t="s">
        <v>235</v>
      </c>
      <c r="C27" s="1" t="s">
        <v>379</v>
      </c>
      <c r="D27" s="1" t="s">
        <v>380</v>
      </c>
      <c r="E27" s="1" t="s">
        <v>404</v>
      </c>
      <c r="F27" s="1" t="s">
        <v>382</v>
      </c>
      <c r="G27" s="1" t="s">
        <v>383</v>
      </c>
      <c r="H27"/>
      <c r="I27" s="1" t="s">
        <v>405</v>
      </c>
      <c r="J27" s="1" t="s">
        <v>406</v>
      </c>
      <c r="K27" s="1">
        <v>1</v>
      </c>
      <c r="L27" s="1">
        <v>0</v>
      </c>
      <c r="M27"/>
      <c r="N27" s="1" t="s">
        <v>27</v>
      </c>
      <c r="O27" s="1" t="s">
        <v>27</v>
      </c>
      <c r="P27" s="19" t="s">
        <v>407</v>
      </c>
      <c r="Q27" t="s">
        <v>408</v>
      </c>
      <c r="R27"/>
      <c r="S27" s="33" t="s">
        <v>93</v>
      </c>
      <c r="T27" s="33" t="s">
        <v>406</v>
      </c>
    </row>
    <row r="28" spans="1:20">
      <c r="A28"/>
      <c r="B28" s="1" t="s">
        <v>237</v>
      </c>
      <c r="C28" s="1" t="s">
        <v>379</v>
      </c>
      <c r="D28" s="1" t="s">
        <v>380</v>
      </c>
      <c r="E28" s="1" t="s">
        <v>423</v>
      </c>
      <c r="F28" s="1" t="s">
        <v>382</v>
      </c>
      <c r="G28" s="1" t="s">
        <v>383</v>
      </c>
      <c r="H28"/>
      <c r="I28" s="1" t="s">
        <v>338</v>
      </c>
      <c r="J28" s="1" t="s">
        <v>423</v>
      </c>
      <c r="K28" s="1">
        <v>0</v>
      </c>
      <c r="L28" s="1">
        <v>1.5</v>
      </c>
      <c r="M28" t="s">
        <v>424</v>
      </c>
      <c r="N28" s="1" t="s">
        <v>27</v>
      </c>
      <c r="O28" s="1" t="s">
        <v>385</v>
      </c>
      <c r="P28" s="1" t="s">
        <v>425</v>
      </c>
      <c r="Q28"/>
      <c r="R28"/>
      <c r="S28" s="33" t="s">
        <v>98</v>
      </c>
      <c r="T28" s="33" t="s">
        <v>423</v>
      </c>
    </row>
    <row r="29" spans="1:20">
      <c r="A29"/>
      <c r="B29" s="1" t="s">
        <v>238</v>
      </c>
      <c r="C29" s="1" t="s">
        <v>379</v>
      </c>
      <c r="D29" s="1" t="s">
        <v>380</v>
      </c>
      <c r="E29" s="1" t="s">
        <v>420</v>
      </c>
      <c r="F29" s="1" t="s">
        <v>382</v>
      </c>
      <c r="G29" s="1" t="s">
        <v>383</v>
      </c>
      <c r="H29"/>
      <c r="I29" s="1" t="s">
        <v>335</v>
      </c>
      <c r="J29" s="1" t="s">
        <v>420</v>
      </c>
      <c r="K29" s="1">
        <v>0</v>
      </c>
      <c r="L29" s="1">
        <v>30</v>
      </c>
      <c r="M29"/>
      <c r="N29" s="1" t="s">
        <v>27</v>
      </c>
      <c r="O29" s="1" t="s">
        <v>385</v>
      </c>
      <c r="P29" s="1" t="s">
        <v>409</v>
      </c>
      <c r="Q29"/>
      <c r="R29"/>
      <c r="S29" s="33" t="s">
        <v>98</v>
      </c>
      <c r="T29" s="33" t="s">
        <v>420</v>
      </c>
    </row>
    <row r="30" spans="1:20">
      <c r="A30"/>
      <c r="B30" s="1" t="s">
        <v>240</v>
      </c>
      <c r="C30" s="1" t="s">
        <v>379</v>
      </c>
      <c r="D30" s="1" t="s">
        <v>380</v>
      </c>
      <c r="E30" s="1" t="s">
        <v>392</v>
      </c>
      <c r="F30" s="1" t="s">
        <v>382</v>
      </c>
      <c r="G30" s="1" t="s">
        <v>383</v>
      </c>
      <c r="H30"/>
      <c r="I30" s="1" t="s">
        <v>338</v>
      </c>
      <c r="J30" s="1" t="s">
        <v>392</v>
      </c>
      <c r="K30" s="1">
        <v>0</v>
      </c>
      <c r="L30" s="1">
        <v>1</v>
      </c>
      <c r="M30"/>
      <c r="N30" s="1" t="s">
        <v>27</v>
      </c>
      <c r="O30" s="1" t="s">
        <v>385</v>
      </c>
      <c r="P30" s="1" t="s">
        <v>412</v>
      </c>
      <c r="Q30"/>
      <c r="R30"/>
      <c r="S30" s="33" t="s">
        <v>103</v>
      </c>
      <c r="T30" s="33" t="s">
        <v>392</v>
      </c>
    </row>
    <row r="31" ht="17" spans="1:20">
      <c r="A31"/>
      <c r="B31" s="1" t="s">
        <v>241</v>
      </c>
      <c r="C31" s="1" t="s">
        <v>379</v>
      </c>
      <c r="D31" s="1" t="s">
        <v>380</v>
      </c>
      <c r="E31" s="1" t="s">
        <v>381</v>
      </c>
      <c r="F31" s="1" t="s">
        <v>382</v>
      </c>
      <c r="G31" s="1" t="s">
        <v>383</v>
      </c>
      <c r="H31"/>
      <c r="I31" s="1" t="s">
        <v>396</v>
      </c>
      <c r="J31" s="1" t="s">
        <v>397</v>
      </c>
      <c r="K31" s="1">
        <v>0</v>
      </c>
      <c r="L31" s="1">
        <v>15</v>
      </c>
      <c r="M31"/>
      <c r="N31" s="1" t="s">
        <v>27</v>
      </c>
      <c r="O31" s="1" t="s">
        <v>385</v>
      </c>
      <c r="P31" s="19" t="s">
        <v>410</v>
      </c>
      <c r="Q31" t="s">
        <v>399</v>
      </c>
      <c r="R31"/>
      <c r="S31" s="33" t="s">
        <v>103</v>
      </c>
      <c r="T31" s="33" t="s">
        <v>400</v>
      </c>
    </row>
    <row r="32" ht="34" spans="1:20">
      <c r="A32"/>
      <c r="B32" s="1" t="s">
        <v>242</v>
      </c>
      <c r="C32" s="1" t="s">
        <v>379</v>
      </c>
      <c r="D32" s="1" t="s">
        <v>401</v>
      </c>
      <c r="E32" s="1" t="s">
        <v>417</v>
      </c>
      <c r="F32" s="1" t="s">
        <v>382</v>
      </c>
      <c r="G32" s="1" t="s">
        <v>426</v>
      </c>
      <c r="H32" t="s">
        <v>427</v>
      </c>
      <c r="I32" s="1" t="s">
        <v>338</v>
      </c>
      <c r="J32" s="1" t="s">
        <v>417</v>
      </c>
      <c r="K32" s="1">
        <v>0</v>
      </c>
      <c r="L32" s="1">
        <v>0</v>
      </c>
      <c r="M32" t="s">
        <v>428</v>
      </c>
      <c r="N32" s="1" t="s">
        <v>27</v>
      </c>
      <c r="O32" s="1" t="s">
        <v>385</v>
      </c>
      <c r="P32" s="19" t="s">
        <v>429</v>
      </c>
      <c r="Q32"/>
      <c r="R32"/>
      <c r="S32" s="33" t="s">
        <v>108</v>
      </c>
      <c r="T32" s="33" t="s">
        <v>417</v>
      </c>
    </row>
    <row r="33" s="32" customFormat="1" ht="34" spans="1:20">
      <c r="A33" s="8"/>
      <c r="B33" s="8" t="s">
        <v>243</v>
      </c>
      <c r="C33" s="1" t="s">
        <v>379</v>
      </c>
      <c r="D33" s="1" t="s">
        <v>380</v>
      </c>
      <c r="E33" s="1" t="s">
        <v>417</v>
      </c>
      <c r="F33" s="1" t="s">
        <v>382</v>
      </c>
      <c r="G33" s="1" t="s">
        <v>383</v>
      </c>
      <c r="H33" s="1"/>
      <c r="I33" s="1" t="s">
        <v>341</v>
      </c>
      <c r="J33" s="1" t="s">
        <v>417</v>
      </c>
      <c r="K33" s="1">
        <v>0</v>
      </c>
      <c r="L33" s="1">
        <v>1.3</v>
      </c>
      <c r="M33" s="1" t="s">
        <v>430</v>
      </c>
      <c r="N33" s="1" t="s">
        <v>27</v>
      </c>
      <c r="O33" s="1" t="s">
        <v>27</v>
      </c>
      <c r="P33" s="19" t="s">
        <v>431</v>
      </c>
      <c r="Q33"/>
      <c r="R33"/>
      <c r="S33" s="33" t="s">
        <v>114</v>
      </c>
      <c r="T33" s="33" t="s">
        <v>417</v>
      </c>
    </row>
    <row r="34" spans="1:20">
      <c r="A34"/>
      <c r="B34" s="1" t="s">
        <v>245</v>
      </c>
      <c r="C34" s="1" t="s">
        <v>379</v>
      </c>
      <c r="D34" s="1" t="s">
        <v>380</v>
      </c>
      <c r="E34" s="1" t="s">
        <v>392</v>
      </c>
      <c r="F34" s="1" t="s">
        <v>382</v>
      </c>
      <c r="G34" s="1" t="s">
        <v>383</v>
      </c>
      <c r="H34"/>
      <c r="I34" s="1" t="s">
        <v>432</v>
      </c>
      <c r="J34" s="1" t="s">
        <v>392</v>
      </c>
      <c r="K34" s="1">
        <v>0</v>
      </c>
      <c r="L34" s="1">
        <v>10</v>
      </c>
      <c r="M34"/>
      <c r="N34" s="1" t="s">
        <v>27</v>
      </c>
      <c r="O34" s="1" t="s">
        <v>385</v>
      </c>
      <c r="P34" s="1" t="s">
        <v>433</v>
      </c>
      <c r="R34"/>
      <c r="S34" s="33" t="s">
        <v>117</v>
      </c>
      <c r="T34" s="33" t="s">
        <v>392</v>
      </c>
    </row>
    <row r="35" ht="17" spans="1:20">
      <c r="A35"/>
      <c r="B35" s="1" t="s">
        <v>246</v>
      </c>
      <c r="C35" s="1" t="s">
        <v>379</v>
      </c>
      <c r="D35" s="1" t="s">
        <v>380</v>
      </c>
      <c r="E35" s="1" t="s">
        <v>392</v>
      </c>
      <c r="F35" s="1" t="s">
        <v>382</v>
      </c>
      <c r="G35" s="1" t="s">
        <v>383</v>
      </c>
      <c r="H35"/>
      <c r="I35" s="1" t="s">
        <v>405</v>
      </c>
      <c r="J35" s="1" t="s">
        <v>406</v>
      </c>
      <c r="K35" s="1">
        <v>1</v>
      </c>
      <c r="L35" s="1">
        <v>0</v>
      </c>
      <c r="M35"/>
      <c r="N35" s="1" t="s">
        <v>27</v>
      </c>
      <c r="O35" s="1" t="s">
        <v>27</v>
      </c>
      <c r="P35" s="19" t="s">
        <v>407</v>
      </c>
      <c r="Q35" t="s">
        <v>408</v>
      </c>
      <c r="R35"/>
      <c r="S35" s="33" t="s">
        <v>117</v>
      </c>
      <c r="T35" s="33" t="s">
        <v>406</v>
      </c>
    </row>
    <row r="36" spans="1:20">
      <c r="A36"/>
      <c r="B36" s="1" t="s">
        <v>248</v>
      </c>
      <c r="C36" s="1" t="s">
        <v>379</v>
      </c>
      <c r="D36" s="1" t="s">
        <v>380</v>
      </c>
      <c r="E36" s="1" t="s">
        <v>381</v>
      </c>
      <c r="F36" s="1" t="s">
        <v>382</v>
      </c>
      <c r="G36" s="1" t="s">
        <v>383</v>
      </c>
      <c r="H36"/>
      <c r="I36" s="1" t="s">
        <v>396</v>
      </c>
      <c r="J36" s="1" t="s">
        <v>397</v>
      </c>
      <c r="K36" s="1">
        <v>0</v>
      </c>
      <c r="L36" s="1">
        <v>10</v>
      </c>
      <c r="M36"/>
      <c r="N36" s="1" t="s">
        <v>27</v>
      </c>
      <c r="O36" s="1" t="s">
        <v>385</v>
      </c>
      <c r="P36" s="1" t="s">
        <v>410</v>
      </c>
      <c r="Q36" t="s">
        <v>399</v>
      </c>
      <c r="R36"/>
      <c r="S36" s="33" t="s">
        <v>120</v>
      </c>
      <c r="T36" s="33" t="s">
        <v>400</v>
      </c>
    </row>
    <row r="37" spans="1:20">
      <c r="A37"/>
      <c r="B37" s="1" t="s">
        <v>249</v>
      </c>
      <c r="C37" s="1" t="s">
        <v>379</v>
      </c>
      <c r="D37" s="1" t="s">
        <v>380</v>
      </c>
      <c r="E37" s="1" t="s">
        <v>423</v>
      </c>
      <c r="F37" s="1" t="s">
        <v>382</v>
      </c>
      <c r="G37" s="1" t="s">
        <v>383</v>
      </c>
      <c r="H37"/>
      <c r="I37" s="1" t="s">
        <v>434</v>
      </c>
      <c r="J37" s="1" t="s">
        <v>423</v>
      </c>
      <c r="K37" s="1">
        <v>0</v>
      </c>
      <c r="L37" s="1">
        <v>1</v>
      </c>
      <c r="M37" t="s">
        <v>424</v>
      </c>
      <c r="N37" s="1" t="s">
        <v>27</v>
      </c>
      <c r="O37" s="1" t="s">
        <v>27</v>
      </c>
      <c r="P37" s="1" t="s">
        <v>435</v>
      </c>
      <c r="Q37"/>
      <c r="R37"/>
      <c r="S37" s="33" t="s">
        <v>120</v>
      </c>
      <c r="T37" s="33" t="s">
        <v>423</v>
      </c>
    </row>
    <row r="38" spans="1:20">
      <c r="A38"/>
      <c r="B38" s="1" t="s">
        <v>250</v>
      </c>
      <c r="C38" s="1" t="s">
        <v>379</v>
      </c>
      <c r="D38" s="1" t="s">
        <v>380</v>
      </c>
      <c r="E38" s="1" t="s">
        <v>381</v>
      </c>
      <c r="F38" s="1" t="s">
        <v>382</v>
      </c>
      <c r="G38" s="1" t="s">
        <v>383</v>
      </c>
      <c r="H38"/>
      <c r="I38" s="1" t="s">
        <v>341</v>
      </c>
      <c r="J38" s="1" t="s">
        <v>387</v>
      </c>
      <c r="K38" s="1">
        <v>0</v>
      </c>
      <c r="L38" s="1">
        <v>2</v>
      </c>
      <c r="M38"/>
      <c r="N38" s="1" t="s">
        <v>27</v>
      </c>
      <c r="O38" s="1" t="s">
        <v>27</v>
      </c>
      <c r="P38" s="1" t="s">
        <v>436</v>
      </c>
      <c r="Q38"/>
      <c r="R38"/>
      <c r="S38" s="33" t="s">
        <v>123</v>
      </c>
      <c r="T38" s="33" t="s">
        <v>387</v>
      </c>
    </row>
    <row r="39" spans="1:20">
      <c r="A39"/>
      <c r="B39" s="1" t="s">
        <v>251</v>
      </c>
      <c r="C39" s="1" t="s">
        <v>379</v>
      </c>
      <c r="D39" s="1" t="s">
        <v>380</v>
      </c>
      <c r="E39" s="1" t="s">
        <v>381</v>
      </c>
      <c r="F39" s="1" t="s">
        <v>382</v>
      </c>
      <c r="G39" s="1" t="s">
        <v>383</v>
      </c>
      <c r="H39"/>
      <c r="I39" s="1" t="s">
        <v>396</v>
      </c>
      <c r="J39" s="1" t="s">
        <v>397</v>
      </c>
      <c r="K39" s="1">
        <v>0</v>
      </c>
      <c r="L39" s="1">
        <v>1.5</v>
      </c>
      <c r="M39" t="s">
        <v>437</v>
      </c>
      <c r="N39" s="1" t="s">
        <v>27</v>
      </c>
      <c r="O39" s="1" t="s">
        <v>27</v>
      </c>
      <c r="P39" s="1" t="s">
        <v>438</v>
      </c>
      <c r="Q39" t="s">
        <v>399</v>
      </c>
      <c r="R39"/>
      <c r="S39" s="33" t="s">
        <v>126</v>
      </c>
      <c r="T39" s="33" t="s">
        <v>400</v>
      </c>
    </row>
    <row r="40" ht="34" spans="1:20">
      <c r="A40"/>
      <c r="B40" s="1" t="s">
        <v>252</v>
      </c>
      <c r="C40" s="1" t="s">
        <v>379</v>
      </c>
      <c r="D40" s="1" t="s">
        <v>380</v>
      </c>
      <c r="E40" s="1" t="s">
        <v>418</v>
      </c>
      <c r="F40" s="1" t="s">
        <v>382</v>
      </c>
      <c r="G40" s="1" t="s">
        <v>383</v>
      </c>
      <c r="H40"/>
      <c r="I40" s="1" t="s">
        <v>439</v>
      </c>
      <c r="J40" s="1" t="s">
        <v>418</v>
      </c>
      <c r="K40" s="1">
        <v>3</v>
      </c>
      <c r="L40" s="1">
        <v>0</v>
      </c>
      <c r="M40" t="s">
        <v>440</v>
      </c>
      <c r="N40" s="1" t="s">
        <v>27</v>
      </c>
      <c r="O40" s="1" t="s">
        <v>27</v>
      </c>
      <c r="P40" s="19" t="s">
        <v>441</v>
      </c>
      <c r="Q40" t="s">
        <v>408</v>
      </c>
      <c r="R40"/>
      <c r="S40" s="33" t="s">
        <v>129</v>
      </c>
      <c r="T40" s="33" t="s">
        <v>418</v>
      </c>
    </row>
    <row r="41" ht="34" spans="1:20">
      <c r="A41"/>
      <c r="B41" s="1" t="s">
        <v>253</v>
      </c>
      <c r="C41" s="1" t="s">
        <v>379</v>
      </c>
      <c r="D41" s="1" t="s">
        <v>401</v>
      </c>
      <c r="E41" s="1" t="s">
        <v>420</v>
      </c>
      <c r="F41" s="1" t="s">
        <v>382</v>
      </c>
      <c r="G41" s="1" t="s">
        <v>426</v>
      </c>
      <c r="H41" t="s">
        <v>442</v>
      </c>
      <c r="I41" s="1" t="s">
        <v>341</v>
      </c>
      <c r="J41" s="1" t="s">
        <v>420</v>
      </c>
      <c r="K41" s="1">
        <v>0</v>
      </c>
      <c r="L41" s="1">
        <v>0</v>
      </c>
      <c r="M41" t="s">
        <v>443</v>
      </c>
      <c r="N41" s="1" t="s">
        <v>27</v>
      </c>
      <c r="O41" s="1" t="s">
        <v>27</v>
      </c>
      <c r="P41" s="19" t="s">
        <v>444</v>
      </c>
      <c r="Q41"/>
      <c r="R41"/>
      <c r="S41" s="33" t="s">
        <v>132</v>
      </c>
      <c r="T41" s="33" t="s">
        <v>420</v>
      </c>
    </row>
    <row r="42" spans="1:20">
      <c r="A42"/>
      <c r="B42" s="1" t="s">
        <v>254</v>
      </c>
      <c r="C42" s="1" t="s">
        <v>379</v>
      </c>
      <c r="D42" s="1" t="s">
        <v>401</v>
      </c>
      <c r="E42" s="1" t="s">
        <v>417</v>
      </c>
      <c r="F42" s="1" t="s">
        <v>382</v>
      </c>
      <c r="G42" s="1" t="s">
        <v>395</v>
      </c>
      <c r="H42"/>
      <c r="I42" s="1" t="s">
        <v>338</v>
      </c>
      <c r="J42" s="1" t="s">
        <v>417</v>
      </c>
      <c r="K42" s="1">
        <v>0</v>
      </c>
      <c r="L42" s="1">
        <v>0.3</v>
      </c>
      <c r="M42"/>
      <c r="N42" s="1" t="s">
        <v>27</v>
      </c>
      <c r="O42" s="1" t="s">
        <v>385</v>
      </c>
      <c r="P42" s="1" t="s">
        <v>445</v>
      </c>
      <c r="Q42"/>
      <c r="R42"/>
      <c r="S42" s="33" t="s">
        <v>135</v>
      </c>
      <c r="T42" s="33" t="s">
        <v>417</v>
      </c>
    </row>
    <row r="43" ht="17" spans="1:20">
      <c r="A43"/>
      <c r="B43" s="1" t="s">
        <v>256</v>
      </c>
      <c r="C43" s="1" t="s">
        <v>379</v>
      </c>
      <c r="D43" s="1" t="s">
        <v>380</v>
      </c>
      <c r="E43" s="1" t="s">
        <v>381</v>
      </c>
      <c r="F43" s="1" t="s">
        <v>382</v>
      </c>
      <c r="G43" s="1" t="s">
        <v>383</v>
      </c>
      <c r="H43"/>
      <c r="I43" s="1" t="s">
        <v>396</v>
      </c>
      <c r="J43" s="1" t="s">
        <v>397</v>
      </c>
      <c r="K43" s="1">
        <v>0</v>
      </c>
      <c r="L43" s="1">
        <v>25</v>
      </c>
      <c r="M43"/>
      <c r="N43" s="1" t="s">
        <v>27</v>
      </c>
      <c r="O43" s="1" t="s">
        <v>385</v>
      </c>
      <c r="P43" s="19" t="s">
        <v>410</v>
      </c>
      <c r="Q43" t="s">
        <v>399</v>
      </c>
      <c r="R43"/>
      <c r="S43" s="33" t="s">
        <v>138</v>
      </c>
      <c r="T43" s="33" t="s">
        <v>400</v>
      </c>
    </row>
    <row r="44" spans="1:20">
      <c r="A44"/>
      <c r="B44" s="1" t="s">
        <v>257</v>
      </c>
      <c r="C44" s="1" t="s">
        <v>379</v>
      </c>
      <c r="D44" s="1" t="s">
        <v>380</v>
      </c>
      <c r="E44" s="1" t="s">
        <v>417</v>
      </c>
      <c r="F44" s="1" t="s">
        <v>382</v>
      </c>
      <c r="G44" s="1" t="s">
        <v>383</v>
      </c>
      <c r="H44"/>
      <c r="I44" s="1" t="s">
        <v>335</v>
      </c>
      <c r="J44" s="1" t="s">
        <v>417</v>
      </c>
      <c r="K44" s="1">
        <v>0</v>
      </c>
      <c r="L44" s="1">
        <v>30</v>
      </c>
      <c r="M44" t="s">
        <v>424</v>
      </c>
      <c r="N44" s="1" t="s">
        <v>27</v>
      </c>
      <c r="O44" s="1" t="s">
        <v>385</v>
      </c>
      <c r="P44" s="1" t="s">
        <v>446</v>
      </c>
      <c r="Q44"/>
      <c r="R44"/>
      <c r="S44" s="33" t="s">
        <v>138</v>
      </c>
      <c r="T44" s="33" t="s">
        <v>417</v>
      </c>
    </row>
    <row r="45" ht="34" spans="1:20">
      <c r="A45"/>
      <c r="B45" s="1" t="s">
        <v>259</v>
      </c>
      <c r="C45" s="1" t="s">
        <v>379</v>
      </c>
      <c r="D45" s="1" t="s">
        <v>394</v>
      </c>
      <c r="E45" s="1" t="s">
        <v>381</v>
      </c>
      <c r="F45" s="1" t="s">
        <v>382</v>
      </c>
      <c r="G45" s="1" t="s">
        <v>395</v>
      </c>
      <c r="I45" s="1" t="s">
        <v>338</v>
      </c>
      <c r="J45" s="1" t="s">
        <v>381</v>
      </c>
      <c r="K45" s="1">
        <v>0</v>
      </c>
      <c r="L45" s="1">
        <v>3</v>
      </c>
      <c r="N45" s="1" t="s">
        <v>27</v>
      </c>
      <c r="O45" s="1" t="s">
        <v>385</v>
      </c>
      <c r="P45" s="19" t="s">
        <v>447</v>
      </c>
      <c r="Q45"/>
      <c r="R45"/>
      <c r="S45" s="33" t="s">
        <v>141</v>
      </c>
      <c r="T45" s="33" t="s">
        <v>141</v>
      </c>
    </row>
    <row r="46" spans="1:20">
      <c r="A46"/>
      <c r="B46" s="1" t="s">
        <v>260</v>
      </c>
      <c r="C46" s="1" t="s">
        <v>379</v>
      </c>
      <c r="D46" s="1" t="s">
        <v>380</v>
      </c>
      <c r="E46" s="1" t="s">
        <v>448</v>
      </c>
      <c r="F46" s="1" t="s">
        <v>382</v>
      </c>
      <c r="G46" s="1" t="s">
        <v>383</v>
      </c>
      <c r="H46"/>
      <c r="I46" s="1" t="s">
        <v>405</v>
      </c>
      <c r="J46" s="1" t="s">
        <v>406</v>
      </c>
      <c r="K46" s="1">
        <v>3</v>
      </c>
      <c r="L46" s="1">
        <v>0</v>
      </c>
      <c r="M46"/>
      <c r="N46" s="1" t="s">
        <v>27</v>
      </c>
      <c r="O46" s="1" t="s">
        <v>27</v>
      </c>
      <c r="P46" s="1" t="s">
        <v>407</v>
      </c>
      <c r="Q46" t="s">
        <v>408</v>
      </c>
      <c r="R46"/>
      <c r="S46" s="33" t="s">
        <v>141</v>
      </c>
      <c r="T46" s="33" t="s">
        <v>406</v>
      </c>
    </row>
    <row r="47" spans="1:20">
      <c r="A47"/>
      <c r="B47" s="1" t="s">
        <v>262</v>
      </c>
      <c r="C47" s="1" t="s">
        <v>379</v>
      </c>
      <c r="D47" s="1" t="s">
        <v>380</v>
      </c>
      <c r="E47" s="1" t="s">
        <v>420</v>
      </c>
      <c r="F47" s="1" t="s">
        <v>382</v>
      </c>
      <c r="G47" s="1" t="s">
        <v>383</v>
      </c>
      <c r="H47"/>
      <c r="I47" s="1" t="s">
        <v>341</v>
      </c>
      <c r="J47" s="1" t="s">
        <v>420</v>
      </c>
      <c r="K47" s="1">
        <v>0</v>
      </c>
      <c r="L47" s="1">
        <v>2</v>
      </c>
      <c r="M47" t="s">
        <v>424</v>
      </c>
      <c r="N47" s="1" t="s">
        <v>27</v>
      </c>
      <c r="O47" s="1" t="s">
        <v>27</v>
      </c>
      <c r="P47" s="1" t="s">
        <v>449</v>
      </c>
      <c r="Q47"/>
      <c r="R47"/>
      <c r="S47" s="33" t="s">
        <v>145</v>
      </c>
      <c r="T47" s="33" t="s">
        <v>420</v>
      </c>
    </row>
    <row r="48" ht="34" spans="1:20">
      <c r="A48"/>
      <c r="B48" s="1" t="s">
        <v>263</v>
      </c>
      <c r="C48" s="1" t="s">
        <v>379</v>
      </c>
      <c r="D48" s="1" t="s">
        <v>450</v>
      </c>
      <c r="E48" s="1" t="s">
        <v>418</v>
      </c>
      <c r="F48" s="1" t="s">
        <v>382</v>
      </c>
      <c r="G48" s="1" t="s">
        <v>426</v>
      </c>
      <c r="H48" t="s">
        <v>451</v>
      </c>
      <c r="I48" s="1" t="s">
        <v>396</v>
      </c>
      <c r="J48" s="1" t="s">
        <v>397</v>
      </c>
      <c r="K48" s="1">
        <v>0</v>
      </c>
      <c r="L48" s="1">
        <v>0</v>
      </c>
      <c r="M48" t="s">
        <v>452</v>
      </c>
      <c r="N48" s="1" t="s">
        <v>27</v>
      </c>
      <c r="O48" s="1" t="s">
        <v>385</v>
      </c>
      <c r="P48" s="19" t="s">
        <v>453</v>
      </c>
      <c r="Q48" t="s">
        <v>399</v>
      </c>
      <c r="R48"/>
      <c r="S48" s="33" t="s">
        <v>145</v>
      </c>
      <c r="T48" s="33" t="s">
        <v>400</v>
      </c>
    </row>
    <row r="49" ht="17" spans="1:20">
      <c r="A49"/>
      <c r="B49" s="1" t="s">
        <v>265</v>
      </c>
      <c r="C49" s="1" t="s">
        <v>379</v>
      </c>
      <c r="D49" s="1" t="s">
        <v>380</v>
      </c>
      <c r="E49" s="1" t="s">
        <v>381</v>
      </c>
      <c r="F49" s="1" t="s">
        <v>382</v>
      </c>
      <c r="G49" s="1" t="s">
        <v>383</v>
      </c>
      <c r="H49"/>
      <c r="I49" s="1" t="s">
        <v>341</v>
      </c>
      <c r="J49" s="1" t="s">
        <v>384</v>
      </c>
      <c r="K49" s="1">
        <v>0</v>
      </c>
      <c r="L49" s="1">
        <v>2.5</v>
      </c>
      <c r="M49"/>
      <c r="N49" s="1" t="s">
        <v>27</v>
      </c>
      <c r="O49" s="1" t="s">
        <v>27</v>
      </c>
      <c r="P49" s="19" t="s">
        <v>436</v>
      </c>
      <c r="Q49"/>
      <c r="R49"/>
      <c r="S49" s="33" t="s">
        <v>148</v>
      </c>
      <c r="T49" s="33" t="s">
        <v>384</v>
      </c>
    </row>
    <row r="50" ht="17" spans="1:20">
      <c r="A50"/>
      <c r="B50" s="1" t="s">
        <v>266</v>
      </c>
      <c r="C50" s="1" t="s">
        <v>379</v>
      </c>
      <c r="D50" s="1" t="s">
        <v>380</v>
      </c>
      <c r="E50" s="1" t="s">
        <v>404</v>
      </c>
      <c r="F50" s="1" t="s">
        <v>382</v>
      </c>
      <c r="G50" s="1" t="s">
        <v>383</v>
      </c>
      <c r="H50"/>
      <c r="I50" s="1" t="s">
        <v>405</v>
      </c>
      <c r="J50" s="1" t="s">
        <v>406</v>
      </c>
      <c r="K50" s="1">
        <v>1</v>
      </c>
      <c r="L50" s="1">
        <v>0</v>
      </c>
      <c r="M50"/>
      <c r="N50" s="1" t="s">
        <v>27</v>
      </c>
      <c r="O50" s="1" t="s">
        <v>27</v>
      </c>
      <c r="P50" s="19" t="s">
        <v>407</v>
      </c>
      <c r="Q50" t="s">
        <v>408</v>
      </c>
      <c r="R50"/>
      <c r="S50" s="33" t="s">
        <v>148</v>
      </c>
      <c r="T50" s="33" t="s">
        <v>406</v>
      </c>
    </row>
    <row r="51" ht="34" spans="1:20">
      <c r="A51"/>
      <c r="B51" s="1" t="s">
        <v>267</v>
      </c>
      <c r="C51" s="1" t="s">
        <v>379</v>
      </c>
      <c r="D51" s="1" t="s">
        <v>401</v>
      </c>
      <c r="E51" s="1" t="s">
        <v>392</v>
      </c>
      <c r="F51" s="1" t="s">
        <v>382</v>
      </c>
      <c r="G51" s="1" t="s">
        <v>395</v>
      </c>
      <c r="H51"/>
      <c r="I51" s="1" t="s">
        <v>341</v>
      </c>
      <c r="J51" s="1" t="s">
        <v>392</v>
      </c>
      <c r="K51" s="1">
        <v>0</v>
      </c>
      <c r="L51" s="1">
        <v>1.1</v>
      </c>
      <c r="M51"/>
      <c r="N51" s="1" t="s">
        <v>27</v>
      </c>
      <c r="O51" s="1" t="s">
        <v>27</v>
      </c>
      <c r="P51" s="19" t="s">
        <v>454</v>
      </c>
      <c r="Q51"/>
      <c r="R51"/>
      <c r="S51" s="33" t="s">
        <v>151</v>
      </c>
      <c r="T51" s="33" t="s">
        <v>392</v>
      </c>
    </row>
    <row r="52" ht="17" spans="1:20">
      <c r="A52"/>
      <c r="B52" s="1" t="s">
        <v>269</v>
      </c>
      <c r="C52" s="1" t="s">
        <v>379</v>
      </c>
      <c r="D52" s="1" t="s">
        <v>380</v>
      </c>
      <c r="E52" s="1" t="s">
        <v>420</v>
      </c>
      <c r="F52" s="1" t="s">
        <v>382</v>
      </c>
      <c r="G52" s="1" t="s">
        <v>383</v>
      </c>
      <c r="H52"/>
      <c r="I52" s="1" t="s">
        <v>341</v>
      </c>
      <c r="J52" s="1" t="s">
        <v>420</v>
      </c>
      <c r="K52" s="1">
        <v>0</v>
      </c>
      <c r="L52" s="1">
        <v>2</v>
      </c>
      <c r="M52" t="s">
        <v>424</v>
      </c>
      <c r="N52" s="1" t="s">
        <v>27</v>
      </c>
      <c r="O52" s="1" t="s">
        <v>27</v>
      </c>
      <c r="P52" s="19" t="s">
        <v>449</v>
      </c>
      <c r="Q52"/>
      <c r="R52"/>
      <c r="S52" s="33" t="s">
        <v>154</v>
      </c>
      <c r="T52" s="33" t="s">
        <v>420</v>
      </c>
    </row>
    <row r="53" ht="34" spans="1:20">
      <c r="A53"/>
      <c r="B53" s="1" t="s">
        <v>270</v>
      </c>
      <c r="C53" s="1" t="s">
        <v>379</v>
      </c>
      <c r="D53" s="1" t="s">
        <v>455</v>
      </c>
      <c r="E53" s="1" t="s">
        <v>418</v>
      </c>
      <c r="F53" s="1" t="s">
        <v>382</v>
      </c>
      <c r="G53" s="1" t="s">
        <v>395</v>
      </c>
      <c r="H53" t="s">
        <v>456</v>
      </c>
      <c r="I53" s="1" t="s">
        <v>396</v>
      </c>
      <c r="J53" s="1" t="s">
        <v>397</v>
      </c>
      <c r="K53" s="1">
        <v>0</v>
      </c>
      <c r="L53" s="1">
        <v>1</v>
      </c>
      <c r="N53" s="1" t="s">
        <v>27</v>
      </c>
      <c r="O53" s="1" t="s">
        <v>385</v>
      </c>
      <c r="P53" s="19" t="s">
        <v>457</v>
      </c>
      <c r="Q53" t="s">
        <v>399</v>
      </c>
      <c r="R53"/>
      <c r="S53" s="33" t="s">
        <v>154</v>
      </c>
      <c r="T53" s="33" t="s">
        <v>400</v>
      </c>
    </row>
    <row r="54" ht="34" spans="1:20">
      <c r="A54"/>
      <c r="B54" s="1" t="s">
        <v>271</v>
      </c>
      <c r="C54" s="1" t="s">
        <v>379</v>
      </c>
      <c r="D54" s="1" t="s">
        <v>380</v>
      </c>
      <c r="E54" s="1" t="s">
        <v>381</v>
      </c>
      <c r="F54" s="1" t="s">
        <v>382</v>
      </c>
      <c r="G54" s="1" t="s">
        <v>383</v>
      </c>
      <c r="H54"/>
      <c r="I54" s="1" t="s">
        <v>421</v>
      </c>
      <c r="J54" s="1" t="s">
        <v>418</v>
      </c>
      <c r="K54" s="1">
        <v>0</v>
      </c>
      <c r="L54" s="1">
        <v>1</v>
      </c>
      <c r="M54" t="s">
        <v>458</v>
      </c>
      <c r="N54" s="1" t="s">
        <v>385</v>
      </c>
      <c r="O54" s="1" t="s">
        <v>385</v>
      </c>
      <c r="P54" s="19" t="s">
        <v>459</v>
      </c>
      <c r="R54"/>
      <c r="S54" s="33" t="s">
        <v>157</v>
      </c>
      <c r="T54" s="33" t="s">
        <v>418</v>
      </c>
    </row>
    <row r="55" ht="34" spans="1:20">
      <c r="A55"/>
      <c r="B55" s="1" t="s">
        <v>272</v>
      </c>
      <c r="C55" s="1" t="s">
        <v>379</v>
      </c>
      <c r="D55" s="1" t="s">
        <v>380</v>
      </c>
      <c r="E55" s="1" t="s">
        <v>460</v>
      </c>
      <c r="F55" s="1" t="s">
        <v>382</v>
      </c>
      <c r="G55" s="1" t="s">
        <v>383</v>
      </c>
      <c r="H55"/>
      <c r="I55" s="1" t="s">
        <v>439</v>
      </c>
      <c r="J55" s="1" t="s">
        <v>460</v>
      </c>
      <c r="K55" s="1">
        <v>0</v>
      </c>
      <c r="L55" s="1">
        <v>2</v>
      </c>
      <c r="M55" t="s">
        <v>461</v>
      </c>
      <c r="N55" s="1" t="s">
        <v>27</v>
      </c>
      <c r="O55" s="1" t="s">
        <v>27</v>
      </c>
      <c r="P55" s="19" t="s">
        <v>462</v>
      </c>
      <c r="Q55" t="s">
        <v>408</v>
      </c>
      <c r="R55"/>
      <c r="S55" s="33" t="s">
        <v>160</v>
      </c>
      <c r="T55" s="33" t="s">
        <v>460</v>
      </c>
    </row>
    <row r="56" ht="34" spans="1:20">
      <c r="A56"/>
      <c r="B56" s="1" t="s">
        <v>274</v>
      </c>
      <c r="C56" s="1" t="s">
        <v>379</v>
      </c>
      <c r="D56" s="1" t="s">
        <v>394</v>
      </c>
      <c r="E56" s="1" t="s">
        <v>381</v>
      </c>
      <c r="F56" s="1" t="s">
        <v>382</v>
      </c>
      <c r="G56" s="1" t="s">
        <v>395</v>
      </c>
      <c r="H56"/>
      <c r="I56" s="1" t="s">
        <v>341</v>
      </c>
      <c r="J56" s="1" t="s">
        <v>381</v>
      </c>
      <c r="K56" s="1">
        <v>0</v>
      </c>
      <c r="L56" s="1">
        <v>2</v>
      </c>
      <c r="M56"/>
      <c r="N56" s="1" t="s">
        <v>27</v>
      </c>
      <c r="O56" s="1" t="s">
        <v>27</v>
      </c>
      <c r="P56" s="19" t="s">
        <v>463</v>
      </c>
      <c r="Q56"/>
      <c r="R56"/>
      <c r="S56" s="33" t="s">
        <v>163</v>
      </c>
      <c r="T56" s="33" t="s">
        <v>163</v>
      </c>
    </row>
    <row r="57" ht="17" spans="1:20">
      <c r="A57"/>
      <c r="B57" s="1" t="s">
        <v>275</v>
      </c>
      <c r="C57" s="1" t="s">
        <v>379</v>
      </c>
      <c r="D57" s="1" t="s">
        <v>380</v>
      </c>
      <c r="E57" s="1" t="s">
        <v>418</v>
      </c>
      <c r="F57" s="1" t="s">
        <v>382</v>
      </c>
      <c r="G57" s="1" t="s">
        <v>383</v>
      </c>
      <c r="H57"/>
      <c r="I57" s="1" t="s">
        <v>439</v>
      </c>
      <c r="J57" s="1" t="s">
        <v>418</v>
      </c>
      <c r="K57" s="1">
        <v>0</v>
      </c>
      <c r="L57" s="1">
        <v>0</v>
      </c>
      <c r="M57" t="s">
        <v>464</v>
      </c>
      <c r="N57" s="1" t="s">
        <v>27</v>
      </c>
      <c r="O57" s="1" t="s">
        <v>27</v>
      </c>
      <c r="P57" s="19" t="s">
        <v>465</v>
      </c>
      <c r="Q57" t="s">
        <v>408</v>
      </c>
      <c r="R57"/>
      <c r="S57" s="33" t="s">
        <v>163</v>
      </c>
      <c r="T57" s="33" t="s">
        <v>418</v>
      </c>
    </row>
    <row r="58" spans="1:20">
      <c r="A58"/>
      <c r="B58" s="1" t="s">
        <v>276</v>
      </c>
      <c r="C58" s="1" t="s">
        <v>379</v>
      </c>
      <c r="D58" s="1" t="s">
        <v>401</v>
      </c>
      <c r="E58" s="1" t="s">
        <v>418</v>
      </c>
      <c r="F58" s="1" t="s">
        <v>382</v>
      </c>
      <c r="G58" s="1" t="s">
        <v>395</v>
      </c>
      <c r="H58"/>
      <c r="I58" s="1" t="s">
        <v>338</v>
      </c>
      <c r="J58" s="1" t="s">
        <v>418</v>
      </c>
      <c r="K58" s="1">
        <v>0</v>
      </c>
      <c r="L58" s="1">
        <v>1</v>
      </c>
      <c r="M58"/>
      <c r="N58" s="1" t="s">
        <v>27</v>
      </c>
      <c r="O58" s="1" t="s">
        <v>385</v>
      </c>
      <c r="P58" s="1" t="s">
        <v>466</v>
      </c>
      <c r="Q58"/>
      <c r="R58"/>
      <c r="S58" s="33" t="s">
        <v>166</v>
      </c>
      <c r="T58" s="33" t="s">
        <v>418</v>
      </c>
    </row>
    <row r="59" spans="1:20">
      <c r="A59"/>
      <c r="B59" s="1" t="s">
        <v>277</v>
      </c>
      <c r="C59" s="1" t="s">
        <v>379</v>
      </c>
      <c r="D59" s="1" t="s">
        <v>380</v>
      </c>
      <c r="E59" s="1" t="s">
        <v>381</v>
      </c>
      <c r="F59" s="1" t="s">
        <v>382</v>
      </c>
      <c r="G59" s="1" t="s">
        <v>383</v>
      </c>
      <c r="H59"/>
      <c r="I59" s="1" t="s">
        <v>467</v>
      </c>
      <c r="J59" s="1" t="s">
        <v>381</v>
      </c>
      <c r="K59" s="1">
        <v>0</v>
      </c>
      <c r="L59" s="1">
        <v>3</v>
      </c>
      <c r="M59" t="s">
        <v>424</v>
      </c>
      <c r="N59" s="1" t="s">
        <v>27</v>
      </c>
      <c r="O59" s="1" t="s">
        <v>27</v>
      </c>
      <c r="P59" s="1" t="s">
        <v>468</v>
      </c>
      <c r="Q59"/>
      <c r="R59"/>
      <c r="S59" s="33" t="s">
        <v>169</v>
      </c>
      <c r="T59" s="33" t="s">
        <v>169</v>
      </c>
    </row>
    <row r="60" spans="1:20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</row>
    <row r="61" spans="1:20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R61"/>
      <c r="S61"/>
      <c r="T61"/>
    </row>
    <row r="62" spans="1:20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</row>
    <row r="63" spans="1:20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</row>
    <row r="64" spans="1:20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</row>
    <row r="65" spans="1:20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</row>
    <row r="66" spans="1:20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</row>
    <row r="67" spans="1:20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</row>
    <row r="68" spans="1:20">
      <c r="A68"/>
      <c r="B68"/>
      <c r="C68"/>
      <c r="D68"/>
      <c r="E68"/>
      <c r="F68"/>
      <c r="G68"/>
      <c r="H68"/>
      <c r="I68"/>
      <c r="J68"/>
      <c r="K68"/>
      <c r="L68"/>
      <c r="N68"/>
      <c r="O68"/>
      <c r="P68"/>
      <c r="Q68"/>
      <c r="R68"/>
      <c r="S68"/>
      <c r="T68"/>
    </row>
    <row r="69" spans="1:20">
      <c r="A69"/>
      <c r="B69"/>
      <c r="C69"/>
      <c r="D69"/>
      <c r="E69"/>
      <c r="F69"/>
      <c r="G69"/>
      <c r="I69"/>
      <c r="J69"/>
      <c r="K69"/>
      <c r="L69"/>
      <c r="M69"/>
      <c r="N69"/>
      <c r="O69"/>
      <c r="P69"/>
      <c r="R69"/>
      <c r="S69"/>
      <c r="T69"/>
    </row>
    <row r="70" spans="1:20">
      <c r="A70"/>
      <c r="B70"/>
      <c r="C70"/>
      <c r="D70"/>
      <c r="E70"/>
      <c r="F70"/>
      <c r="G70"/>
      <c r="I70"/>
      <c r="J70"/>
      <c r="K70"/>
      <c r="L70"/>
      <c r="M70"/>
      <c r="N70"/>
      <c r="O70"/>
      <c r="P70"/>
      <c r="Q70"/>
      <c r="R70"/>
      <c r="S70"/>
      <c r="T70"/>
    </row>
    <row r="71" spans="1:20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R71"/>
      <c r="S71"/>
      <c r="T71"/>
    </row>
    <row r="72" spans="1:20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</row>
    <row r="73" ht="34" customHeight="1" spans="1:20">
      <c r="A73"/>
      <c r="B73"/>
      <c r="C73"/>
      <c r="D73"/>
      <c r="E73"/>
      <c r="F73"/>
      <c r="G73"/>
      <c r="H73"/>
      <c r="I73"/>
      <c r="J73"/>
      <c r="K73"/>
      <c r="L73"/>
      <c r="N73"/>
      <c r="O73"/>
      <c r="P73"/>
      <c r="Q73"/>
      <c r="R73"/>
      <c r="S73"/>
      <c r="T73"/>
    </row>
    <row r="74" spans="1:20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</row>
    <row r="75" spans="19:20">
      <c r="S75"/>
      <c r="T75"/>
    </row>
    <row r="76" spans="16:20">
      <c r="P76"/>
      <c r="S76"/>
      <c r="T76"/>
    </row>
    <row r="77" spans="16:20">
      <c r="P77"/>
      <c r="S77"/>
      <c r="T77"/>
    </row>
    <row r="78" spans="19:20">
      <c r="S78"/>
      <c r="T78"/>
    </row>
    <row r="79" spans="19:20">
      <c r="S79"/>
      <c r="T79"/>
    </row>
    <row r="80" spans="13:20">
      <c r="M80"/>
      <c r="P80"/>
      <c r="S80"/>
      <c r="T80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W88"/>
  <sheetViews>
    <sheetView workbookViewId="0">
      <selection activeCell="A1" sqref="A1"/>
    </sheetView>
  </sheetViews>
  <sheetFormatPr defaultColWidth="9.23076923076923" defaultRowHeight="16.8"/>
  <cols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9" max="9" width="11.9230769230769" customWidth="1"/>
    <col min="10" max="10" width="11.2307692307692" customWidth="1"/>
    <col min="11" max="11" width="12.7692307692308" customWidth="1"/>
    <col min="15" max="16" width="12.9230769230769"/>
    <col min="17" max="17" width="13.9230769230769" customWidth="1"/>
  </cols>
  <sheetData>
    <row r="4" ht="17.6" spans="3:20">
      <c r="C4" s="1"/>
      <c r="D4" s="10" t="s">
        <v>469</v>
      </c>
      <c r="E4" s="10" t="s">
        <v>470</v>
      </c>
      <c r="F4" s="10" t="s">
        <v>471</v>
      </c>
      <c r="G4" s="10" t="s">
        <v>472</v>
      </c>
      <c r="P4" t="s">
        <v>473</v>
      </c>
      <c r="Q4" t="s">
        <v>474</v>
      </c>
      <c r="R4" t="s">
        <v>475</v>
      </c>
      <c r="S4" t="s">
        <v>476</v>
      </c>
      <c r="T4" t="s">
        <v>477</v>
      </c>
    </row>
    <row r="5" ht="34" spans="3:17">
      <c r="C5" s="23" t="s">
        <v>478</v>
      </c>
      <c r="D5" s="18" t="s">
        <v>198</v>
      </c>
      <c r="E5" s="18" t="s">
        <v>29</v>
      </c>
      <c r="F5" s="18">
        <v>20</v>
      </c>
      <c r="G5" s="18" t="s">
        <v>479</v>
      </c>
      <c r="H5">
        <v>1</v>
      </c>
      <c r="P5">
        <v>2</v>
      </c>
      <c r="Q5">
        <v>2.25</v>
      </c>
    </row>
    <row r="6" ht="34" spans="3:18">
      <c r="C6" s="23"/>
      <c r="D6" s="18" t="s">
        <v>199</v>
      </c>
      <c r="E6" s="8" t="s">
        <v>29</v>
      </c>
      <c r="F6" s="8">
        <v>20</v>
      </c>
      <c r="G6" s="20" t="s">
        <v>480</v>
      </c>
      <c r="H6">
        <v>1</v>
      </c>
      <c r="P6">
        <v>2</v>
      </c>
      <c r="Q6">
        <v>2.25</v>
      </c>
      <c r="R6">
        <v>2</v>
      </c>
    </row>
    <row r="7" ht="34" spans="3:18">
      <c r="C7" s="23"/>
      <c r="D7" s="18" t="s">
        <v>200</v>
      </c>
      <c r="E7" s="20" t="s">
        <v>36</v>
      </c>
      <c r="F7" s="20">
        <v>20</v>
      </c>
      <c r="G7" s="20" t="s">
        <v>481</v>
      </c>
      <c r="H7">
        <v>1</v>
      </c>
      <c r="P7">
        <v>2</v>
      </c>
      <c r="Q7">
        <v>2.25</v>
      </c>
      <c r="R7">
        <v>2</v>
      </c>
    </row>
    <row r="8" ht="17" spans="3:7">
      <c r="C8" s="23"/>
      <c r="E8" s="20" t="s">
        <v>36</v>
      </c>
      <c r="F8" s="20"/>
      <c r="G8" s="20"/>
    </row>
    <row r="9" ht="34" spans="3:18">
      <c r="C9" s="23"/>
      <c r="D9" s="18" t="s">
        <v>201</v>
      </c>
      <c r="E9" s="20" t="s">
        <v>36</v>
      </c>
      <c r="F9" s="20">
        <v>20</v>
      </c>
      <c r="G9" s="20" t="s">
        <v>482</v>
      </c>
      <c r="H9">
        <v>1</v>
      </c>
      <c r="P9">
        <v>2</v>
      </c>
      <c r="Q9">
        <v>2.25</v>
      </c>
      <c r="R9">
        <v>2</v>
      </c>
    </row>
    <row r="10" spans="3:11">
      <c r="C10" s="23"/>
      <c r="E10" s="8" t="s">
        <v>36</v>
      </c>
      <c r="G10" s="20"/>
      <c r="I10" t="s">
        <v>483</v>
      </c>
      <c r="J10" t="s">
        <v>484</v>
      </c>
      <c r="K10" t="s">
        <v>485</v>
      </c>
    </row>
    <row r="11" ht="34" spans="3:18">
      <c r="C11" s="24" t="s">
        <v>486</v>
      </c>
      <c r="D11" s="10" t="s">
        <v>41</v>
      </c>
      <c r="E11" s="8" t="s">
        <v>29</v>
      </c>
      <c r="F11" s="8">
        <v>20</v>
      </c>
      <c r="G11" s="17" t="s">
        <v>487</v>
      </c>
      <c r="H11">
        <v>1</v>
      </c>
      <c r="I11" t="s">
        <v>488</v>
      </c>
      <c r="J11" t="s">
        <v>475</v>
      </c>
      <c r="K11" t="s">
        <v>489</v>
      </c>
      <c r="P11">
        <v>2</v>
      </c>
      <c r="Q11">
        <v>8</v>
      </c>
      <c r="R11">
        <v>5</v>
      </c>
    </row>
    <row r="12" ht="34" spans="3:20">
      <c r="C12" s="24"/>
      <c r="D12" s="8" t="s">
        <v>44</v>
      </c>
      <c r="E12" s="8" t="s">
        <v>29</v>
      </c>
      <c r="F12" s="20">
        <v>20</v>
      </c>
      <c r="G12" s="20" t="s">
        <v>490</v>
      </c>
      <c r="I12" t="s">
        <v>491</v>
      </c>
      <c r="J12" t="s">
        <v>492</v>
      </c>
      <c r="P12">
        <v>2</v>
      </c>
      <c r="T12">
        <v>5</v>
      </c>
    </row>
    <row r="13" ht="34" spans="3:18">
      <c r="C13" s="24"/>
      <c r="D13" s="8" t="s">
        <v>48</v>
      </c>
      <c r="E13" s="8" t="s">
        <v>29</v>
      </c>
      <c r="F13" s="8">
        <v>20</v>
      </c>
      <c r="G13" s="20" t="s">
        <v>493</v>
      </c>
      <c r="H13">
        <v>1</v>
      </c>
      <c r="I13" t="s">
        <v>494</v>
      </c>
      <c r="J13" t="s">
        <v>475</v>
      </c>
      <c r="K13" t="s">
        <v>495</v>
      </c>
      <c r="P13">
        <v>2</v>
      </c>
      <c r="R13">
        <v>5</v>
      </c>
    </row>
    <row r="14" ht="51" spans="3:16">
      <c r="C14" s="24"/>
      <c r="D14" s="8" t="s">
        <v>51</v>
      </c>
      <c r="E14" s="8" t="s">
        <v>29</v>
      </c>
      <c r="F14" s="20">
        <v>20</v>
      </c>
      <c r="G14" s="20" t="s">
        <v>496</v>
      </c>
      <c r="I14" t="s">
        <v>497</v>
      </c>
      <c r="J14" t="s">
        <v>498</v>
      </c>
      <c r="K14" t="s">
        <v>499</v>
      </c>
      <c r="P14">
        <v>2</v>
      </c>
    </row>
    <row r="15" ht="34" spans="3:20">
      <c r="C15" s="24"/>
      <c r="D15" s="8" t="s">
        <v>54</v>
      </c>
      <c r="E15" s="8" t="s">
        <v>29</v>
      </c>
      <c r="F15" s="8">
        <v>20</v>
      </c>
      <c r="G15" s="20" t="s">
        <v>500</v>
      </c>
      <c r="I15" t="s">
        <v>501</v>
      </c>
      <c r="J15" t="s">
        <v>502</v>
      </c>
      <c r="K15" t="s">
        <v>489</v>
      </c>
      <c r="P15">
        <v>2</v>
      </c>
      <c r="Q15">
        <v>3</v>
      </c>
      <c r="T15">
        <v>3</v>
      </c>
    </row>
    <row r="16" ht="51" spans="3:16">
      <c r="C16" s="24"/>
      <c r="D16" s="8" t="s">
        <v>58</v>
      </c>
      <c r="E16" s="8" t="s">
        <v>29</v>
      </c>
      <c r="F16" s="20">
        <v>20</v>
      </c>
      <c r="G16" s="20" t="s">
        <v>503</v>
      </c>
      <c r="I16" t="s">
        <v>504</v>
      </c>
      <c r="J16" t="s">
        <v>492</v>
      </c>
      <c r="K16" t="s">
        <v>495</v>
      </c>
      <c r="P16">
        <v>2</v>
      </c>
    </row>
    <row r="17" ht="34" spans="3:18">
      <c r="C17" s="24"/>
      <c r="D17" s="8" t="s">
        <v>62</v>
      </c>
      <c r="E17" s="20" t="s">
        <v>36</v>
      </c>
      <c r="F17" s="8">
        <v>20</v>
      </c>
      <c r="G17" s="20" t="s">
        <v>505</v>
      </c>
      <c r="I17" t="s">
        <v>497</v>
      </c>
      <c r="J17" t="s">
        <v>475</v>
      </c>
      <c r="K17" t="s">
        <v>506</v>
      </c>
      <c r="P17">
        <v>2</v>
      </c>
      <c r="R17">
        <v>5</v>
      </c>
    </row>
    <row r="18" ht="17" spans="3:7">
      <c r="C18" s="24"/>
      <c r="E18" s="20" t="s">
        <v>36</v>
      </c>
      <c r="F18" s="20"/>
      <c r="G18" s="20"/>
    </row>
    <row r="19" ht="51" spans="3:16">
      <c r="C19" s="24"/>
      <c r="D19" s="8" t="s">
        <v>67</v>
      </c>
      <c r="E19" s="20" t="s">
        <v>36</v>
      </c>
      <c r="F19" s="8">
        <v>20</v>
      </c>
      <c r="G19" s="20" t="s">
        <v>507</v>
      </c>
      <c r="I19" t="s">
        <v>508</v>
      </c>
      <c r="J19" t="s">
        <v>498</v>
      </c>
      <c r="K19" t="s">
        <v>489</v>
      </c>
      <c r="P19">
        <v>2</v>
      </c>
    </row>
    <row r="20" ht="17" spans="3:23">
      <c r="C20" s="24"/>
      <c r="E20" s="20" t="s">
        <v>36</v>
      </c>
      <c r="F20" s="20"/>
      <c r="G20" s="20"/>
      <c r="V20" s="8"/>
      <c r="W20" s="8"/>
    </row>
    <row r="21" ht="51" spans="3:23">
      <c r="C21" s="24"/>
      <c r="D21" s="8" t="s">
        <v>71</v>
      </c>
      <c r="E21" s="20" t="s">
        <v>36</v>
      </c>
      <c r="F21" s="8">
        <v>20</v>
      </c>
      <c r="G21" s="20" t="s">
        <v>509</v>
      </c>
      <c r="I21" t="s">
        <v>494</v>
      </c>
      <c r="J21" t="s">
        <v>475</v>
      </c>
      <c r="K21" t="s">
        <v>510</v>
      </c>
      <c r="P21">
        <v>2</v>
      </c>
      <c r="V21" s="20"/>
      <c r="W21" s="20"/>
    </row>
    <row r="22" ht="17" spans="3:23">
      <c r="C22" s="24"/>
      <c r="E22" s="20" t="s">
        <v>36</v>
      </c>
      <c r="F22" s="20"/>
      <c r="V22" s="8"/>
      <c r="W22" s="20"/>
    </row>
    <row r="23" ht="34" spans="3:23">
      <c r="C23" s="24"/>
      <c r="D23" s="8" t="s">
        <v>74</v>
      </c>
      <c r="E23" s="20" t="s">
        <v>36</v>
      </c>
      <c r="F23" s="8">
        <v>20</v>
      </c>
      <c r="G23" s="20" t="s">
        <v>511</v>
      </c>
      <c r="I23" t="s">
        <v>501</v>
      </c>
      <c r="J23" t="s">
        <v>475</v>
      </c>
      <c r="K23" t="s">
        <v>512</v>
      </c>
      <c r="P23">
        <v>2</v>
      </c>
      <c r="R23">
        <v>2.5</v>
      </c>
      <c r="T23">
        <v>2.5</v>
      </c>
      <c r="V23" s="20"/>
      <c r="W23" s="20"/>
    </row>
    <row r="24" ht="17" spans="3:23">
      <c r="C24" s="24"/>
      <c r="E24" s="20" t="s">
        <v>36</v>
      </c>
      <c r="F24" s="20"/>
      <c r="G24" s="20"/>
      <c r="V24" s="8"/>
      <c r="W24" s="19"/>
    </row>
    <row r="25" ht="34" spans="3:23">
      <c r="C25" s="24"/>
      <c r="D25" s="8" t="s">
        <v>77</v>
      </c>
      <c r="E25" s="20" t="s">
        <v>36</v>
      </c>
      <c r="F25" s="8">
        <v>20</v>
      </c>
      <c r="G25" s="20" t="s">
        <v>513</v>
      </c>
      <c r="I25" t="s">
        <v>488</v>
      </c>
      <c r="J25" t="s">
        <v>498</v>
      </c>
      <c r="K25" t="s">
        <v>514</v>
      </c>
      <c r="P25">
        <v>2</v>
      </c>
      <c r="V25" s="8"/>
      <c r="W25" s="8"/>
    </row>
    <row r="26" ht="17" spans="3:23">
      <c r="C26" s="24"/>
      <c r="E26" s="20" t="s">
        <v>36</v>
      </c>
      <c r="F26" s="20"/>
      <c r="G26" s="20"/>
      <c r="V26" s="20"/>
      <c r="W26" s="20"/>
    </row>
    <row r="27" ht="51" spans="3:23">
      <c r="C27" s="27" t="s">
        <v>515</v>
      </c>
      <c r="D27" s="8" t="s">
        <v>82</v>
      </c>
      <c r="E27" s="20" t="s">
        <v>84</v>
      </c>
      <c r="G27" s="20" t="s">
        <v>516</v>
      </c>
      <c r="I27" t="s">
        <v>494</v>
      </c>
      <c r="J27" t="s">
        <v>498</v>
      </c>
      <c r="K27" t="s">
        <v>517</v>
      </c>
      <c r="P27">
        <v>3</v>
      </c>
      <c r="Q27">
        <v>16</v>
      </c>
      <c r="R27">
        <v>10</v>
      </c>
      <c r="S27">
        <v>6</v>
      </c>
      <c r="T27">
        <v>8</v>
      </c>
      <c r="V27" s="20"/>
      <c r="W27" s="20"/>
    </row>
    <row r="28" ht="34" spans="3:23">
      <c r="C28" s="28"/>
      <c r="D28" s="8" t="s">
        <v>88</v>
      </c>
      <c r="E28" s="20" t="s">
        <v>84</v>
      </c>
      <c r="F28" s="20"/>
      <c r="G28" s="20" t="s">
        <v>518</v>
      </c>
      <c r="I28" t="s">
        <v>494</v>
      </c>
      <c r="K28" t="s">
        <v>489</v>
      </c>
      <c r="V28" s="8"/>
      <c r="W28" s="20"/>
    </row>
    <row r="29" ht="51" spans="3:23">
      <c r="C29" s="28"/>
      <c r="D29" s="8" t="s">
        <v>93</v>
      </c>
      <c r="E29" s="8" t="s">
        <v>84</v>
      </c>
      <c r="G29" s="20" t="s">
        <v>519</v>
      </c>
      <c r="I29" t="s">
        <v>497</v>
      </c>
      <c r="J29" t="s">
        <v>475</v>
      </c>
      <c r="K29" t="s">
        <v>499</v>
      </c>
      <c r="V29" s="8"/>
      <c r="W29" s="20"/>
    </row>
    <row r="30" ht="34" spans="3:23">
      <c r="C30" s="28"/>
      <c r="D30" s="8" t="s">
        <v>98</v>
      </c>
      <c r="E30" s="8" t="s">
        <v>84</v>
      </c>
      <c r="F30" s="20"/>
      <c r="G30" s="20" t="s">
        <v>520</v>
      </c>
      <c r="I30" t="s">
        <v>501</v>
      </c>
      <c r="J30" t="s">
        <v>498</v>
      </c>
      <c r="K30" t="s">
        <v>517</v>
      </c>
      <c r="V30" s="20"/>
      <c r="W30" s="8"/>
    </row>
    <row r="31" ht="51" spans="3:23">
      <c r="C31" s="28"/>
      <c r="D31" s="8" t="s">
        <v>103</v>
      </c>
      <c r="E31" s="8" t="s">
        <v>84</v>
      </c>
      <c r="F31" s="20"/>
      <c r="G31" s="20" t="s">
        <v>521</v>
      </c>
      <c r="I31" t="s">
        <v>501</v>
      </c>
      <c r="J31" t="s">
        <v>475</v>
      </c>
      <c r="K31" t="s">
        <v>489</v>
      </c>
      <c r="V31" s="20"/>
      <c r="W31" s="19"/>
    </row>
    <row r="32" ht="51" spans="3:11">
      <c r="C32" s="28"/>
      <c r="D32" s="8" t="s">
        <v>108</v>
      </c>
      <c r="E32" s="8" t="s">
        <v>36</v>
      </c>
      <c r="G32" s="20" t="s">
        <v>522</v>
      </c>
      <c r="I32" t="s">
        <v>494</v>
      </c>
      <c r="J32" t="s">
        <v>475</v>
      </c>
      <c r="K32" t="s">
        <v>512</v>
      </c>
    </row>
    <row r="33" spans="3:5">
      <c r="C33" s="28"/>
      <c r="E33" s="8" t="s">
        <v>36</v>
      </c>
    </row>
    <row r="34" spans="3:7">
      <c r="C34" s="28"/>
      <c r="E34" s="8" t="s">
        <v>36</v>
      </c>
      <c r="F34" s="20"/>
      <c r="G34" s="20"/>
    </row>
    <row r="35" ht="34" spans="3:11">
      <c r="C35" s="28"/>
      <c r="D35" s="8" t="s">
        <v>114</v>
      </c>
      <c r="E35" s="8" t="s">
        <v>36</v>
      </c>
      <c r="G35" s="20" t="s">
        <v>523</v>
      </c>
      <c r="I35" t="s">
        <v>497</v>
      </c>
      <c r="J35" t="s">
        <v>476</v>
      </c>
      <c r="K35" t="s">
        <v>512</v>
      </c>
    </row>
    <row r="36" spans="3:5">
      <c r="C36" s="28"/>
      <c r="E36" s="8" t="s">
        <v>36</v>
      </c>
    </row>
    <row r="37" spans="3:7">
      <c r="C37" s="28"/>
      <c r="E37" s="8" t="s">
        <v>36</v>
      </c>
      <c r="F37" s="20"/>
      <c r="G37" s="20"/>
    </row>
    <row r="38" ht="51" spans="3:11">
      <c r="C38" s="28"/>
      <c r="D38" s="8" t="s">
        <v>117</v>
      </c>
      <c r="E38" s="8" t="s">
        <v>36</v>
      </c>
      <c r="G38" s="20" t="s">
        <v>524</v>
      </c>
      <c r="I38" t="s">
        <v>497</v>
      </c>
      <c r="J38" t="s">
        <v>498</v>
      </c>
      <c r="K38" t="s">
        <v>489</v>
      </c>
    </row>
    <row r="39" spans="3:7">
      <c r="C39" s="28"/>
      <c r="E39" s="8" t="s">
        <v>36</v>
      </c>
      <c r="F39" s="20"/>
      <c r="G39" s="20"/>
    </row>
    <row r="40" ht="17" spans="3:5">
      <c r="C40" s="28"/>
      <c r="D40" s="20"/>
      <c r="E40" s="20" t="s">
        <v>36</v>
      </c>
    </row>
    <row r="41" ht="34" spans="3:10">
      <c r="C41" s="28"/>
      <c r="D41" s="20" t="s">
        <v>120</v>
      </c>
      <c r="E41" s="20" t="s">
        <v>36</v>
      </c>
      <c r="F41" s="20"/>
      <c r="G41" s="20" t="s">
        <v>525</v>
      </c>
      <c r="I41" t="s">
        <v>501</v>
      </c>
      <c r="J41" t="s">
        <v>492</v>
      </c>
    </row>
    <row r="42" spans="3:5">
      <c r="C42" s="28"/>
      <c r="E42" s="8" t="s">
        <v>36</v>
      </c>
    </row>
    <row r="43" ht="17" spans="3:7">
      <c r="C43" s="28"/>
      <c r="D43" s="20"/>
      <c r="E43" s="20" t="s">
        <v>36</v>
      </c>
      <c r="F43" s="20"/>
      <c r="G43" s="20"/>
    </row>
    <row r="44" ht="34" spans="3:11">
      <c r="C44" s="28"/>
      <c r="D44" s="8" t="s">
        <v>123</v>
      </c>
      <c r="E44" s="1" t="s">
        <v>143</v>
      </c>
      <c r="G44" s="20" t="s">
        <v>526</v>
      </c>
      <c r="I44" t="s">
        <v>488</v>
      </c>
      <c r="J44" t="s">
        <v>476</v>
      </c>
      <c r="K44" t="s">
        <v>495</v>
      </c>
    </row>
    <row r="45" spans="3:7">
      <c r="C45" s="28"/>
      <c r="D45" s="20"/>
      <c r="E45" s="1" t="s">
        <v>29</v>
      </c>
      <c r="F45" s="20"/>
      <c r="G45" s="20"/>
    </row>
    <row r="46" ht="34" spans="3:19">
      <c r="C46" s="29" t="s">
        <v>527</v>
      </c>
      <c r="D46" s="15" t="s">
        <v>126</v>
      </c>
      <c r="E46" s="8" t="s">
        <v>29</v>
      </c>
      <c r="F46" s="8">
        <v>40</v>
      </c>
      <c r="G46" s="20" t="s">
        <v>528</v>
      </c>
      <c r="I46" t="s">
        <v>501</v>
      </c>
      <c r="P46">
        <v>4</v>
      </c>
      <c r="Q46">
        <v>25</v>
      </c>
      <c r="R46">
        <v>16</v>
      </c>
      <c r="S46">
        <v>10</v>
      </c>
    </row>
    <row r="47" spans="3:5">
      <c r="C47" s="29"/>
      <c r="E47" s="8" t="s">
        <v>29</v>
      </c>
    </row>
    <row r="48" ht="34" spans="3:9">
      <c r="C48" s="29"/>
      <c r="D48" s="15" t="s">
        <v>129</v>
      </c>
      <c r="E48" s="8" t="s">
        <v>29</v>
      </c>
      <c r="F48" s="8">
        <v>40</v>
      </c>
      <c r="G48" s="20" t="s">
        <v>529</v>
      </c>
      <c r="I48" t="s">
        <v>497</v>
      </c>
    </row>
    <row r="49" spans="3:5">
      <c r="C49" s="29"/>
      <c r="E49" s="8" t="s">
        <v>29</v>
      </c>
    </row>
    <row r="50" ht="68" spans="3:11">
      <c r="C50" s="29"/>
      <c r="D50" s="15" t="s">
        <v>132</v>
      </c>
      <c r="E50" s="8" t="s">
        <v>29</v>
      </c>
      <c r="F50" s="8">
        <v>40</v>
      </c>
      <c r="G50" s="20" t="s">
        <v>530</v>
      </c>
      <c r="I50" t="s">
        <v>494</v>
      </c>
      <c r="J50" t="s">
        <v>476</v>
      </c>
      <c r="K50" t="s">
        <v>517</v>
      </c>
    </row>
    <row r="51" spans="3:5">
      <c r="C51" s="29"/>
      <c r="E51" s="8" t="s">
        <v>29</v>
      </c>
    </row>
    <row r="52" ht="51" spans="3:11">
      <c r="C52" s="29"/>
      <c r="D52" s="15" t="s">
        <v>135</v>
      </c>
      <c r="E52" s="8" t="s">
        <v>29</v>
      </c>
      <c r="F52" s="8">
        <v>40</v>
      </c>
      <c r="G52" s="20" t="s">
        <v>531</v>
      </c>
      <c r="I52" t="s">
        <v>494</v>
      </c>
      <c r="J52" t="s">
        <v>475</v>
      </c>
      <c r="K52" t="s">
        <v>512</v>
      </c>
    </row>
    <row r="53" ht="17.6" spans="3:7">
      <c r="C53" s="29"/>
      <c r="D53" s="15"/>
      <c r="E53" s="8" t="s">
        <v>29</v>
      </c>
      <c r="G53" s="20"/>
    </row>
    <row r="54" ht="51" spans="3:11">
      <c r="C54" s="29"/>
      <c r="D54" s="15" t="s">
        <v>138</v>
      </c>
      <c r="E54" s="8" t="s">
        <v>29</v>
      </c>
      <c r="F54" s="8">
        <v>40</v>
      </c>
      <c r="G54" s="20" t="s">
        <v>532</v>
      </c>
      <c r="I54" t="s">
        <v>501</v>
      </c>
      <c r="J54" t="s">
        <v>498</v>
      </c>
      <c r="K54" t="s">
        <v>506</v>
      </c>
    </row>
    <row r="55" spans="3:5">
      <c r="C55" s="29"/>
      <c r="E55" s="8" t="s">
        <v>29</v>
      </c>
    </row>
    <row r="56" ht="51" spans="3:9">
      <c r="C56" s="29"/>
      <c r="D56" s="30" t="s">
        <v>141</v>
      </c>
      <c r="E56" s="8" t="s">
        <v>29</v>
      </c>
      <c r="F56" s="8">
        <v>40</v>
      </c>
      <c r="G56" s="20" t="s">
        <v>533</v>
      </c>
      <c r="I56" t="s">
        <v>497</v>
      </c>
    </row>
    <row r="57" spans="3:5">
      <c r="C57" s="29"/>
      <c r="E57" s="8" t="s">
        <v>143</v>
      </c>
    </row>
    <row r="58" spans="3:5">
      <c r="C58" s="29"/>
      <c r="E58" s="8" t="s">
        <v>143</v>
      </c>
    </row>
    <row r="59" ht="68" spans="3:19">
      <c r="C59" s="31" t="s">
        <v>534</v>
      </c>
      <c r="D59" s="10" t="s">
        <v>145</v>
      </c>
      <c r="E59" s="1" t="s">
        <v>84</v>
      </c>
      <c r="F59" s="8">
        <v>60</v>
      </c>
      <c r="G59" s="19" t="s">
        <v>535</v>
      </c>
      <c r="I59" t="s">
        <v>501</v>
      </c>
      <c r="J59" t="s">
        <v>476</v>
      </c>
      <c r="K59" t="s">
        <v>517</v>
      </c>
      <c r="P59">
        <v>4</v>
      </c>
      <c r="Q59">
        <v>50</v>
      </c>
      <c r="R59">
        <v>30</v>
      </c>
      <c r="S59">
        <v>15</v>
      </c>
    </row>
    <row r="60" spans="3:5">
      <c r="C60" s="31"/>
      <c r="E60" s="1" t="s">
        <v>84</v>
      </c>
    </row>
    <row r="61" ht="51" spans="3:11">
      <c r="C61" s="31"/>
      <c r="D61" s="30" t="s">
        <v>148</v>
      </c>
      <c r="E61" s="1" t="s">
        <v>84</v>
      </c>
      <c r="F61" s="8">
        <v>60</v>
      </c>
      <c r="G61" s="20" t="s">
        <v>536</v>
      </c>
      <c r="I61" t="s">
        <v>497</v>
      </c>
      <c r="J61" t="s">
        <v>476</v>
      </c>
      <c r="K61" t="s">
        <v>512</v>
      </c>
    </row>
    <row r="62" spans="3:5">
      <c r="C62" s="31"/>
      <c r="E62" s="1" t="s">
        <v>84</v>
      </c>
    </row>
    <row r="63" ht="51" spans="3:11">
      <c r="C63" s="31"/>
      <c r="D63" s="15" t="s">
        <v>151</v>
      </c>
      <c r="E63" s="1" t="s">
        <v>84</v>
      </c>
      <c r="G63" s="19" t="s">
        <v>537</v>
      </c>
      <c r="I63" t="s">
        <v>494</v>
      </c>
      <c r="J63" t="s">
        <v>476</v>
      </c>
      <c r="K63" t="s">
        <v>489</v>
      </c>
    </row>
    <row r="64" spans="3:7">
      <c r="C64" s="31"/>
      <c r="E64" s="1" t="s">
        <v>84</v>
      </c>
      <c r="F64" s="20"/>
      <c r="G64" s="1"/>
    </row>
    <row r="65" ht="68" spans="3:11">
      <c r="C65" s="31"/>
      <c r="D65" s="15" t="s">
        <v>154</v>
      </c>
      <c r="E65" s="1" t="s">
        <v>29</v>
      </c>
      <c r="G65" s="19" t="s">
        <v>538</v>
      </c>
      <c r="I65" t="s">
        <v>501</v>
      </c>
      <c r="J65" t="s">
        <v>476</v>
      </c>
      <c r="K65" t="s">
        <v>489</v>
      </c>
    </row>
    <row r="66" spans="3:11">
      <c r="C66" s="31"/>
      <c r="E66" s="1" t="s">
        <v>29</v>
      </c>
      <c r="G66" s="1"/>
      <c r="K66" s="19"/>
    </row>
    <row r="67" spans="3:11">
      <c r="C67" s="31"/>
      <c r="E67" s="1" t="s">
        <v>29</v>
      </c>
      <c r="F67" s="20"/>
      <c r="G67" s="1"/>
      <c r="K67" s="1"/>
    </row>
    <row r="68" ht="34" spans="3:11">
      <c r="C68" s="31"/>
      <c r="D68" s="15" t="s">
        <v>157</v>
      </c>
      <c r="E68" s="1" t="s">
        <v>29</v>
      </c>
      <c r="G68" s="19" t="s">
        <v>539</v>
      </c>
      <c r="I68" t="s">
        <v>494</v>
      </c>
      <c r="K68" s="19"/>
    </row>
    <row r="69" spans="3:7">
      <c r="C69" s="31"/>
      <c r="D69" s="1"/>
      <c r="E69" s="1" t="s">
        <v>29</v>
      </c>
      <c r="G69" s="1"/>
    </row>
    <row r="70" spans="3:7">
      <c r="C70" s="31"/>
      <c r="D70" s="1"/>
      <c r="E70" s="1" t="s">
        <v>29</v>
      </c>
      <c r="F70" s="20"/>
      <c r="G70" s="19"/>
    </row>
    <row r="71" ht="34" spans="3:9">
      <c r="C71" s="31"/>
      <c r="D71" s="8" t="s">
        <v>160</v>
      </c>
      <c r="E71" s="1" t="s">
        <v>29</v>
      </c>
      <c r="G71" s="19" t="s">
        <v>540</v>
      </c>
      <c r="I71" t="s">
        <v>497</v>
      </c>
    </row>
    <row r="72" spans="3:7">
      <c r="C72" s="31"/>
      <c r="D72" s="1"/>
      <c r="E72" s="1" t="s">
        <v>29</v>
      </c>
      <c r="F72" s="20"/>
      <c r="G72" s="19"/>
    </row>
    <row r="73" spans="3:7">
      <c r="C73" s="31"/>
      <c r="E73" s="1" t="s">
        <v>29</v>
      </c>
      <c r="G73" s="1"/>
    </row>
    <row r="74" ht="34" spans="3:7">
      <c r="C74" s="20" t="s">
        <v>541</v>
      </c>
      <c r="D74" s="15" t="s">
        <v>163</v>
      </c>
      <c r="E74" s="1" t="s">
        <v>84</v>
      </c>
      <c r="F74" s="1">
        <v>110</v>
      </c>
      <c r="G74" s="19" t="s">
        <v>542</v>
      </c>
    </row>
    <row r="75" spans="3:7">
      <c r="C75" s="20"/>
      <c r="E75" s="1" t="s">
        <v>84</v>
      </c>
      <c r="F75" s="1"/>
      <c r="G75" s="19"/>
    </row>
    <row r="76" spans="3:7">
      <c r="C76" s="20"/>
      <c r="E76" s="1" t="s">
        <v>84</v>
      </c>
      <c r="F76" s="1"/>
      <c r="G76" s="1"/>
    </row>
    <row r="77" ht="34" spans="3:7">
      <c r="C77" s="20"/>
      <c r="D77" s="15" t="s">
        <v>166</v>
      </c>
      <c r="E77" s="1" t="s">
        <v>84</v>
      </c>
      <c r="F77" s="1">
        <v>90</v>
      </c>
      <c r="G77" s="20" t="s">
        <v>543</v>
      </c>
    </row>
    <row r="78" spans="3:7">
      <c r="C78" s="20"/>
      <c r="E78" s="1" t="s">
        <v>84</v>
      </c>
      <c r="F78" s="1"/>
      <c r="G78" s="1"/>
    </row>
    <row r="79" spans="3:7">
      <c r="C79" s="20"/>
      <c r="E79" s="1" t="s">
        <v>84</v>
      </c>
      <c r="F79" s="1"/>
      <c r="G79" s="1"/>
    </row>
    <row r="80" ht="17.6" spans="3:7">
      <c r="C80" s="20"/>
      <c r="D80" s="15" t="s">
        <v>169</v>
      </c>
      <c r="E80" s="1" t="s">
        <v>84</v>
      </c>
      <c r="F80" s="1">
        <v>120</v>
      </c>
      <c r="G80" s="1" t="s">
        <v>544</v>
      </c>
    </row>
    <row r="81" spans="4:7">
      <c r="D81" s="1"/>
      <c r="E81" s="1" t="s">
        <v>84</v>
      </c>
      <c r="F81" s="1"/>
      <c r="G81" s="1"/>
    </row>
    <row r="82" spans="3:7">
      <c r="C82" s="20"/>
      <c r="D82" s="1"/>
      <c r="E82" s="1" t="s">
        <v>84</v>
      </c>
      <c r="F82" s="1"/>
      <c r="G82" s="1"/>
    </row>
    <row r="83" spans="4:7">
      <c r="D83" s="1"/>
      <c r="E83" s="1" t="s">
        <v>84</v>
      </c>
      <c r="F83" s="1"/>
      <c r="G83" s="1"/>
    </row>
    <row r="88" ht="51" spans="7:7">
      <c r="G88" s="19" t="s">
        <v>545</v>
      </c>
    </row>
  </sheetData>
  <mergeCells count="6">
    <mergeCell ref="C5:C10"/>
    <mergeCell ref="C11:C26"/>
    <mergeCell ref="C27:C45"/>
    <mergeCell ref="C46:C58"/>
    <mergeCell ref="C59:C73"/>
    <mergeCell ref="C74:C80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94"/>
  <sheetViews>
    <sheetView workbookViewId="0">
      <selection activeCell="A1" sqref="A1"/>
    </sheetView>
  </sheetViews>
  <sheetFormatPr defaultColWidth="9.23076923076923" defaultRowHeight="16.8"/>
  <cols>
    <col min="1" max="1" width="56.8846153846154" style="1" customWidth="1"/>
    <col min="2" max="2" width="9.23076923076923" style="1"/>
    <col min="3" max="3" width="9.23076923076923" style="1" customWidth="1"/>
    <col min="4" max="4" width="11.5384615384615" style="1" customWidth="1"/>
    <col min="5" max="5" width="22.7596153846154" style="1" customWidth="1"/>
    <col min="6" max="6" width="16.4807692307692" style="1" customWidth="1"/>
    <col min="7" max="7" width="28.8461538461538" style="1" customWidth="1"/>
    <col min="8" max="10" width="7.53846153846154" style="8" customWidth="1"/>
    <col min="11" max="11" width="21.3076923076923" style="8" customWidth="1"/>
    <col min="12" max="12" width="14.0961538461538" style="8" customWidth="1"/>
    <col min="13" max="13" width="28.8461538461538" style="8" customWidth="1"/>
    <col min="14" max="14" width="16.0288461538462" style="8" customWidth="1"/>
    <col min="15" max="16" width="28.8461538461538" style="8" customWidth="1"/>
    <col min="17" max="17" width="21.0576923076923" style="1" customWidth="1"/>
    <col min="18" max="18" width="19.0673076923077" style="1" customWidth="1"/>
    <col min="19" max="20" width="16.3846153846154" style="1" customWidth="1"/>
    <col min="21" max="21" width="46.4711538461538" style="1" customWidth="1"/>
    <col min="22" max="23" width="9.23076923076923" style="1" customWidth="1"/>
    <col min="24" max="24" width="11.4615384615385" style="1" customWidth="1"/>
    <col min="25" max="29" width="9.23076923076923" style="1" customWidth="1"/>
    <col min="30" max="30" width="20.9903846153846" style="1" customWidth="1"/>
    <col min="31" max="31" width="106.134615384615" style="1" customWidth="1"/>
    <col min="32" max="16384" width="9.23076923076923" style="1" customWidth="1"/>
  </cols>
  <sheetData>
    <row r="1" ht="134" customHeight="1" spans="1:1">
      <c r="A1" s="9"/>
    </row>
    <row r="4" ht="18" customHeight="1" spans="3:22">
      <c r="C4" s="1" t="s">
        <v>1</v>
      </c>
      <c r="D4" s="10" t="s">
        <v>469</v>
      </c>
      <c r="E4" s="10" t="s">
        <v>470</v>
      </c>
      <c r="F4" s="10" t="s">
        <v>471</v>
      </c>
      <c r="G4" s="10" t="s">
        <v>472</v>
      </c>
      <c r="H4" s="15"/>
      <c r="I4" s="15"/>
      <c r="J4" s="1" t="s">
        <v>1</v>
      </c>
      <c r="K4" s="1"/>
      <c r="L4" s="10" t="s">
        <v>469</v>
      </c>
      <c r="M4" s="10" t="s">
        <v>470</v>
      </c>
      <c r="N4" s="10" t="s">
        <v>471</v>
      </c>
      <c r="O4" s="10" t="s">
        <v>472</v>
      </c>
      <c r="P4" s="15"/>
      <c r="Q4" s="10" t="s">
        <v>546</v>
      </c>
      <c r="R4" s="10" t="s">
        <v>547</v>
      </c>
      <c r="S4" s="10" t="s">
        <v>548</v>
      </c>
      <c r="T4" s="10" t="s">
        <v>549</v>
      </c>
      <c r="U4" s="10" t="s">
        <v>550</v>
      </c>
      <c r="V4" s="1" t="s">
        <v>551</v>
      </c>
    </row>
    <row r="5" ht="34" spans="3:23">
      <c r="C5" s="1">
        <v>1</v>
      </c>
      <c r="D5" s="10" t="s">
        <v>552</v>
      </c>
      <c r="E5" s="1" t="s">
        <v>36</v>
      </c>
      <c r="F5" s="1">
        <v>10</v>
      </c>
      <c r="G5" s="17" t="s">
        <v>553</v>
      </c>
      <c r="H5" s="18"/>
      <c r="I5" s="18"/>
      <c r="J5" s="18"/>
      <c r="K5" s="23" t="s">
        <v>478</v>
      </c>
      <c r="L5" s="18" t="s">
        <v>198</v>
      </c>
      <c r="M5" s="18" t="s">
        <v>29</v>
      </c>
      <c r="N5" s="18">
        <v>20</v>
      </c>
      <c r="O5" s="18" t="s">
        <v>479</v>
      </c>
      <c r="P5" s="18"/>
      <c r="Q5" s="1" t="s">
        <v>475</v>
      </c>
      <c r="R5" s="1" t="s">
        <v>554</v>
      </c>
      <c r="S5" s="1" t="s">
        <v>555</v>
      </c>
      <c r="T5" s="1" t="s">
        <v>556</v>
      </c>
      <c r="U5" s="1" t="s">
        <v>557</v>
      </c>
      <c r="V5" s="1">
        <v>3</v>
      </c>
      <c r="W5" s="1">
        <f>V5*10</f>
        <v>30</v>
      </c>
    </row>
    <row r="6" ht="51" spans="3:23">
      <c r="C6" s="1">
        <v>2</v>
      </c>
      <c r="D6" s="11" t="s">
        <v>558</v>
      </c>
      <c r="E6" s="1" t="s">
        <v>36</v>
      </c>
      <c r="F6" s="1">
        <v>10</v>
      </c>
      <c r="G6" s="19" t="s">
        <v>559</v>
      </c>
      <c r="H6" s="20"/>
      <c r="I6" s="20"/>
      <c r="J6" s="20"/>
      <c r="K6" s="23"/>
      <c r="L6" s="18" t="s">
        <v>199</v>
      </c>
      <c r="M6" s="8" t="s">
        <v>29</v>
      </c>
      <c r="N6" s="8">
        <v>20</v>
      </c>
      <c r="O6" s="20" t="s">
        <v>480</v>
      </c>
      <c r="P6" s="20"/>
      <c r="Q6" s="1" t="s">
        <v>498</v>
      </c>
      <c r="R6" s="1" t="s">
        <v>554</v>
      </c>
      <c r="S6" s="1" t="s">
        <v>497</v>
      </c>
      <c r="T6" s="1" t="s">
        <v>560</v>
      </c>
      <c r="U6" s="1" t="s">
        <v>561</v>
      </c>
      <c r="V6" s="1">
        <v>5</v>
      </c>
      <c r="W6" s="1">
        <f>V6*3*2</f>
        <v>30</v>
      </c>
    </row>
    <row r="7" ht="34" spans="3:23">
      <c r="C7" s="1">
        <v>3</v>
      </c>
      <c r="D7" s="10" t="s">
        <v>562</v>
      </c>
      <c r="E7" s="1" t="s">
        <v>36</v>
      </c>
      <c r="F7" s="1">
        <v>40</v>
      </c>
      <c r="G7" s="19" t="s">
        <v>563</v>
      </c>
      <c r="H7" s="20"/>
      <c r="I7" s="20"/>
      <c r="J7" s="20"/>
      <c r="K7" s="23"/>
      <c r="L7" s="18" t="s">
        <v>200</v>
      </c>
      <c r="M7" s="20" t="s">
        <v>36</v>
      </c>
      <c r="N7" s="20">
        <v>20</v>
      </c>
      <c r="O7" s="20" t="s">
        <v>481</v>
      </c>
      <c r="P7" s="20"/>
      <c r="Q7" s="1" t="s">
        <v>498</v>
      </c>
      <c r="R7" s="1" t="s">
        <v>554</v>
      </c>
      <c r="S7" s="1" t="s">
        <v>555</v>
      </c>
      <c r="T7" s="1" t="s">
        <v>556</v>
      </c>
      <c r="U7" s="1" t="s">
        <v>564</v>
      </c>
      <c r="W7" s="1">
        <v>30</v>
      </c>
    </row>
    <row r="8" ht="34" spans="3:22">
      <c r="C8" s="1">
        <v>4</v>
      </c>
      <c r="D8" s="12" t="s">
        <v>565</v>
      </c>
      <c r="E8" s="1" t="s">
        <v>36</v>
      </c>
      <c r="F8" s="1">
        <v>10</v>
      </c>
      <c r="G8" s="19" t="s">
        <v>566</v>
      </c>
      <c r="H8" s="20"/>
      <c r="I8" s="20"/>
      <c r="J8" s="20"/>
      <c r="K8" s="23"/>
      <c r="M8" s="20" t="s">
        <v>36</v>
      </c>
      <c r="N8" s="20"/>
      <c r="O8" s="20"/>
      <c r="P8" s="20"/>
      <c r="Q8" s="1" t="s">
        <v>492</v>
      </c>
      <c r="R8" s="1" t="s">
        <v>567</v>
      </c>
      <c r="S8" s="1" t="s">
        <v>568</v>
      </c>
      <c r="T8" s="1" t="s">
        <v>492</v>
      </c>
      <c r="U8" s="1" t="s">
        <v>569</v>
      </c>
      <c r="V8" s="1">
        <v>2</v>
      </c>
    </row>
    <row r="9" ht="34" spans="3:24">
      <c r="C9" s="1">
        <v>5</v>
      </c>
      <c r="D9" s="10" t="s">
        <v>48</v>
      </c>
      <c r="E9" s="1" t="s">
        <v>36</v>
      </c>
      <c r="F9" s="1">
        <v>10</v>
      </c>
      <c r="G9" s="19" t="s">
        <v>570</v>
      </c>
      <c r="H9" s="20"/>
      <c r="I9" s="20"/>
      <c r="J9" s="20"/>
      <c r="K9" s="23"/>
      <c r="L9" s="18" t="s">
        <v>201</v>
      </c>
      <c r="M9" s="20" t="s">
        <v>36</v>
      </c>
      <c r="N9" s="20">
        <v>20</v>
      </c>
      <c r="O9" s="20" t="s">
        <v>482</v>
      </c>
      <c r="P9" s="20"/>
      <c r="Q9" s="1" t="s">
        <v>498</v>
      </c>
      <c r="R9" s="1" t="s">
        <v>554</v>
      </c>
      <c r="S9" s="1" t="s">
        <v>555</v>
      </c>
      <c r="T9" s="1" t="s">
        <v>556</v>
      </c>
      <c r="U9" s="1" t="s">
        <v>571</v>
      </c>
      <c r="V9" s="1">
        <v>8</v>
      </c>
      <c r="W9" s="1">
        <v>8</v>
      </c>
      <c r="X9" s="1" t="s">
        <v>572</v>
      </c>
    </row>
    <row r="10" ht="34" spans="3:23">
      <c r="C10" s="1">
        <v>6</v>
      </c>
      <c r="D10" s="10" t="s">
        <v>71</v>
      </c>
      <c r="E10" s="1" t="s">
        <v>36</v>
      </c>
      <c r="F10" s="1">
        <v>10</v>
      </c>
      <c r="G10" s="19" t="s">
        <v>573</v>
      </c>
      <c r="H10" s="20"/>
      <c r="I10" s="20"/>
      <c r="J10" s="20"/>
      <c r="K10" s="23"/>
      <c r="M10" s="8" t="s">
        <v>36</v>
      </c>
      <c r="O10" s="20"/>
      <c r="P10" s="20"/>
      <c r="Q10" s="1" t="s">
        <v>475</v>
      </c>
      <c r="R10" s="1" t="s">
        <v>574</v>
      </c>
      <c r="S10" s="1" t="s">
        <v>555</v>
      </c>
      <c r="T10" s="1" t="s">
        <v>556</v>
      </c>
      <c r="U10" s="1" t="s">
        <v>575</v>
      </c>
      <c r="V10" s="1">
        <v>0.4</v>
      </c>
      <c r="W10" s="1">
        <v>20</v>
      </c>
    </row>
    <row r="11" ht="34" spans="3:23">
      <c r="C11" s="1">
        <v>7</v>
      </c>
      <c r="D11" s="10" t="s">
        <v>576</v>
      </c>
      <c r="E11" s="1" t="s">
        <v>36</v>
      </c>
      <c r="F11" s="1">
        <v>10</v>
      </c>
      <c r="G11" s="19" t="s">
        <v>577</v>
      </c>
      <c r="H11" s="20"/>
      <c r="I11" s="20"/>
      <c r="J11" s="20"/>
      <c r="K11" s="24" t="s">
        <v>486</v>
      </c>
      <c r="L11" s="10" t="s">
        <v>41</v>
      </c>
      <c r="M11" s="8" t="s">
        <v>29</v>
      </c>
      <c r="N11" s="8">
        <v>20</v>
      </c>
      <c r="O11" s="17" t="s">
        <v>578</v>
      </c>
      <c r="P11" s="20"/>
      <c r="Q11" s="1" t="s">
        <v>498</v>
      </c>
      <c r="R11" s="1" t="s">
        <v>567</v>
      </c>
      <c r="S11" s="1" t="s">
        <v>555</v>
      </c>
      <c r="T11" s="1" t="s">
        <v>556</v>
      </c>
      <c r="U11" s="1" t="s">
        <v>579</v>
      </c>
      <c r="V11" s="1">
        <v>10</v>
      </c>
      <c r="W11" s="1">
        <v>30</v>
      </c>
    </row>
    <row r="12" ht="34" spans="3:30">
      <c r="C12" s="1">
        <v>8</v>
      </c>
      <c r="D12" s="11" t="s">
        <v>580</v>
      </c>
      <c r="E12" s="1" t="s">
        <v>36</v>
      </c>
      <c r="F12" s="1">
        <v>10</v>
      </c>
      <c r="G12" s="19" t="s">
        <v>581</v>
      </c>
      <c r="H12" s="20"/>
      <c r="K12" s="24"/>
      <c r="L12" s="8" t="s">
        <v>44</v>
      </c>
      <c r="M12" s="8" t="s">
        <v>29</v>
      </c>
      <c r="N12" s="20">
        <v>20</v>
      </c>
      <c r="O12" s="20" t="s">
        <v>582</v>
      </c>
      <c r="P12" s="20"/>
      <c r="Q12" s="1" t="s">
        <v>583</v>
      </c>
      <c r="R12" s="1" t="s">
        <v>574</v>
      </c>
      <c r="S12" s="1" t="s">
        <v>497</v>
      </c>
      <c r="T12" s="1" t="s">
        <v>556</v>
      </c>
      <c r="U12" s="1" t="s">
        <v>584</v>
      </c>
      <c r="V12" s="1">
        <v>5</v>
      </c>
      <c r="W12" s="1">
        <v>5</v>
      </c>
      <c r="AD12" s="1" t="s">
        <v>585</v>
      </c>
    </row>
    <row r="13" ht="51" spans="3:23">
      <c r="C13" s="1">
        <v>9</v>
      </c>
      <c r="D13" s="10" t="s">
        <v>41</v>
      </c>
      <c r="E13" s="1" t="s">
        <v>36</v>
      </c>
      <c r="F13" s="1">
        <v>10</v>
      </c>
      <c r="G13" s="19" t="s">
        <v>586</v>
      </c>
      <c r="I13" s="8">
        <v>4</v>
      </c>
      <c r="J13" s="8">
        <v>2</v>
      </c>
      <c r="K13" s="24"/>
      <c r="L13" s="8" t="s">
        <v>48</v>
      </c>
      <c r="M13" s="8" t="s">
        <v>29</v>
      </c>
      <c r="N13" s="8">
        <v>20</v>
      </c>
      <c r="O13" s="20" t="s">
        <v>587</v>
      </c>
      <c r="P13" s="20"/>
      <c r="Q13" s="1" t="s">
        <v>475</v>
      </c>
      <c r="R13" s="1" t="s">
        <v>554</v>
      </c>
      <c r="S13" s="1" t="s">
        <v>555</v>
      </c>
      <c r="T13" s="1" t="s">
        <v>588</v>
      </c>
      <c r="U13" s="1" t="s">
        <v>589</v>
      </c>
      <c r="V13" s="1">
        <v>0.15</v>
      </c>
      <c r="W13" s="1">
        <f>V13*3*5</f>
        <v>2.25</v>
      </c>
    </row>
    <row r="14" ht="51" spans="3:31">
      <c r="C14" s="1">
        <v>10</v>
      </c>
      <c r="D14" s="12" t="s">
        <v>590</v>
      </c>
      <c r="E14" s="1" t="s">
        <v>36</v>
      </c>
      <c r="F14" s="1">
        <v>10</v>
      </c>
      <c r="G14" s="1" t="s">
        <v>591</v>
      </c>
      <c r="I14" s="8">
        <v>2</v>
      </c>
      <c r="J14" s="8">
        <v>2</v>
      </c>
      <c r="K14" s="24"/>
      <c r="L14" s="8" t="s">
        <v>51</v>
      </c>
      <c r="M14" s="8" t="s">
        <v>29</v>
      </c>
      <c r="N14" s="20">
        <v>20</v>
      </c>
      <c r="O14" s="20" t="s">
        <v>592</v>
      </c>
      <c r="Q14" s="1" t="s">
        <v>492</v>
      </c>
      <c r="R14" s="1" t="s">
        <v>554</v>
      </c>
      <c r="S14" s="1" t="s">
        <v>593</v>
      </c>
      <c r="T14" s="1" t="s">
        <v>492</v>
      </c>
      <c r="U14" s="1" t="s">
        <v>594</v>
      </c>
      <c r="V14" s="1">
        <v>8</v>
      </c>
      <c r="AC14" s="1" t="s">
        <v>595</v>
      </c>
      <c r="AD14" s="1" t="s">
        <v>596</v>
      </c>
      <c r="AE14" s="1" t="s">
        <v>597</v>
      </c>
    </row>
    <row r="15" ht="51" spans="3:31">
      <c r="C15" s="1">
        <v>11</v>
      </c>
      <c r="D15" s="11" t="s">
        <v>51</v>
      </c>
      <c r="E15" s="1" t="s">
        <v>36</v>
      </c>
      <c r="F15" s="1">
        <v>10</v>
      </c>
      <c r="G15" s="21" t="s">
        <v>598</v>
      </c>
      <c r="H15" s="20"/>
      <c r="I15" s="20">
        <v>1</v>
      </c>
      <c r="J15" s="20">
        <v>3</v>
      </c>
      <c r="K15" s="24"/>
      <c r="L15" s="8" t="s">
        <v>98</v>
      </c>
      <c r="M15" s="8" t="s">
        <v>29</v>
      </c>
      <c r="N15" s="8">
        <v>20</v>
      </c>
      <c r="O15" s="20" t="s">
        <v>599</v>
      </c>
      <c r="P15" s="20"/>
      <c r="Q15" s="1" t="s">
        <v>475</v>
      </c>
      <c r="R15" s="1" t="s">
        <v>567</v>
      </c>
      <c r="S15" s="1" t="s">
        <v>497</v>
      </c>
      <c r="T15" s="1" t="s">
        <v>560</v>
      </c>
      <c r="U15" s="1" t="s">
        <v>600</v>
      </c>
      <c r="V15" s="1">
        <v>0.2</v>
      </c>
      <c r="W15" s="1">
        <f>2*5*0.2</f>
        <v>2</v>
      </c>
      <c r="AC15" s="1" t="s">
        <v>601</v>
      </c>
      <c r="AD15" s="1" t="s">
        <v>602</v>
      </c>
      <c r="AE15" s="1" t="s">
        <v>603</v>
      </c>
    </row>
    <row r="16" ht="34" spans="3:31">
      <c r="C16" s="1">
        <v>12</v>
      </c>
      <c r="D16" s="1" t="s">
        <v>604</v>
      </c>
      <c r="E16" s="1" t="s">
        <v>36</v>
      </c>
      <c r="F16" s="1">
        <v>10</v>
      </c>
      <c r="G16" s="19" t="s">
        <v>605</v>
      </c>
      <c r="H16" s="20"/>
      <c r="I16" s="20"/>
      <c r="J16" s="20"/>
      <c r="K16" s="24"/>
      <c r="L16" s="8" t="s">
        <v>58</v>
      </c>
      <c r="M16" s="8" t="s">
        <v>29</v>
      </c>
      <c r="N16" s="20">
        <v>20</v>
      </c>
      <c r="O16" s="20" t="s">
        <v>606</v>
      </c>
      <c r="P16" s="20"/>
      <c r="Q16" s="1" t="s">
        <v>607</v>
      </c>
      <c r="R16" s="1" t="s">
        <v>574</v>
      </c>
      <c r="S16" s="1" t="s">
        <v>488</v>
      </c>
      <c r="T16" s="1" t="s">
        <v>607</v>
      </c>
      <c r="U16" s="1" t="s">
        <v>608</v>
      </c>
      <c r="Y16" s="1" t="s">
        <v>498</v>
      </c>
      <c r="Z16" s="1" t="s">
        <v>475</v>
      </c>
      <c r="AA16" s="1" t="s">
        <v>476</v>
      </c>
      <c r="AD16" s="1" t="s">
        <v>609</v>
      </c>
      <c r="AE16" s="1" t="s">
        <v>610</v>
      </c>
    </row>
    <row r="17" ht="51" spans="3:31">
      <c r="C17" s="1">
        <v>13</v>
      </c>
      <c r="D17" s="13" t="s">
        <v>611</v>
      </c>
      <c r="E17" s="1" t="s">
        <v>36</v>
      </c>
      <c r="F17" s="1">
        <v>10</v>
      </c>
      <c r="G17" s="19" t="s">
        <v>612</v>
      </c>
      <c r="H17" s="20"/>
      <c r="I17" s="20"/>
      <c r="J17" s="20"/>
      <c r="K17" s="24"/>
      <c r="L17" s="8" t="s">
        <v>62</v>
      </c>
      <c r="M17" s="20" t="s">
        <v>36</v>
      </c>
      <c r="N17" s="8">
        <v>20</v>
      </c>
      <c r="O17" s="20" t="s">
        <v>613</v>
      </c>
      <c r="P17" s="20"/>
      <c r="Q17" s="1" t="s">
        <v>492</v>
      </c>
      <c r="R17" s="1" t="s">
        <v>574</v>
      </c>
      <c r="S17" s="1" t="s">
        <v>593</v>
      </c>
      <c r="T17" s="1" t="s">
        <v>492</v>
      </c>
      <c r="U17" s="1" t="s">
        <v>614</v>
      </c>
      <c r="X17" s="1" t="s">
        <v>615</v>
      </c>
      <c r="Y17" s="1">
        <v>30</v>
      </c>
      <c r="Z17" s="1">
        <v>2</v>
      </c>
      <c r="AD17" s="1" t="s">
        <v>616</v>
      </c>
      <c r="AE17" s="1" t="s">
        <v>617</v>
      </c>
    </row>
    <row r="18" ht="51" spans="3:31">
      <c r="C18" s="1">
        <v>14</v>
      </c>
      <c r="D18" s="10" t="s">
        <v>618</v>
      </c>
      <c r="E18" s="1" t="s">
        <v>29</v>
      </c>
      <c r="F18" s="1">
        <v>20</v>
      </c>
      <c r="G18" s="19" t="s">
        <v>619</v>
      </c>
      <c r="H18" s="20"/>
      <c r="I18" s="20"/>
      <c r="J18" s="20"/>
      <c r="K18" s="24"/>
      <c r="M18" s="20" t="s">
        <v>36</v>
      </c>
      <c r="N18" s="20"/>
      <c r="O18" s="20"/>
      <c r="P18" s="20"/>
      <c r="Q18" s="1" t="s">
        <v>475</v>
      </c>
      <c r="R18" s="1" t="s">
        <v>620</v>
      </c>
      <c r="S18" s="1" t="s">
        <v>555</v>
      </c>
      <c r="T18" s="1" t="s">
        <v>556</v>
      </c>
      <c r="U18" s="1" t="s">
        <v>621</v>
      </c>
      <c r="V18" s="1">
        <v>1</v>
      </c>
      <c r="W18" s="1">
        <f>6*V18</f>
        <v>6</v>
      </c>
      <c r="X18" s="1" t="s">
        <v>622</v>
      </c>
      <c r="Y18" s="1">
        <v>90</v>
      </c>
      <c r="Z18" s="1">
        <v>6</v>
      </c>
      <c r="AA18" s="1">
        <v>2</v>
      </c>
      <c r="AC18" s="1" t="s">
        <v>623</v>
      </c>
      <c r="AD18" s="1" t="s">
        <v>624</v>
      </c>
      <c r="AE18" s="1" t="s">
        <v>625</v>
      </c>
    </row>
    <row r="19" ht="51" spans="3:31">
      <c r="C19" s="1">
        <v>15</v>
      </c>
      <c r="D19" s="12" t="s">
        <v>626</v>
      </c>
      <c r="E19" s="1" t="s">
        <v>36</v>
      </c>
      <c r="F19" s="1">
        <v>20</v>
      </c>
      <c r="G19" s="22" t="s">
        <v>627</v>
      </c>
      <c r="H19" s="20"/>
      <c r="I19" s="20"/>
      <c r="J19" s="20"/>
      <c r="K19" s="24"/>
      <c r="L19" s="8" t="s">
        <v>67</v>
      </c>
      <c r="M19" s="20" t="s">
        <v>36</v>
      </c>
      <c r="N19" s="8">
        <v>20</v>
      </c>
      <c r="O19" s="20" t="s">
        <v>628</v>
      </c>
      <c r="P19" s="20"/>
      <c r="Q19" s="1" t="s">
        <v>492</v>
      </c>
      <c r="R19" s="1" t="s">
        <v>620</v>
      </c>
      <c r="S19" s="1" t="s">
        <v>568</v>
      </c>
      <c r="T19" s="1" t="s">
        <v>492</v>
      </c>
      <c r="U19" s="1" t="s">
        <v>629</v>
      </c>
      <c r="X19" s="1" t="s">
        <v>630</v>
      </c>
      <c r="Y19" s="1">
        <v>150</v>
      </c>
      <c r="Z19" s="1">
        <v>12</v>
      </c>
      <c r="AA19" s="1">
        <v>4</v>
      </c>
      <c r="AD19" s="1" t="s">
        <v>631</v>
      </c>
      <c r="AE19" s="1" t="s">
        <v>632</v>
      </c>
    </row>
    <row r="20" ht="17" spans="5:31">
      <c r="E20" s="1" t="s">
        <v>36</v>
      </c>
      <c r="K20" s="24"/>
      <c r="M20" s="20" t="s">
        <v>36</v>
      </c>
      <c r="N20" s="20"/>
      <c r="O20" s="20"/>
      <c r="X20" s="1" t="s">
        <v>633</v>
      </c>
      <c r="Y20" s="1">
        <v>240</v>
      </c>
      <c r="Z20" s="1">
        <v>18</v>
      </c>
      <c r="AA20" s="1">
        <v>7</v>
      </c>
      <c r="AD20" s="1" t="s">
        <v>634</v>
      </c>
      <c r="AE20" s="1" t="s">
        <v>635</v>
      </c>
    </row>
    <row r="21" ht="51" spans="3:31">
      <c r="C21" s="1">
        <v>16</v>
      </c>
      <c r="D21" s="11" t="s">
        <v>636</v>
      </c>
      <c r="E21" s="1" t="s">
        <v>29</v>
      </c>
      <c r="F21" s="1">
        <v>20</v>
      </c>
      <c r="G21" s="19" t="s">
        <v>637</v>
      </c>
      <c r="H21" s="20"/>
      <c r="I21" s="20"/>
      <c r="J21" s="20"/>
      <c r="K21" s="24"/>
      <c r="L21" s="8" t="s">
        <v>71</v>
      </c>
      <c r="M21" s="20" t="s">
        <v>36</v>
      </c>
      <c r="N21" s="8">
        <v>20</v>
      </c>
      <c r="O21" s="20" t="s">
        <v>638</v>
      </c>
      <c r="P21" s="20"/>
      <c r="Q21" s="1" t="s">
        <v>476</v>
      </c>
      <c r="R21" s="1" t="s">
        <v>620</v>
      </c>
      <c r="S21" s="1" t="s">
        <v>639</v>
      </c>
      <c r="T21" s="1" t="s">
        <v>640</v>
      </c>
      <c r="U21" s="1" t="s">
        <v>641</v>
      </c>
      <c r="V21" s="1">
        <v>1.5</v>
      </c>
      <c r="W21" s="1">
        <f>3*V21*0.6</f>
        <v>2.7</v>
      </c>
      <c r="AD21" s="1" t="s">
        <v>642</v>
      </c>
      <c r="AE21" s="1" t="s">
        <v>643</v>
      </c>
    </row>
    <row r="22" ht="34" spans="3:31">
      <c r="C22" s="1">
        <v>17</v>
      </c>
      <c r="D22" s="11" t="s">
        <v>114</v>
      </c>
      <c r="E22" s="1" t="s">
        <v>29</v>
      </c>
      <c r="F22" s="1">
        <v>20</v>
      </c>
      <c r="G22" s="20" t="s">
        <v>644</v>
      </c>
      <c r="H22" s="20"/>
      <c r="I22" s="20"/>
      <c r="J22" s="20"/>
      <c r="K22" s="24"/>
      <c r="M22" s="20" t="s">
        <v>36</v>
      </c>
      <c r="N22" s="20"/>
      <c r="P22" s="20"/>
      <c r="Q22" s="1" t="s">
        <v>645</v>
      </c>
      <c r="R22" s="1" t="s">
        <v>646</v>
      </c>
      <c r="S22" s="1" t="s">
        <v>497</v>
      </c>
      <c r="T22" s="1" t="s">
        <v>647</v>
      </c>
      <c r="V22" s="1">
        <v>10</v>
      </c>
      <c r="W22" s="1">
        <f>V22*2*5</f>
        <v>100</v>
      </c>
      <c r="AC22" s="1" t="s">
        <v>648</v>
      </c>
      <c r="AD22" s="1" t="s">
        <v>649</v>
      </c>
      <c r="AE22" s="1" t="s">
        <v>650</v>
      </c>
    </row>
    <row r="23" ht="51" spans="3:31">
      <c r="C23" s="1">
        <v>18</v>
      </c>
      <c r="D23" s="14" t="s">
        <v>44</v>
      </c>
      <c r="E23" s="1" t="s">
        <v>29</v>
      </c>
      <c r="F23" s="1">
        <v>20</v>
      </c>
      <c r="G23" s="20" t="s">
        <v>651</v>
      </c>
      <c r="H23" s="20"/>
      <c r="I23" s="20"/>
      <c r="J23" s="20"/>
      <c r="K23" s="24"/>
      <c r="L23" s="8" t="s">
        <v>74</v>
      </c>
      <c r="M23" s="20" t="s">
        <v>36</v>
      </c>
      <c r="N23" s="8">
        <v>20</v>
      </c>
      <c r="O23" s="20" t="s">
        <v>511</v>
      </c>
      <c r="P23" s="20"/>
      <c r="Q23" s="1" t="s">
        <v>652</v>
      </c>
      <c r="R23" s="1" t="s">
        <v>646</v>
      </c>
      <c r="S23" s="1" t="s">
        <v>593</v>
      </c>
      <c r="T23" s="1" t="s">
        <v>492</v>
      </c>
      <c r="U23" s="1" t="s">
        <v>653</v>
      </c>
      <c r="AD23" s="1" t="s">
        <v>654</v>
      </c>
      <c r="AE23" s="1" t="s">
        <v>655</v>
      </c>
    </row>
    <row r="24" ht="51" spans="3:31">
      <c r="C24" s="1">
        <v>19</v>
      </c>
      <c r="D24" s="12" t="s">
        <v>58</v>
      </c>
      <c r="E24" s="1" t="s">
        <v>36</v>
      </c>
      <c r="F24" s="1">
        <v>20</v>
      </c>
      <c r="G24" s="20" t="s">
        <v>656</v>
      </c>
      <c r="H24" s="20"/>
      <c r="I24" s="20"/>
      <c r="J24" s="20"/>
      <c r="K24" s="24"/>
      <c r="M24" s="20" t="s">
        <v>36</v>
      </c>
      <c r="N24" s="20"/>
      <c r="O24" s="20"/>
      <c r="P24" s="20"/>
      <c r="Q24" s="1" t="s">
        <v>476</v>
      </c>
      <c r="R24" s="1" t="s">
        <v>646</v>
      </c>
      <c r="S24" s="1" t="s">
        <v>593</v>
      </c>
      <c r="T24" s="1" t="s">
        <v>501</v>
      </c>
      <c r="U24" s="1" t="s">
        <v>657</v>
      </c>
      <c r="V24" s="1">
        <v>1.2</v>
      </c>
      <c r="W24" s="1">
        <f>V24*3*30*0.2</f>
        <v>21.6</v>
      </c>
      <c r="AD24" s="1" t="s">
        <v>658</v>
      </c>
      <c r="AE24" s="1" t="s">
        <v>659</v>
      </c>
    </row>
    <row r="25" ht="34" spans="5:31">
      <c r="E25" s="1" t="s">
        <v>36</v>
      </c>
      <c r="G25" s="8"/>
      <c r="K25" s="24"/>
      <c r="L25" s="8" t="s">
        <v>77</v>
      </c>
      <c r="M25" s="20" t="s">
        <v>36</v>
      </c>
      <c r="N25" s="8">
        <v>20</v>
      </c>
      <c r="O25" s="20" t="s">
        <v>660</v>
      </c>
      <c r="AC25" s="1" t="s">
        <v>661</v>
      </c>
      <c r="AD25" s="1" t="s">
        <v>662</v>
      </c>
      <c r="AE25" s="1" t="s">
        <v>663</v>
      </c>
    </row>
    <row r="26" ht="34" spans="3:31">
      <c r="C26" s="1">
        <v>20</v>
      </c>
      <c r="D26" s="11" t="s">
        <v>664</v>
      </c>
      <c r="E26" s="1" t="s">
        <v>36</v>
      </c>
      <c r="F26" s="1">
        <v>20</v>
      </c>
      <c r="G26" s="20" t="s">
        <v>665</v>
      </c>
      <c r="H26" s="20"/>
      <c r="I26" s="20"/>
      <c r="J26" s="20"/>
      <c r="K26" s="24"/>
      <c r="M26" s="20" t="s">
        <v>36</v>
      </c>
      <c r="N26" s="20"/>
      <c r="O26" s="20"/>
      <c r="P26" s="20"/>
      <c r="Q26" s="1" t="s">
        <v>583</v>
      </c>
      <c r="R26" s="1" t="s">
        <v>620</v>
      </c>
      <c r="S26" s="1" t="s">
        <v>497</v>
      </c>
      <c r="T26" s="1" t="s">
        <v>640</v>
      </c>
      <c r="U26" s="1" t="s">
        <v>666</v>
      </c>
      <c r="V26" s="1">
        <v>10</v>
      </c>
      <c r="W26" s="1">
        <f>V26*3</f>
        <v>30</v>
      </c>
      <c r="AC26" s="1" t="s">
        <v>470</v>
      </c>
      <c r="AD26" s="1" t="s">
        <v>667</v>
      </c>
      <c r="AE26" s="1" t="s">
        <v>668</v>
      </c>
    </row>
    <row r="27" spans="5:31">
      <c r="E27" s="1" t="s">
        <v>36</v>
      </c>
      <c r="G27" s="8"/>
      <c r="M27" s="20"/>
      <c r="AD27" s="1" t="s">
        <v>667</v>
      </c>
      <c r="AE27" s="1" t="s">
        <v>669</v>
      </c>
    </row>
    <row r="28" ht="34" spans="3:31">
      <c r="C28" s="1">
        <v>21</v>
      </c>
      <c r="D28" s="11" t="s">
        <v>670</v>
      </c>
      <c r="E28" s="1" t="s">
        <v>36</v>
      </c>
      <c r="F28" s="1">
        <v>20</v>
      </c>
      <c r="G28" s="20" t="s">
        <v>671</v>
      </c>
      <c r="H28" s="20"/>
      <c r="I28" s="20"/>
      <c r="J28" s="20"/>
      <c r="K28" s="20"/>
      <c r="M28" s="20"/>
      <c r="N28" s="20"/>
      <c r="O28" s="20"/>
      <c r="P28" s="20"/>
      <c r="Q28" s="1" t="s">
        <v>672</v>
      </c>
      <c r="R28" s="1" t="s">
        <v>620</v>
      </c>
      <c r="S28" s="1" t="s">
        <v>497</v>
      </c>
      <c r="T28" s="1" t="s">
        <v>588</v>
      </c>
      <c r="U28" s="1" t="s">
        <v>673</v>
      </c>
      <c r="V28" s="1">
        <v>10</v>
      </c>
      <c r="W28" s="1">
        <f>V28*5*3</f>
        <v>150</v>
      </c>
      <c r="AC28" s="1" t="s">
        <v>674</v>
      </c>
      <c r="AD28" s="1" t="s">
        <v>675</v>
      </c>
      <c r="AE28" s="1" t="s">
        <v>676</v>
      </c>
    </row>
    <row r="29" spans="5:31">
      <c r="E29" s="1" t="s">
        <v>36</v>
      </c>
      <c r="G29" s="8"/>
      <c r="L29" s="8">
        <v>1</v>
      </c>
      <c r="M29" s="8" t="s">
        <v>84</v>
      </c>
      <c r="AD29" s="1" t="s">
        <v>677</v>
      </c>
      <c r="AE29" s="1" t="s">
        <v>678</v>
      </c>
    </row>
    <row r="30" ht="52" customHeight="1" spans="3:31">
      <c r="C30" s="1">
        <v>22</v>
      </c>
      <c r="D30" s="10" t="s">
        <v>82</v>
      </c>
      <c r="E30" s="1" t="s">
        <v>84</v>
      </c>
      <c r="F30" s="1">
        <v>30</v>
      </c>
      <c r="G30" s="20" t="s">
        <v>679</v>
      </c>
      <c r="H30" s="20"/>
      <c r="I30" s="20">
        <v>1</v>
      </c>
      <c r="J30" s="20"/>
      <c r="K30" s="20"/>
      <c r="L30" s="20">
        <v>2</v>
      </c>
      <c r="M30" s="20" t="s">
        <v>36</v>
      </c>
      <c r="N30" s="20"/>
      <c r="O30" s="20"/>
      <c r="P30" s="20"/>
      <c r="Q30" s="1" t="s">
        <v>475</v>
      </c>
      <c r="R30" s="1" t="s">
        <v>620</v>
      </c>
      <c r="S30" s="1" t="s">
        <v>555</v>
      </c>
      <c r="T30" s="1" t="s">
        <v>556</v>
      </c>
      <c r="U30" s="1" t="s">
        <v>680</v>
      </c>
      <c r="V30" s="1">
        <v>0.2</v>
      </c>
      <c r="W30" s="1">
        <f>V30*F30</f>
        <v>6</v>
      </c>
      <c r="AC30" s="1" t="s">
        <v>681</v>
      </c>
      <c r="AD30" s="1" t="s">
        <v>682</v>
      </c>
      <c r="AE30" s="1" t="s">
        <v>683</v>
      </c>
    </row>
    <row r="31" ht="34" spans="3:31">
      <c r="C31" s="1">
        <v>23</v>
      </c>
      <c r="D31" s="11" t="s">
        <v>67</v>
      </c>
      <c r="E31" s="1" t="s">
        <v>84</v>
      </c>
      <c r="F31" s="1">
        <v>30</v>
      </c>
      <c r="G31" s="20" t="s">
        <v>684</v>
      </c>
      <c r="H31" s="20"/>
      <c r="I31" s="20"/>
      <c r="J31" s="20"/>
      <c r="K31" s="20"/>
      <c r="M31" s="20" t="s">
        <v>36</v>
      </c>
      <c r="N31" s="20"/>
      <c r="O31" s="20"/>
      <c r="P31" s="20"/>
      <c r="Q31" s="1" t="s">
        <v>685</v>
      </c>
      <c r="R31" s="1" t="s">
        <v>620</v>
      </c>
      <c r="S31" s="1" t="s">
        <v>497</v>
      </c>
      <c r="T31" s="1" t="s">
        <v>588</v>
      </c>
      <c r="U31" s="1" t="s">
        <v>686</v>
      </c>
      <c r="V31" s="1">
        <v>1.5</v>
      </c>
      <c r="W31" s="1">
        <f>V31*2*4</f>
        <v>12</v>
      </c>
      <c r="AD31" s="1" t="s">
        <v>687</v>
      </c>
      <c r="AE31" s="1" t="s">
        <v>688</v>
      </c>
    </row>
    <row r="32" ht="51" spans="3:31">
      <c r="C32" s="1">
        <v>24</v>
      </c>
      <c r="D32" s="12" t="s">
        <v>108</v>
      </c>
      <c r="E32" s="1" t="s">
        <v>36</v>
      </c>
      <c r="F32" s="1">
        <v>30</v>
      </c>
      <c r="G32" s="20" t="s">
        <v>689</v>
      </c>
      <c r="H32" s="20"/>
      <c r="I32" s="20"/>
      <c r="J32" s="20"/>
      <c r="K32" s="20"/>
      <c r="L32" s="20"/>
      <c r="M32" s="20" t="s">
        <v>36</v>
      </c>
      <c r="N32" s="20"/>
      <c r="O32" s="20"/>
      <c r="P32" s="20"/>
      <c r="Q32" s="1" t="s">
        <v>672</v>
      </c>
      <c r="R32" s="1" t="s">
        <v>620</v>
      </c>
      <c r="S32" s="1" t="s">
        <v>593</v>
      </c>
      <c r="T32" s="1" t="s">
        <v>647</v>
      </c>
      <c r="U32" s="1" t="s">
        <v>690</v>
      </c>
      <c r="V32" s="1">
        <v>0.8</v>
      </c>
      <c r="W32" s="1">
        <f>V32*5*5</f>
        <v>20</v>
      </c>
      <c r="AC32" s="1" t="s">
        <v>497</v>
      </c>
      <c r="AD32" s="1" t="s">
        <v>691</v>
      </c>
      <c r="AE32" s="1" t="s">
        <v>692</v>
      </c>
    </row>
    <row r="33" ht="17" spans="5:31">
      <c r="E33" s="1" t="s">
        <v>36</v>
      </c>
      <c r="G33" s="8"/>
      <c r="L33" s="8">
        <v>1</v>
      </c>
      <c r="M33" s="19" t="s">
        <v>29</v>
      </c>
      <c r="AD33" s="1" t="s">
        <v>691</v>
      </c>
      <c r="AE33" s="1" t="s">
        <v>693</v>
      </c>
    </row>
    <row r="34" spans="5:31">
      <c r="E34" s="1" t="s">
        <v>36</v>
      </c>
      <c r="G34" s="8"/>
      <c r="M34" s="8" t="s">
        <v>143</v>
      </c>
      <c r="AD34" s="1" t="s">
        <v>694</v>
      </c>
      <c r="AE34" s="25" t="s">
        <v>695</v>
      </c>
    </row>
    <row r="35" ht="51" spans="3:31">
      <c r="C35" s="1">
        <v>25</v>
      </c>
      <c r="D35" s="11" t="s">
        <v>93</v>
      </c>
      <c r="E35" s="1" t="s">
        <v>36</v>
      </c>
      <c r="F35" s="1">
        <v>30</v>
      </c>
      <c r="G35" s="20" t="s">
        <v>696</v>
      </c>
      <c r="H35" s="20"/>
      <c r="I35" s="20"/>
      <c r="J35" s="20"/>
      <c r="K35" s="20"/>
      <c r="L35" s="20">
        <v>2</v>
      </c>
      <c r="M35" s="20" t="s">
        <v>29</v>
      </c>
      <c r="N35" s="20"/>
      <c r="O35" s="20"/>
      <c r="P35" s="20"/>
      <c r="Q35" s="1" t="s">
        <v>475</v>
      </c>
      <c r="R35" s="1" t="s">
        <v>620</v>
      </c>
      <c r="S35" s="1" t="s">
        <v>497</v>
      </c>
      <c r="T35" s="1" t="s">
        <v>697</v>
      </c>
      <c r="U35" s="1" t="s">
        <v>698</v>
      </c>
      <c r="V35" s="1">
        <v>1</v>
      </c>
      <c r="W35" s="1">
        <f>V35*4*3</f>
        <v>12</v>
      </c>
      <c r="AC35" s="1" t="s">
        <v>501</v>
      </c>
      <c r="AD35" s="1" t="s">
        <v>699</v>
      </c>
      <c r="AE35" s="25" t="s">
        <v>700</v>
      </c>
    </row>
    <row r="36" ht="17" spans="5:31">
      <c r="E36" s="1" t="s">
        <v>36</v>
      </c>
      <c r="G36" s="8"/>
      <c r="L36" s="20"/>
      <c r="M36" s="20" t="s">
        <v>701</v>
      </c>
      <c r="AC36" s="1" t="s">
        <v>702</v>
      </c>
      <c r="AD36" s="1" t="s">
        <v>703</v>
      </c>
      <c r="AE36" s="25" t="s">
        <v>704</v>
      </c>
    </row>
    <row r="37" ht="17" spans="5:13">
      <c r="E37" s="1" t="s">
        <v>36</v>
      </c>
      <c r="G37" s="8"/>
      <c r="L37" s="8">
        <v>3</v>
      </c>
      <c r="M37" s="20" t="s">
        <v>701</v>
      </c>
    </row>
    <row r="38" ht="34" spans="3:21">
      <c r="C38" s="1">
        <v>26</v>
      </c>
      <c r="D38" s="12" t="s">
        <v>705</v>
      </c>
      <c r="E38" s="1" t="s">
        <v>29</v>
      </c>
      <c r="F38" s="1">
        <v>40</v>
      </c>
      <c r="G38" s="20" t="s">
        <v>706</v>
      </c>
      <c r="H38" s="20"/>
      <c r="I38" s="20"/>
      <c r="J38" s="20"/>
      <c r="K38" s="20"/>
      <c r="M38" s="20" t="s">
        <v>29</v>
      </c>
      <c r="N38" s="20"/>
      <c r="O38" s="20"/>
      <c r="P38" s="20"/>
      <c r="Q38" s="1" t="s">
        <v>492</v>
      </c>
      <c r="R38" s="1" t="s">
        <v>620</v>
      </c>
      <c r="S38" s="1" t="s">
        <v>593</v>
      </c>
      <c r="T38" s="1" t="s">
        <v>492</v>
      </c>
      <c r="U38" s="1" t="s">
        <v>492</v>
      </c>
    </row>
    <row r="39" spans="5:31">
      <c r="E39" s="1" t="s">
        <v>29</v>
      </c>
      <c r="G39" s="8"/>
      <c r="L39" s="20">
        <v>4</v>
      </c>
      <c r="M39" s="8" t="s">
        <v>143</v>
      </c>
      <c r="AD39" s="1" t="s">
        <v>595</v>
      </c>
      <c r="AE39" s="1" t="s">
        <v>597</v>
      </c>
    </row>
    <row r="40" ht="34" spans="3:31">
      <c r="C40" s="1">
        <v>27</v>
      </c>
      <c r="D40" s="15" t="s">
        <v>129</v>
      </c>
      <c r="E40" s="1" t="s">
        <v>29</v>
      </c>
      <c r="F40" s="1">
        <v>40</v>
      </c>
      <c r="G40" s="20" t="s">
        <v>707</v>
      </c>
      <c r="H40" s="20"/>
      <c r="I40" s="20"/>
      <c r="J40" s="20"/>
      <c r="K40" s="20"/>
      <c r="L40" s="20"/>
      <c r="M40" s="19" t="s">
        <v>29</v>
      </c>
      <c r="N40" s="20"/>
      <c r="O40" s="20"/>
      <c r="P40" s="20"/>
      <c r="Q40" s="1" t="s">
        <v>476</v>
      </c>
      <c r="R40" s="1" t="s">
        <v>646</v>
      </c>
      <c r="S40" s="1" t="s">
        <v>555</v>
      </c>
      <c r="T40" s="1" t="s">
        <v>647</v>
      </c>
      <c r="U40" s="1" t="s">
        <v>708</v>
      </c>
      <c r="W40" s="1">
        <f>4</f>
        <v>4</v>
      </c>
      <c r="AD40" s="1" t="s">
        <v>709</v>
      </c>
      <c r="AE40" s="1" t="s">
        <v>710</v>
      </c>
    </row>
    <row r="41" spans="5:31">
      <c r="E41" s="1" t="s">
        <v>29</v>
      </c>
      <c r="G41" s="8"/>
      <c r="L41" s="20"/>
      <c r="M41" s="20"/>
      <c r="AD41" s="1" t="s">
        <v>711</v>
      </c>
      <c r="AE41" s="1" t="s">
        <v>712</v>
      </c>
    </row>
    <row r="42" ht="51" spans="3:31">
      <c r="C42" s="1">
        <v>27</v>
      </c>
      <c r="D42" s="10" t="s">
        <v>132</v>
      </c>
      <c r="E42" s="1" t="s">
        <v>29</v>
      </c>
      <c r="F42" s="1">
        <v>40</v>
      </c>
      <c r="G42" s="20" t="s">
        <v>713</v>
      </c>
      <c r="H42" s="20"/>
      <c r="I42" s="20"/>
      <c r="J42" s="20"/>
      <c r="K42" s="20"/>
      <c r="L42" s="20"/>
      <c r="M42" s="20"/>
      <c r="N42" s="20"/>
      <c r="O42" s="20"/>
      <c r="P42" s="20"/>
      <c r="Q42" s="1" t="s">
        <v>476</v>
      </c>
      <c r="R42" s="1" t="s">
        <v>646</v>
      </c>
      <c r="S42" s="1" t="s">
        <v>555</v>
      </c>
      <c r="T42" s="1" t="s">
        <v>588</v>
      </c>
      <c r="U42" s="1" t="s">
        <v>714</v>
      </c>
      <c r="W42" s="1">
        <f>2*5</f>
        <v>10</v>
      </c>
      <c r="AD42" s="1" t="s">
        <v>715</v>
      </c>
      <c r="AE42" s="1" t="s">
        <v>716</v>
      </c>
    </row>
    <row r="43" ht="17.6" customHeight="1" spans="5:31">
      <c r="E43" s="1" t="s">
        <v>29</v>
      </c>
      <c r="G43" s="8"/>
      <c r="AD43" s="1" t="s">
        <v>717</v>
      </c>
      <c r="AE43" s="1" t="s">
        <v>718</v>
      </c>
    </row>
    <row r="44" ht="34" spans="3:21">
      <c r="C44" s="1">
        <v>28</v>
      </c>
      <c r="D44" s="10" t="s">
        <v>719</v>
      </c>
      <c r="E44" s="1" t="s">
        <v>29</v>
      </c>
      <c r="F44" s="1">
        <v>40</v>
      </c>
      <c r="G44" s="20" t="s">
        <v>720</v>
      </c>
      <c r="H44" s="20"/>
      <c r="I44" s="20"/>
      <c r="J44" s="20"/>
      <c r="K44" s="20"/>
      <c r="L44" s="20"/>
      <c r="M44" s="20"/>
      <c r="N44" s="20"/>
      <c r="O44" s="20"/>
      <c r="P44" s="20"/>
      <c r="Q44" s="1" t="s">
        <v>475</v>
      </c>
      <c r="R44" s="1" t="s">
        <v>646</v>
      </c>
      <c r="S44" s="1" t="s">
        <v>555</v>
      </c>
      <c r="T44" s="1" t="s">
        <v>588</v>
      </c>
      <c r="U44" s="1" t="s">
        <v>721</v>
      </c>
    </row>
    <row r="45" spans="5:31">
      <c r="E45" s="1" t="s">
        <v>29</v>
      </c>
      <c r="G45" s="8"/>
      <c r="AD45" s="1" t="s">
        <v>722</v>
      </c>
      <c r="AE45" s="1" t="s">
        <v>723</v>
      </c>
    </row>
    <row r="46" ht="51" spans="3:31">
      <c r="C46" s="1">
        <v>29</v>
      </c>
      <c r="D46" s="10" t="s">
        <v>135</v>
      </c>
      <c r="E46" s="1" t="s">
        <v>29</v>
      </c>
      <c r="F46" s="1">
        <v>40</v>
      </c>
      <c r="G46" s="20" t="s">
        <v>724</v>
      </c>
      <c r="H46" s="20"/>
      <c r="I46" s="20"/>
      <c r="J46" s="20"/>
      <c r="K46" s="20"/>
      <c r="L46" s="20"/>
      <c r="M46" s="20"/>
      <c r="N46" s="20"/>
      <c r="O46" s="20"/>
      <c r="P46" s="20"/>
      <c r="Q46" s="1" t="s">
        <v>645</v>
      </c>
      <c r="R46" s="1" t="s">
        <v>646</v>
      </c>
      <c r="S46" s="1" t="s">
        <v>555</v>
      </c>
      <c r="T46" s="1" t="s">
        <v>697</v>
      </c>
      <c r="AD46" s="1" t="s">
        <v>725</v>
      </c>
      <c r="AE46" s="1" t="s">
        <v>726</v>
      </c>
    </row>
    <row r="47" spans="5:31">
      <c r="E47" s="1" t="s">
        <v>29</v>
      </c>
      <c r="AD47" s="1" t="s">
        <v>727</v>
      </c>
      <c r="AE47" s="1" t="s">
        <v>728</v>
      </c>
    </row>
    <row r="48" ht="51" spans="3:31">
      <c r="C48" s="1">
        <v>30</v>
      </c>
      <c r="D48" s="10" t="s">
        <v>729</v>
      </c>
      <c r="E48" s="1" t="s">
        <v>29</v>
      </c>
      <c r="F48" s="1">
        <v>40</v>
      </c>
      <c r="G48" s="19" t="s">
        <v>730</v>
      </c>
      <c r="H48" s="20"/>
      <c r="I48" s="20"/>
      <c r="J48" s="20"/>
      <c r="K48" s="20"/>
      <c r="L48" s="20"/>
      <c r="M48" s="20"/>
      <c r="N48" s="20"/>
      <c r="O48" s="20"/>
      <c r="P48" s="20"/>
      <c r="Q48" s="1" t="s">
        <v>645</v>
      </c>
      <c r="R48" s="1" t="s">
        <v>646</v>
      </c>
      <c r="S48" s="1" t="s">
        <v>593</v>
      </c>
      <c r="T48" s="1" t="s">
        <v>501</v>
      </c>
      <c r="AD48" s="1" t="s">
        <v>731</v>
      </c>
      <c r="AE48" s="1" t="s">
        <v>732</v>
      </c>
    </row>
    <row r="49" spans="5:31">
      <c r="E49" s="1" t="s">
        <v>29</v>
      </c>
      <c r="AD49" s="1" t="s">
        <v>733</v>
      </c>
      <c r="AE49" s="1" t="s">
        <v>734</v>
      </c>
    </row>
    <row r="50" ht="34" spans="3:31">
      <c r="C50" s="1">
        <v>31</v>
      </c>
      <c r="D50" s="12" t="s">
        <v>138</v>
      </c>
      <c r="E50" s="1" t="s">
        <v>29</v>
      </c>
      <c r="F50" s="1">
        <v>40</v>
      </c>
      <c r="G50" s="19" t="s">
        <v>735</v>
      </c>
      <c r="Q50" s="1" t="s">
        <v>492</v>
      </c>
      <c r="R50" s="1" t="s">
        <v>646</v>
      </c>
      <c r="S50" s="1" t="s">
        <v>593</v>
      </c>
      <c r="T50" s="1" t="s">
        <v>501</v>
      </c>
      <c r="AD50" s="1" t="s">
        <v>736</v>
      </c>
      <c r="AE50" s="1" t="s">
        <v>737</v>
      </c>
    </row>
    <row r="51" spans="5:31">
      <c r="E51" s="1" t="s">
        <v>29</v>
      </c>
      <c r="AD51" s="1" t="s">
        <v>738</v>
      </c>
      <c r="AE51" s="1" t="s">
        <v>739</v>
      </c>
    </row>
    <row r="52" ht="17.6" spans="3:31">
      <c r="C52" s="1">
        <v>32</v>
      </c>
      <c r="D52" s="12" t="s">
        <v>740</v>
      </c>
      <c r="E52" s="1" t="s">
        <v>29</v>
      </c>
      <c r="F52" s="1">
        <v>40</v>
      </c>
      <c r="G52" s="1" t="s">
        <v>741</v>
      </c>
      <c r="H52" s="20"/>
      <c r="I52" s="20"/>
      <c r="J52" s="20"/>
      <c r="K52" s="20"/>
      <c r="L52" s="20"/>
      <c r="M52" s="20"/>
      <c r="N52" s="20"/>
      <c r="O52" s="20"/>
      <c r="P52" s="20"/>
      <c r="Q52" s="1" t="s">
        <v>475</v>
      </c>
      <c r="R52" s="1" t="s">
        <v>620</v>
      </c>
      <c r="S52" s="1" t="s">
        <v>497</v>
      </c>
      <c r="T52" s="1" t="s">
        <v>742</v>
      </c>
      <c r="W52" s="1">
        <f>4*6</f>
        <v>24</v>
      </c>
      <c r="AD52" s="1" t="s">
        <v>743</v>
      </c>
      <c r="AE52" s="1" t="s">
        <v>744</v>
      </c>
    </row>
    <row r="53" spans="5:31">
      <c r="E53" s="1" t="s">
        <v>29</v>
      </c>
      <c r="AD53" s="1" t="s">
        <v>745</v>
      </c>
      <c r="AE53" s="1" t="s">
        <v>746</v>
      </c>
    </row>
    <row r="54" ht="51" spans="3:31">
      <c r="C54" s="1">
        <v>33</v>
      </c>
      <c r="D54" s="16" t="s">
        <v>747</v>
      </c>
      <c r="E54" s="1" t="s">
        <v>29</v>
      </c>
      <c r="F54" s="1">
        <v>40</v>
      </c>
      <c r="G54" s="19" t="s">
        <v>748</v>
      </c>
      <c r="H54" s="20"/>
      <c r="I54" s="20"/>
      <c r="J54" s="20"/>
      <c r="K54" s="20"/>
      <c r="L54" s="20"/>
      <c r="M54" s="20"/>
      <c r="N54" s="20"/>
      <c r="O54" s="20"/>
      <c r="P54" s="20"/>
      <c r="Q54" s="1" t="s">
        <v>476</v>
      </c>
      <c r="R54" s="1" t="s">
        <v>749</v>
      </c>
      <c r="S54" s="1" t="s">
        <v>555</v>
      </c>
      <c r="AD54" s="1" t="s">
        <v>750</v>
      </c>
      <c r="AE54" s="1" t="s">
        <v>751</v>
      </c>
    </row>
    <row r="55" spans="5:31">
      <c r="E55" s="1" t="s">
        <v>29</v>
      </c>
      <c r="AD55" s="1" t="s">
        <v>752</v>
      </c>
      <c r="AE55" s="1" t="s">
        <v>753</v>
      </c>
    </row>
    <row r="56" ht="51" spans="3:19">
      <c r="C56" s="1">
        <v>34</v>
      </c>
      <c r="D56" s="10" t="s">
        <v>157</v>
      </c>
      <c r="E56" s="1" t="s">
        <v>84</v>
      </c>
      <c r="F56" s="1">
        <v>60</v>
      </c>
      <c r="G56" s="19" t="s">
        <v>754</v>
      </c>
      <c r="H56" s="20"/>
      <c r="I56" s="20"/>
      <c r="J56" s="20"/>
      <c r="K56" s="20"/>
      <c r="L56" s="20"/>
      <c r="M56" s="20"/>
      <c r="N56" s="20"/>
      <c r="O56" s="20"/>
      <c r="P56" s="20"/>
      <c r="Q56" s="1" t="s">
        <v>476</v>
      </c>
      <c r="R56" s="1" t="s">
        <v>749</v>
      </c>
      <c r="S56" s="1" t="s">
        <v>555</v>
      </c>
    </row>
    <row r="57" spans="5:5">
      <c r="E57" s="1" t="s">
        <v>84</v>
      </c>
    </row>
    <row r="58" ht="51" spans="3:7">
      <c r="C58" s="1">
        <v>35</v>
      </c>
      <c r="D58" s="10" t="s">
        <v>755</v>
      </c>
      <c r="E58" s="1" t="s">
        <v>29</v>
      </c>
      <c r="F58" s="1">
        <v>60</v>
      </c>
      <c r="G58" s="19" t="s">
        <v>756</v>
      </c>
    </row>
    <row r="59" spans="5:19">
      <c r="E59" s="1" t="s">
        <v>29</v>
      </c>
      <c r="H59" s="20"/>
      <c r="I59" s="20"/>
      <c r="J59" s="20"/>
      <c r="K59" s="20"/>
      <c r="L59" s="20"/>
      <c r="M59" s="20"/>
      <c r="N59" s="20"/>
      <c r="O59" s="20"/>
      <c r="P59" s="20"/>
      <c r="Q59" s="1" t="s">
        <v>475</v>
      </c>
      <c r="R59" s="1" t="s">
        <v>620</v>
      </c>
      <c r="S59" s="1" t="s">
        <v>593</v>
      </c>
    </row>
    <row r="60" spans="5:5">
      <c r="E60" s="1" t="s">
        <v>29</v>
      </c>
    </row>
    <row r="61" ht="34" spans="3:7">
      <c r="C61" s="1">
        <v>36</v>
      </c>
      <c r="D61" s="12" t="s">
        <v>757</v>
      </c>
      <c r="E61" s="1" t="s">
        <v>29</v>
      </c>
      <c r="F61" s="1">
        <v>60</v>
      </c>
      <c r="G61" s="19" t="s">
        <v>758</v>
      </c>
    </row>
    <row r="62" spans="5:19">
      <c r="E62" s="1" t="s">
        <v>29</v>
      </c>
      <c r="H62" s="20"/>
      <c r="I62" s="20"/>
      <c r="J62" s="20"/>
      <c r="K62" s="20"/>
      <c r="L62" s="20"/>
      <c r="M62" s="20"/>
      <c r="N62" s="20"/>
      <c r="O62" s="20"/>
      <c r="P62" s="20"/>
      <c r="Q62" s="1" t="s">
        <v>472</v>
      </c>
      <c r="R62" s="1" t="s">
        <v>646</v>
      </c>
      <c r="S62" s="1" t="s">
        <v>555</v>
      </c>
    </row>
    <row r="63" spans="5:5">
      <c r="E63" s="1" t="s">
        <v>29</v>
      </c>
    </row>
    <row r="64" ht="51" spans="3:19">
      <c r="C64" s="1">
        <v>37</v>
      </c>
      <c r="D64" s="10" t="s">
        <v>151</v>
      </c>
      <c r="E64" s="1" t="s">
        <v>84</v>
      </c>
      <c r="F64" s="1">
        <v>60</v>
      </c>
      <c r="G64" s="19" t="s">
        <v>759</v>
      </c>
      <c r="H64" s="20"/>
      <c r="I64" s="20"/>
      <c r="J64" s="20"/>
      <c r="K64" s="20"/>
      <c r="L64" s="20"/>
      <c r="M64" s="20"/>
      <c r="N64" s="20"/>
      <c r="O64" s="20"/>
      <c r="P64" s="20"/>
      <c r="Q64" s="1" t="s">
        <v>475</v>
      </c>
      <c r="R64" s="1" t="s">
        <v>646</v>
      </c>
      <c r="S64" s="1" t="s">
        <v>593</v>
      </c>
    </row>
    <row r="65" spans="5:5">
      <c r="E65" s="1" t="s">
        <v>84</v>
      </c>
    </row>
    <row r="66" ht="34" spans="3:19">
      <c r="C66" s="1">
        <v>38</v>
      </c>
      <c r="D66" s="12" t="s">
        <v>126</v>
      </c>
      <c r="E66" s="1" t="s">
        <v>84</v>
      </c>
      <c r="F66" s="1">
        <v>60</v>
      </c>
      <c r="G66" s="19" t="s">
        <v>760</v>
      </c>
      <c r="H66" s="20"/>
      <c r="I66" s="20"/>
      <c r="J66" s="20"/>
      <c r="K66" s="20"/>
      <c r="L66" s="20"/>
      <c r="M66" s="20"/>
      <c r="N66" s="20"/>
      <c r="O66" s="20"/>
      <c r="P66" s="20"/>
      <c r="Q66" s="1" t="s">
        <v>475</v>
      </c>
      <c r="R66" s="1" t="s">
        <v>620</v>
      </c>
      <c r="S66" s="1" t="s">
        <v>555</v>
      </c>
    </row>
    <row r="67" spans="5:5">
      <c r="E67" s="1" t="s">
        <v>84</v>
      </c>
    </row>
    <row r="68" ht="34" spans="3:7">
      <c r="C68" s="1">
        <v>39</v>
      </c>
      <c r="D68" s="10" t="s">
        <v>166</v>
      </c>
      <c r="E68" s="1" t="s">
        <v>29</v>
      </c>
      <c r="F68" s="1">
        <v>60</v>
      </c>
      <c r="G68" s="19" t="s">
        <v>761</v>
      </c>
    </row>
    <row r="69" spans="5:19">
      <c r="E69" s="1" t="s">
        <v>29</v>
      </c>
      <c r="H69" s="20"/>
      <c r="I69" s="20"/>
      <c r="J69" s="20"/>
      <c r="K69" s="20"/>
      <c r="L69" s="20"/>
      <c r="M69" s="20"/>
      <c r="N69" s="20"/>
      <c r="O69" s="20"/>
      <c r="P69" s="20"/>
      <c r="Q69" s="1" t="s">
        <v>492</v>
      </c>
      <c r="R69" s="1" t="s">
        <v>620</v>
      </c>
      <c r="S69" s="1" t="s">
        <v>593</v>
      </c>
    </row>
    <row r="70" spans="5:5">
      <c r="E70" s="1" t="s">
        <v>29</v>
      </c>
    </row>
    <row r="71" ht="51" spans="3:7">
      <c r="C71" s="1">
        <v>40</v>
      </c>
      <c r="D71" s="12" t="s">
        <v>154</v>
      </c>
      <c r="E71" s="1" t="s">
        <v>29</v>
      </c>
      <c r="F71" s="1">
        <v>60</v>
      </c>
      <c r="G71" s="19" t="s">
        <v>762</v>
      </c>
    </row>
    <row r="72" spans="5:19">
      <c r="E72" s="1" t="s">
        <v>29</v>
      </c>
      <c r="H72" s="20"/>
      <c r="I72" s="20"/>
      <c r="J72" s="20"/>
      <c r="K72" s="20"/>
      <c r="L72" s="20"/>
      <c r="M72" s="20"/>
      <c r="N72" s="20"/>
      <c r="O72" s="20"/>
      <c r="P72" s="20"/>
      <c r="Q72" s="1" t="s">
        <v>476</v>
      </c>
      <c r="R72" s="1" t="s">
        <v>646</v>
      </c>
      <c r="S72" s="1" t="s">
        <v>497</v>
      </c>
    </row>
    <row r="73" spans="5:5">
      <c r="E73" s="1" t="s">
        <v>29</v>
      </c>
    </row>
    <row r="74" ht="34" spans="3:19">
      <c r="C74" s="1">
        <v>41</v>
      </c>
      <c r="D74" s="16" t="s">
        <v>763</v>
      </c>
      <c r="E74" s="1" t="s">
        <v>84</v>
      </c>
      <c r="F74" s="1">
        <v>60</v>
      </c>
      <c r="G74" s="19" t="s">
        <v>764</v>
      </c>
      <c r="H74" s="20"/>
      <c r="I74" s="20"/>
      <c r="J74" s="20"/>
      <c r="K74" s="20"/>
      <c r="L74" s="20"/>
      <c r="M74" s="20"/>
      <c r="N74" s="20"/>
      <c r="O74" s="20"/>
      <c r="P74" s="20"/>
      <c r="Q74" s="1" t="s">
        <v>492</v>
      </c>
      <c r="R74" s="1" t="s">
        <v>620</v>
      </c>
      <c r="S74" s="1" t="s">
        <v>593</v>
      </c>
    </row>
    <row r="75" spans="5:5">
      <c r="E75" s="1" t="s">
        <v>84</v>
      </c>
    </row>
    <row r="76" ht="34" spans="3:19">
      <c r="C76" s="1">
        <v>42</v>
      </c>
      <c r="D76" s="12" t="s">
        <v>765</v>
      </c>
      <c r="E76" s="1" t="s">
        <v>29</v>
      </c>
      <c r="F76" s="1">
        <v>30</v>
      </c>
      <c r="G76" s="19" t="s">
        <v>766</v>
      </c>
      <c r="H76" s="20"/>
      <c r="I76" s="20"/>
      <c r="J76" s="20"/>
      <c r="K76" s="20"/>
      <c r="L76" s="20"/>
      <c r="M76" s="20"/>
      <c r="N76" s="20"/>
      <c r="O76" s="20"/>
      <c r="P76" s="20"/>
      <c r="Q76" s="1" t="s">
        <v>476</v>
      </c>
      <c r="R76" s="1" t="s">
        <v>620</v>
      </c>
      <c r="S76" s="1" t="s">
        <v>555</v>
      </c>
    </row>
    <row r="77" spans="5:5">
      <c r="E77" s="1" t="s">
        <v>701</v>
      </c>
    </row>
    <row r="78" ht="68" spans="3:28">
      <c r="C78" s="1">
        <v>43</v>
      </c>
      <c r="D78" s="10" t="s">
        <v>123</v>
      </c>
      <c r="E78" s="1" t="s">
        <v>143</v>
      </c>
      <c r="F78" s="1">
        <v>30</v>
      </c>
      <c r="G78" s="21" t="s">
        <v>767</v>
      </c>
      <c r="H78" s="20"/>
      <c r="I78" s="20"/>
      <c r="J78" s="20"/>
      <c r="K78" s="20"/>
      <c r="L78" s="20"/>
      <c r="M78" s="20"/>
      <c r="N78" s="20"/>
      <c r="O78" s="20"/>
      <c r="P78" s="20"/>
      <c r="Q78" s="1" t="s">
        <v>476</v>
      </c>
      <c r="R78" s="1" t="s">
        <v>646</v>
      </c>
      <c r="S78" s="1" t="s">
        <v>497</v>
      </c>
      <c r="U78" s="10"/>
      <c r="V78" s="26"/>
      <c r="W78" s="26"/>
      <c r="X78" s="26"/>
      <c r="Y78" s="26"/>
      <c r="Z78" s="26"/>
      <c r="AA78" s="26"/>
      <c r="AB78" s="26"/>
    </row>
    <row r="79" ht="17.6" customHeight="1" spans="5:22">
      <c r="E79" s="1" t="s">
        <v>29</v>
      </c>
      <c r="V79" s="26"/>
    </row>
    <row r="80" ht="34" spans="3:28">
      <c r="C80" s="1">
        <v>44</v>
      </c>
      <c r="D80" s="11" t="s">
        <v>141</v>
      </c>
      <c r="E80" s="1" t="s">
        <v>29</v>
      </c>
      <c r="F80" s="1">
        <v>40</v>
      </c>
      <c r="G80" s="19" t="s">
        <v>768</v>
      </c>
      <c r="V80" s="26"/>
      <c r="W80" s="26"/>
      <c r="X80" s="26"/>
      <c r="Y80" s="26"/>
      <c r="Z80" s="26"/>
      <c r="AA80" s="26"/>
      <c r="AB80" s="26"/>
    </row>
    <row r="81" spans="5:19">
      <c r="E81" s="1" t="s">
        <v>701</v>
      </c>
      <c r="H81" s="20"/>
      <c r="I81" s="20"/>
      <c r="J81" s="20"/>
      <c r="K81" s="20"/>
      <c r="L81" s="20"/>
      <c r="M81" s="20"/>
      <c r="N81" s="20"/>
      <c r="O81" s="20"/>
      <c r="P81" s="20"/>
      <c r="Q81" s="1" t="s">
        <v>472</v>
      </c>
      <c r="R81" s="1" t="s">
        <v>749</v>
      </c>
      <c r="S81" s="1" t="s">
        <v>497</v>
      </c>
    </row>
    <row r="82" spans="5:5">
      <c r="E82" s="1" t="s">
        <v>701</v>
      </c>
    </row>
    <row r="83" ht="34" spans="3:22">
      <c r="C83" s="1">
        <v>45</v>
      </c>
      <c r="D83" s="11" t="s">
        <v>163</v>
      </c>
      <c r="E83" s="1" t="s">
        <v>84</v>
      </c>
      <c r="F83" s="1">
        <v>110</v>
      </c>
      <c r="G83" s="19" t="s">
        <v>542</v>
      </c>
      <c r="V83" s="26"/>
    </row>
    <row r="84" ht="17.6" customHeight="1" spans="5:28">
      <c r="E84" s="1" t="s">
        <v>84</v>
      </c>
      <c r="U84" s="26"/>
      <c r="V84" s="26"/>
      <c r="W84" s="26"/>
      <c r="X84" s="26"/>
      <c r="Y84" s="26"/>
      <c r="Z84" s="26"/>
      <c r="AA84" s="26"/>
      <c r="AB84" s="26"/>
    </row>
    <row r="85" ht="17.6" customHeight="1" spans="5:28">
      <c r="E85" s="1" t="s">
        <v>84</v>
      </c>
      <c r="U85" s="26"/>
      <c r="V85" s="26"/>
      <c r="W85" s="26"/>
      <c r="X85" s="26"/>
      <c r="Y85" s="26"/>
      <c r="Z85" s="26"/>
      <c r="AA85" s="26"/>
      <c r="AB85" s="26"/>
    </row>
    <row r="86" ht="17.6" spans="5:28">
      <c r="E86" s="1" t="s">
        <v>769</v>
      </c>
      <c r="H86" s="20"/>
      <c r="I86" s="20"/>
      <c r="J86" s="20"/>
      <c r="K86" s="20"/>
      <c r="L86" s="20"/>
      <c r="M86" s="20"/>
      <c r="N86" s="20"/>
      <c r="O86" s="20"/>
      <c r="P86" s="20"/>
      <c r="Q86" s="1" t="s">
        <v>476</v>
      </c>
      <c r="R86" s="1" t="s">
        <v>749</v>
      </c>
      <c r="S86" s="1" t="s">
        <v>555</v>
      </c>
      <c r="U86" s="26"/>
      <c r="V86" s="26"/>
      <c r="W86" s="26"/>
      <c r="X86" s="26"/>
      <c r="Y86" s="26"/>
      <c r="Z86" s="26"/>
      <c r="AA86" s="26"/>
      <c r="AB86" s="26"/>
    </row>
    <row r="87" ht="17.6" customHeight="1" spans="5:28">
      <c r="E87" s="1" t="s">
        <v>769</v>
      </c>
      <c r="U87" s="26"/>
      <c r="V87" s="26"/>
      <c r="W87" s="26"/>
      <c r="X87" s="26"/>
      <c r="Y87" s="26"/>
      <c r="Z87" s="26"/>
      <c r="AA87" s="26"/>
      <c r="AB87" s="26"/>
    </row>
    <row r="88" ht="51" spans="3:28">
      <c r="C88" s="1">
        <v>46</v>
      </c>
      <c r="D88" s="11" t="s">
        <v>160</v>
      </c>
      <c r="E88" s="1" t="s">
        <v>84</v>
      </c>
      <c r="F88" s="1">
        <v>90</v>
      </c>
      <c r="G88" s="19" t="s">
        <v>545</v>
      </c>
      <c r="U88" s="26"/>
      <c r="V88" s="26"/>
      <c r="W88" s="26"/>
      <c r="X88" s="26"/>
      <c r="Y88" s="26"/>
      <c r="Z88" s="26"/>
      <c r="AA88" s="26"/>
      <c r="AB88" s="26"/>
    </row>
    <row r="89" ht="17.6" spans="5:28">
      <c r="E89" s="1" t="s">
        <v>84</v>
      </c>
      <c r="Q89" s="1" t="s">
        <v>472</v>
      </c>
      <c r="R89" s="1" t="s">
        <v>749</v>
      </c>
      <c r="S89" s="1" t="s">
        <v>593</v>
      </c>
      <c r="V89" s="26"/>
      <c r="W89" s="26"/>
      <c r="X89" s="26"/>
      <c r="Y89" s="26"/>
      <c r="Z89" s="26"/>
      <c r="AA89" s="26"/>
      <c r="AB89" s="26"/>
    </row>
    <row r="90" spans="5:5">
      <c r="E90" s="1" t="s">
        <v>84</v>
      </c>
    </row>
    <row r="91" ht="30" customHeight="1" spans="3:7">
      <c r="C91" s="1">
        <v>47</v>
      </c>
      <c r="D91" s="12" t="s">
        <v>169</v>
      </c>
      <c r="E91" s="1" t="s">
        <v>770</v>
      </c>
      <c r="F91" s="1">
        <v>160</v>
      </c>
      <c r="G91" s="1" t="s">
        <v>771</v>
      </c>
    </row>
    <row r="92" spans="5:5">
      <c r="E92" s="1" t="s">
        <v>770</v>
      </c>
    </row>
    <row r="93" spans="5:5">
      <c r="E93" s="1" t="s">
        <v>772</v>
      </c>
    </row>
    <row r="94" spans="5:5">
      <c r="E94" s="1" t="s">
        <v>772</v>
      </c>
    </row>
  </sheetData>
  <mergeCells count="2">
    <mergeCell ref="K5:K10"/>
    <mergeCell ref="K11:K26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773</v>
      </c>
      <c r="N4" s="3" t="s">
        <v>773</v>
      </c>
      <c r="O4" s="3" t="s">
        <v>773</v>
      </c>
      <c r="P4" s="3" t="s">
        <v>773</v>
      </c>
      <c r="Q4" s="3"/>
      <c r="R4" s="3"/>
      <c r="V4" s="2"/>
      <c r="W4" s="2"/>
      <c r="X4" s="3"/>
      <c r="Y4" s="3"/>
      <c r="Z4" s="3"/>
      <c r="AA4" s="3" t="s">
        <v>774</v>
      </c>
      <c r="AB4" s="3" t="s">
        <v>774</v>
      </c>
      <c r="AC4" s="3" t="s">
        <v>774</v>
      </c>
      <c r="AD4" s="3" t="s">
        <v>774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773</v>
      </c>
      <c r="N5" s="3" t="s">
        <v>773</v>
      </c>
      <c r="O5" s="3" t="s">
        <v>773</v>
      </c>
      <c r="P5" s="3" t="s">
        <v>775</v>
      </c>
      <c r="Q5" s="3"/>
      <c r="R5" s="3"/>
      <c r="V5" s="2"/>
      <c r="W5" s="2"/>
      <c r="X5" s="3"/>
      <c r="Y5" s="3"/>
      <c r="Z5" s="3"/>
      <c r="AA5" s="3" t="s">
        <v>774</v>
      </c>
      <c r="AB5" s="3" t="s">
        <v>774</v>
      </c>
      <c r="AC5" s="3" t="s">
        <v>774</v>
      </c>
      <c r="AD5" s="3" t="s">
        <v>774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776</v>
      </c>
      <c r="K6" s="3" t="s">
        <v>776</v>
      </c>
      <c r="L6" s="3" t="s">
        <v>776</v>
      </c>
      <c r="M6" s="4" t="s">
        <v>777</v>
      </c>
      <c r="N6" s="5"/>
      <c r="O6" s="5"/>
      <c r="P6" s="5"/>
      <c r="Q6" s="3" t="s">
        <v>778</v>
      </c>
      <c r="R6" s="3" t="s">
        <v>776</v>
      </c>
      <c r="V6" s="2"/>
      <c r="W6" s="2"/>
      <c r="X6" s="3" t="s">
        <v>779</v>
      </c>
      <c r="Y6" s="3" t="s">
        <v>779</v>
      </c>
      <c r="Z6" s="3" t="s">
        <v>779</v>
      </c>
      <c r="AA6" s="3" t="s">
        <v>780</v>
      </c>
      <c r="AB6" s="3" t="s">
        <v>780</v>
      </c>
      <c r="AC6" s="3" t="s">
        <v>780</v>
      </c>
      <c r="AD6" s="5"/>
      <c r="AE6" s="3" t="s">
        <v>781</v>
      </c>
      <c r="AF6" s="3" t="s">
        <v>781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776</v>
      </c>
      <c r="K7" s="3" t="s">
        <v>776</v>
      </c>
      <c r="L7" s="3" t="s">
        <v>776</v>
      </c>
      <c r="M7" s="4" t="s">
        <v>782</v>
      </c>
      <c r="N7" s="5"/>
      <c r="O7" s="4" t="s">
        <v>782</v>
      </c>
      <c r="P7" s="5"/>
      <c r="Q7" s="3" t="s">
        <v>778</v>
      </c>
      <c r="R7" s="3" t="s">
        <v>776</v>
      </c>
      <c r="V7" s="2"/>
      <c r="W7" s="2"/>
      <c r="X7" s="3" t="s">
        <v>779</v>
      </c>
      <c r="Y7" s="3" t="s">
        <v>779</v>
      </c>
      <c r="Z7" s="3" t="s">
        <v>779</v>
      </c>
      <c r="AA7" s="3" t="s">
        <v>780</v>
      </c>
      <c r="AB7" s="5"/>
      <c r="AC7" s="3" t="s">
        <v>774</v>
      </c>
      <c r="AD7" s="5"/>
      <c r="AE7" s="3" t="s">
        <v>781</v>
      </c>
      <c r="AF7" s="3" t="s">
        <v>781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776</v>
      </c>
      <c r="I8" s="3" t="s">
        <v>776</v>
      </c>
      <c r="J8" s="3" t="s">
        <v>776</v>
      </c>
      <c r="K8" s="3" t="s">
        <v>776</v>
      </c>
      <c r="L8" s="3" t="s">
        <v>778</v>
      </c>
      <c r="M8" s="5"/>
      <c r="N8" s="5"/>
      <c r="O8" s="5"/>
      <c r="P8" s="5"/>
      <c r="Q8" s="3" t="s">
        <v>778</v>
      </c>
      <c r="R8" s="3" t="s">
        <v>776</v>
      </c>
      <c r="V8" s="3" t="s">
        <v>779</v>
      </c>
      <c r="W8" s="3" t="s">
        <v>779</v>
      </c>
      <c r="X8" s="3" t="s">
        <v>779</v>
      </c>
      <c r="Y8" s="3" t="s">
        <v>779</v>
      </c>
      <c r="Z8" s="3" t="s">
        <v>779</v>
      </c>
      <c r="AA8" s="5"/>
      <c r="AB8" s="5"/>
      <c r="AC8" s="5"/>
      <c r="AD8" s="5"/>
      <c r="AE8" s="3" t="s">
        <v>781</v>
      </c>
      <c r="AF8" s="3" t="s">
        <v>781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775</v>
      </c>
      <c r="N9" s="3" t="s">
        <v>775</v>
      </c>
      <c r="O9" s="3" t="s">
        <v>775</v>
      </c>
      <c r="P9" s="3" t="s">
        <v>775</v>
      </c>
      <c r="Q9" s="3"/>
      <c r="R9" s="3"/>
      <c r="V9" s="3"/>
      <c r="W9" s="3"/>
      <c r="X9" s="3"/>
      <c r="Y9" s="3"/>
      <c r="Z9" s="3"/>
      <c r="AA9" s="3" t="s">
        <v>783</v>
      </c>
      <c r="AB9" s="3" t="s">
        <v>783</v>
      </c>
      <c r="AC9" s="3" t="s">
        <v>783</v>
      </c>
      <c r="AD9" s="3" t="s">
        <v>783</v>
      </c>
      <c r="AE9" s="3"/>
      <c r="AF9" s="3"/>
      <c r="AG9" s="6"/>
      <c r="AH9" s="6"/>
      <c r="AI9" s="6"/>
      <c r="AJ9" s="2" t="s">
        <v>784</v>
      </c>
      <c r="AK9" s="2" t="s">
        <v>784</v>
      </c>
      <c r="AL9" s="2" t="s">
        <v>784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773</v>
      </c>
      <c r="N10" s="3" t="s">
        <v>773</v>
      </c>
      <c r="O10" s="3" t="s">
        <v>773</v>
      </c>
      <c r="P10" s="3" t="s">
        <v>773</v>
      </c>
      <c r="Q10" s="3"/>
      <c r="R10" s="3"/>
      <c r="V10" s="3"/>
      <c r="W10" s="3"/>
      <c r="X10" s="3"/>
      <c r="Y10" s="3"/>
      <c r="Z10" s="3"/>
      <c r="AA10" s="3" t="s">
        <v>783</v>
      </c>
      <c r="AB10" s="3" t="s">
        <v>783</v>
      </c>
      <c r="AC10" s="3" t="s">
        <v>783</v>
      </c>
      <c r="AD10" s="3" t="s">
        <v>783</v>
      </c>
      <c r="AE10" s="3"/>
      <c r="AF10" s="3"/>
      <c r="AG10" s="6"/>
      <c r="AH10" s="6"/>
      <c r="AI10" s="6"/>
      <c r="AJ10" s="2" t="s">
        <v>785</v>
      </c>
      <c r="AK10" s="2" t="s">
        <v>785</v>
      </c>
      <c r="AL10" s="2" t="s">
        <v>785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773</v>
      </c>
      <c r="N11" s="3" t="s">
        <v>773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783</v>
      </c>
      <c r="AB11" s="3" t="s">
        <v>783</v>
      </c>
      <c r="AC11" s="2"/>
      <c r="AD11" s="2"/>
      <c r="AE11" s="2"/>
      <c r="AF11" s="2"/>
      <c r="AG11" s="6"/>
      <c r="AH11" s="6"/>
      <c r="AI11" s="6"/>
      <c r="AJ11" s="2" t="s">
        <v>785</v>
      </c>
      <c r="AK11" s="2" t="s">
        <v>785</v>
      </c>
      <c r="AL11" s="2" t="s">
        <v>785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773</v>
      </c>
      <c r="N12" s="3" t="s">
        <v>773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783</v>
      </c>
      <c r="AB12" s="3" t="s">
        <v>783</v>
      </c>
      <c r="AC12" s="2"/>
      <c r="AD12" s="2"/>
      <c r="AE12" s="2"/>
      <c r="AF12" s="2"/>
    </row>
    <row r="14" spans="13:13">
      <c r="M14" s="1" t="s">
        <v>786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食物设计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2026-08-07T03:34:00Z</dcterms:created>
  <dcterms:modified xsi:type="dcterms:W3CDTF">2026-08-07T10:23:12Z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11DC3646B4356D0E5471746A4B0C8E1B_42</vt:lpwstr>
  </property>
  <property fmtid="{D5CDD505-2E9C-101B-9397-08002B2CF9AE}" pid="3" name="KSOProductBuildVer">
    <vt:lpwstr>2052-6.1.0.8274</vt:lpwstr>
  </property>
</Properties>
</file>