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527ccbd7884d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b1d0b7e0a5f943b5"/>
    <x:sheet xmlns:r="http://schemas.openxmlformats.org/officeDocument/2006/relationships" name="dish_variant" sheetId="2" r:id="Rb90b47870ed94050"/>
    <x:sheet xmlns:r="http://schemas.openxmlformats.org/officeDocument/2006/relationships" name="skill" sheetId="3" r:id="Rd3c493007a404fad"/>
    <x:sheet xmlns:r="http://schemas.openxmlformats.org/officeDocument/2006/relationships" name="flavor" sheetId="4" r:id="R554231b3d1ae4b55"/>
    <x:sheet xmlns:r="http://schemas.openxmlformats.org/officeDocument/2006/relationships" name="cake_layer_buff" sheetId="5" r:id="Rca6ad6de1a6448a7"/>
    <x:sheet xmlns:r="http://schemas.openxmlformats.org/officeDocument/2006/relationships" name="sub_skill" sheetId="6" r:id="R25570a1fdc2d42fd"/>
    <x:sheet xmlns:r="http://schemas.openxmlformats.org/officeDocument/2006/relationships" name="食物设计新" sheetId="9" r:id="R3a1b8100dd924bf1"/>
    <x:sheet xmlns:r="http://schemas.openxmlformats.org/officeDocument/2006/relationships" name="食物设计" sheetId="7" r:id="Rce04dcef06d04c2d"/>
    <x:sheet xmlns:r="http://schemas.openxmlformats.org/officeDocument/2006/relationships" name="位置" sheetId="8" r:id="R2531db32f39e4bbb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<x:sst xmlns:x="http://schemas.openxmlformats.org/spreadsheetml/2006/main">
  <x:si>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</x:si>
  <x:si>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</x:si>
  <x:si>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</x:si>
  <x:si>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</x:si>
  <x:si>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</x:si>
  <x:si>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</x:si>
  <x:si>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</x:si>
  <x:si>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</x:si>
  <x:si>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</x:si>
  <x:si>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##comment</x:t>
  </x:si>
  <x:si>
    <x:t xml:space="preserve">菜品基础ID</x:t>
  </x:si>
  <x:si>
    <x:t xml:space="preserve">菜品名称</x:t>
  </x:si>
  <x:si>
    <x:t xml:space="preserve">基础美味度</x:t>
  </x:si>
  <x:si>
    <x:t xml:space="preserve">是否允许旋转摆放</x:t>
  </x:si>
  <x:si>
    <x:t xml:space="preserve">技能ID列表(| 分隔)</x:t>
  </x:si>
  <x:si>
    <x:t xml:space="preserve">菜品分类(如cake;空=无)</x:t>
  </x:si>
  <x:si>
    <x:t xml:space="preserve">视为食物数(默认1)</x:t>
  </x:si>
  <x:si>
    <x:t xml:space="preserve">菜品形状行列表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</x:si>
  <x:si>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</x:si>
  <x:si>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</x:si>
  <x:si>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</x:si>
  <x:si>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</x:si>
  <x:si>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</x:si>
  <x:si>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arrow_cookie_1</x:t>
  </x:si>
  <x:si>
    <x:t xml:space="preserve">箭头饼干1</x:t>
  </x:si>
  <x:si>
    <x:t xml:space="preserve">false</x:t>
  </x:si>
  <x:si>
    <x:t xml:space="preserve">sk_arrow_cookie_1</x:t>
  </x:si>
  <x:si>
    <x:t xml:space="preserve">XX</x:t>
  </x:si>
  <x:si>
    <x:t xml:space="preserve">arrow_cookie_2</x:t>
  </x:si>
  <x:si>
    <x:t xml:space="preserve">箭头饼干2</x:t>
  </x:si>
  <x:si>
    <x:t xml:space="preserve">sk_arrow_cookie_2</x:t>
  </x:si>
  <x:si>
    <x:t xml:space="preserve">arrow_cookie_3</x:t>
  </x:si>
  <x:si>
    <x:t xml:space="preserve">箭头饼干3</x:t>
  </x:si>
  <x:si>
    <x:t xml:space="preserve">sk_arrow_cookie_3</x:t>
  </x:si>
  <x:si>
    <x:t xml:space="preserve">X</x:t>
  </x:si>
  <x:si>
    <x:t xml:space="preserve">arrow_cookie_4</x:t>
  </x:si>
  <x:si>
    <x:t xml:space="preserve">箭头饼干4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</x:si>
  <x:si>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</x:si>
  <x:si>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</x:si>
  <x:si>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</x:si>
  <x:si>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</x:si>
  <x:si>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</x:si>
  <x:si>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</x:si>
  <x:si>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</x:si>
  <x:si>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</x:si>
  <x:si>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eggtart</x:t>
  </x:si>
  <x:si>
    <x:t xml:space="preserve">蛋挞</x:t>
  </x:si>
  <x:si>
    <x:t xml:space="preserve">sk_eggtart</x:t>
  </x:si>
  <x:si>
    <x:t xml:space="preserve">sugarbean</x:t>
  </x:si>
  <x:si>
    <x:t xml:space="preserve">糖豆</x:t>
  </x:si>
  <x:si>
    <x:t xml:space="preserve">sk_sugarbean</x:t>
  </x:si>
  <x:si>
    <x:t xml:space="preserve">cheesecake</x:t>
  </x:si>
  <x:si>
    <x:t xml:space="preserve">芝士蛋糕</x:t>
  </x:si>
  <x:si>
    <x:t xml:space="preserve">sk_cheesecake</x:t>
  </x:si>
  <x:si>
    <x:t xml:space="preserve">0周</x:t>
  </x:si>
  <x:si>
    <x:t xml:space="preserve">mousse</x:t>
  </x:si>
  <x:si>
    <x:t xml:space="preserve">慕斯蛋糕</x:t>
  </x:si>
  <x:si>
    <x:t xml:space="preserve">sk_mousse</x:t>
  </x:si>
  <x:si>
    <x:t xml:space="preserve">1周</x:t>
  </x:si>
  <x:si>
    <x:t xml:space="preserve">fruit_candy</x:t>
  </x:si>
  <x:si>
    <x:t xml:space="preserve">水果糖</x:t>
  </x:si>
  <x:si>
    <x:t xml:space="preserve">sk_fruit_candy</x:t>
  </x:si>
  <x:si>
    <x:t xml:space="preserve">2周</x:t>
  </x:si>
  <x:si>
    <x:t xml:space="preserve">3周</x:t>
  </x:si>
  <x:si>
    <x:t xml:space="preserve">choco_bar</x:t>
  </x:si>
  <x:si>
    <x:t xml:space="preserve">巧克力棒</x:t>
  </x:si>
  <x:si>
    <x:t xml:space="preserve">sk_choco_bar</x:t>
  </x:si>
  <x:si>
    <x:t xml:space="preserve">4周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</x:si>
  <x:si>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</x:si>
  <x:si>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</x:si>
  <x:si>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</x:si>
  <x:si>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</x:si>
  <x:si>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</x:si>
  <x:si>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</x:si>
  <x:si>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</x:t>
  </x:si>
  <x:si>
    <x:t xml:space="preserve">奶油</x:t>
  </x:si>
  <x:si>
    <x:t xml:space="preserve">sk_cream</x:t>
  </x:si>
  <x:si>
    <x:t xml:space="preserve">普通</x:t>
  </x:si>
  <x:si>
    <x:t xml:space="preserve">加强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</x:si>
  <x:si>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</x:si>
  <x:si>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</x:si>
  <x:si>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</x:si>
  <x:si>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</x:si>
  <x:si>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10,40</x:t>
  </x:si>
  <x:si>
    <x:t xml:space="preserve">40,80</x:t>
  </x:si>
  <x:si>
    <x:t xml:space="preserve">baguette</x:t>
  </x:si>
  <x:si>
    <x:t xml:space="preserve">法棍</x:t>
  </x:si>
  <x:si>
    <x:t xml:space="preserve">sk_baguette</x:t>
  </x:si>
  <x:si>
    <x:t xml:space="preserve">10,45</x:t>
  </x:si>
  <x:si>
    <x:t xml:space="preserve">45,80</x:t>
  </x:si>
  <x:si>
    <x:t xml:space="preserve">tanghulu</x:t>
  </x:si>
  <x:si>
    <x:t xml:space="preserve">糖葫芦</x:t>
  </x:si>
  <x:si>
    <x:t xml:space="preserve">sk_tanghulu</x:t>
  </x:si>
  <x:si>
    <x:t xml:space="preserve">20,60</x:t>
  </x:si>
  <x:si>
    <x:t xml:space="preserve">50,90</x:t>
  </x:si>
  <x:si>
    <x:t xml:space="preserve">cake_slice</x:t>
  </x:si>
  <x:si>
    <x:t xml:space="preserve">蛋糕切角</x:t>
  </x:si>
  <x:si>
    <x:t xml:space="preserve">sk_cake_slice</x:t>
  </x:si>
  <x:si>
    <x:t xml:space="preserve">30,75</x:t>
  </x:si>
  <x:si>
    <x:t xml:space="preserve">55,100</x:t>
  </x:si>
  <x:si>
    <x:t xml:space="preserve">long_cake</x:t>
  </x:si>
  <x:si>
    <x:t xml:space="preserve">长条蛋糕</x:t>
  </x:si>
  <x:si>
    <x:t xml:space="preserve">sk_long_cake</x:t>
  </x:si>
  <x:si>
    <x:t xml:space="preserve">40,90</x:t>
  </x:si>
  <x:si>
    <x:t xml:space="preserve">70,120</x:t>
  </x:si>
  <x:si>
    <x:t xml:space="preserve">eclair</x:t>
  </x:si>
  <x:si>
    <x:t xml:space="preserve">闪电泡芙</x:t>
  </x:si>
  <x:si>
    <x:t xml:space="preserve">sk_eclair</x:t>
  </x:si>
  <x:si>
    <x:t xml:space="preserve">9+</x:t>
  </x:si>
  <x:si>
    <x:t xml:space="preserve">45,100</x:t>
  </x:si>
  <x:si>
    <x:t xml:space="preserve">80,130</x:t>
  </x:si>
  <x:si>
    <x:t xml:space="preserve">gummy</x:t>
  </x:si>
  <x:si>
    <x:t xml:space="preserve">软糖</x:t>
  </x:si>
  <x:si>
    <x:t xml:space="preserve">sk_gummy</x:t>
  </x:si>
  <x:si>
    <x:t xml:space="preserve">chocolate_strip</x:t>
  </x:si>
  <x:si>
    <x:t xml:space="preserve">巧克力条</x:t>
  </x:si>
  <x:si>
    <x:t xml:space="preserve">sk_chocolate_strip</x:t>
  </x:si>
  <x:si>
    <x:t xml:space="preserve">cake_roll</x:t>
  </x:si>
  <x:si>
    <x:t xml:space="preserve">蛋糕卷</x:t>
  </x:si>
  <x:si>
    <x:t xml:space="preserve">sk_cake_roll</x:t>
  </x:si>
  <x:si>
    <x:t xml:space="preserve">palmier</x:t>
  </x:si>
  <x:si>
    <x:t xml:space="preserve">蝴蝶酥</x:t>
  </x:si>
  <x:si>
    <x:t xml:space="preserve">sk_palmier</x:t>
  </x:si>
  <x:si>
    <x:t xml:space="preserve">.X</x:t>
  </x:si>
  <x:si>
    <x:t xml:space="preserve">chiffion</x:t>
  </x:si>
  <x:si>
    <x:t xml:space="preserve">戚风蛋糕</x:t>
  </x:si>
  <x:si>
    <x:t xml:space="preserve">sk_chiffion</x:t>
  </x:si>
  <x:si>
    <x:t xml:space="preserve">maple_sugar</x:t>
  </x:si>
  <x:si>
    <x:t xml:space="preserve">枫糖</x:t>
  </x:si>
  <x:si>
    <x:t xml:space="preserve">sk_maple_sugar</x:t>
  </x:si>
  <x:si>
    <x:t xml:space="preserve">taosu</x:t>
  </x:si>
  <x:si>
    <x:t xml:space="preserve">桃酥</x:t>
  </x:si>
  <x:si>
    <x:t xml:space="preserve">sk_taosu</x:t>
  </x:si>
  <x:si>
    <x:t xml:space="preserve">waffle</x:t>
  </x:si>
  <x:si>
    <x:t xml:space="preserve">华夫饼</x:t>
  </x:si>
  <x:si>
    <x:t xml:space="preserve">sk_waffle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</x:si>
  <x:si>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</x:si>
  <x:si>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</x:si>
  <x:si>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</x:si>
  <x:si>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</x:si>
  <x:si>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</x:si>
  <x:si>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</x:si>
  <x:si>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black_forest_cake</x:t>
  </x:si>
  <x:si>
    <x:t xml:space="preserve">黑森林蛋糕</x:t>
  </x:si>
  <x:si>
    <x:t xml:space="preserve">sk_black_forest_cake</x:t>
  </x:si>
  <x:si>
    <x:t xml:space="preserve">chocolate_sauce</x:t>
  </x:si>
  <x:si>
    <x:t xml:space="preserve">巧克力酱</x:t>
  </x:si>
  <x:si>
    <x:t xml:space="preserve">sk_chocolate_sauce</x:t>
  </x:si>
  <x:si>
    <x:t xml:space="preserve">mango_sago</x:t>
  </x:si>
  <x:si>
    <x:t xml:space="preserve">杨枝甘露</x:t>
  </x:si>
  <x:si>
    <x:t xml:space="preserve">sk_mango_sago</x:t>
  </x:si>
  <x:si>
    <x:t xml:space="preserve">fruit_cake</x:t>
  </x:si>
  <x:si>
    <x:t xml:space="preserve">水果蛋糕</x:t>
  </x:si>
  <x:si>
    <x:t xml:space="preserve">sk_fruit_cake</x:t>
  </x:si>
  <x:si>
    <x:t xml:space="preserve">parfait</x:t>
  </x:si>
  <x:si>
    <x:t xml:space="preserve">芭菲</x:t>
  </x:si>
  <x:si>
    <x:t xml:space="preserve">sk_parfait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</x:si>
  <x:si>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</x:si>
  <x:si>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</x:si>
  <x:si>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</x:si>
  <x:si>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</x:si>
  <x:si>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</x:si>
  <x:si>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</x:si>
  <x:si>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apple_pie</x:t>
  </x:si>
  <x:si>
    <x:t xml:space="preserve">苹果派</x:t>
  </x:si>
  <x:si>
    <x:t xml:space="preserve">sk_apple_pie</x:t>
  </x:si>
  <x:si>
    <x:t xml:space="preserve">double_cake</x:t>
  </x:si>
  <x:si>
    <x:t xml:space="preserve">双层蛋糕</x:t>
  </x:si>
  <x:si>
    <x:t xml:space="preserve">sk_double_cake</x:t>
  </x:si>
  <x:si>
    <x:t xml:space="preserve">baseId</x:t>
  </x:si>
  <x:si>
    <x:t xml:space="preserve">flavorId</x:t>
  </x:si>
  <x:si>
    <x:t xml:space="preserve">baseWeight</x:t>
  </x:si>
  <x:si>
    <x:t xml:space="preserve">price</x:t>
  </x:si>
  <x:si>
    <x:t xml:space="preserve">hiddenRange</x:t>
  </x:si>
  <x:si>
    <x:t xml:space="preserve">rotation</x:t>
  </x:si>
  <x:si>
    <x:t xml:space="preserve">菜品变体ID</x:t>
  </x:si>
  <x:si>
    <x:t xml:space="preserve">引用的菜品基础ID</x:t>
  </x:si>
  <x:si>
    <x:t xml:space="preserve">风味标签ID(可空,单槽)</x:t>
  </x:si>
  <x:si>
    <x:t xml:space="preserve">随机基础权重</x:t>
  </x:si>
  <x:si>
    <x:t xml:space="preserve">商店价格</x:t>
  </x:si>
  <x:si>
    <x:t xml:space="preserve">出现隐藏分区间(单元格: min,max)</x:t>
  </x:si>
  <x:si>
    <x:t xml:space="preserve">固定旋转朝向(整格四向)</x:t>
  </x:si>
  <x:si>
    <x:t xml:space="preserve">float</x:t>
  </x:si>
  <x:si>
    <x:t xml:space="preserve">HiddenRange</x:t>
  </x:si>
  <x:si>
    <x:t xml:space="preserve">DishRotation</x:t>
  </x:si>
  <x:si>
    <x:t xml:space="preserve">0,0</x:t>
  </x:si>
  <x:si>
    <x:t xml:space="preserve">Deg0</x:t>
  </x:si>
  <x:si>
    <x:t xml:space="preserve">t_sweet</x:t>
  </x:si>
  <x:si>
    <x:t xml:space="preserve">t_sour</x:t>
  </x:si>
  <x:si>
    <x:t xml:space="preserve">t_salty</x:t>
  </x:si>
  <x:si>
    <x:t xml:space="preserve">t_bitter</x:t>
  </x:si>
  <x:si>
    <x:t xml:space="preserve">t_numb</x:t>
  </x:si>
  <x:si>
    <x:t xml:space="preserve">t_rust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</x:si>
  <x:si>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</x:si>
  <x:si>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</x:si>
  <x:si>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</x:si>
  <x:si>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sk_arrow_cookie_1_1</x:t>
  </x:si>
  <x:si>
    <x:t xml:space="preserve">sk_arrow_cookie_2_1</x:t>
  </x:si>
  <x:si>
    <x:t xml:space="preserve">sk_arrow_cookie_3_1</x:t>
  </x:si>
  <x:si>
    <x:t xml:space="preserve">sk_arrow_cookie_4_1</x:t>
  </x:si>
  <x:si>
    <x:t xml:space="preserve">sk_jelly_1</x:t>
  </x:si>
  <x:si>
    <x:t xml:space="preserve">sk_cupcake_1</x:t>
  </x:si>
  <x:si>
    <x:t xml:space="preserve">sk_eggtart_1</x:t>
  </x:si>
  <x:si>
    <x:t xml:space="preserve">sk_sugarbean_1|sk_sugarbean_2</x:t>
  </x:si>
  <x:si>
    <x:t xml:space="preserve">sk_sugarbean_1</x:t>
  </x:si>
  <x:si>
    <x:t xml:space="preserve">sk_sugarbean_2</x:t>
  </x:si>
  <x:si>
    <x:t xml:space="preserve">sk_cheesecake_1|sk_cheesecake_2</x:t>
  </x:si>
  <x:si>
    <x:t xml:space="preserve">sk_cheesecake_1</x:t>
  </x:si>
  <x:si>
    <x:t xml:space="preserve">sk_cheesecake_2</x:t>
  </x:si>
  <x:si>
    <x:t xml:space="preserve">sk_mousse_1</x:t>
  </x:si>
  <x:si>
    <x:t xml:space="preserve">sk_fruit_candy_1|sk_fruit_candy_2</x:t>
  </x:si>
  <x:si>
    <x:t xml:space="preserve">sk_fruit_candy_1</x:t>
  </x:si>
  <x:si>
    <x:t xml:space="preserve">sk_fruit_candy_2</x:t>
  </x:si>
  <x:si>
    <x:t xml:space="preserve">sk_choco_bar_1|sk_choco_bar_2</x:t>
  </x:si>
  <x:si>
    <x:t xml:space="preserve">sk_choco_bar_1</x:t>
  </x:si>
  <x:si>
    <x:t xml:space="preserve">sk_choco_bar_2</x:t>
  </x:si>
  <x:si>
    <x:t xml:space="preserve">sk_mochi_1</x:t>
  </x:si>
  <x:si>
    <x:t xml:space="preserve">sk_cup_cake_1|sk_cup_cake_2</x:t>
  </x:si>
  <x:si>
    <x:t xml:space="preserve">sk_cup_cake_1</x:t>
  </x:si>
  <x:si>
    <x:t xml:space="preserve">sk_cup_cake_2</x:t>
  </x:si>
  <x:si>
    <x:t xml:space="preserve">sk_cream_1</x:t>
  </x:si>
  <x:si>
    <x:t xml:space="preserve">sk_eggroll_1</x:t>
  </x:si>
  <x:si>
    <x:t xml:space="preserve">sk_baguette_1</x:t>
  </x:si>
  <x:si>
    <x:t xml:space="preserve">sk_tanghulu_1|sk_tanghulu_2</x:t>
  </x:si>
  <x:si>
    <x:t xml:space="preserve">sk_tanghulu_1</x:t>
  </x:si>
  <x:si>
    <x:t xml:space="preserve">sk_tanghulu_2</x:t>
  </x:si>
  <x:si>
    <x:t xml:space="preserve">sk_cake_slice_1|sk_cake_slice_2</x:t>
  </x:si>
  <x:si>
    <x:t xml:space="preserve">sk_cake_slice_1</x:t>
  </x:si>
  <x:si>
    <x:t xml:space="preserve">sk_cake_slice_2</x:t>
  </x:si>
  <x:si>
    <x:t xml:space="preserve">sk_long_cake_1|sk_long_cake_2</x:t>
  </x:si>
  <x:si>
    <x:t xml:space="preserve">sk_long_cake_1</x:t>
  </x:si>
  <x:si>
    <x:t xml:space="preserve">sk_long_cake_2</x:t>
  </x:si>
  <x:si>
    <x:t xml:space="preserve">sk_eclair_1</x:t>
  </x:si>
  <x:si>
    <x:t xml:space="preserve">sk_gummy_1</x:t>
  </x:si>
  <x:si>
    <x:t xml:space="preserve">sk_chocolate_strip_1|sk_chocolate_strip_2</x:t>
  </x:si>
  <x:si>
    <x:t xml:space="preserve">sk_chocolate_strip_1</x:t>
  </x:si>
  <x:si>
    <x:t xml:space="preserve">sk_chocolate_strip_2</x:t>
  </x:si>
  <x:si>
    <x:t xml:space="preserve">sk_cake_roll_1|sk_cake_roll_2</x:t>
  </x:si>
  <x:si>
    <x:t xml:space="preserve">sk_cake_roll_1</x:t>
  </x:si>
  <x:si>
    <x:t xml:space="preserve">sk_cake_roll_2</x:t>
  </x:si>
  <x:si>
    <x:t xml:space="preserve">sk_palmier_1</x:t>
  </x:si>
  <x:si>
    <x:t xml:space="preserve">sk_chiffion_1</x:t>
  </x:si>
  <x:si>
    <x:t xml:space="preserve">sk_maple_sugar_1</x:t>
  </x:si>
  <x:si>
    <x:t xml:space="preserve">sk_taosu_1</x:t>
  </x:si>
  <x:si>
    <x:t xml:space="preserve">sk_waffle_1</x:t>
  </x:si>
  <x:si>
    <x:t xml:space="preserve">sk_cream_cake_1|sk_cream_cake_2</x:t>
  </x:si>
  <x:si>
    <x:t xml:space="preserve">sk_cream_cake_1</x:t>
  </x:si>
  <x:si>
    <x:t xml:space="preserve">sk_cream_cake_2</x:t>
  </x:si>
  <x:si>
    <x:t xml:space="preserve">sk_candycane_1|sk_candycane_2</x:t>
  </x:si>
  <x:si>
    <x:t xml:space="preserve">sk_candycane_1</x:t>
  </x:si>
  <x:si>
    <x:t xml:space="preserve">sk_candycane_2</x:t>
  </x:si>
  <x:si>
    <x:t xml:space="preserve">sk_black_forest_cake_1|sk_black_forest_cake_2</x:t>
  </x:si>
  <x:si>
    <x:t xml:space="preserve">sk_black_forest_cake_1</x:t>
  </x:si>
  <x:si>
    <x:t xml:space="preserve">sk_black_forest_cake_2</x:t>
  </x:si>
  <x:si>
    <x:t xml:space="preserve">sk_chocolate_sauce_1|sk_chocolate_sauce_2</x:t>
  </x:si>
  <x:si>
    <x:t xml:space="preserve">sk_chocolate_sauce_1</x:t>
  </x:si>
  <x:si>
    <x:t xml:space="preserve">sk_chocolate_sauce_2</x:t>
  </x:si>
  <x:si>
    <x:t xml:space="preserve">sk_mango_sago_1</x:t>
  </x:si>
  <x:si>
    <x:t xml:space="preserve">sk_fruit_cake_1|sk_fruit_cake_2</x:t>
  </x:si>
  <x:si>
    <x:t xml:space="preserve">sk_fruit_cake_1</x:t>
  </x:si>
  <x:si>
    <x:t xml:space="preserve">sk_fruit_cake_2</x:t>
  </x:si>
  <x:si>
    <x:t xml:space="preserve">sk_parfait_1</x:t>
  </x:si>
  <x:si>
    <x:t xml:space="preserve">sk_marshmallow_1</x:t>
  </x:si>
  <x:si>
    <x:t xml:space="preserve">sk_big_lollipop_1|sk_big_lollipop_2</x:t>
  </x:si>
  <x:si>
    <x:t xml:space="preserve">sk_big_lollipop_1</x:t>
  </x:si>
  <x:si>
    <x:t xml:space="preserve">sk_big_lollipop_2</x:t>
  </x:si>
  <x:si>
    <x:t xml:space="preserve">sk_apple_pie_1</x:t>
  </x:si>
  <x:si>
    <x:t xml:space="preserve">sk_double_cake_1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</x:si>
  <x:si>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</x:si>
  <x:si>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</x:si>
  <x:si>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</x:si>
  <x:si>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</x:si>
  <x:si>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</x:si>
  <x:si>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</x:si>
  <x:si>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</x:si>
  <x:si>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</x:si>
  <x:si>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</x:si>
  <x:si>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</x:si>
  <x:si>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</x:si>
  <x:si>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</x:si>
  <x:si>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FlavorEffectType</x:t>
  </x:si>
  <x:si>
    <x:t xml:space="preserve">list,float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</x:si>
  <x:si>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</x:si>
  <x:si>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</x:si>
  <x:si>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</x:si>
  <x:si>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</x:si>
  <x:si>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</x:si>
  <x:si>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</x:si>
  <x:si>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</x:si>
  <x:si>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</x:si>
  <x:si>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</x:si>
  <x:si>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鲜</x:t>
  </x:si>
  <x:si>
    <x:t xml:space="preserve">结算时
+10金币</x:t>
  </x:si>
  <x:si>
    <x:t xml:space="preserve">GrantGold</x:t>
  </x:si>
  <x:si>
    <x:t xml:space="preserve">结算时获得 5 金币。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</x:si>
  <x:si>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</x:si>
  <x:si>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</x:si>
  <x:si>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</x:si>
  <x:si>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</x:si>
  <x:si>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酸</x:t>
  </x:si>
  <x:si>
    <x:t xml:space="preserve">结算开始时，若未上菜
场上食物倍率 ×1.5</x:t>
  </x:si>
  <x:si>
    <x:t xml:space="preserve">SourRecipeMult</x:t>
  </x:si>
  <x:si>
    <x:t xml:space="preserve">1.5</x:t>
  </x:si>
  <x:si>
    <x:t xml:space="preserve">咸</x:t>
  </x:si>
  <x:si>
    <x:t xml:space="preserve">结算开始时，若未上菜
场上食物基础分+20</x:t>
  </x:si>
  <x:si>
    <x:t xml:space="preserve">SaltyRecipeFlat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</x:si>
  <x:si>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</x:si>
  <x:si>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</x:si>
  <x:si>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</x:si>
  <x:si>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</x:si>
  <x:si>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</x:si>
  <x:si>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层数阈值(&gt;=生效)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</x:si>
  <x:si>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</x:si>
  <x:si>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</x:si>
  <x:si>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</x:si>
  <x:si>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</x:si>
  <x:si>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</x:si>
  <x:si>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</x:si>
  <x:si>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AddFlat</x:t>
  </x:si>
  <x:si>
    <x:t xml:space="preserve">层数≥1：蛋糕基础分 +3×层数</x:t>
  </x:si>
  <x:si>
    <x:t xml:space="preserve">clb_multflat</x:t>
  </x:si>
  <x:si>
    <x:t xml:space="preserve">AddMultFlat</x:t>
  </x:si>
  <x:si>
    <x:t xml:space="preserve">层数≥50：蛋糕倍率 +0.05×层数</x:t>
  </x:si>
  <x:si>
    <x:t xml:space="preserve">clb_mult</x:t>
  </x:si>
  <x:si>
    <x:t xml:space="preserve">AddMult</x:t>
  </x:si>
  <x:si>
    <x:t xml:space="preserve">层数≥100：蛋糕倍率 ×(0.02×层数)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</x:si>
  <x:si>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</x:si>
  <x:si>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</x:si>
  <x:si>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</x:si>
  <x:si>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</x:si>
  <x:si>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</x:si>
  <x:si>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</x:si>
  <x:si>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</x:si>
  <x:si>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</x:si>
  <x:si>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</x:si>
  <x:si>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</x:si>
  <x:si>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</x:si>
  <x:si>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isPassive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</x:si>
  <x:si>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</x:si>
  <x:si>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</x:si>
  <x:si>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</x:si>
  <x:si>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</x:si>
  <x:si>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</x:si>
  <x:si>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</x:si>
  <x:si>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</x:si>
  <x:si>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</x:si>
  <x:si>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</x:si>
  <x:si>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</x:si>
  <x:si>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</x:si>
  <x:si>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</x:si>
  <x:si>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</x:si>
  <x:si>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</x:si>
  <x:si>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是否被动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</x:si>
  <x:si>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</x:si>
  <x:si>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</x:si>
  <x:si>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</x:si>
  <x:si>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</x:si>
  <x:si>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</x:si>
  <x:si>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</x:si>
  <x:si>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</x:si>
  <x:si>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</x:si>
  <x:si>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</x:si>
  <x:si>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OnSettle</x:t>
  </x:si>
  <x:si>
    <x:t xml:space="preserve">None</x:t>
  </x:si>
  <x:si>
    <x:t xml:space="preserve">Self</x:t>
  </x:si>
  <x:si>
    <x:t xml:space="preserve">Instances</x:t>
  </x:si>
  <x:si>
    <x:t xml:space="preserve">Gate</x:t>
  </x:si>
  <x:si>
    <x:t xml:space="preserve">RightAndSelf</x:t>
  </x:si>
  <x:si>
    <x:t xml:space="preserve">true</x:t>
  </x:si>
  <x:si>
    <x:t xml:space="preserve">LeftAndSelf</x:t>
  </x:si>
  <x:si>
    <x:t xml:space="preserve">DownAndSelf</x:t>
  </x:si>
  <x:si>
    <x:t xml:space="preserve">UpAndSelf</x:t>
  </x:si>
  <x:si>
    <x:t xml:space="preserve">PositionFilled</x:t>
  </x:si>
  <x:si>
    <x:t xml:space="preserve">RoundAndSelf</x:t>
  </x:si>
  <x:si>
    <x:t xml:space="preserve">SkillCount</x:t>
  </x:si>
  <x:si>
    <x:t xml:space="preserve">Per</x:t>
  </x:si>
  <x:si>
    <x:t xml:space="preserve">AddLayer</x:t>
  </x:si>
  <x:si>
    <x:t xml:space="preserve">CakeBuff</x:t>
  </x:si>
  <x:si>
    <x:t xml:space="preserve">clb</x:t>
  </x:si>
  <x:si>
    <x:t xml:space="preserve">欢乐蛋糕</x:t>
  </x:si>
  <x:si>
    <x:t xml:space="preserve">DishCount</x:t>
  </x:si>
  <x:si>
    <x:t xml:space="preserve">Right</x:t>
  </x:si>
  <x:si>
    <x:t xml:space="preserve">TransferSkills</x:t>
  </x:si>
  <x:si>
    <x:t xml:space="preserve">term_sweet_transfer</x:t>
  </x:si>
  <x:si>
    <x:t xml:space="preserve">Up</x:t>
  </x:si>
  <x:si>
    <x:t xml:space="preserve">div:2</x:t>
  </x:si>
  <x:si>
    <x:t xml:space="preserve">ColumnAndSelf</x:t>
  </x:si>
  <x:si>
    <x:t xml:space="preserve">All</x:t>
  </x:si>
  <x:si>
    <x:t xml:space="preserve">RowAndSelf</x:t>
  </x:si>
  <x:si>
    <x:t xml:space="preserve">AddCountAs</x:t>
  </x:si>
  <x:si>
    <x:t xml:space="preserve">Category</x:t>
  </x:si>
  <x:si>
    <x:t xml:space="preserve">cat:cake</x:t>
  </x:si>
  <x:si>
    <x:t xml:space="preserve">Reach</x:t>
  </x:si>
  <x:si>
    <x:t xml:space="preserve">tiers:6|15|30</x:t>
  </x:si>
  <x:si>
    <x:t xml:space="preserve">tiervals:2.5|5|8</x:t>
  </x:si>
  <x:si>
    <x:t xml:space="preserve">when:transfer</x:t>
  </x:si>
  <x:si>
    <x:t xml:space="preserve">PermanentAddFlat</x:t>
  </x:si>
  <x:si>
    <x:t xml:space="preserve">AddCurrentScore</x:t>
  </x:si>
  <x:si>
    <x:t xml:space="preserve">multfloor:20</x:t>
  </x:si>
  <x:si>
    <x:t xml:space="preserve">TriggerSweetTransfer</x:t>
  </x:si>
  <x:si>
    <x:t xml:space="preserve">skilltype:TransferSkills</x:t>
  </x:si>
  <x:si>
    <x:t xml:space="preserve">tiers:8|16|25</x:t>
  </x:si>
  <x:si>
    <x:t xml:space="preserve">tiervals:2|3|4</x:t>
  </x:si>
  <x:si>
    <x:t xml:space="preserve">Round</x:t>
  </x:si>
  <x:si>
    <x:t xml:space="preserve">CategoryCount</x:t>
  </x:si>
  <x:si>
    <x:t xml:space="preserve">cake;tiers:3|5|8</x:t>
  </x:si>
  <x:si>
    <x:t xml:space="preserve">tiervals:15|30|50</x:t>
  </x:si>
  <x:si>
    <x:t xml:space="preserve">OccupiedCell</x:t>
  </x:si>
  <x:si>
    <x:t xml:space="preserve">source:board</x:t>
  </x:si>
  <x:si>
    <x:t xml:space="preserve">target:occupiedcells</x:t>
  </x:si>
  <x:si>
    <x:t xml:space="preserve">Down</x:t>
  </x:si>
  <x:si>
    <x:t xml:space="preserve">modifier:add-targets;skilltype:TransferSkills</x:t>
  </x:si>
  <x:si>
    <x:t xml:space="preserve">axis:rowcol;skilltype:TransferSkills</x:t>
  </x:si>
  <x:si>
    <x:t xml:space="preserve">CopySkill</x:t>
  </x:si>
  <x:si>
    <x:t xml:space="preserve">菜品</x:t>
  </x:si>
  <x:si>
    <x:t xml:space="preserve">形状</x:t>
  </x:si>
  <x:si>
    <x:t xml:space="preserve">美味度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</x:si>
  <x:si>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</x:si>
  <x:si>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</x:si>
  <x:si>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</x:si>
  <x:si>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</x:si>
  <x:si>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</x:si>
  <x:si>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</x:si>
  <x:si>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4个基础充数
（数值低）</x:t>
  </x:si>
  <x:si>
    <x:t xml:space="preserve">右侧及自身
分数+15</x:t>
  </x:si>
  <x:si>
    <x:t xml:space="preserve">左侧及自身
倍率+0.5</x:t>
  </x:si>
  <x:si>
    <x:t xml:space="preserve">下侧及自身
分数+15</x:t>
  </x:si>
  <x:si>
    <x:t xml:space="preserve">上侧及自身
倍率+0.5</x:t>
  </x:si>
  <x:si>
    <x:t xml:space="preserve">build</x:t>
  </x:si>
  <x:si>
    <x:t xml:space="preserve">效果</x:t>
  </x:si>
  <x:si>
    <x:t xml:space="preserve">位置</x:t>
  </x:si>
  <x:si>
    <x:t xml:space="preserve">3+3+3个基础食物
（数值正常，主要用来引入机制）
2个通用食物</x:t>
  </x:si>
  <x:si>
    <x:t xml:space="preserve">周围及自身
没有空格时，倍率+1.5</x:t>
  </x:si>
  <x:si>
    <x:t xml:space="preserve">通用</x:t>
  </x:si>
  <x:si>
    <x:t xml:space="preserve">周围</x:t>
  </x:si>
  <x:si>
    <x:t xml:space="preserve">周围及自身每有1个技能
欢乐蛋糕+2层</x:t>
  </x:si>
  <x:si>
    <x:t xml:space="preserve">蛋糕+传递</x:t>
  </x:si>
  <x:si>
    <x:t xml:space="preserve">buff</x:t>
  </x:si>
  <x:si>
    <x:t xml:space="preserve">左侧及自身
每有1个食物，倍率+0.8</x:t>
  </x:si>
  <x:si>
    <x:t xml:space="preserve">个数</x:t>
  </x:si>
  <x:si>
    <x:t xml:space="preserve">左</x:t>
  </x:si>
  <x:si>
    <x:t xml:space="preserve">右侧及自身
每有1个技能，分数+6
甜蜜传递1个食物</x:t>
  </x:si>
  <x:si>
    <x:t xml:space="preserve">传递</x:t>
  </x:si>
  <x:si>
    <x:t xml:space="preserve">分数</x:t>
  </x:si>
  <x:si>
    <x:t xml:space="preserve">右</x:t>
  </x:si>
  <x:si>
    <x:t xml:space="preserve">周围及自身
分数+10
欢乐蛋糕+6层</x:t>
  </x:si>
  <x:si>
    <x:t xml:space="preserve">蛋糕</x:t>
  </x:si>
  <x:si>
    <x:t xml:space="preserve">分数+buff</x:t>
  </x:si>
  <x:si>
    <x:t xml:space="preserve">左侧及自身
每有1个食物，欢乐蛋糕+2层</x:t>
  </x:si>
  <x:si>
    <x:t xml:space="preserve">个数+蛋糕</x:t>
  </x:si>
  <x:si>
    <x:t xml:space="preserve">上侧及自身
倍率+0.4
甜蜜传递2个食物</x:t>
  </x:si>
  <x:si>
    <x:t xml:space="preserve">上</x:t>
  </x:si>
  <x:si>
    <x:t xml:space="preserve">周围及自身
每有1个食物，分数+5
甜蜜传递1个食物</x:t>
  </x:si>
  <x:si>
    <x:t xml:space="preserve">传递+个数</x:t>
  </x:si>
  <x:si>
    <x:t xml:space="preserve">下侧及自身
每有2个食物，倍率+0.8
额外视为1个食物</x:t>
  </x:si>
  <x:si>
    <x:t xml:space="preserve">下</x:t>
  </x:si>
  <x:si>
    <x:t xml:space="preserve">本列食物倍率+0.5
欢乐蛋糕+5层</x:t>
  </x:si>
  <x:si>
    <x:t xml:space="preserve">列</x:t>
  </x:si>
  <x:si>
    <x:t xml:space="preserve">餐桌没有空格时
所有食物分数+10</x:t>
  </x:si>
  <x:si>
    <x:t xml:space="preserve">所有</x:t>
  </x:si>
  <x:si>
    <x:t xml:space="preserve">3+3+3个略高级的食物
（数值进一步增强，在普通机制的基础上有更进一步的机制</x:t>
  </x:si>
  <x:si>
    <x:t xml:space="preserve">本行
每有1个食物，分数+10
额外视为2个食物</x:t>
  </x:si>
  <x:si>
    <x:t xml:space="preserve">行</x:t>
  </x:si>
  <x:si>
    <x:t xml:space="preserve">周围及自身
额外视为3个食物</x:t>
  </x:si>
  <x:si>
    <x:t xml:space="preserve">右侧及自身
倍率+2
甜蜜传递1个食物</x:t>
  </x:si>
  <x:si>
    <x:t xml:space="preserve">蛋糕类食物倍率+1.5
本行分数+30</x:t>
  </x:si>
  <x:si>
    <x:t xml:space="preserve">周围及自身
倍率+1
欢乐蛋糕+15层</x:t>
  </x:si>
  <x:si>
    <x:t xml:space="preserve">本列食物个数达6/15/30
倍率+2.5/5/8
额外视为2个食物</x:t>
  </x:si>
  <x:si>
    <x:t xml:space="preserve">本行食物
发动甜蜜传递时，倍率x1.5</x:t>
  </x:si>
  <x:si>
    <x:t xml:space="preserve">周围及自身
分数永久+15
甜蜜传递1个食物</x:t>
  </x:si>
  <x:si>
    <x:t xml:space="preserve">欢乐蛋糕+10层
将自身分数加至蛋糕类食物上</x:t>
  </x:si>
  <x:si>
    <x:t xml:space="preserve">左侧及自身
倍率x2</x:t>
  </x:si>
  <x:si>
    <x:t xml:space="preserve">2+2+2个略高级的食物
（数值进一步增强，在普通机制的基础上有更进一步的机制</x:t>
  </x:si>
  <x:si>
    <x:t xml:space="preserve">欢乐蛋糕x1.5层
至少+20层</x:t>
  </x:si>
  <x:si>
    <x:t xml:space="preserve">使3个带有甜蜜传递的食物
额外结算1次甜蜜传递</x:t>
  </x:si>
  <x:si>
    <x:t xml:space="preserve">本行食物
达8/16/25个时，倍率x2/3/4
额外视为5个食物</x:t>
  </x:si>
  <x:si>
    <x:t xml:space="preserve">本列
每有1个食物，倍率+0.3
额外视为4个食物</x:t>
  </x:si>
  <x:si>
    <x:t xml:space="preserve">欢乐蛋糕+25层
本列蛋糕类食物
分数+30</x:t>
  </x:si>
  <x:si>
    <x:t xml:space="preserve">每有1个技能
倍率+3
甜蜜传递3个食物</x:t>
  </x:si>
  <x:si>
    <x:t xml:space="preserve">2+2+2个高级的食物
（数值进一步增强，在普通机制的基础上有更进一步的机制</x:t>
  </x:si>
  <x:si>
    <x:t xml:space="preserve">本行蛋糕类
食物倍率x2
蛋糕数量达3/5/8时
蛋糕层数+15/30/50</x:t>
  </x:si>
  <x:si>
    <x:t xml:space="preserve">右侧及自身
倍率x2.5
甜蜜传递1个食物</x:t>
  </x:si>
  <x:si>
    <x:t xml:space="preserve">周围及自身
每有1个食物，倍率x1.1
额外视为7个食物</x:t>
  </x:si>
  <x:si>
    <x:t xml:space="preserve">本行蛋糕类食物
倍率x2
将餐桌格子总数
加至蛋糕层数上</x:t>
  </x:si>
  <x:si>
    <x:t xml:space="preserve">所有食物额外视为N个食物
（N为食物所占格子数）</x:t>
  </x:si>
  <x:si>
    <x:t xml:space="preserve">下侧食物
甜蜜传递时额外选择2目标</x:t>
  </x:si>
  <x:si>
    <x:t xml:space="preserve">1+1+1</x:t>
  </x:si>
  <x:si>
    <x:t xml:space="preserve">同行同列带有甜蜜传递的食物
执行一次它们的甜蜜传递</x:t>
  </x:si>
  <x:si>
    <x:t xml:space="preserve">所有食物
把个数加入倍率</x:t>
  </x:si>
  <x:si>
    <x:t xml:space="preserve">获得3种的蛋糕类食物技能</x:t>
  </x:si>
  <x:si>
    <x:t xml:space="preserve">每有1个技能
倍率x2
甜蜜传递至同行食物</x:t>
  </x:si>
  <x:si>
    <x:t xml:space="preserve">作用乘区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</x:si>
  <x:si>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</x:si>
  <x:si>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</x:si>
  <x:si>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</x:si>
  <x:si>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</x:si>
  <x:si>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</x:si>
  <x:si>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曲奇</x:t>
  </x:si>
  <x:si>
    <x:t xml:space="preserve">处在棋盘边缘时
倍率 +3</x:t>
  </x:si>
  <x:si>
    <x:t xml:space="preserve">右侧及自身
分数+10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</x:si>
  <x:si>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</x:si>
  <x:si>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</x:si>
  <x:si>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</x:si>
  <x:si>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</x:si>
  <x:si>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马卡龙</x:t>
  </x:si>
  <x:si>
    <x:t xml:space="preserve">周围每有 1 种食物
分数 +5
甜蜜传递1</x:t>
  </x:si>
  <x:si>
    <x:t xml:space="preserve">自己与另一</x:t>
  </x:si>
  <x:si>
    <x:t xml:space="preserve">前期更易，自身和另一个同行的加分数</x:t>
  </x:si>
  <x:si>
    <x:t xml:space="preserve">布丁</x:t>
  </x:si>
  <x:si>
    <x:t xml:space="preserve">周围每有1个空格
分数-2</x:t>
  </x:si>
  <x:si>
    <x:t xml:space="preserve">下侧及自身
分数+10</x:t>
  </x:si>
  <x:si>
    <x:t xml:space="preserve">保证空格少</x:t>
  </x:si>
  <x:si>
    <x:t xml:space="preserve">泡芙</x:t>
  </x:si>
  <x:si>
    <x:t xml:space="preserve">周围每有 1 个食物
欢乐蛋糕 +2层</x:t>
  </x:si>
  <x:si>
    <x:t xml:space="preserve">前中后</x:t>
  </x:si>
  <x:si>
    <x:t xml:space="preserve">攒Buff/小而多</x:t>
  </x:si>
  <x:si>
    <x:t xml:space="preserve">都适用，加层4～8+</x:t>
  </x:si>
  <x:si>
    <x:t xml:space="preserve">结算时
分数永久+8</x:t>
  </x:si>
  <x:si>
    <x:t xml:space="preserve">自身永久加分数</x:t>
  </x:si>
  <x:si>
    <x:t xml:space="preserve">4回合回本</x:t>
  </x:si>
  <x:si>
    <x:t xml:space="preserve">本列每有1个食物
倍率+0.4</x:t>
  </x:si>
  <x:si>
    <x:t xml:space="preserve">前中</x:t>
  </x:si>
  <x:si>
    <x:t xml:space="preserve">列检测数量，加倍率</x:t>
  </x:si>
  <x:si>
    <x:t xml:space="preserve">大福</x:t>
  </x:si>
  <x:si>
    <x:t xml:space="preserve">本行每有1个食物
分数+8</x:t>
  </x:si>
  <x:si>
    <x:t xml:space="preserve">周围没有空格时
自身倍率+2</x:t>
  </x:si>
  <x:si>
    <x:t xml:space="preserve">行检测数量，加分数</x:t>
  </x:si>
  <x:si>
    <x:t xml:space="preserve">巧克力糖</x:t>
  </x:si>
  <x:si>
    <x:t xml:space="preserve">分数永久
+5*技能个数</x:t>
  </x:si>
  <x:si>
    <x:t xml:space="preserve">周围及自身每有1个技能
欢乐蛋糕+5层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</x:si>
  <x:si>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</x:si>
  <x:si>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</x:si>
  <x:si>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</x:si>
  <x:si>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本行
每有1个食物，倍率+0.1</x:t>
  </x:si>
  <x:si>
    <x:t xml:space="preserve">左侧及自身
每有1个食物，倍率+0.5
额外视为1个食物</x:t>
  </x:si>
  <x:si>
    <x:t xml:space="preserve">自己及周围</x:t>
  </x:si>
  <x:si>
    <x:t xml:space="preserve">行检测种数，范围加倍率</x:t>
  </x:si>
  <x:si>
    <x:t xml:space="preserve">奶油小格</x:t>
  </x:si>
  <x:si>
    <x:t xml:space="preserve">欢乐蛋糕+8层</x:t>
  </x:si>
  <x:si>
    <x:t xml:space="preserve">右侧及自身每有1个技能
分数+10
甜蜜传递1个食物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</x:si>
  <x:si>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</x:si>
  <x:si>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</x:si>
  <x:si>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</x:si>
  <x:si>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</x:si>
  <x:si>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</x:si>
  <x:si>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周围每有1个食物
倍率+0.2
甜蜜传递至周围1个食物</x:t>
  </x:si>
  <x:si>
    <x:t xml:space="preserve">周围及自身
分数+10
欢乐蛋糕+10层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</x:si>
  <x:si>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</x:si>
  <x:si>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</x:si>
  <x:si>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</x:si>
  <x:si>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</x:si>
  <x:si>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金巧克力</x:t>
  </x:si>
  <x:si>
    <x:t xml:space="preserve">若周围被填满
获得10个金币</x:t>
  </x:si>
  <x:si>
    <x:t xml:space="preserve">左侧及自身每有1个食物
欢乐蛋糕+3层</x:t>
  </x:si>
  <x:si>
    <x:t xml:space="preserve">金币</x:t>
  </x:si>
  <x:si>
    <x:t xml:space="preserve">加钱</x:t>
  </x:si>
  <x:si>
    <x:t xml:space="preserve">空格检测</x:t>
  </x:si>
  <x:si>
    <x:t xml:space="preserve">（周围/同列/同行/空）每有1个空格</x:t>
  </x:si>
  <x:si>
    <x:t xml:space="preserve">奶片</x:t>
  </x:si>
  <x:si>
    <x:t xml:space="preserve">若本列被填满
欢乐蛋糕+10层</x:t>
  </x:si>
  <x:si>
    <x:t xml:space="preserve">上侧及自身
倍率+10
甜蜜传递2个食物</x:t>
  </x:si>
  <x:si>
    <x:t xml:space="preserve">有条件加层数</x:t>
  </x:si>
  <x:si>
    <x:t xml:space="preserve">1格</x:t>
  </x:si>
  <x:si>
    <x:t xml:space="preserve">边缘检测</x:t>
  </x:si>
  <x:si>
    <x:t xml:space="preserve">若本食物处在边缘</x:t>
  </x:si>
  <x:si>
    <x:t xml:space="preserve">圣代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</x:si>
  <x:si>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</x:si>
  <x:si>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</x:si>
  <x:si>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</x:si>
  <x:si>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2格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</x:si>
  <x:si>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</x:si>
  <x:si>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</x:si>
  <x:si>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</x:si>
  <x:si>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甜筒</x:t>
  </x:si>
  <x:si>
    <x:t xml:space="preserve">蛋糕+15层
额外视为2个食物</x:t>
  </x:si>
  <x:si>
    <x:t xml:space="preserve">周围及自身
每有1个食物，分数+10
甜蜜传递1个食物</x:t>
  </x:si>
  <x:si>
    <x:t xml:space="preserve">加层数，过度</x:t>
  </x:si>
  <x:si>
    <x:t xml:space="preserve">3格</x:t>
  </x:si>
  <x:si>
    <x:t xml:space="preserve">阶梯数量</x:t>
  </x:si>
  <x:si>
    <x:t xml:space="preserve">（周围/同列/同行/空）食物数量达到[2/5/10]时</x:t>
  </x:si>
  <x:si>
    <x:t xml:space="preserve">4格</x:t>
  </x:si>
  <x:si>
    <x:t xml:space="preserve">大小检测</x:t>
  </x:si>
  <x:si>
    <x:t xml:space="preserve">（周围/同列/同行/空）每有1（种/个）（大于等于/小于等于）3格的食物</x:t>
  </x:si>
  <x:si>
    <x:t xml:space="preserve">棒棒糖</x:t>
  </x:si>
  <x:si>
    <x:t xml:space="preserve">周围有占1格的食物时
倍率x1.5
甜蜜传递至同行2个食物</x:t>
  </x:si>
  <x:si>
    <x:t xml:space="preserve">下侧及自身
每有2个食物，倍率+0.5
额外视为1个食物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</x:si>
  <x:si>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</x:si>
  <x:si>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</x:si>
  <x:si>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</x:si>
  <x:si>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</x:si>
  <x:si>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（前面/后面）每有1个食物</x:t>
  </x:si>
  <x:si>
    <x:t xml:space="preserve">本行食物分数+10
甜蜜传递至同列1个食物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</x:si>
  <x:si>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</x:si>
  <x:si>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</x:si>
  <x:si>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</x:si>
  <x:si>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</x:si>
  <x:si>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</x:si>
  <x:si>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</x:si>
  <x:si>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每有1个技能
欢乐蛋糕+6层
甜蜜传递至同行1个食物</x:t>
  </x:si>
  <x:si>
    <x:t xml:space="preserve">buff/传递</x:t>
  </x:si>
  <x:si>
    <x:t xml:space="preserve">技能转层数</x:t>
  </x:si>
  <x:si>
    <x:t xml:space="preserve">大局相同检测</x:t>
  </x:si>
  <x:si>
    <x:t xml:space="preserve">本局每结算过一次本种菜品</x:t>
  </x:si>
  <x:si>
    <x:t xml:space="preserve">蛋糕食物
倍率x1.2
欢乐蛋糕+5层</x:t>
  </x:si>
  <x:si>
    <x:t xml:space="preserve">一类乘倍率，加buff</x:t>
  </x:si>
  <x:si>
    <x:t xml:space="preserve">小局相同检测</x:t>
  </x:si>
  <x:si>
    <x:t xml:space="preserve">本次美食品鉴，每（结算过一次/有一个）本种菜品</x:t>
  </x:si>
  <x:si>
    <x:t xml:space="preserve">餐桌没有空格时
所有食物分数+20</x:t>
  </x:si>
  <x:si>
    <x:t xml:space="preserve">标签</x:t>
  </x:si>
  <x:si>
    <x:t xml:space="preserve">标签检测</x:t>
  </x:si>
  <x:si>
    <x:t xml:space="preserve">本食物每有1（种/个）技能</x:t>
  </x:si>
  <x:si>
    <x:t xml:space="preserve">太妃糖</x:t>
  </x:si>
  <x:si>
    <x:t xml:space="preserve">分数永久+10
甜蜜传递至同列2个食物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</x:si>
  <x:si>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</x:si>
  <x:si>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</x:si>
  <x:si>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</x:si>
  <x:si>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</x:si>
  <x:si>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牛轧糖</x:t>
  </x:si>
  <x:si>
    <x:t xml:space="preserve">周围及自身分数+10
甜蜜传递至同行2个食物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</x:si>
  <x:si>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</x:si>
  <x:si>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</x:si>
  <x:si>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</x:si>
  <x:si>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</x:si>
  <x:si>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</x:si>
  <x:si>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上菜检测</x:t>
  </x:si>
  <x:si>
    <x:t xml:space="preserve">上菜时</x:t>
  </x:si>
  <x:si>
    <x:t xml:space="preserve">额外视为3个食物
全场每有1个食物
倍率+0.2</x:t>
  </x:si>
  <x:si>
    <x:t xml:space="preserve">全场检测加自身倍率</x:t>
  </x:si>
  <x:si>
    <x:t xml:space="preserve">菜谱</x:t>
  </x:si>
  <x:si>
    <x:t xml:space="preserve">菜谱检测</x:t>
  </x:si>
  <x:si>
    <x:t xml:space="preserve">菜谱中食物（大于等于/小于等于）3（种/个）时</x:t>
  </x:si>
  <x:si>
    <x:t xml:space="preserve">周围及自身倍率+1.5
甜蜜传递1个食物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</x:si>
  <x:si>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</x:si>
  <x:si>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</x:si>
  <x:si>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</x:si>
  <x:si>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</x:si>
  <x:si>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最多消耗5层欢乐蛋糕
每消耗一层
本行倍率+0.8</x:t>
  </x:si>
  <x:si>
    <x:t xml:space="preserve">本行倍率加</x:t>
  </x:si>
  <x:si>
    <x:t xml:space="preserve">传递检测</x:t>
  </x:si>
  <x:si>
    <x:t xml:space="preserve">本食物每有1个被传递的技能</x:t>
  </x:si>
  <x:si>
    <x:t xml:space="preserve">本食物有被传递的技能时</x:t>
  </x:si>
  <x:si>
    <x:t xml:space="preserve">传递次数检测</x:t>
  </x:si>
  <x:si>
    <x:t xml:space="preserve">本局传递次数达到10次时</x:t>
  </x:si>
  <x:si>
    <x:t xml:space="preserve">本列食物
倍率+1
甜蜜传递至同行2个食物</x:t>
  </x:si>
  <x:si>
    <x:t xml:space="preserve">本列</x:t>
  </x:si>
  <x:si>
    <x:t xml:space="preserve">本列倍率加</x:t>
  </x:si>
  <x:si>
    <x:t xml:space="preserve">层数检测</x:t>
  </x:si>
  <x:si>
    <x:t xml:space="preserve">欢乐蛋糕层数小于等于10层时</x:t>
  </x:si>
  <x:si>
    <x:t xml:space="preserve">X.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</x:si>
  <x:si>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</x:si>
  <x:si>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</x:si>
  <x:si>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</x:si>
  <x:si>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舒芙蕾</x:t>
  </x:si>
  <x:si>
    <x:t xml:space="preserve">欢乐蛋糕x1.5层
至少+10层</x:t>
  </x:si>
  <x:si>
    <x:t xml:space="preserve">使1个带有甜蜜传递的食物
额外结算1次甜蜜传递</x:t>
  </x:si>
  <x:si>
    <x:t xml:space="preserve">本行倍率乘</x:t>
  </x:si>
  <x:si>
    <x:t xml:space="preserve">层数消耗</x:t>
  </x:si>
  <x:si>
    <x:t xml:space="preserve">消耗（5层/所有）欢乐蛋糕层数</x:t>
  </x:si>
  <x:si>
    <x:t xml:space="preserve">层数转化分数</x:t>
  </x:si>
  <x:si>
    <x:t xml:space="preserve">每10层使（周围/同列/同行/空/下一个结算）（全部/随机两个）食物分数（x1.5/+10）</x:t>
  </x:si>
  <x:si>
    <x:t xml:space="preserve">额外视为5个食物
本列食物达「10/18/25」个时
本列倍率x「2/3/4」</x:t>
  </x:si>
  <x:si>
    <x:t xml:space="preserve">周围倍率乘</x:t>
  </x:si>
  <x:si>
    <x:t xml:space="preserve">层数转化结算</x:t>
  </x:si>
  <x:si>
    <x:t xml:space="preserve">每10层使（周围/同列/同行/空/下一个结算）（全部/随机两个）食物额外结算1次</x:t>
  </x:si>
  <x:si>
    <x:t xml:space="preserve">层数增加</x:t>
  </x:si>
  <x:si>
    <x:t xml:space="preserve">欢乐蛋糕层数（x1.5/+10）</x:t>
  </x:si>
  <x:si>
    <x:t xml:space="preserve">月饼</x:t>
  </x:si>
  <x:si>
    <x:t xml:space="preserve">额外视为4个食物
周围及自身倍率x2.5</x:t>
  </x:si>
  <x:si>
    <x:t xml:space="preserve">周围倍率加</x:t>
  </x:si>
  <x:si>
    <x:t xml:space="preserve">多次结算</x:t>
  </x:si>
  <x:si>
    <x:t xml:space="preserve">（周围/同列/同行/全部/本/下一个结算）（随机2个/空）食物，（周围/同列/同行/全部/本）（随机2个/空）额外结算1次</x:t>
  </x:si>
  <x:si>
    <x:t xml:space="preserve">额外视为7个食物
本行每有1个食物
周围及自身倍率+0.3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</x:si>
  <x:si>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</x:si>
  <x:si>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</x:si>
  <x:si>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</x:si>
  <x:si>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将（所有/1个）（周围/同列/同行/任意/下一个结算）食物分数（的1/3），加至（本/n个/所有）（同列/周围/同行/任意/下一个结算）食物上</x:t>
  </x:si>
  <x:si>
    <x:t xml:space="preserve">铜锣烧</x:t>
  </x:si>
  <x:si>
    <x:t xml:space="preserve">本列食物
额外被视为2个食物
本列食物分数+50</x:t>
  </x:si>
  <x:si>
    <x:t xml:space="preserve">经济运营</x:t>
  </x:si>
  <x:si>
    <x:t xml:space="preserve">获得5个金币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</x:si>
  <x:si>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</x:si>
  <x:si>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</x:si>
  <x:si>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分数永久+10
将本食物的分数加至蛋糕食物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</x:si>
  <x:si>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</x:si>
  <x:si>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</x:si>
  <x:si>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</x:si>
  <x:si>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消耗（周围/同列/同行/全部/本/下一个结算）（随机2个/空）食物</x:t>
  </x:si>
  <x:si>
    <x:t xml:space="preserve">甜甜圈</x:t>
  </x:si>
  <x:si>
    <x:t xml:space="preserve">蛋糕层数+40</x:t>
  </x:si>
  <x:si>
    <x:t xml:space="preserve">自身</x:t>
  </x:si>
  <x:si>
    <x:t xml:space="preserve">技能复制</x:t>
  </x:si>
  <x:si>
    <x:t xml:space="preserve">复制（周围/同列/同行/全部/本/下一个结算）（随机2个/空）食物的任意一个技能</x:t>
  </x:si>
  <x:si>
    <x:t xml:space="preserve">技能获得</x:t>
  </x:si>
  <x:si>
    <x:t xml:space="preserve">（周围/同列/同行/全部/本/下一个结算）（随机2个/空）食物获得技能</x:t>
  </x:si>
  <x:si>
    <x:t xml:space="preserve">椪糖</x:t>
  </x:si>
  <x:si>
    <x:t xml:space="preserve">每有1个技能
倍率+3
甜蜜传递至同列3个食物</x:t>
  </x:si>
  <x:si>
    <x:t xml:space="preserve">后</x:t>
  </x:si>
  <x:si>
    <x:t xml:space="preserve">失效食物</x:t>
  </x:si>
  <x:si>
    <x:t xml:space="preserve">使（周围/同列/同行/全部/本/下一个结算）（随机2个/空）食物技能在本局失效</x:t>
  </x:si>
  <x:si>
    <x:t xml:space="preserve">多数菜</x:t>
  </x:si>
  <x:si>
    <x:t xml:space="preserve">本菜视为2种菜</x:t>
  </x:si>
  <x:si>
    <x:t xml:space="preserve">额外视为9个食物
周围每有1个食物
周围及自身倍率x1.2</x:t>
  </x:si>
  <x:si>
    <x:t xml:space="preserve">大圣代</x:t>
  </x:si>
  <x:si>
    <x:t xml:space="preserve">额外视为4个食物
本列倍率×N
（N=1+周围食物个数×0.2）</x:t>
  </x:si>
  <x:si>
    <x:t xml:space="preserve">瑞士卷</x:t>
  </x:si>
  <x:si>
    <x:t xml:space="preserve">蛋糕层数+20
所有食物倍率+1</x:t>
  </x:si>
  <x:si>
    <x:t xml:space="preserve">额外视为7个食物
将所有占1格食物的倍率
添加到自身</x:t>
  </x:si>
  <x:si>
    <x:t xml:space="preserve">倍率+8
将倍率加到蛋糕食物上</x:t>
  </x:si>
  <x:si>
    <x:t xml:space="preserve">本行每有1个食物
周围及自身倍率+0.5</x:t>
  </x:si>
  <x:si>
    <x:t xml:space="preserve">蛋糕食物倍率x2
蛋糕数量达3/5/8时
蛋糕层数+30/50/80</x:t>
  </x:si>
  <x:si>
    <x:t xml:space="preserve">巧克力</x:t>
  </x:si>
  <x:si>
    <x:t xml:space="preserve">甜蜜传递食物达「3/5/8」种
此类食物倍率x「2/3/4」</x:t>
  </x:si>
  <x:si>
    <x:t xml:space="preserve">牛角包</x:t>
  </x:si>
  <x:si>
    <x:t xml:space="preserve">周围每有1种食物
蛋糕层数+10层</x:t>
  </x:si>
  <x:si>
    <x:t xml:space="preserve">额外视为3个食物
周围及自身倍率×N
（N=1+本列食物个数×0.05）</x:t>
  </x:si>
  <x:si>
    <x:t xml:space="preserve">本列食物倍率x1.3
甜蜜传递至周围1个食物</x:t>
  </x:si>
  <x:si>
    <x:t xml:space="preserve">.X.</x:t>
  </x:si>
  <x:si>
    <x:t xml:space="preserve">.XXX.</x:t>
  </x:si>
  <x:si>
    <x:t xml:space="preserve">获得3种不同的蛋糕技能</x:t>
  </x:si>
  <x:si>
    <x:t xml:space="preserve">XXXXX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</x:si>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</x:sst>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2"/>
      <x:color rgb="FF101418"/>
      <x:name val="宋体"/>
    </x:font>
    <x:font>
      <x:sz val="11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9" tint="0.6"/>
      </x:patternFill>
    </x:fill>
    <x:fill>
      <x:patternFill patternType="solid">
        <x:fgColor theme="8" tint="0.6"/>
      </x:patternFill>
    </x:fill>
    <x:fill>
      <x:patternFill patternType="solid">
        <x:fgColor theme="0" tint="-0.3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1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2" borderId="5">
      <x:alignment vertical="center"/>
    </x:xf>
    <x:xf numFmtId="0" fontId="14" fillId="13" borderId="6">
      <x:alignment vertical="center"/>
    </x:xf>
    <x:xf numFmtId="0" fontId="15" fillId="13" borderId="5">
      <x:alignment vertical="center"/>
    </x:xf>
    <x:xf numFmtId="0" fontId="16" fillId="14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5" borderId="0">
      <x:alignment vertical="center"/>
    </x:xf>
    <x:xf numFmtId="0" fontId="20" fillId="16" borderId="0">
      <x:alignment vertical="center"/>
    </x:xf>
    <x:xf numFmtId="0" fontId="21" fillId="17" borderId="0">
      <x:alignment vertical="center"/>
    </x:xf>
    <x:xf numFmtId="0" fontId="22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22" fillId="21" borderId="0">
      <x:alignment vertical="center"/>
    </x:xf>
    <x:xf numFmtId="0" fontId="22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22" fillId="25" borderId="0">
      <x:alignment vertical="center"/>
    </x:xf>
    <x:xf numFmtId="0" fontId="22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22" fillId="29" borderId="0">
      <x:alignment vertical="center"/>
    </x:xf>
    <x:xf numFmtId="0" fontId="22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22" fillId="33" borderId="0">
      <x:alignment vertical="center"/>
    </x:xf>
    <x:xf numFmtId="0" fontId="22" fillId="34" borderId="0">
      <x:alignment vertical="center"/>
    </x:xf>
    <x:xf numFmtId="0" fontId="0" fillId="35" borderId="0">
      <x:alignment vertical="center"/>
    </x:xf>
    <x:xf numFmtId="0" fontId="0" fillId="36" borderId="0">
      <x:alignment vertical="center"/>
    </x:xf>
    <x:xf numFmtId="0" fontId="22" fillId="37" borderId="0">
      <x:alignment vertical="center"/>
    </x:xf>
    <x:xf numFmtId="0" fontId="22" fillId="38" borderId="0">
      <x:alignment vertical="center"/>
    </x:xf>
    <x:xf numFmtId="0" fontId="0" fillId="39" borderId="0">
      <x:alignment vertical="center"/>
    </x:xf>
    <x:xf numFmtId="0" fontId="0" fillId="40" borderId="0">
      <x:alignment vertical="center"/>
    </x:xf>
    <x:xf numFmtId="0" fontId="22" fillId="41" borderId="0">
      <x:alignment vertical="center"/>
    </x:xf>
  </x:cellStyleXfs>
  <x:cellXfs count="37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0" fillId="0" borderId="0" xfId="0" applyAlignment="1">
      <x:alignment horizontal="left" vertical="top"/>
    </x:xf>
    <x:xf numFmtId="0" fontId="1" fillId="0" borderId="0" xfId="0" applyFont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1" fillId="6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" fillId="7" borderId="0" xfId="0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2" fillId="5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9" borderId="0" xfId="0" applyFont="1" applyFill="1" applyAlignment="1">
      <x:alignment horizontal="center" vertical="center" wrapText="1"/>
    </x:xf>
    <x:xf numFmtId="0" fontId="3" fillId="8" borderId="0" xfId="0" applyFont="1" applyFill="1" applyAlignment="1">
      <x:alignment horizontal="center" vertical="center" wrapText="1"/>
    </x:xf>
    <x:xf numFmtId="0" fontId="0" fillId="10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9" borderId="0" xfId="0" applyFill="1" applyAlignment="1">
      <x:alignment horizontal="center" vertical="center" wrapText="1"/>
    </x:xf>
    <x:xf numFmtId="0" fontId="0" fillId="9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0" fontId="3" fillId="8" borderId="0" xfId="0" applyFont="1" applyFill="1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19b0e1eef64217" /><Relationship Type="http://schemas.openxmlformats.org/officeDocument/2006/relationships/theme" Target="/xl/theme/theme1.xml" Id="Ra1d6d1a531ec47a8" /><Relationship Type="http://schemas.openxmlformats.org/officeDocument/2006/relationships/sharedStrings" Target="/xl/sharedStrings.xml" Id="Rfc54643ecd894a1b" /><Relationship Type="http://schemas.openxmlformats.org/officeDocument/2006/relationships/worksheet" Target="/xl/worksheets/sheet1.xml" Id="Rb1d0b7e0a5f943b5" /><Relationship Type="http://schemas.openxmlformats.org/officeDocument/2006/relationships/worksheet" Target="/xl/worksheets/sheet2.xml" Id="Rb90b47870ed94050" /><Relationship Type="http://schemas.openxmlformats.org/officeDocument/2006/relationships/worksheet" Target="/xl/worksheets/sheet3.xml" Id="Rd3c493007a404fad" /><Relationship Type="http://schemas.openxmlformats.org/officeDocument/2006/relationships/worksheet" Target="/xl/worksheets/sheet4.xml" Id="R554231b3d1ae4b55" /><Relationship Type="http://schemas.openxmlformats.org/officeDocument/2006/relationships/worksheet" Target="/xl/worksheets/sheet5.xml" Id="Rca6ad6de1a6448a7" /><Relationship Type="http://schemas.openxmlformats.org/officeDocument/2006/relationships/worksheet" Target="/xl/worksheets/sheet6.xml" Id="R25570a1fdc2d42fd" /><Relationship Type="http://schemas.openxmlformats.org/officeDocument/2006/relationships/worksheet" Target="/xl/worksheets/sheet7.xml" Id="R3a1b8100dd924bf1" /><Relationship Type="http://schemas.openxmlformats.org/officeDocument/2006/relationships/worksheet" Target="/xl/worksheets/sheet8.xml" Id="Rce04dcef06d04c2d" /><Relationship Type="http://schemas.openxmlformats.org/officeDocument/2006/relationships/worksheet" Target="/xl/worksheets/sheet9.xml" Id="R2531db32f39e4bb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8.384614944458008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1" width="9" style="1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  <x:col min="16382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K1" s="1" t="str">
        <x:f>""</x:f>
      </x:c>
    </x:row>
    <x:row r="2">
      <x:c r="A2" s="1" t="s">
        <x:v>9</x:v>
      </x:c>
      <x:c r="B2" s="1" t="s">
        <x:v>10</x:v>
      </x:c>
      <x:c r="C2" s="1" t="s">
        <x:v>11</x:v>
      </x:c>
      <x:c r="D2" s="1" t="s">
        <x:v>12</x:v>
      </x:c>
      <x:c r="E2" s="1" t="s">
        <x:v>13</x:v>
      </x:c>
      <x:c r="F2" s="1" t="s">
        <x:v>14</x:v>
      </x:c>
      <x:c r="G2" s="1" t="s">
        <x:v>15</x:v>
      </x:c>
      <x:c r="H2" s="1" t="s">
        <x:v>16</x:v>
      </x:c>
      <x:c r="I2" s="1" t="s">
        <x:v>17</x:v>
      </x:c>
      <x:c r="K2" s="1" t="str">
        <x:f>""</x:f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20</x:v>
      </x:c>
      <x:c r="E3" s="1" t="s">
        <x:v>21</x:v>
      </x:c>
      <x:c r="F3" s="1" t="s">
        <x:v>19</x:v>
      </x:c>
      <x:c r="G3" s="1" t="s">
        <x:v>19</x:v>
      </x:c>
      <x:c r="H3" s="1" t="s">
        <x:v>20</x:v>
      </x:c>
      <x:c r="I3" s="1" t="s">
        <x:v>22</x:v>
      </x:c>
      <x:c r="K3" s="1" t="str">
        <x:f>""</x:f>
      </x:c>
    </x:row>
    <x:row r="4">
      <x:c r="B4" s="8" t="s">
        <x:v>23</x:v>
      </x:c>
      <x:c r="C4" s="1" t="s">
        <x:v>24</x:v>
      </x:c>
      <x:c r="D4" s="1">
        <x:v>20</x:v>
      </x:c>
      <x:c r="E4" s="1" t="s">
        <x:v>25</x:v>
      </x:c>
      <x:c r="F4" s="1" t="s">
        <x:v>26</x:v>
      </x:c>
      <x:c r="H4" s="1">
        <x:v>1</x:v>
      </x:c>
      <x:c r="I4" s="1" t="s">
        <x:v>27</x:v>
      </x:c>
      <x:c r="K4" s="1">
        <x:v>2</x:v>
      </x:c>
      <x:c r="L4" s="1" t="str">
        <x:f>VLOOKUP(K4,$R$26:$U$30,3,FALSE)</x:f>
        <x:v>10,45</x:v>
      </x:c>
      <x:c r="M4" s="1" t="str">
        <x:f>VLOOKUP(K4,$R$26:$U$30,4,FALSE)</x:f>
        <x:v>45,80</x:v>
      </x:c>
      <x:c r="N4" s="1" t="n">
        <x:f>ROUNDUP(1.5*K4*10,0)</x:f>
        <x:v>30</x:v>
      </x:c>
      <x:c r="O4" s="1" t="n">
        <x:f>ROUNDUP(N4*1.5+20,-1)</x:f>
        <x:v>70</x:v>
      </x:c>
    </x:row>
    <x:row r="5">
      <x:c r="B5" s="8" t="s">
        <x:v>28</x:v>
      </x:c>
      <x:c r="C5" s="1" t="s">
        <x:v>29</x:v>
      </x:c>
      <x:c r="D5" s="1">
        <x:v>20</x:v>
      </x:c>
      <x:c r="E5" s="1" t="s">
        <x:v>25</x:v>
      </x:c>
      <x:c r="F5" s="1" t="s">
        <x:v>30</x:v>
      </x:c>
      <x:c r="H5" s="1">
        <x:v>1</x:v>
      </x:c>
      <x:c r="I5" s="1" t="s">
        <x:v>27</x:v>
      </x:c>
      <x:c r="K5" s="1">
        <x:v>2</x:v>
      </x:c>
      <x:c r="L5" s="1" t="str">
        <x:f t="shared" ref="L5:L34" si="0">VLOOKUP(K5,$R$26:$U$30,3,FALSE)</x:f>
        <x:v>10,45</x:v>
      </x:c>
      <x:c r="M5" s="1" t="str">
        <x:f>VLOOKUP(K5,$R$26:$U$30,4,FALSE)</x:f>
        <x:v>45,80</x:v>
      </x:c>
      <x:c r="N5" s="1" t="n">
        <x:f t="shared" ref="N5:N34" si="1">ROUNDUP(1.5*K5*10,0)</x:f>
        <x:v>30</x:v>
      </x:c>
      <x:c r="O5" s="1" t="n">
        <x:f>ROUNDUP(N5*1.5+20,-1)</x:f>
        <x:v>70</x:v>
      </x:c>
    </x:row>
    <x:row r="6">
      <x:c r="B6" s="1" t="s">
        <x:v>31</x:v>
      </x:c>
      <x:c r="C6" s="1" t="s">
        <x:v>32</x:v>
      </x:c>
      <x:c r="D6" s="1">
        <x:v>20</x:v>
      </x:c>
      <x:c r="E6" s="1" t="s">
        <x:v>25</x:v>
      </x:c>
      <x:c r="F6" s="1" t="s">
        <x:v>33</x:v>
      </x:c>
      <x:c r="H6" s="1">
        <x:v>1</x:v>
      </x:c>
      <x:c r="I6" s="1" t="s">
        <x:v>34</x:v>
      </x:c>
      <x:c r="K6" s="1">
        <x:v>2</x:v>
      </x:c>
      <x:c r="L6" s="1" t="str">
        <x:f t="shared" si="0"/>
        <x:v>10,45</x:v>
      </x:c>
      <x:c r="M6" s="1" t="str">
        <x:f>VLOOKUP(K6,$R$26:$U$30,4,FALSE)</x:f>
        <x:v>45,80</x:v>
      </x:c>
      <x:c r="N6" s="1">
        <x:f t="shared" si="1"/>
        <x:v>30</x:v>
      </x:c>
      <x:c r="O6" s="1" t="n">
        <x:f>ROUNDUP(N6*1.5+20,-1)</x:f>
        <x:v>70</x:v>
      </x:c>
    </x:row>
    <x:row r="7">
      <x:c r="I7" s="1" t="s">
        <x:v>34</x:v>
      </x:c>
    </x:row>
    <x:row r="8">
      <x:c r="B8" s="1" t="s">
        <x:v>35</x:v>
      </x:c>
      <x:c r="C8" s="1" t="s">
        <x:v>36</x:v>
      </x:c>
      <x:c r="D8" s="1">
        <x:v>20</x:v>
      </x:c>
      <x:c r="E8" s="1" t="s">
        <x:v>25</x:v>
      </x:c>
      <x:c r="F8" s="1" t="s">
        <x:v>37</x:v>
      </x:c>
      <x:c r="H8" s="1">
        <x:v>1</x:v>
      </x:c>
      <x:c r="I8" s="1" t="s">
        <x:v>34</x:v>
      </x:c>
      <x:c r="K8" s="1">
        <x:v>2</x:v>
      </x:c>
      <x:c r="L8" s="1" t="str">
        <x:f t="shared" si="0"/>
        <x:v>10,45</x:v>
      </x:c>
      <x:c r="M8" s="1" t="str">
        <x:f t="shared" ref="M8:M37" si="2">VLOOKUP(K8,$R$26:$U$30,4,FALSE)</x:f>
        <x:v>45,80</x:v>
      </x:c>
      <x:c r="N8" s="1">
        <x:f t="shared" si="1"/>
        <x:v>30</x:v>
      </x:c>
      <x:c r="O8" s="1" t="n">
        <x:f t="shared" ref="O8:O37" si="3">ROUNDUP(N8*1.5+20,-1)</x:f>
        <x:v>70</x:v>
      </x:c>
    </x:row>
    <x:row r="9">
      <x:c r="I9" s="1" t="s">
        <x:v>34</x:v>
      </x:c>
    </x:row>
    <x:row r="10">
      <x:c r="B10" s="1" t="s">
        <x:v>38</x:v>
      </x:c>
      <x:c r="C10" s="1" t="s">
        <x:v>39</x:v>
      </x:c>
      <x:c r="D10" s="1">
        <x:v>20</x:v>
      </x:c>
      <x:c r="E10" s="1" t="s">
        <x:v>25</x:v>
      </x:c>
      <x:c r="F10" s="1" t="s">
        <x:v>40</x:v>
      </x:c>
      <x:c r="H10" s="1">
        <x:v>1</x:v>
      </x:c>
      <x:c r="I10" s="1" t="s">
        <x:v>27</x:v>
      </x:c>
      <x:c r="K10" s="1">
        <x:v>2</x:v>
      </x:c>
      <x:c r="L10" s="1" t="str">
        <x:f t="shared" si="0"/>
        <x:v>10,45</x:v>
      </x:c>
      <x:c r="M10" s="1" t="str">
        <x:f t="shared" si="2"/>
        <x:v>45,80</x:v>
      </x:c>
      <x:c r="N10" s="1">
        <x:f t="shared" si="1"/>
        <x:v>30</x:v>
      </x:c>
      <x:c r="O10" s="1">
        <x:f t="shared" si="3"/>
        <x:v>70</x:v>
      </x:c>
    </x:row>
    <x:row r="11">
      <x:c r="B11" s="1" t="s">
        <x:v>41</x:v>
      </x:c>
      <x:c r="C11" s="1" t="s">
        <x:v>42</x:v>
      </x:c>
      <x:c r="D11" s="1">
        <x:v>20</x:v>
      </x:c>
      <x:c r="E11" s="1" t="s">
        <x:v>25</x:v>
      </x:c>
      <x:c r="F11" s="1" t="s">
        <x:v>43</x:v>
      </x:c>
      <x:c r="G11" s="1" t="s">
        <x:v>44</x:v>
      </x:c>
      <x:c r="H11" s="1">
        <x:v>1</x:v>
      </x:c>
      <x:c r="I11" s="1" t="s">
        <x:v>27</x:v>
      </x:c>
      <x:c r="K11" s="1">
        <x:v>2</x:v>
      </x:c>
      <x:c r="L11" s="1" t="str">
        <x:f t="shared" si="0"/>
        <x:v>10,45</x:v>
      </x:c>
      <x:c r="M11" s="1" t="str">
        <x:f t="shared" si="2"/>
        <x:v>45,80</x:v>
      </x:c>
      <x:c r="N11" s="1">
        <x:f t="shared" si="1"/>
        <x:v>30</x:v>
      </x:c>
      <x:c r="O11" s="1">
        <x:f t="shared" si="3"/>
        <x:v>70</x:v>
      </x:c>
    </x:row>
    <x:row r="12">
      <x:c r="B12" s="1" t="s">
        <x:v>45</x:v>
      </x:c>
      <x:c r="C12" s="1" t="s">
        <x:v>46</x:v>
      </x:c>
      <x:c r="D12" s="1">
        <x:v>20</x:v>
      </x:c>
      <x:c r="E12" s="1" t="s">
        <x:v>25</x:v>
      </x:c>
      <x:c r="F12" s="1" t="s">
        <x:v>47</x:v>
      </x:c>
      <x:c r="H12" s="1">
        <x:v>1</x:v>
      </x:c>
      <x:c r="I12" s="1" t="s">
        <x:v>27</x:v>
      </x:c>
      <x:c r="K12" s="1">
        <x:v>2</x:v>
      </x:c>
      <x:c r="L12" s="1" t="str">
        <x:f t="shared" si="0"/>
        <x:v>10,45</x:v>
      </x:c>
      <x:c r="M12" s="1" t="str">
        <x:f t="shared" si="2"/>
        <x:v>45,80</x:v>
      </x:c>
      <x:c r="N12" s="1">
        <x:f t="shared" si="1"/>
        <x:v>30</x:v>
      </x:c>
      <x:c r="O12" s="1">
        <x:f t="shared" si="3"/>
        <x:v>70</x:v>
      </x:c>
    </x:row>
    <x:row r="13">
      <x:c r="B13" s="1" t="s">
        <x:v>48</x:v>
      </x:c>
      <x:c r="C13" s="1" t="s">
        <x:v>49</x:v>
      </x:c>
      <x:c r="D13" s="1">
        <x:v>20</x:v>
      </x:c>
      <x:c r="E13" s="1" t="s">
        <x:v>25</x:v>
      </x:c>
      <x:c r="F13" s="1" t="s">
        <x:v>50</x:v>
      </x:c>
      <x:c r="H13" s="1">
        <x:v>1</x:v>
      </x:c>
      <x:c r="I13" s="1" t="s">
        <x:v>27</x:v>
      </x:c>
      <x:c r="K13" s="1">
        <x:v>2</x:v>
      </x:c>
      <x:c r="L13" s="1" t="str">
        <x:f t="shared" si="0"/>
        <x:v>10,45</x:v>
      </x:c>
      <x:c r="M13" s="1" t="str">
        <x:f t="shared" si="2"/>
        <x:v>45,80</x:v>
      </x:c>
      <x:c r="N13" s="1">
        <x:f t="shared" si="1"/>
        <x:v>30</x:v>
      </x:c>
      <x:c r="O13" s="1">
        <x:f t="shared" si="3"/>
        <x:v>70</x:v>
      </x:c>
    </x:row>
    <x:row r="14">
      <x:c r="B14" s="1" t="s">
        <x:v>51</x:v>
      </x:c>
      <x:c r="C14" s="1" t="s">
        <x:v>52</x:v>
      </x:c>
      <x:c r="D14" s="1">
        <x:v>20</x:v>
      </x:c>
      <x:c r="E14" s="1" t="s">
        <x:v>25</x:v>
      </x:c>
      <x:c r="F14" s="1" t="s">
        <x:v>53</x:v>
      </x:c>
      <x:c r="G14" s="1" t="s">
        <x:v>44</x:v>
      </x:c>
      <x:c r="H14" s="1">
        <x:v>1</x:v>
      </x:c>
      <x:c r="I14" s="1" t="s">
        <x:v>27</x:v>
      </x:c>
      <x:c r="K14" s="1">
        <x:v>2</x:v>
      </x:c>
      <x:c r="L14" s="1" t="str">
        <x:f t="shared" si="0"/>
        <x:v>10,45</x:v>
      </x:c>
      <x:c r="M14" s="1" t="str">
        <x:f t="shared" si="2"/>
        <x:v>45,80</x:v>
      </x:c>
      <x:c r="N14" s="1">
        <x:f t="shared" si="1"/>
        <x:v>30</x:v>
      </x:c>
      <x:c r="O14" s="1">
        <x:f t="shared" si="3"/>
        <x:v>70</x:v>
      </x:c>
      <x:c r="Q14" s="1" t="s">
        <x:v>54</x:v>
      </x:c>
      <x:c r="R14" s="1">
        <x:v>10</x:v>
      </x:c>
      <x:c r="S14" s="1">
        <x:v>11</x:v>
      </x:c>
      <x:c r="T14" s="1">
        <x:v>12</x:v>
      </x:c>
      <x:c r="U14" s="1">
        <x:v>13</x:v>
      </x:c>
      <x:c r="V14" s="1">
        <x:v>14</x:v>
      </x:c>
      <x:c r="W14" s="1">
        <x:v>15</x:v>
      </x:c>
      <x:c r="X14" s="1">
        <x:v>16</x:v>
      </x:c>
      <x:c r="Y14" s="1">
        <x:v>17</x:v>
      </x:c>
    </x:row>
    <x:row r="15">
      <x:c r="B15" s="1" t="s">
        <x:v>55</x:v>
      </x:c>
      <x:c r="C15" s="1" t="s">
        <x:v>56</x:v>
      </x:c>
      <x:c r="D15" s="1">
        <x:v>20</x:v>
      </x:c>
      <x:c r="E15" s="1" t="s">
        <x:v>25</x:v>
      </x:c>
      <x:c r="F15" s="1" t="s">
        <x:v>57</x:v>
      </x:c>
      <x:c r="G15" s="1" t="s">
        <x:v>44</x:v>
      </x:c>
      <x:c r="H15" s="1">
        <x:v>1</x:v>
      </x:c>
      <x:c r="I15" s="1" t="s">
        <x:v>27</x:v>
      </x:c>
      <x:c r="K15" s="1">
        <x:v>2</x:v>
      </x:c>
      <x:c r="L15" s="1" t="str">
        <x:f t="shared" si="0"/>
        <x:v>10,45</x:v>
      </x:c>
      <x:c r="M15" s="1" t="str">
        <x:f t="shared" si="2"/>
        <x:v>45,80</x:v>
      </x:c>
      <x:c r="N15" s="1">
        <x:f t="shared" si="1"/>
        <x:v>30</x:v>
      </x:c>
      <x:c r="O15" s="1">
        <x:f t="shared" si="3"/>
        <x:v>70</x:v>
      </x:c>
      <x:c r="Q15" s="1" t="s">
        <x:v>58</x:v>
      </x:c>
      <x:c r="R15" s="1">
        <x:v>20</x:v>
      </x:c>
      <x:c r="S15" s="1">
        <x:v>21</x:v>
      </x:c>
      <x:c r="T15" s="1">
        <x:v>22</x:v>
      </x:c>
      <x:c r="U15" s="1">
        <x:v>23</x:v>
      </x:c>
      <x:c r="V15" s="1">
        <x:v>24</x:v>
      </x:c>
      <x:c r="W15" s="1">
        <x:v>25</x:v>
      </x:c>
      <x:c r="X15" s="1">
        <x:v>26</x:v>
      </x:c>
      <x:c r="Y15" s="1">
        <x:v>27</x:v>
      </x:c>
    </x:row>
    <x:row r="16">
      <x:c r="B16" s="1" t="s">
        <x:v>59</x:v>
      </x:c>
      <x:c r="C16" s="1" t="s">
        <x:v>60</x:v>
      </x:c>
      <x:c r="D16" s="1">
        <x:v>20</x:v>
      </x:c>
      <x:c r="E16" s="1" t="s">
        <x:v>25</x:v>
      </x:c>
      <x:c r="F16" s="1" t="s">
        <x:v>61</x:v>
      </x:c>
      <x:c r="H16" s="1">
        <x:v>1</x:v>
      </x:c>
      <x:c r="I16" s="1" t="s">
        <x:v>34</x:v>
      </x:c>
      <x:c r="K16" s="1">
        <x:v>2</x:v>
      </x:c>
      <x:c r="L16" s="1" t="str">
        <x:f t="shared" si="0"/>
        <x:v>10,45</x:v>
      </x:c>
      <x:c r="M16" s="1" t="str">
        <x:f t="shared" si="2"/>
        <x:v>45,80</x:v>
      </x:c>
      <x:c r="N16" s="1">
        <x:f t="shared" si="1"/>
        <x:v>30</x:v>
      </x:c>
      <x:c r="O16" s="1">
        <x:f t="shared" si="3"/>
        <x:v>70</x:v>
      </x:c>
      <x:c r="Q16" s="1" t="s">
        <x:v>62</x:v>
      </x:c>
      <x:c r="R16" s="1">
        <x:v>30</x:v>
      </x:c>
      <x:c r="S16" s="1">
        <x:v>31</x:v>
      </x:c>
      <x:c r="T16" s="1">
        <x:v>32</x:v>
      </x:c>
      <x:c r="U16" s="1">
        <x:v>33</x:v>
      </x:c>
      <x:c r="V16" s="1">
        <x:v>34</x:v>
      </x:c>
      <x:c r="W16" s="1">
        <x:v>35</x:v>
      </x:c>
      <x:c r="X16" s="1">
        <x:v>36</x:v>
      </x:c>
      <x:c r="Y16" s="1">
        <x:v>37</x:v>
      </x:c>
    </x:row>
    <x:row r="17">
      <x:c r="I17" s="1" t="s">
        <x:v>34</x:v>
      </x:c>
      <x:c r="Q17" s="1" t="s">
        <x:v>63</x:v>
      </x:c>
      <x:c r="R17" s="1">
        <x:v>40</x:v>
      </x:c>
      <x:c r="S17" s="1">
        <x:v>41</x:v>
      </x:c>
      <x:c r="T17" s="1">
        <x:v>42</x:v>
      </x:c>
      <x:c r="U17" s="1">
        <x:v>43</x:v>
      </x:c>
      <x:c r="V17" s="1">
        <x:v>44</x:v>
      </x:c>
      <x:c r="W17" s="1">
        <x:v>45</x:v>
      </x:c>
      <x:c r="X17" s="1">
        <x:v>46</x:v>
      </x:c>
      <x:c r="Y17" s="1">
        <x:v>47</x:v>
      </x:c>
    </x:row>
    <x:row r="18">
      <x:c r="B18" s="1" t="s">
        <x:v>64</x:v>
      </x:c>
      <x:c r="C18" s="1" t="s">
        <x:v>65</x:v>
      </x:c>
      <x:c r="D18" s="1">
        <x:v>20</x:v>
      </x:c>
      <x:c r="E18" s="1" t="s">
        <x:v>25</x:v>
      </x:c>
      <x:c r="F18" s="1" t="s">
        <x:v>66</x:v>
      </x:c>
      <x:c r="H18" s="1">
        <x:v>1</x:v>
      </x:c>
      <x:c r="I18" s="1" t="s">
        <x:v>34</x:v>
      </x:c>
      <x:c r="K18" s="1">
        <x:v>2</x:v>
      </x:c>
      <x:c r="L18" s="1" t="str">
        <x:f t="shared" si="0"/>
        <x:v>10,45</x:v>
      </x:c>
      <x:c r="M18" s="1" t="str">
        <x:f t="shared" si="2"/>
        <x:v>45,80</x:v>
      </x:c>
      <x:c r="N18" s="1">
        <x:f t="shared" si="1"/>
        <x:v>30</x:v>
      </x:c>
      <x:c r="O18" s="1">
        <x:f t="shared" si="3"/>
        <x:v>70</x:v>
      </x:c>
      <x:c r="Q18" s="1" t="s">
        <x:v>67</x:v>
      </x:c>
      <x:c r="R18" s="1">
        <x:v>50</x:v>
      </x:c>
      <x:c r="S18" s="1">
        <x:v>51</x:v>
      </x:c>
      <x:c r="T18" s="1">
        <x:v>52</x:v>
      </x:c>
      <x:c r="U18" s="1">
        <x:v>53</x:v>
      </x:c>
      <x:c r="V18" s="1">
        <x:v>54</x:v>
      </x:c>
      <x:c r="W18" s="1">
        <x:v>55</x:v>
      </x:c>
      <x:c r="X18" s="1">
        <x:v>56</x:v>
      </x:c>
      <x:c r="Y18" s="1">
        <x:v>57</x:v>
      </x:c>
    </x:row>
    <x:row r="19">
      <x:c r="I19" s="1" t="s">
        <x:v>34</x:v>
      </x:c>
    </x:row>
    <x:row r="20">
      <x:c r="B20" s="1" t="s">
        <x:v>68</x:v>
      </x:c>
      <x:c r="C20" s="1" t="s">
        <x:v>69</x:v>
      </x:c>
      <x:c r="D20" s="1">
        <x:v>20</x:v>
      </x:c>
      <x:c r="E20" s="1" t="s">
        <x:v>25</x:v>
      </x:c>
      <x:c r="F20" s="1" t="s">
        <x:v>70</x:v>
      </x:c>
      <x:c r="H20" s="1">
        <x:v>2</x:v>
      </x:c>
      <x:c r="I20" s="1" t="s">
        <x:v>34</x:v>
      </x:c>
      <x:c r="K20" s="1">
        <x:v>2</x:v>
      </x:c>
      <x:c r="L20" s="1" t="str">
        <x:f t="shared" si="0"/>
        <x:v>10,45</x:v>
      </x:c>
      <x:c r="M20" s="1" t="str">
        <x:f t="shared" si="2"/>
        <x:v>45,80</x:v>
      </x:c>
      <x:c r="N20" s="1">
        <x:f t="shared" si="1"/>
        <x:v>30</x:v>
      </x:c>
      <x:c r="O20" s="1">
        <x:f t="shared" si="3"/>
        <x:v>70</x:v>
      </x:c>
    </x:row>
    <x:row r="21">
      <x:c r="I21" s="1" t="s">
        <x:v>34</x:v>
      </x:c>
    </x:row>
    <x:row r="22">
      <x:c r="B22" s="1" t="s">
        <x:v>71</x:v>
      </x:c>
      <x:c r="C22" s="1" t="s">
        <x:v>72</x:v>
      </x:c>
      <x:c r="D22" s="1">
        <x:v>20</x:v>
      </x:c>
      <x:c r="E22" s="1" t="s">
        <x:v>25</x:v>
      </x:c>
      <x:c r="F22" s="1" t="s">
        <x:v>73</x:v>
      </x:c>
      <x:c r="G22" s="1" t="s">
        <x:v>44</x:v>
      </x:c>
      <x:c r="H22" s="1">
        <x:v>1</x:v>
      </x:c>
      <x:c r="I22" s="1" t="s">
        <x:v>34</x:v>
      </x:c>
      <x:c r="K22" s="1">
        <x:v>2</x:v>
      </x:c>
      <x:c r="L22" s="1" t="str">
        <x:f t="shared" si="0"/>
        <x:v>10,45</x:v>
      </x:c>
      <x:c r="M22" s="1" t="str">
        <x:f t="shared" si="2"/>
        <x:v>45,80</x:v>
      </x:c>
      <x:c r="N22" s="1">
        <x:f t="shared" si="1"/>
        <x:v>30</x:v>
      </x:c>
      <x:c r="O22" s="1">
        <x:f t="shared" si="3"/>
        <x:v>70</x:v>
      </x:c>
    </x:row>
    <x:row r="23">
      <x:c r="I23" s="1" t="s">
        <x:v>34</x:v>
      </x:c>
    </x:row>
    <x:row r="24">
      <x:c r="B24" s="1" t="s">
        <x:v>74</x:v>
      </x:c>
      <x:c r="C24" s="1" t="s">
        <x:v>75</x:v>
      </x:c>
      <x:c r="D24" s="1">
        <x:v>20</x:v>
      </x:c>
      <x:c r="E24" s="1" t="s">
        <x:v>25</x:v>
      </x:c>
      <x:c r="F24" s="1" t="s">
        <x:v>76</x:v>
      </x:c>
      <x:c r="H24" s="1">
        <x:v>1</x:v>
      </x:c>
      <x:c r="I24" s="1" t="s">
        <x:v>34</x:v>
      </x:c>
      <x:c r="K24" s="1">
        <x:v>2</x:v>
      </x:c>
      <x:c r="L24" s="1" t="str">
        <x:f t="shared" si="0"/>
        <x:v>10,45</x:v>
      </x:c>
      <x:c r="M24" s="1" t="str">
        <x:f t="shared" si="2"/>
        <x:v>45,80</x:v>
      </x:c>
      <x:c r="N24" s="1">
        <x:f t="shared" si="1"/>
        <x:v>30</x:v>
      </x:c>
      <x:c r="O24" s="1">
        <x:f t="shared" si="3"/>
        <x:v>70</x:v>
      </x:c>
    </x:row>
    <x:row r="25">
      <x:c r="I25" s="1" t="s">
        <x:v>34</x:v>
      </x:c>
      <x:c r="T25" s="1" t="s">
        <x:v>77</x:v>
      </x:c>
      <x:c r="U25" s="1" t="s">
        <x:v>78</x:v>
      </x:c>
    </x:row>
    <x:row r="26">
      <x:c r="B26" s="1" t="s">
        <x:v>79</x:v>
      </x:c>
      <x:c r="C26" s="1" t="s">
        <x:v>80</x:v>
      </x:c>
      <x:c r="D26" s="1">
        <x:v>30</x:v>
      </x:c>
      <x:c r="E26" s="1" t="s">
        <x:v>25</x:v>
      </x:c>
      <x:c r="F26" s="1" t="s">
        <x:v>81</x:v>
      </x:c>
      <x:c r="H26" s="1">
        <x:v>3</x:v>
      </x:c>
      <x:c r="I26" s="1" t="s">
        <x:v>82</x:v>
      </x:c>
      <x:c r="K26" s="1">
        <x:v>3</x:v>
      </x:c>
      <x:c r="L26" s="1" t="str">
        <x:f t="shared" si="0"/>
        <x:v>20,60</x:v>
      </x:c>
      <x:c r="M26" s="1" t="str">
        <x:f t="shared" si="2"/>
        <x:v>50,90</x:v>
      </x:c>
      <x:c r="N26" s="1">
        <x:f t="shared" si="1"/>
        <x:v>45</x:v>
      </x:c>
      <x:c r="O26" s="1">
        <x:f t="shared" si="3"/>
        <x:v>90</x:v>
      </x:c>
      <x:c r="R26" s="1">
        <x:v>1</x:v>
      </x:c>
      <x:c r="T26" s="1" t="s">
        <x:v>83</x:v>
      </x:c>
      <x:c r="U26" s="1" t="s">
        <x:v>84</x:v>
      </x:c>
    </x:row>
    <x:row r="27">
      <x:c r="B27" s="1" t="s">
        <x:v>85</x:v>
      </x:c>
      <x:c r="C27" s="1" t="s">
        <x:v>86</x:v>
      </x:c>
      <x:c r="D27" s="1">
        <x:v>30</x:v>
      </x:c>
      <x:c r="E27" s="1" t="s">
        <x:v>25</x:v>
      </x:c>
      <x:c r="F27" s="1" t="s">
        <x:v>87</x:v>
      </x:c>
      <x:c r="H27" s="1">
        <x:v>1</x:v>
      </x:c>
      <x:c r="I27" s="1" t="s">
        <x:v>82</x:v>
      </x:c>
      <x:c r="K27" s="1">
        <x:v>3</x:v>
      </x:c>
      <x:c r="L27" s="1" t="str">
        <x:f t="shared" si="0"/>
        <x:v>20,60</x:v>
      </x:c>
      <x:c r="M27" s="1" t="str">
        <x:f t="shared" si="2"/>
        <x:v>50,90</x:v>
      </x:c>
      <x:c r="N27" s="1">
        <x:f t="shared" si="1"/>
        <x:v>45</x:v>
      </x:c>
      <x:c r="O27" s="1">
        <x:f t="shared" si="3"/>
        <x:v>90</x:v>
      </x:c>
      <x:c r="R27" s="1">
        <x:v>2</x:v>
      </x:c>
      <x:c r="T27" s="1" t="s">
        <x:v>88</x:v>
      </x:c>
      <x:c r="U27" s="1" t="s">
        <x:v>89</x:v>
      </x:c>
    </x:row>
    <x:row r="28">
      <x:c r="B28" s="1" t="s">
        <x:v>90</x:v>
      </x:c>
      <x:c r="C28" s="1" t="s">
        <x:v>91</x:v>
      </x:c>
      <x:c r="D28" s="1">
        <x:v>30</x:v>
      </x:c>
      <x:c r="E28" s="1" t="s">
        <x:v>25</x:v>
      </x:c>
      <x:c r="F28" s="1" t="s">
        <x:v>92</x:v>
      </x:c>
      <x:c r="H28" s="1">
        <x:v>1</x:v>
      </x:c>
      <x:c r="I28" s="1" t="s">
        <x:v>82</x:v>
      </x:c>
      <x:c r="K28" s="1">
        <x:v>3</x:v>
      </x:c>
      <x:c r="L28" s="1" t="str">
        <x:f t="shared" si="0"/>
        <x:v>20,60</x:v>
      </x:c>
      <x:c r="M28" s="1" t="str">
        <x:f t="shared" si="2"/>
        <x:v>50,90</x:v>
      </x:c>
      <x:c r="N28" s="1">
        <x:f t="shared" si="1"/>
        <x:v>45</x:v>
      </x:c>
      <x:c r="O28" s="1">
        <x:f t="shared" si="3"/>
        <x:v>90</x:v>
      </x:c>
      <x:c r="R28" s="1">
        <x:v>3</x:v>
      </x:c>
      <x:c r="T28" s="1" t="s">
        <x:v>93</x:v>
      </x:c>
      <x:c r="U28" s="1" t="s">
        <x:v>94</x:v>
      </x:c>
    </x:row>
    <x:row r="29">
      <x:c r="B29" s="1" t="s">
        <x:v>95</x:v>
      </x:c>
      <x:c r="C29" s="1" t="s">
        <x:v>96</x:v>
      </x:c>
      <x:c r="D29" s="1">
        <x:v>30</x:v>
      </x:c>
      <x:c r="E29" s="1" t="s">
        <x:v>25</x:v>
      </x:c>
      <x:c r="F29" s="1" t="s">
        <x:v>97</x:v>
      </x:c>
      <x:c r="G29" s="1" t="s">
        <x:v>44</x:v>
      </x:c>
      <x:c r="H29" s="1">
        <x:v>1</x:v>
      </x:c>
      <x:c r="I29" s="1" t="s">
        <x:v>82</x:v>
      </x:c>
      <x:c r="K29" s="1">
        <x:v>3</x:v>
      </x:c>
      <x:c r="L29" s="1" t="str">
        <x:f t="shared" si="0"/>
        <x:v>20,60</x:v>
      </x:c>
      <x:c r="M29" s="1" t="str">
        <x:f t="shared" si="2"/>
        <x:v>50,90</x:v>
      </x:c>
      <x:c r="N29" s="1">
        <x:f t="shared" si="1"/>
        <x:v>45</x:v>
      </x:c>
      <x:c r="O29" s="1">
        <x:f t="shared" si="3"/>
        <x:v>90</x:v>
      </x:c>
      <x:c r="R29" s="1">
        <x:v>4</x:v>
      </x:c>
      <x:c r="T29" s="1" t="s">
        <x:v>98</x:v>
      </x:c>
      <x:c r="U29" s="35" t="s">
        <x:v>99</x:v>
      </x:c>
    </x:row>
    <x:row r="30">
      <x:c r="B30" s="1" t="s">
        <x:v>100</x:v>
      </x:c>
      <x:c r="C30" s="1" t="s">
        <x:v>101</x:v>
      </x:c>
      <x:c r="D30" s="1">
        <x:v>30</x:v>
      </x:c>
      <x:c r="E30" s="1" t="s">
        <x:v>25</x:v>
      </x:c>
      <x:c r="F30" s="1" t="s">
        <x:v>102</x:v>
      </x:c>
      <x:c r="G30" s="1" t="s">
        <x:v>44</x:v>
      </x:c>
      <x:c r="H30" s="1">
        <x:v>1</x:v>
      </x:c>
      <x:c r="I30" s="1" t="s">
        <x:v>82</x:v>
      </x:c>
      <x:c r="K30" s="1">
        <x:v>3</x:v>
      </x:c>
      <x:c r="L30" s="1" t="str">
        <x:f t="shared" si="0"/>
        <x:v>20,60</x:v>
      </x:c>
      <x:c r="M30" s="1" t="str">
        <x:f t="shared" si="2"/>
        <x:v>50,90</x:v>
      </x:c>
      <x:c r="N30" s="1">
        <x:f t="shared" si="1"/>
        <x:v>45</x:v>
      </x:c>
      <x:c r="O30" s="1">
        <x:f t="shared" si="3"/>
        <x:v>90</x:v>
      </x:c>
      <x:c r="R30" s="1">
        <x:v>6</x:v>
      </x:c>
      <x:c r="T30" s="1" t="s">
        <x:v>103</x:v>
      </x:c>
      <x:c r="U30" s="35" t="s">
        <x:v>104</x:v>
      </x:c>
    </x:row>
    <x:row r="31">
      <x:c r="B31" s="1" t="s">
        <x:v>105</x:v>
      </x:c>
      <x:c r="C31" s="1" t="s">
        <x:v>106</x:v>
      </x:c>
      <x:c r="D31" s="1">
        <x:v>30</x:v>
      </x:c>
      <x:c r="E31" s="1" t="s">
        <x:v>25</x:v>
      </x:c>
      <x:c r="F31" s="1" t="s">
        <x:v>107</x:v>
      </x:c>
      <x:c r="H31" s="1">
        <x:v>3</x:v>
      </x:c>
      <x:c r="I31" s="1" t="s">
        <x:v>34</x:v>
      </x:c>
      <x:c r="K31" s="1">
        <x:v>3</x:v>
      </x:c>
      <x:c r="L31" s="1" t="str">
        <x:f t="shared" si="0"/>
        <x:v>20,60</x:v>
      </x:c>
      <x:c r="M31" s="1" t="str">
        <x:f t="shared" si="2"/>
        <x:v>50,90</x:v>
      </x:c>
      <x:c r="N31" s="1">
        <x:f t="shared" si="1"/>
        <x:v>45</x:v>
      </x:c>
      <x:c r="O31" s="1">
        <x:f t="shared" si="3"/>
        <x:v>90</x:v>
      </x:c>
      <x:c r="R31" s="1" t="s">
        <x:v>108</x:v>
      </x:c>
      <x:c r="S31" s="35"/>
      <x:c r="T31" s="35" t="s">
        <x:v>109</x:v>
      </x:c>
      <x:c r="U31" s="35" t="s">
        <x:v>110</x:v>
      </x:c>
    </x:row>
    <x:row r="32">
      <x:c r="I32" s="1" t="s">
        <x:v>34</x:v>
      </x:c>
      <x:c r="S32" s="35"/>
      <x:c r="T32" s="35"/>
    </x:row>
    <x:row r="33">
      <x:c r="I33" s="1" t="s">
        <x:v>34</x:v>
      </x:c>
    </x:row>
    <x:row r="34">
      <x:c r="B34" s="1" t="s">
        <x:v>111</x:v>
      </x:c>
      <x:c r="C34" s="1" t="s">
        <x:v>112</x:v>
      </x:c>
      <x:c r="D34" s="1">
        <x:v>30</x:v>
      </x:c>
      <x:c r="E34" s="1" t="s">
        <x:v>25</x:v>
      </x:c>
      <x:c r="F34" s="1" t="s">
        <x:v>113</x:v>
      </x:c>
      <x:c r="H34" s="1">
        <x:v>1</x:v>
      </x:c>
      <x:c r="I34" s="1" t="s">
        <x:v>34</x:v>
      </x:c>
      <x:c r="K34" s="1">
        <x:v>3</x:v>
      </x:c>
      <x:c r="L34" s="1" t="str">
        <x:f t="shared" si="0"/>
        <x:v>20,60</x:v>
      </x:c>
      <x:c r="M34" s="1" t="str">
        <x:f t="shared" si="2"/>
        <x:v>50,90</x:v>
      </x:c>
      <x:c r="N34" s="1">
        <x:f t="shared" si="1"/>
        <x:v>45</x:v>
      </x:c>
      <x:c r="O34" s="1">
        <x:f t="shared" si="3"/>
        <x:v>90</x:v>
      </x:c>
    </x:row>
    <x:row r="35">
      <x:c r="I35" s="1" t="s">
        <x:v>34</x:v>
      </x:c>
    </x:row>
    <x:row r="36">
      <x:c r="I36" s="1" t="s">
        <x:v>34</x:v>
      </x:c>
    </x:row>
    <x:row r="37">
      <x:c r="B37" s="1" t="s">
        <x:v>114</x:v>
      </x:c>
      <x:c r="C37" s="1" t="s">
        <x:v>115</x:v>
      </x:c>
      <x:c r="D37" s="1">
        <x:v>30</x:v>
      </x:c>
      <x:c r="E37" s="1" t="s">
        <x:v>25</x:v>
      </x:c>
      <x:c r="F37" s="1" t="s">
        <x:v>116</x:v>
      </x:c>
      <x:c r="H37" s="1">
        <x:v>1</x:v>
      </x:c>
      <x:c r="I37" s="1" t="s">
        <x:v>34</x:v>
      </x:c>
      <x:c r="K37" s="1">
        <x:v>3</x:v>
      </x:c>
      <x:c r="L37" s="1" t="str">
        <x:f>VLOOKUP(K37,$R$26:$U$30,3,FALSE)</x:f>
        <x:v>20,60</x:v>
      </x:c>
      <x:c r="M37" s="1" t="str">
        <x:f t="shared" si="2"/>
        <x:v>50,90</x:v>
      </x:c>
      <x:c r="N37" s="1" t="n">
        <x:f>ROUNDUP(1.5*K37*10,0)</x:f>
        <x:v>45</x:v>
      </x:c>
      <x:c r="O37" s="1">
        <x:f t="shared" si="3"/>
        <x:v>90</x:v>
      </x:c>
    </x:row>
    <x:row r="38">
      <x:c r="I38" s="1" t="s">
        <x:v>34</x:v>
      </x:c>
    </x:row>
    <x:row r="39">
      <x:c r="I39" s="1" t="s">
        <x:v>34</x:v>
      </x:c>
    </x:row>
    <x:row r="40">
      <x:c r="B40" s="1" t="s">
        <x:v>117</x:v>
      </x:c>
      <x:c r="C40" s="1" t="s">
        <x:v>118</x:v>
      </x:c>
      <x:c r="D40" s="1">
        <x:v>30</x:v>
      </x:c>
      <x:c r="E40" s="1" t="s">
        <x:v>25</x:v>
      </x:c>
      <x:c r="F40" s="1" t="s">
        <x:v>119</x:v>
      </x:c>
      <x:c r="G40" s="1" t="s">
        <x:v>44</x:v>
      </x:c>
      <x:c r="H40" s="1">
        <x:v>1</x:v>
      </x:c>
      <x:c r="I40" s="1" t="s">
        <x:v>34</x:v>
      </x:c>
      <x:c r="K40" s="1">
        <x:v>3</x:v>
      </x:c>
      <x:c r="L40" s="1" t="str">
        <x:f>VLOOKUP(K40,$R$26:$U$30,3,FALSE)</x:f>
        <x:v>20,60</x:v>
      </x:c>
      <x:c r="M40" s="1" t="str">
        <x:f>VLOOKUP(K40,$R$26:$U$30,4,FALSE)</x:f>
        <x:v>50,90</x:v>
      </x:c>
      <x:c r="N40" s="1" t="n">
        <x:f>ROUNDUP(1.5*K40*10,0)</x:f>
        <x:v>45</x:v>
      </x:c>
      <x:c r="O40" s="1" t="n">
        <x:f>ROUNDUP(N40*1.5+20,-1)</x:f>
        <x:v>90</x:v>
      </x:c>
    </x:row>
    <x:row r="41">
      <x:c r="I41" s="1" t="s">
        <x:v>34</x:v>
      </x:c>
    </x:row>
    <x:row r="42">
      <x:c r="I42" s="1" t="s">
        <x:v>34</x:v>
      </x:c>
    </x:row>
    <x:row r="43">
      <x:c r="B43" s="1" t="s">
        <x:v>120</x:v>
      </x:c>
      <x:c r="C43" s="1" t="s">
        <x:v>121</x:v>
      </x:c>
      <x:c r="D43" s="1">
        <x:v>30</x:v>
      </x:c>
      <x:c r="E43" s="1" t="s">
        <x:v>25</x:v>
      </x:c>
      <x:c r="F43" s="1" t="s">
        <x:v>122</x:v>
      </x:c>
      <x:c r="H43" s="1">
        <x:v>1</x:v>
      </x:c>
      <x:c r="I43" s="1" t="s">
        <x:v>123</x:v>
      </x:c>
      <x:c r="K43" s="1">
        <x:v>3</x:v>
      </x:c>
      <x:c r="L43" s="1" t="str">
        <x:f>VLOOKUP(K43,$R$26:$U$30,3,FALSE)</x:f>
        <x:v>20,60</x:v>
      </x:c>
      <x:c r="M43" s="1" t="str">
        <x:f>VLOOKUP(K43,$R$26:$U$30,4,FALSE)</x:f>
        <x:v>50,90</x:v>
      </x:c>
      <x:c r="N43" s="1" t="n">
        <x:f>ROUNDUP(1.5*K43*10,0)</x:f>
        <x:v>45</x:v>
      </x:c>
      <x:c r="O43" s="1" t="n">
        <x:f>ROUNDUP(N43*1.5+20,-1)</x:f>
        <x:v>90</x:v>
      </x:c>
    </x:row>
    <x:row r="44">
      <x:c r="I44" s="1" t="s">
        <x:v>27</x:v>
      </x:c>
    </x:row>
    <x:row r="45">
      <x:c r="B45" s="1" t="s">
        <x:v>124</x:v>
      </x:c>
      <x:c r="C45" s="1" t="s">
        <x:v>125</x:v>
      </x:c>
      <x:c r="D45" s="1">
        <x:v>40</x:v>
      </x:c>
      <x:c r="E45" s="1" t="s">
        <x:v>25</x:v>
      </x:c>
      <x:c r="F45" s="1" t="s">
        <x:v>126</x:v>
      </x:c>
      <x:c r="G45" s="1" t="s">
        <x:v>44</x:v>
      </x:c>
      <x:c r="H45" s="1">
        <x:v>1</x:v>
      </x:c>
      <x:c r="I45" s="1" t="s">
        <x:v>27</x:v>
      </x:c>
      <x:c r="K45" s="1">
        <x:v>4</x:v>
      </x:c>
      <x:c r="L45" s="1" t="str">
        <x:f>VLOOKUP(K45,$R$26:$U$30,3,FALSE)</x:f>
        <x:v>30,75</x:v>
      </x:c>
      <x:c r="M45" s="1" t="str">
        <x:f>VLOOKUP(K45,$R$26:$U$30,4,FALSE)</x:f>
        <x:v>55,100</x:v>
      </x:c>
      <x:c r="N45" s="1" t="n">
        <x:f>ROUNDUP(1.5*K45*10,0)</x:f>
        <x:v>60</x:v>
      </x:c>
      <x:c r="O45" s="1" t="n">
        <x:f>ROUNDUP(N45*1.5+20,-1)</x:f>
        <x:v>110</x:v>
      </x:c>
    </x:row>
    <x:row r="46">
      <x:c r="I46" s="1" t="s">
        <x:v>27</x:v>
      </x:c>
    </x:row>
    <x:row r="47">
      <x:c r="B47" s="1" t="s">
        <x:v>127</x:v>
      </x:c>
      <x:c r="C47" s="1" t="s">
        <x:v>128</x:v>
      </x:c>
      <x:c r="D47" s="1">
        <x:v>40</x:v>
      </x:c>
      <x:c r="E47" s="1" t="s">
        <x:v>25</x:v>
      </x:c>
      <x:c r="F47" s="1" t="s">
        <x:v>129</x:v>
      </x:c>
      <x:c r="H47" s="1">
        <x:v>1</x:v>
      </x:c>
      <x:c r="I47" s="1" t="s">
        <x:v>27</x:v>
      </x:c>
      <x:c r="K47" s="1">
        <x:v>4</x:v>
      </x:c>
      <x:c r="L47" s="1" t="str">
        <x:f>VLOOKUP(K47,$R$26:$U$30,3,FALSE)</x:f>
        <x:v>30,75</x:v>
      </x:c>
      <x:c r="M47" s="1" t="str">
        <x:f>VLOOKUP(K47,$R$26:$U$30,4,FALSE)</x:f>
        <x:v>55,100</x:v>
      </x:c>
      <x:c r="N47" s="1" t="n">
        <x:f>ROUNDUP(1.5*K47*10,0)</x:f>
        <x:v>60</x:v>
      </x:c>
      <x:c r="O47" s="1" t="n">
        <x:f>ROUNDUP(N47*1.5+20,-1)</x:f>
        <x:v>110</x:v>
      </x:c>
    </x:row>
    <x:row r="48">
      <x:c r="I48" s="1" t="s">
        <x:v>27</x:v>
      </x:c>
    </x:row>
    <x:row r="49">
      <x:c r="B49" s="1" t="s">
        <x:v>130</x:v>
      </x:c>
      <x:c r="C49" s="1" t="s">
        <x:v>131</x:v>
      </x:c>
      <x:c r="D49" s="1">
        <x:v>40</x:v>
      </x:c>
      <x:c r="E49" s="1" t="s">
        <x:v>25</x:v>
      </x:c>
      <x:c r="F49" s="1" t="s">
        <x:v>132</x:v>
      </x:c>
      <x:c r="H49" s="1">
        <x:v>6</x:v>
      </x:c>
      <x:c r="I49" s="1" t="s">
        <x:v>27</x:v>
      </x:c>
      <x:c r="K49" s="1">
        <x:v>4</x:v>
      </x:c>
      <x:c r="L49" s="1" t="str">
        <x:f>VLOOKUP(K49,$R$26:$U$30,3,FALSE)</x:f>
        <x:v>30,75</x:v>
      </x:c>
      <x:c r="M49" s="1" t="str">
        <x:f>VLOOKUP(K49,$R$26:$U$30,4,FALSE)</x:f>
        <x:v>55,100</x:v>
      </x:c>
      <x:c r="N49" s="1" t="n">
        <x:f>ROUNDUP(1.5*K49*10,0)</x:f>
        <x:v>60</x:v>
      </x:c>
      <x:c r="O49" s="1" t="n">
        <x:f>ROUNDUP(N49*1.5+20,-1)</x:f>
        <x:v>110</x:v>
      </x:c>
    </x:row>
    <x:row r="50">
      <x:c r="I50" s="1" t="s">
        <x:v>27</x:v>
      </x:c>
    </x:row>
    <x:row r="51">
      <x:c r="B51" s="1" t="s">
        <x:v>133</x:v>
      </x:c>
      <x:c r="C51" s="1" t="s">
        <x:v>134</x:v>
      </x:c>
      <x:c r="D51" s="1">
        <x:v>40</x:v>
      </x:c>
      <x:c r="E51" s="1" t="s">
        <x:v>25</x:v>
      </x:c>
      <x:c r="F51" s="1" t="s">
        <x:v>135</x:v>
      </x:c>
      <x:c r="H51" s="1">
        <x:v>5</x:v>
      </x:c>
      <x:c r="I51" s="1" t="s">
        <x:v>27</x:v>
      </x:c>
      <x:c r="K51" s="1">
        <x:v>4</x:v>
      </x:c>
      <x:c r="L51" s="1" t="str">
        <x:f>VLOOKUP(K51,$R$26:$U$30,3,FALSE)</x:f>
        <x:v>30,75</x:v>
      </x:c>
      <x:c r="M51" s="1" t="str">
        <x:f>VLOOKUP(K51,$R$26:$U$30,4,FALSE)</x:f>
        <x:v>55,100</x:v>
      </x:c>
      <x:c r="N51" s="1" t="n">
        <x:f>ROUNDUP(1.5*K51*10,0)</x:f>
        <x:v>60</x:v>
      </x:c>
      <x:c r="O51" s="1" t="n">
        <x:f>ROUNDUP(N51*1.5+20,-1)</x:f>
        <x:v>110</x:v>
      </x:c>
    </x:row>
    <x:row r="52">
      <x:c r="I52" s="1" t="s">
        <x:v>27</x:v>
      </x:c>
    </x:row>
    <x:row r="53">
      <x:c r="B53" s="1" t="s">
        <x:v>136</x:v>
      </x:c>
      <x:c r="C53" s="1" t="s">
        <x:v>137</x:v>
      </x:c>
      <x:c r="D53" s="1">
        <x:v>40</x:v>
      </x:c>
      <x:c r="E53" s="1" t="s">
        <x:v>25</x:v>
      </x:c>
      <x:c r="F53" s="1" t="s">
        <x:v>138</x:v>
      </x:c>
      <x:c r="G53" s="1" t="s">
        <x:v>44</x:v>
      </x:c>
      <x:c r="H53" s="1">
        <x:v>1</x:v>
      </x:c>
      <x:c r="I53" s="1" t="s">
        <x:v>27</x:v>
      </x:c>
      <x:c r="K53" s="1">
        <x:v>4</x:v>
      </x:c>
      <x:c r="L53" s="1" t="str">
        <x:f>VLOOKUP(K53,$R$26:$U$30,3,FALSE)</x:f>
        <x:v>30,75</x:v>
      </x:c>
      <x:c r="M53" s="1" t="str">
        <x:f>VLOOKUP(K53,$R$26:$U$30,4,FALSE)</x:f>
        <x:v>55,100</x:v>
      </x:c>
      <x:c r="N53" s="1" t="n">
        <x:f>ROUNDUP(1.5*K53*10,0)</x:f>
        <x:v>60</x:v>
      </x:c>
      <x:c r="O53" s="1" t="n">
        <x:f>ROUNDUP(N53*1.5+20,-1)</x:f>
        <x:v>110</x:v>
      </x:c>
    </x:row>
    <x:row r="54">
      <x:c r="I54" s="1" t="s">
        <x:v>27</x:v>
      </x:c>
    </x:row>
    <x:row r="55">
      <x:c r="B55" s="1" t="s">
        <x:v>139</x:v>
      </x:c>
      <x:c r="C55" s="1" t="s">
        <x:v>140</x:v>
      </x:c>
      <x:c r="D55" s="1">
        <x:v>40</x:v>
      </x:c>
      <x:c r="E55" s="1" t="s">
        <x:v>25</x:v>
      </x:c>
      <x:c r="F55" s="1" t="s">
        <x:v>141</x:v>
      </x:c>
      <x:c r="H55" s="1">
        <x:v>1</x:v>
      </x:c>
      <x:c r="I55" s="1" t="s">
        <x:v>27</x:v>
      </x:c>
      <x:c r="K55" s="1">
        <x:v>4</x:v>
      </x:c>
      <x:c r="L55" s="1" t="str">
        <x:f>VLOOKUP(K55,$R$26:$U$30,3,FALSE)</x:f>
        <x:v>30,75</x:v>
      </x:c>
      <x:c r="M55" s="1" t="str">
        <x:f>VLOOKUP(K55,$R$26:$U$30,4,FALSE)</x:f>
        <x:v>55,100</x:v>
      </x:c>
      <x:c r="N55" s="1" t="n">
        <x:f>ROUNDUP(1.5*K55*10,0)</x:f>
        <x:v>60</x:v>
      </x:c>
      <x:c r="O55" s="1" t="n">
        <x:f>ROUNDUP(N55*1.5+20,-1)</x:f>
        <x:v>110</x:v>
      </x:c>
    </x:row>
    <x:row r="56">
      <x:c r="I56" s="1" t="s">
        <x:v>123</x:v>
      </x:c>
    </x:row>
    <x:row r="57">
      <x:c r="I57" s="1" t="s">
        <x:v>123</x:v>
      </x:c>
    </x:row>
    <x:row r="58">
      <x:c r="B58" s="1" t="s">
        <x:v>142</x:v>
      </x:c>
      <x:c r="C58" s="1" t="s">
        <x:v>143</x:v>
      </x:c>
      <x:c r="D58" s="1">
        <x:v>60</x:v>
      </x:c>
      <x:c r="E58" s="1" t="s">
        <x:v>25</x:v>
      </x:c>
      <x:c r="F58" s="1" t="s">
        <x:v>144</x:v>
      </x:c>
      <x:c r="G58" s="1" t="s">
        <x:v>44</x:v>
      </x:c>
      <x:c r="H58" s="1">
        <x:v>1</x:v>
      </x:c>
      <x:c r="I58" s="1" t="s">
        <x:v>82</x:v>
      </x:c>
      <x:c r="K58" s="1">
        <x:v>6</x:v>
      </x:c>
      <x:c r="L58" s="1" t="str">
        <x:f>VLOOKUP(K58,$R$26:$U$30,3,FALSE)</x:f>
        <x:v>40,90</x:v>
      </x:c>
      <x:c r="M58" s="1" t="str">
        <x:f>VLOOKUP(K58,$R$26:$U$30,4,FALSE)</x:f>
        <x:v>70,120</x:v>
      </x:c>
      <x:c r="N58" s="1" t="n">
        <x:f>ROUNDUP(1.5*K58*10,0)</x:f>
        <x:v>90</x:v>
      </x:c>
      <x:c r="O58" s="1" t="n">
        <x:f>ROUNDUP(N58*1.5+20,-1)</x:f>
        <x:v>160</x:v>
      </x:c>
    </x:row>
    <x:row r="59">
      <x:c r="I59" s="1" t="s">
        <x:v>82</x:v>
      </x:c>
    </x:row>
    <x:row r="60">
      <x:c r="B60" s="1" t="s">
        <x:v>145</x:v>
      </x:c>
      <x:c r="C60" s="1" t="s">
        <x:v>146</x:v>
      </x:c>
      <x:c r="D60" s="1">
        <x:v>60</x:v>
      </x:c>
      <x:c r="E60" s="1" t="s">
        <x:v>25</x:v>
      </x:c>
      <x:c r="F60" s="1" t="s">
        <x:v>147</x:v>
      </x:c>
      <x:c r="H60" s="1">
        <x:v>1</x:v>
      </x:c>
      <x:c r="I60" s="1" t="s">
        <x:v>82</x:v>
      </x:c>
      <x:c r="K60" s="1">
        <x:v>6</x:v>
      </x:c>
      <x:c r="L60" s="1" t="str">
        <x:f>VLOOKUP(K60,$R$26:$U$30,3,FALSE)</x:f>
        <x:v>40,90</x:v>
      </x:c>
      <x:c r="M60" s="1" t="str">
        <x:f>VLOOKUP(K60,$R$26:$U$30,4,FALSE)</x:f>
        <x:v>70,120</x:v>
      </x:c>
      <x:c r="N60" s="1" t="n">
        <x:f>ROUNDUP(1.5*K60*10,0)</x:f>
        <x:v>90</x:v>
      </x:c>
      <x:c r="O60" s="1" t="n">
        <x:f>ROUNDUP(N60*1.5+20,-1)</x:f>
        <x:v>160</x:v>
      </x:c>
    </x:row>
    <x:row r="61">
      <x:c r="I61" s="1" t="s">
        <x:v>82</x:v>
      </x:c>
    </x:row>
    <x:row r="62">
      <x:c r="B62" s="1" t="s">
        <x:v>148</x:v>
      </x:c>
      <x:c r="C62" s="1" t="s">
        <x:v>149</x:v>
      </x:c>
      <x:c r="D62" s="1">
        <x:v>60</x:v>
      </x:c>
      <x:c r="E62" s="1" t="s">
        <x:v>25</x:v>
      </x:c>
      <x:c r="F62" s="1" t="s">
        <x:v>150</x:v>
      </x:c>
      <x:c r="H62" s="1">
        <x:v>8</x:v>
      </x:c>
      <x:c r="I62" s="1" t="s">
        <x:v>82</x:v>
      </x:c>
      <x:c r="K62" s="1">
        <x:v>6</x:v>
      </x:c>
      <x:c r="L62" s="1" t="str">
        <x:f>VLOOKUP(K62,$R$26:$U$30,3,FALSE)</x:f>
        <x:v>40,90</x:v>
      </x:c>
      <x:c r="M62" s="1" t="str">
        <x:f>VLOOKUP(K62,$R$26:$U$30,4,FALSE)</x:f>
        <x:v>70,120</x:v>
      </x:c>
      <x:c r="N62" s="1" t="n">
        <x:f>ROUNDUP(1.5*K62*10,0)</x:f>
        <x:v>90</x:v>
      </x:c>
      <x:c r="O62" s="1" t="n">
        <x:f>ROUNDUP(N62*1.5+20,-1)</x:f>
        <x:v>160</x:v>
      </x:c>
    </x:row>
    <x:row r="63">
      <x:c r="I63" s="1" t="s">
        <x:v>82</x:v>
      </x:c>
    </x:row>
    <x:row r="64">
      <x:c r="B64" s="1" t="s">
        <x:v>151</x:v>
      </x:c>
      <x:c r="C64" s="1" t="s">
        <x:v>152</x:v>
      </x:c>
      <x:c r="D64" s="1">
        <x:v>60</x:v>
      </x:c>
      <x:c r="E64" s="1" t="s">
        <x:v>25</x:v>
      </x:c>
      <x:c r="F64" s="1" t="s">
        <x:v>153</x:v>
      </x:c>
      <x:c r="G64" s="1" t="s">
        <x:v>44</x:v>
      </x:c>
      <x:c r="H64" s="1">
        <x:v>1</x:v>
      </x:c>
      <x:c r="I64" s="1" t="s">
        <x:v>27</x:v>
      </x:c>
      <x:c r="K64" s="1">
        <x:v>6</x:v>
      </x:c>
      <x:c r="L64" s="1" t="str">
        <x:f>VLOOKUP(K64,$R$26:$U$30,3,FALSE)</x:f>
        <x:v>40,90</x:v>
      </x:c>
      <x:c r="M64" s="1" t="str">
        <x:f>VLOOKUP(K64,$R$26:$U$30,4,FALSE)</x:f>
        <x:v>70,120</x:v>
      </x:c>
      <x:c r="N64" s="1" t="n">
        <x:f>ROUNDUP(1.5*K64*10,0)</x:f>
        <x:v>90</x:v>
      </x:c>
      <x:c r="O64" s="1" t="n">
        <x:f>ROUNDUP(N64*1.5+20,-1)</x:f>
        <x:v>160</x:v>
      </x:c>
    </x:row>
    <x:row r="65">
      <x:c r="I65" s="1" t="s">
        <x:v>27</x:v>
      </x:c>
    </x:row>
    <x:row r="66">
      <x:c r="I66" s="1" t="s">
        <x:v>27</x:v>
      </x:c>
    </x:row>
    <x:row r="67">
      <x:c r="B67" s="1" t="s">
        <x:v>154</x:v>
      </x:c>
      <x:c r="C67" s="1" t="s">
        <x:v>155</x:v>
      </x:c>
      <x:c r="D67" s="1">
        <x:v>60</x:v>
      </x:c>
      <x:c r="E67" s="1" t="s">
        <x:v>25</x:v>
      </x:c>
      <x:c r="F67" s="1" t="s">
        <x:v>156</x:v>
      </x:c>
      <x:c r="H67" s="1">
        <x:v>1</x:v>
      </x:c>
      <x:c r="I67" s="1" t="s">
        <x:v>27</x:v>
      </x:c>
      <x:c r="K67" s="1">
        <x:v>6</x:v>
      </x:c>
      <x:c r="L67" s="1" t="str">
        <x:f>VLOOKUP(K67,$R$26:$U$30,3,FALSE)</x:f>
        <x:v>40,90</x:v>
      </x:c>
      <x:c r="M67" s="1" t="str">
        <x:f>VLOOKUP(K67,$R$26:$U$30,4,FALSE)</x:f>
        <x:v>70,120</x:v>
      </x:c>
      <x:c r="N67" s="1" t="n">
        <x:f>ROUNDUP(1.5*K67*10,0)</x:f>
        <x:v>90</x:v>
      </x:c>
      <x:c r="O67" s="1" t="n">
        <x:f>ROUNDUP(N67*1.5+20,-1)</x:f>
        <x:v>160</x:v>
      </x:c>
    </x:row>
    <x:row r="68">
      <x:c r="I68" s="1" t="s">
        <x:v>27</x:v>
      </x:c>
    </x:row>
    <x:row r="69">
      <x:c r="I69" s="1" t="s">
        <x:v>27</x:v>
      </x:c>
    </x:row>
    <x:row r="70">
      <x:c r="B70" s="1" t="s">
        <x:v>157</x:v>
      </x:c>
      <x:c r="C70" s="1" t="s">
        <x:v>158</x:v>
      </x:c>
      <x:c r="D70" s="1">
        <x:v>60</x:v>
      </x:c>
      <x:c r="E70" s="1" t="s">
        <x:v>25</x:v>
      </x:c>
      <x:c r="F70" s="1" t="s">
        <x:v>159</x:v>
      </x:c>
      <x:c r="H70" s="1">
        <x:v>1</x:v>
      </x:c>
      <x:c r="I70" s="1" t="s">
        <x:v>27</x:v>
      </x:c>
      <x:c r="K70" s="1">
        <x:v>6</x:v>
      </x:c>
      <x:c r="L70" s="1" t="str">
        <x:f>VLOOKUP(K70,$R$26:$U$30,3,FALSE)</x:f>
        <x:v>40,90</x:v>
      </x:c>
      <x:c r="M70" s="1" t="str">
        <x:f>VLOOKUP(K70,$R$26:$U$30,4,FALSE)</x:f>
        <x:v>70,120</x:v>
      </x:c>
      <x:c r="N70" s="1" t="n">
        <x:f>ROUNDUP(1.5*K70*10,0)</x:f>
        <x:v>90</x:v>
      </x:c>
      <x:c r="O70" s="1" t="n">
        <x:f>ROUNDUP(N70*1.5+20,-1)</x:f>
        <x:v>160</x:v>
      </x:c>
    </x:row>
    <x:row r="71">
      <x:c r="I71" s="1" t="s">
        <x:v>27</x:v>
      </x:c>
    </x:row>
    <x:row r="72">
      <x:c r="I72" s="1" t="s">
        <x:v>27</x:v>
      </x:c>
    </x:row>
    <x:row r="73">
      <x:c r="B73" s="1" t="s">
        <x:v>160</x:v>
      </x:c>
      <x:c r="C73" s="1" t="s">
        <x:v>161</x:v>
      </x:c>
      <x:c r="D73" s="1">
        <x:v>110</x:v>
      </x:c>
      <x:c r="E73" s="1" t="s">
        <x:v>25</x:v>
      </x:c>
      <x:c r="F73" s="1" t="s">
        <x:v>162</x:v>
      </x:c>
      <x:c r="H73" s="1">
        <x:v>1</x:v>
      </x:c>
      <x:c r="I73" s="1" t="s">
        <x:v>82</x:v>
      </x:c>
      <x:c r="K73" s="1">
        <x:v>9</x:v>
      </x:c>
      <x:c r="L73" s="35" t="s">
        <x:v>109</x:v>
      </x:c>
      <x:c r="M73" s="35" t="s">
        <x:v>110</x:v>
      </x:c>
      <x:c r="N73" s="1" t="n">
        <x:f>ROUNDUP(1.5*K73*10,0)</x:f>
        <x:v>135</x:v>
      </x:c>
      <x:c r="O73" s="1" t="n">
        <x:f>ROUNDUP(N73*1.5+20,-1)</x:f>
        <x:v>230</x:v>
      </x:c>
    </x:row>
    <x:row r="74">
      <x:c r="I74" s="1" t="s">
        <x:v>82</x:v>
      </x:c>
    </x:row>
    <x:row r="75">
      <x:c r="I75" s="1" t="s">
        <x:v>82</x:v>
      </x:c>
    </x:row>
    <x:row r="76">
      <x:c r="B76" s="1" t="s">
        <x:v>163</x:v>
      </x:c>
      <x:c r="C76" s="1" t="s">
        <x:v>164</x:v>
      </x:c>
      <x:c r="D76" s="1">
        <x:v>90</x:v>
      </x:c>
      <x:c r="E76" s="1" t="s">
        <x:v>25</x:v>
      </x:c>
      <x:c r="F76" s="1" t="s">
        <x:v>165</x:v>
      </x:c>
      <x:c r="H76" s="1">
        <x:v>1</x:v>
      </x:c>
      <x:c r="I76" s="1" t="s">
        <x:v>82</x:v>
      </x:c>
      <x:c r="K76" s="1">
        <x:v>9</x:v>
      </x:c>
      <x:c r="L76" s="35" t="s">
        <x:v>109</x:v>
      </x:c>
      <x:c r="M76" s="35" t="s">
        <x:v>110</x:v>
      </x:c>
      <x:c r="N76" s="1" t="n">
        <x:f>ROUNDUP(1.5*K76*10,0)</x:f>
        <x:v>135</x:v>
      </x:c>
      <x:c r="O76" s="1" t="n">
        <x:f>ROUNDUP(N76*1.5+20,-1)</x:f>
        <x:v>230</x:v>
      </x:c>
    </x:row>
    <x:row r="77">
      <x:c r="I77" s="1" t="s">
        <x:v>82</x:v>
      </x:c>
    </x:row>
    <x:row r="78">
      <x:c r="I78" s="1" t="s">
        <x:v>82</x:v>
      </x:c>
    </x:row>
    <x:row r="79">
      <x:c r="B79" s="1" t="s">
        <x:v>166</x:v>
      </x:c>
      <x:c r="C79" s="1" t="s">
        <x:v>167</x:v>
      </x:c>
      <x:c r="D79" s="1">
        <x:v>120</x:v>
      </x:c>
      <x:c r="E79" s="1" t="s">
        <x:v>25</x:v>
      </x:c>
      <x:c r="F79" s="1" t="s">
        <x:v>168</x:v>
      </x:c>
      <x:c r="G79" s="1" t="s">
        <x:v>44</x:v>
      </x:c>
      <x:c r="H79" s="1">
        <x:v>1</x:v>
      </x:c>
      <x:c r="I79" s="1" t="s">
        <x:v>82</x:v>
      </x:c>
      <x:c r="K79" s="1">
        <x:v>12</x:v>
      </x:c>
      <x:c r="L79" s="35" t="s">
        <x:v>109</x:v>
      </x:c>
      <x:c r="M79" s="35" t="s">
        <x:v>110</x:v>
      </x:c>
      <x:c r="N79" s="1" t="n">
        <x:f>ROUNDUP(1.5*K79*10,0)</x:f>
        <x:v>180</x:v>
      </x:c>
      <x:c r="O79" s="1" t="n">
        <x:f>ROUNDUP(N79*1.5+20,-1)</x:f>
        <x:v>290</x:v>
      </x:c>
    </x:row>
    <x:row r="80">
      <x:c r="I80" s="1" t="s">
        <x:v>82</x:v>
      </x:c>
    </x:row>
    <x:row r="81">
      <x:c r="I81" s="1" t="s">
        <x:v>82</x:v>
      </x:c>
    </x:row>
    <x:row r="82">
      <x:c r="I82" s="1" t="s">
        <x:v>82</x:v>
      </x:c>
    </x:row>
    <x:row r="85">
      <x:c r="M85" s="35"/>
    </x:row>
    <x:row r="86">
      <x:c r="M86" s="35"/>
    </x:row>
    <x:row r="87">
      <x:c r="M87" s="35"/>
    </x:row>
    <x:row r="88">
      <x:c r="M88" s="35"/>
    </x:row>
    <x:row r="89">
      <x:c r="M89" s="35"/>
    </x:row>
    <x:row r="90">
      <x:c r="M90" s="35"/>
    </x:row>
    <x:row r="91">
      <x:c r="M91" s="35"/>
    </x:row>
    <x:row r="92">
      <x:c r="M92" s="35"/>
    </x:row>
    <x:row r="93">
      <x:c r="M93" s="35"/>
    </x:row>
    <x:row r="94">
      <x:c r="M94" s="35"/>
    </x:row>
    <x:row r="95">
      <x:c r="M95" s="35"/>
    </x:row>
    <x:row r="96">
      <x:c r="M96" s="35"/>
    </x:row>
    <x:row r="97">
      <x:c r="M97" s="35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24.69230842590332" style="1" customWidth="1"/>
    <x:col min="5" max="5" width="15.15384578704834" style="1" customWidth="1"/>
    <x:col min="6" max="6" width="10.307692527770996" style="1" customWidth="1"/>
    <x:col min="7" max="7" width="36" style="35" customWidth="1"/>
    <x:col min="8" max="8" width="26.230770111083984" style="1" customWidth="1"/>
    <x:col min="9" max="16384" width="9" style="1" customWidth="0"/>
  </x:cols>
  <x:sheetData>
    <x:row r="1">
      <x:c r="A1" s="1" t="s">
        <x:v>0</x:v>
      </x:c>
      <x:c r="B1" s="1" t="s">
        <x:v>1</x:v>
      </x:c>
      <x:c r="C1" s="1" t="s">
        <x:v>169</x:v>
      </x:c>
      <x:c r="D1" s="1" t="s">
        <x:v>170</x:v>
      </x:c>
      <x:c r="E1" s="1" t="s">
        <x:v>171</x:v>
      </x:c>
      <x:c r="F1" s="1" t="s">
        <x:v>172</x:v>
      </x:c>
      <x:c r="G1" s="35" t="s">
        <x:v>173</x:v>
      </x:c>
      <x:c r="H1" s="1" t="s">
        <x:v>174</x:v>
      </x:c>
    </x:row>
    <x:row r="2">
      <x:c r="A2" s="1" t="s">
        <x:v>9</x:v>
      </x:c>
      <x:c r="B2" s="1" t="s">
        <x:v>175</x:v>
      </x:c>
      <x:c r="C2" s="1" t="s">
        <x:v>176</x:v>
      </x:c>
      <x:c r="D2" s="1" t="s">
        <x:v>177</x:v>
      </x:c>
      <x:c r="E2" s="1" t="s">
        <x:v>178</x:v>
      </x:c>
      <x:c r="F2" s="1" t="s">
        <x:v>179</x:v>
      </x:c>
      <x:c r="G2" s="35" t="s">
        <x:v>180</x:v>
      </x:c>
      <x:c r="H2" s="1" t="s">
        <x:v>181</x:v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19</x:v>
      </x:c>
      <x:c r="E3" s="1" t="s">
        <x:v>182</x:v>
      </x:c>
      <x:c r="F3" s="1" t="s">
        <x:v>20</x:v>
      </x:c>
      <x:c r="G3" s="35" t="s">
        <x:v>183</x:v>
      </x:c>
      <x:c r="H3" s="1" t="s">
        <x:v>184</x:v>
      </x:c>
    </x:row>
    <x:row r="4">
      <x:c r="A4"/>
      <x:c r="B4" s="1" t="s">
        <x:v>23</x:v>
      </x:c>
      <x:c r="C4" s="8" t="s">
        <x:v>23</x:v>
      </x:c>
      <x:c r="D4" s="36"/>
      <x:c r="E4" s="1">
        <x:v>0</x:v>
      </x:c>
      <x:c r="F4" s="1">
        <x:v>100</x:v>
      </x:c>
      <x:c r="G4" s="35" t="s">
        <x:v>185</x:v>
      </x:c>
      <x:c r="H4" s="1" t="s">
        <x:v>186</x:v>
      </x:c>
      <x:c r="I4"/>
      <x:c r="J4" t="s">
        <x:v>24</x:v>
      </x:c>
    </x:row>
    <x:row r="5">
      <x:c r="A5"/>
      <x:c r="B5" s="1" t="str">
        <x:f t="shared" ref="B5:B12" si="0">C5&amp;D5</x:f>
        <x:v>arrow_cookie_2</x:v>
      </x:c>
      <x:c r="C5" s="1" t="s">
        <x:v>28</x:v>
      </x:c>
      <x:c r="D5" s="36"/>
      <x:c r="E5" s="1">
        <x:v>0</x:v>
      </x:c>
      <x:c r="F5" s="1">
        <x:v>100</x:v>
      </x:c>
      <x:c r="G5" s="35" t="s">
        <x:v>185</x:v>
      </x:c>
      <x:c r="H5" s="1" t="s">
        <x:v>186</x:v>
      </x:c>
      <x:c r="I5"/>
      <x:c r="J5" t="s">
        <x:v>29</x:v>
      </x:c>
    </x:row>
    <x:row r="6">
      <x:c r="A6"/>
      <x:c r="B6" s="1" t="str">
        <x:f t="shared" si="0"/>
        <x:v>arrow_cookie_3</x:v>
      </x:c>
      <x:c r="C6" s="1" t="s">
        <x:v>31</x:v>
      </x:c>
      <x:c r="D6" s="36"/>
      <x:c r="E6" s="1">
        <x:v>0</x:v>
      </x:c>
      <x:c r="F6" s="1">
        <x:v>100</x:v>
      </x:c>
      <x:c r="G6" s="35" t="s">
        <x:v>185</x:v>
      </x:c>
      <x:c r="H6" s="1" t="s">
        <x:v>186</x:v>
      </x:c>
      <x:c r="I6"/>
      <x:c r="J6" t="s">
        <x:v>32</x:v>
      </x:c>
    </x:row>
    <x:row r="7">
      <x:c r="A7"/>
      <x:c r="B7" s="1" t="str">
        <x:f t="shared" si="0"/>
        <x:v>arrow_cookie_4</x:v>
      </x:c>
      <x:c r="C7" s="1" t="s">
        <x:v>35</x:v>
      </x:c>
      <x:c r="D7" s="36"/>
      <x:c r="E7" s="1">
        <x:v>0</x:v>
      </x:c>
      <x:c r="F7" s="1">
        <x:v>100</x:v>
      </x:c>
      <x:c r="G7" s="35" t="s">
        <x:v>185</x:v>
      </x:c>
      <x:c r="H7" s="1" t="s">
        <x:v>186</x:v>
      </x:c>
      <x:c r="I7"/>
      <x:c r="J7" t="s">
        <x:v>36</x:v>
      </x:c>
    </x:row>
    <x:row r="8">
      <x:c r="A8"/>
      <x:c r="B8" s="1" t="str">
        <x:f t="shared" si="0"/>
        <x:v>jelly</x:v>
      </x:c>
      <x:c r="C8" s="1" t="s">
        <x:v>38</x:v>
      </x:c>
      <x:c r="D8" s="36"/>
      <x:c r="E8" s="1">
        <x:v>1200</x:v>
      </x:c>
      <x:c r="F8" s="1" t="n">
        <x:f>IF(D8="",VLOOKUP(C8,dish_base!$B$4:$O$82,13,FALSE),VLOOKUP(C8,dish_base!$B$4:$O$82,14,FALSE))</x:f>
        <x:v>30</x:v>
      </x:c>
      <x:c r="G8" s="35" t="str">
        <x:f>IF(D8="",VLOOKUP(C8,dish_base!$B$4:$O$82,11,FALSE),VLOOKUP(C8,dish_base!$B$4:$O$82,12,FALSE))</x:f>
        <x:v>10,45</x:v>
      </x:c>
      <x:c r="H8" s="1" t="s">
        <x:v>186</x:v>
      </x:c>
      <x:c r="I8"/>
      <x:c r="J8" t="s">
        <x:v>39</x:v>
      </x:c>
    </x:row>
    <x:row r="9">
      <x:c r="A9"/>
      <x:c r="B9" s="1" t="str">
        <x:f t="shared" si="0"/>
        <x:v>jellyt_sweet</x:v>
      </x:c>
      <x:c r="C9" s="1" t="s">
        <x:v>38</x:v>
      </x:c>
      <x:c r="D9" s="36" t="s">
        <x:v>187</x:v>
      </x:c>
      <x:c r="E9" s="1">
        <x:v>100</x:v>
      </x:c>
      <x:c r="F9" s="1" t="n">
        <x:f>IF(D9="",VLOOKUP(C9,dish_base!$B$4:$O$82,13,FALSE),VLOOKUP(C9,dish_base!$B$4:$O$82,14,FALSE))</x:f>
        <x:v>70</x:v>
      </x:c>
      <x:c r="G9" s="35" t="str">
        <x:f>IF(D9="",VLOOKUP(C9,dish_base!$B$4:$O$82,11,FALSE),VLOOKUP(C9,dish_base!$B$4:$O$82,12,FALSE))</x:f>
        <x:v>45,80</x:v>
      </x:c>
      <x:c r="H9" s="1" t="s">
        <x:v>186</x:v>
      </x:c>
      <x:c r="I9"/>
      <x:c r="J9" t="s">
        <x:v>39</x:v>
      </x:c>
    </x:row>
    <x:row r="10">
      <x:c r="A10"/>
      <x:c r="B10" s="1" t="str">
        <x:f t="shared" si="0"/>
        <x:v>jellyt_sour</x:v>
      </x:c>
      <x:c r="C10" s="1" t="s">
        <x:v>38</x:v>
      </x:c>
      <x:c r="D10" s="36" t="s">
        <x:v>188</x:v>
      </x:c>
      <x:c r="E10" s="1">
        <x:v>100</x:v>
      </x:c>
      <x:c r="F10" s="1" t="n">
        <x:f>IF(D10="",VLOOKUP(C10,dish_base!$B$4:$O$82,13,FALSE),VLOOKUP(C10,dish_base!$B$4:$O$82,14,FALSE))</x:f>
        <x:v>70</x:v>
      </x:c>
      <x:c r="G10" s="35" t="str">
        <x:f>IF(D10="",VLOOKUP(C10,dish_base!$B$4:$O$82,11,FALSE),VLOOKUP(C10,dish_base!$B$4:$O$82,12,FALSE))</x:f>
        <x:v>45,80</x:v>
      </x:c>
      <x:c r="H10" s="1" t="s">
        <x:v>186</x:v>
      </x:c>
      <x:c r="I10"/>
      <x:c r="J10" t="s">
        <x:v>39</x:v>
      </x:c>
    </x:row>
    <x:row r="11">
      <x:c r="A11"/>
      <x:c r="B11" s="1" t="str">
        <x:f t="shared" si="0"/>
        <x:v>jellyt_salty</x:v>
      </x:c>
      <x:c r="C11" s="1" t="s">
        <x:v>38</x:v>
      </x:c>
      <x:c r="D11" s="36" t="s">
        <x:v>189</x:v>
      </x:c>
      <x:c r="E11" s="1">
        <x:v>100</x:v>
      </x:c>
      <x:c r="F11" s="1" t="n">
        <x:f>IF(D11="",VLOOKUP(C11,dish_base!$B$4:$O$82,13,FALSE),VLOOKUP(C11,dish_base!$B$4:$O$82,14,FALSE))</x:f>
        <x:v>70</x:v>
      </x:c>
      <x:c r="G11" s="35" t="str">
        <x:f>IF(D11="",VLOOKUP(C11,dish_base!$B$4:$O$82,11,FALSE),VLOOKUP(C11,dish_base!$B$4:$O$82,12,FALSE))</x:f>
        <x:v>45,80</x:v>
      </x:c>
      <x:c r="H11" s="1" t="s">
        <x:v>186</x:v>
      </x:c>
      <x:c r="I11"/>
      <x:c r="J11" t="s">
        <x:v>39</x:v>
      </x:c>
    </x:row>
    <x:row r="12">
      <x:c r="A12"/>
      <x:c r="B12" s="1" t="str">
        <x:f t="shared" si="0"/>
        <x:v>jellyt_bitter</x:v>
      </x:c>
      <x:c r="C12" s="1" t="s">
        <x:v>38</x:v>
      </x:c>
      <x:c r="D12" s="36" t="s">
        <x:v>190</x:v>
      </x:c>
      <x:c r="E12" s="1">
        <x:v>100</x:v>
      </x:c>
      <x:c r="F12" s="1" t="n">
        <x:f>IF(D12="",VLOOKUP(C12,dish_base!$B$4:$O$82,13,FALSE),VLOOKUP(C12,dish_base!$B$4:$O$82,14,FALSE))</x:f>
        <x:v>70</x:v>
      </x:c>
      <x:c r="G12" s="35" t="str">
        <x:f>IF(D12="",VLOOKUP(C12,dish_base!$B$4:$O$82,11,FALSE),VLOOKUP(C12,dish_base!$B$4:$O$82,12,FALSE))</x:f>
        <x:v>45,80</x:v>
      </x:c>
      <x:c r="H12" s="1" t="s">
        <x:v>186</x:v>
      </x:c>
      <x:c r="I12"/>
      <x:c r="J12" t="s">
        <x:v>39</x:v>
      </x:c>
    </x:row>
    <x:row r="13">
      <x:c r="A13"/>
      <x:c r="B13" s="1" t="str">
        <x:f t="shared" ref="B13:B44" si="1">C13&amp;D13</x:f>
        <x:v>jellyt_numb</x:v>
      </x:c>
      <x:c r="C13" s="1" t="s">
        <x:v>38</x:v>
      </x:c>
      <x:c r="D13" s="36" t="s">
        <x:v>191</x:v>
      </x:c>
      <x:c r="E13" s="1">
        <x:v>100</x:v>
      </x:c>
      <x:c r="F13" s="1" t="n">
        <x:f>IF(D13="",VLOOKUP(C13,dish_base!$B$4:$O$82,13,FALSE),VLOOKUP(C13,dish_base!$B$4:$O$82,14,FALSE))</x:f>
        <x:v>70</x:v>
      </x:c>
      <x:c r="G13" s="35" t="str">
        <x:f>IF(D13="",VLOOKUP(C13,dish_base!$B$4:$O$82,11,FALSE),VLOOKUP(C13,dish_base!$B$4:$O$82,12,FALSE))</x:f>
        <x:v>45,80</x:v>
      </x:c>
      <x:c r="H13" s="1" t="s">
        <x:v>186</x:v>
      </x:c>
      <x:c r="I13"/>
      <x:c r="J13" t="s">
        <x:v>39</x:v>
      </x:c>
    </x:row>
    <x:row r="14">
      <x:c r="A14"/>
      <x:c r="B14" s="1" t="str">
        <x:f t="shared" si="1"/>
        <x:v>jellyt_rust</x:v>
      </x:c>
      <x:c r="C14" s="1" t="s">
        <x:v>38</x:v>
      </x:c>
      <x:c r="D14" s="36" t="s">
        <x:v>192</x:v>
      </x:c>
      <x:c r="E14" s="1">
        <x:v>100</x:v>
      </x:c>
      <x:c r="F14" s="1" t="n">
        <x:f>IF(D14="",VLOOKUP(C14,dish_base!$B$4:$O$82,13,FALSE),VLOOKUP(C14,dish_base!$B$4:$O$82,14,FALSE))</x:f>
        <x:v>70</x:v>
      </x:c>
      <x:c r="G14" s="35" t="str">
        <x:f>IF(D14="",VLOOKUP(C14,dish_base!$B$4:$O$82,11,FALSE),VLOOKUP(C14,dish_base!$B$4:$O$82,12,FALSE))</x:f>
        <x:v>45,80</x:v>
      </x:c>
      <x:c r="H14" s="1" t="s">
        <x:v>186</x:v>
      </x:c>
      <x:c r="I14"/>
      <x:c r="J14" t="s">
        <x:v>39</x:v>
      </x:c>
    </x:row>
    <x:row r="15">
      <x:c r="A15"/>
      <x:c r="B15" s="1" t="str">
        <x:f t="shared" si="1"/>
        <x:v>cupcake</x:v>
      </x:c>
      <x:c r="C15" s="1" t="s">
        <x:v>41</x:v>
      </x:c>
      <x:c r="D15" s="36"/>
      <x:c r="E15" s="1">
        <x:v>1200</x:v>
      </x:c>
      <x:c r="F15" s="1" t="n">
        <x:f>IF(D15="",VLOOKUP(C15,dish_base!$B$4:$O$82,13,FALSE),VLOOKUP(C15,dish_base!$B$4:$O$82,14,FALSE))</x:f>
        <x:v>30</x:v>
      </x:c>
      <x:c r="G15" s="35" t="str">
        <x:f>IF(D15="",VLOOKUP(C15,dish_base!$B$4:$O$82,11,FALSE),VLOOKUP(C15,dish_base!$B$4:$O$82,12,FALSE))</x:f>
        <x:v>10,45</x:v>
      </x:c>
      <x:c r="H15" s="1" t="s">
        <x:v>186</x:v>
      </x:c>
      <x:c r="I15"/>
      <x:c r="J15" t="s">
        <x:v>42</x:v>
      </x:c>
    </x:row>
    <x:row r="16">
      <x:c r="A16"/>
      <x:c r="B16" s="1" t="str">
        <x:f t="shared" si="1"/>
        <x:v>cupcaket_sweet</x:v>
      </x:c>
      <x:c r="C16" s="1" t="s">
        <x:v>41</x:v>
      </x:c>
      <x:c r="D16" s="36" t="s">
        <x:v>187</x:v>
      </x:c>
      <x:c r="E16" s="1">
        <x:v>100</x:v>
      </x:c>
      <x:c r="F16" s="1" t="n">
        <x:f>IF(D16="",VLOOKUP(C16,dish_base!$B$4:$O$82,13,FALSE),VLOOKUP(C16,dish_base!$B$4:$O$82,14,FALSE))</x:f>
        <x:v>70</x:v>
      </x:c>
      <x:c r="G16" s="35" t="str">
        <x:f>IF(D16="",VLOOKUP(C16,dish_base!$B$4:$O$82,11,FALSE),VLOOKUP(C16,dish_base!$B$4:$O$82,12,FALSE))</x:f>
        <x:v>45,80</x:v>
      </x:c>
      <x:c r="H16" s="1" t="s">
        <x:v>186</x:v>
      </x:c>
      <x:c r="I16"/>
      <x:c r="J16" t="s">
        <x:v>42</x:v>
      </x:c>
    </x:row>
    <x:row r="17">
      <x:c r="A17"/>
      <x:c r="B17" s="1" t="str">
        <x:f t="shared" si="1"/>
        <x:v>cupcaket_sour</x:v>
      </x:c>
      <x:c r="C17" s="1" t="s">
        <x:v>41</x:v>
      </x:c>
      <x:c r="D17" s="36" t="s">
        <x:v>188</x:v>
      </x:c>
      <x:c r="E17" s="1">
        <x:v>100</x:v>
      </x:c>
      <x:c r="F17" s="1" t="n">
        <x:f>IF(D17="",VLOOKUP(C17,dish_base!$B$4:$O$82,13,FALSE),VLOOKUP(C17,dish_base!$B$4:$O$82,14,FALSE))</x:f>
        <x:v>70</x:v>
      </x:c>
      <x:c r="G17" s="35" t="str">
        <x:f>IF(D17="",VLOOKUP(C17,dish_base!$B$4:$O$82,11,FALSE),VLOOKUP(C17,dish_base!$B$4:$O$82,12,FALSE))</x:f>
        <x:v>45,80</x:v>
      </x:c>
      <x:c r="H17" s="1" t="s">
        <x:v>186</x:v>
      </x:c>
      <x:c r="I17"/>
      <x:c r="J17" t="s">
        <x:v>42</x:v>
      </x:c>
    </x:row>
    <x:row r="18">
      <x:c r="A18"/>
      <x:c r="B18" s="1" t="str">
        <x:f t="shared" si="1"/>
        <x:v>cupcaket_salty</x:v>
      </x:c>
      <x:c r="C18" s="1" t="s">
        <x:v>41</x:v>
      </x:c>
      <x:c r="D18" s="36" t="s">
        <x:v>189</x:v>
      </x:c>
      <x:c r="E18" s="1">
        <x:v>100</x:v>
      </x:c>
      <x:c r="F18" s="1" t="n">
        <x:f>IF(D18="",VLOOKUP(C18,dish_base!$B$4:$O$82,13,FALSE),VLOOKUP(C18,dish_base!$B$4:$O$82,14,FALSE))</x:f>
        <x:v>70</x:v>
      </x:c>
      <x:c r="G18" s="35" t="str">
        <x:f>IF(D18="",VLOOKUP(C18,dish_base!$B$4:$O$82,11,FALSE),VLOOKUP(C18,dish_base!$B$4:$O$82,12,FALSE))</x:f>
        <x:v>45,80</x:v>
      </x:c>
      <x:c r="H18" s="1" t="s">
        <x:v>186</x:v>
      </x:c>
      <x:c r="I18"/>
      <x:c r="J18" t="s">
        <x:v>42</x:v>
      </x:c>
    </x:row>
    <x:row r="19">
      <x:c r="A19"/>
      <x:c r="B19" s="1" t="str">
        <x:f t="shared" si="1"/>
        <x:v>cupcaket_bitter</x:v>
      </x:c>
      <x:c r="C19" s="1" t="s">
        <x:v>41</x:v>
      </x:c>
      <x:c r="D19" s="36" t="s">
        <x:v>190</x:v>
      </x:c>
      <x:c r="E19" s="1">
        <x:v>100</x:v>
      </x:c>
      <x:c r="F19" s="1" t="n">
        <x:f>IF(D19="",VLOOKUP(C19,dish_base!$B$4:$O$82,13,FALSE),VLOOKUP(C19,dish_base!$B$4:$O$82,14,FALSE))</x:f>
        <x:v>70</x:v>
      </x:c>
      <x:c r="G19" s="35" t="str">
        <x:f>IF(D19="",VLOOKUP(C19,dish_base!$B$4:$O$82,11,FALSE),VLOOKUP(C19,dish_base!$B$4:$O$82,12,FALSE))</x:f>
        <x:v>45,80</x:v>
      </x:c>
      <x:c r="H19" s="1" t="s">
        <x:v>186</x:v>
      </x:c>
      <x:c r="I19"/>
      <x:c r="J19" t="s">
        <x:v>42</x:v>
      </x:c>
    </x:row>
    <x:row r="20">
      <x:c r="A20"/>
      <x:c r="B20" s="1" t="str">
        <x:f t="shared" si="1"/>
        <x:v>cupcaket_numb</x:v>
      </x:c>
      <x:c r="C20" s="1" t="s">
        <x:v>41</x:v>
      </x:c>
      <x:c r="D20" s="36" t="s">
        <x:v>191</x:v>
      </x:c>
      <x:c r="E20" s="1">
        <x:v>100</x:v>
      </x:c>
      <x:c r="F20" s="1" t="n">
        <x:f>IF(D20="",VLOOKUP(C20,dish_base!$B$4:$O$82,13,FALSE),VLOOKUP(C20,dish_base!$B$4:$O$82,14,FALSE))</x:f>
        <x:v>70</x:v>
      </x:c>
      <x:c r="G20" s="35" t="str">
        <x:f>IF(D20="",VLOOKUP(C20,dish_base!$B$4:$O$82,11,FALSE),VLOOKUP(C20,dish_base!$B$4:$O$82,12,FALSE))</x:f>
        <x:v>45,80</x:v>
      </x:c>
      <x:c r="H20" s="1" t="s">
        <x:v>186</x:v>
      </x:c>
      <x:c r="I20"/>
      <x:c r="J20" t="s">
        <x:v>42</x:v>
      </x:c>
    </x:row>
    <x:row r="21">
      <x:c r="A21"/>
      <x:c r="B21" s="1" t="str">
        <x:f t="shared" si="1"/>
        <x:v>cupcaket_rust</x:v>
      </x:c>
      <x:c r="C21" s="1" t="s">
        <x:v>41</x:v>
      </x:c>
      <x:c r="D21" s="36" t="s">
        <x:v>192</x:v>
      </x:c>
      <x:c r="E21" s="1">
        <x:v>100</x:v>
      </x:c>
      <x:c r="F21" s="1" t="n">
        <x:f>IF(D21="",VLOOKUP(C21,dish_base!$B$4:$O$82,13,FALSE),VLOOKUP(C21,dish_base!$B$4:$O$82,14,FALSE))</x:f>
        <x:v>70</x:v>
      </x:c>
      <x:c r="G21" s="35" t="str">
        <x:f>IF(D21="",VLOOKUP(C21,dish_base!$B$4:$O$82,11,FALSE),VLOOKUP(C21,dish_base!$B$4:$O$82,12,FALSE))</x:f>
        <x:v>45,80</x:v>
      </x:c>
      <x:c r="H21" s="1" t="s">
        <x:v>186</x:v>
      </x:c>
      <x:c r="I21"/>
      <x:c r="J21" t="s">
        <x:v>42</x:v>
      </x:c>
    </x:row>
    <x:row r="22">
      <x:c r="A22"/>
      <x:c r="B22" s="1" t="str">
        <x:f t="shared" si="1"/>
        <x:v>eggtart</x:v>
      </x:c>
      <x:c r="C22" s="1" t="s">
        <x:v>45</x:v>
      </x:c>
      <x:c r="D22" s="36"/>
      <x:c r="E22" s="1">
        <x:v>1200</x:v>
      </x:c>
      <x:c r="F22" s="1" t="n">
        <x:f>IF(D22="",VLOOKUP(C22,dish_base!$B$4:$O$82,13,FALSE),VLOOKUP(C22,dish_base!$B$4:$O$82,14,FALSE))</x:f>
        <x:v>30</x:v>
      </x:c>
      <x:c r="G22" s="35" t="str">
        <x:f>IF(D22="",VLOOKUP(C22,dish_base!$B$4:$O$82,11,FALSE),VLOOKUP(C22,dish_base!$B$4:$O$82,12,FALSE))</x:f>
        <x:v>10,45</x:v>
      </x:c>
      <x:c r="H22" s="1" t="s">
        <x:v>186</x:v>
      </x:c>
      <x:c r="I22"/>
      <x:c r="J22" t="s">
        <x:v>46</x:v>
      </x:c>
    </x:row>
    <x:row r="23">
      <x:c r="A23"/>
      <x:c r="B23" s="1" t="str">
        <x:f t="shared" si="1"/>
        <x:v>eggtartt_sweet</x:v>
      </x:c>
      <x:c r="C23" s="1" t="s">
        <x:v>45</x:v>
      </x:c>
      <x:c r="D23" s="36" t="s">
        <x:v>187</x:v>
      </x:c>
      <x:c r="E23" s="1">
        <x:v>100</x:v>
      </x:c>
      <x:c r="F23" s="1" t="n">
        <x:f>IF(D23="",VLOOKUP(C23,dish_base!$B$4:$O$82,13,FALSE),VLOOKUP(C23,dish_base!$B$4:$O$82,14,FALSE))</x:f>
        <x:v>70</x:v>
      </x:c>
      <x:c r="G23" s="35" t="str">
        <x:f>IF(D23="",VLOOKUP(C23,dish_base!$B$4:$O$82,11,FALSE),VLOOKUP(C23,dish_base!$B$4:$O$82,12,FALSE))</x:f>
        <x:v>45,80</x:v>
      </x:c>
      <x:c r="H23" s="1" t="s">
        <x:v>186</x:v>
      </x:c>
      <x:c r="I23"/>
      <x:c r="J23" t="s">
        <x:v>46</x:v>
      </x:c>
    </x:row>
    <x:row r="24">
      <x:c r="A24"/>
      <x:c r="B24" s="1" t="str">
        <x:f t="shared" si="1"/>
        <x:v>eggtartt_sour</x:v>
      </x:c>
      <x:c r="C24" s="1" t="s">
        <x:v>45</x:v>
      </x:c>
      <x:c r="D24" s="36" t="s">
        <x:v>188</x:v>
      </x:c>
      <x:c r="E24" s="1">
        <x:v>100</x:v>
      </x:c>
      <x:c r="F24" s="1" t="n">
        <x:f>IF(D24="",VLOOKUP(C24,dish_base!$B$4:$O$82,13,FALSE),VLOOKUP(C24,dish_base!$B$4:$O$82,14,FALSE))</x:f>
        <x:v>70</x:v>
      </x:c>
      <x:c r="G24" s="35" t="str">
        <x:f>IF(D24="",VLOOKUP(C24,dish_base!$B$4:$O$82,11,FALSE),VLOOKUP(C24,dish_base!$B$4:$O$82,12,FALSE))</x:f>
        <x:v>45,80</x:v>
      </x:c>
      <x:c r="H24" s="1" t="s">
        <x:v>186</x:v>
      </x:c>
      <x:c r="I24"/>
      <x:c r="J24" t="s">
        <x:v>46</x:v>
      </x:c>
    </x:row>
    <x:row r="25">
      <x:c r="A25"/>
      <x:c r="B25" s="1" t="str">
        <x:f t="shared" si="1"/>
        <x:v>eggtartt_salty</x:v>
      </x:c>
      <x:c r="C25" s="1" t="s">
        <x:v>45</x:v>
      </x:c>
      <x:c r="D25" s="36" t="s">
        <x:v>189</x:v>
      </x:c>
      <x:c r="E25" s="1">
        <x:v>100</x:v>
      </x:c>
      <x:c r="F25" s="1" t="n">
        <x:f>IF(D25="",VLOOKUP(C25,dish_base!$B$4:$O$82,13,FALSE),VLOOKUP(C25,dish_base!$B$4:$O$82,14,FALSE))</x:f>
        <x:v>70</x:v>
      </x:c>
      <x:c r="G25" s="35" t="str">
        <x:f>IF(D25="",VLOOKUP(C25,dish_base!$B$4:$O$82,11,FALSE),VLOOKUP(C25,dish_base!$B$4:$O$82,12,FALSE))</x:f>
        <x:v>45,80</x:v>
      </x:c>
      <x:c r="H25" s="1" t="s">
        <x:v>186</x:v>
      </x:c>
      <x:c r="I25"/>
      <x:c r="J25" t="s">
        <x:v>46</x:v>
      </x:c>
    </x:row>
    <x:row r="26">
      <x:c r="A26"/>
      <x:c r="B26" s="1" t="str">
        <x:f t="shared" si="1"/>
        <x:v>eggtartt_bitter</x:v>
      </x:c>
      <x:c r="C26" s="1" t="s">
        <x:v>45</x:v>
      </x:c>
      <x:c r="D26" s="36" t="s">
        <x:v>190</x:v>
      </x:c>
      <x:c r="E26" s="1">
        <x:v>100</x:v>
      </x:c>
      <x:c r="F26" s="1" t="n">
        <x:f>IF(D26="",VLOOKUP(C26,dish_base!$B$4:$O$82,13,FALSE),VLOOKUP(C26,dish_base!$B$4:$O$82,14,FALSE))</x:f>
        <x:v>70</x:v>
      </x:c>
      <x:c r="G26" s="35" t="str">
        <x:f>IF(D26="",VLOOKUP(C26,dish_base!$B$4:$O$82,11,FALSE),VLOOKUP(C26,dish_base!$B$4:$O$82,12,FALSE))</x:f>
        <x:v>45,80</x:v>
      </x:c>
      <x:c r="H26" s="1" t="s">
        <x:v>186</x:v>
      </x:c>
      <x:c r="I26"/>
      <x:c r="J26" t="s">
        <x:v>46</x:v>
      </x:c>
    </x:row>
    <x:row r="27">
      <x:c r="A27"/>
      <x:c r="B27" s="1" t="str">
        <x:f t="shared" si="1"/>
        <x:v>eggtartt_numb</x:v>
      </x:c>
      <x:c r="C27" s="1" t="s">
        <x:v>45</x:v>
      </x:c>
      <x:c r="D27" s="36" t="s">
        <x:v>191</x:v>
      </x:c>
      <x:c r="E27" s="1">
        <x:v>100</x:v>
      </x:c>
      <x:c r="F27" s="1" t="n">
        <x:f>IF(D27="",VLOOKUP(C27,dish_base!$B$4:$O$82,13,FALSE),VLOOKUP(C27,dish_base!$B$4:$O$82,14,FALSE))</x:f>
        <x:v>70</x:v>
      </x:c>
      <x:c r="G27" s="35" t="str">
        <x:f>IF(D27="",VLOOKUP(C27,dish_base!$B$4:$O$82,11,FALSE),VLOOKUP(C27,dish_base!$B$4:$O$82,12,FALSE))</x:f>
        <x:v>45,80</x:v>
      </x:c>
      <x:c r="H27" s="1" t="s">
        <x:v>186</x:v>
      </x:c>
      <x:c r="I27"/>
      <x:c r="J27" t="s">
        <x:v>46</x:v>
      </x:c>
    </x:row>
    <x:row r="28">
      <x:c r="A28"/>
      <x:c r="B28" s="1" t="str">
        <x:f t="shared" si="1"/>
        <x:v>eggtartt_rust</x:v>
      </x:c>
      <x:c r="C28" s="8" t="s">
        <x:v>45</x:v>
      </x:c>
      <x:c r="D28" s="1" t="s">
        <x:v>192</x:v>
      </x:c>
      <x:c r="E28" s="1">
        <x:v>100</x:v>
      </x:c>
      <x:c r="F28" s="1" t="n">
        <x:f>IF(D28="",VLOOKUP(C28,dish_base!$B$4:$O$82,13,FALSE),VLOOKUP(C28,dish_base!$B$4:$O$82,14,FALSE))</x:f>
        <x:v>70</x:v>
      </x:c>
      <x:c r="G28" s="35" t="str">
        <x:f>IF(D28="",VLOOKUP(C28,dish_base!$B$4:$O$82,11,FALSE),VLOOKUP(C28,dish_base!$B$4:$O$82,12,FALSE))</x:f>
        <x:v>45,80</x:v>
      </x:c>
      <x:c r="H28" s="1" t="s">
        <x:v>186</x:v>
      </x:c>
      <x:c r="I28"/>
      <x:c r="J28" t="s">
        <x:v>46</x:v>
      </x:c>
    </x:row>
    <x:row r="29">
      <x:c r="A29"/>
      <x:c r="B29" s="1" t="str">
        <x:f t="shared" si="1"/>
        <x:v>sugarbean</x:v>
      </x:c>
      <x:c r="C29" s="8" t="s">
        <x:v>48</x:v>
      </x:c>
      <x:c r="E29" s="1">
        <x:v>1200</x:v>
      </x:c>
      <x:c r="F29" s="1" t="n">
        <x:f>IF(D29="",VLOOKUP(C29,dish_base!$B$4:$O$82,13,FALSE),VLOOKUP(C29,dish_base!$B$4:$O$82,14,FALSE))</x:f>
        <x:v>30</x:v>
      </x:c>
      <x:c r="G29" s="35" t="str">
        <x:f>IF(D29="",VLOOKUP(C29,dish_base!$B$4:$O$82,11,FALSE),VLOOKUP(C29,dish_base!$B$4:$O$82,12,FALSE))</x:f>
        <x:v>10,45</x:v>
      </x:c>
      <x:c r="H29" s="1" t="s">
        <x:v>186</x:v>
      </x:c>
      <x:c r="I29"/>
      <x:c r="J29" t="s">
        <x:v>49</x:v>
      </x:c>
    </x:row>
    <x:row r="30">
      <x:c r="A30"/>
      <x:c r="B30" s="1" t="str">
        <x:f t="shared" si="1"/>
        <x:v>sugarbeant_sweet</x:v>
      </x:c>
      <x:c r="C30" s="8" t="s">
        <x:v>48</x:v>
      </x:c>
      <x:c r="D30" s="1" t="s">
        <x:v>187</x:v>
      </x:c>
      <x:c r="E30" s="1">
        <x:v>100</x:v>
      </x:c>
      <x:c r="F30" s="1" t="n">
        <x:f>IF(D30="",VLOOKUP(C30,dish_base!$B$4:$O$82,13,FALSE),VLOOKUP(C30,dish_base!$B$4:$O$82,14,FALSE))</x:f>
        <x:v>70</x:v>
      </x:c>
      <x:c r="G30" s="35" t="str">
        <x:f>IF(D30="",VLOOKUP(C30,dish_base!$B$4:$O$82,11,FALSE),VLOOKUP(C30,dish_base!$B$4:$O$82,12,FALSE))</x:f>
        <x:v>45,80</x:v>
      </x:c>
      <x:c r="H30" s="1" t="s">
        <x:v>186</x:v>
      </x:c>
      <x:c r="I30"/>
      <x:c r="J30" t="s">
        <x:v>49</x:v>
      </x:c>
    </x:row>
    <x:row r="31">
      <x:c r="A31"/>
      <x:c r="B31" s="1" t="str">
        <x:f t="shared" si="1"/>
        <x:v>sugarbeant_sour</x:v>
      </x:c>
      <x:c r="C31" s="8" t="s">
        <x:v>48</x:v>
      </x:c>
      <x:c r="D31" s="1" t="s">
        <x:v>188</x:v>
      </x:c>
      <x:c r="E31" s="1">
        <x:v>100</x:v>
      </x:c>
      <x:c r="F31" s="1" t="n">
        <x:f>IF(D31="",VLOOKUP(C31,dish_base!$B$4:$O$82,13,FALSE),VLOOKUP(C31,dish_base!$B$4:$O$82,14,FALSE))</x:f>
        <x:v>70</x:v>
      </x:c>
      <x:c r="G31" s="35" t="str">
        <x:f>IF(D31="",VLOOKUP(C31,dish_base!$B$4:$O$82,11,FALSE),VLOOKUP(C31,dish_base!$B$4:$O$82,12,FALSE))</x:f>
        <x:v>45,80</x:v>
      </x:c>
      <x:c r="H31" s="1" t="s">
        <x:v>186</x:v>
      </x:c>
      <x:c r="I31"/>
      <x:c r="J31" t="s">
        <x:v>49</x:v>
      </x:c>
    </x:row>
    <x:row r="32">
      <x:c r="A32"/>
      <x:c r="B32" s="1" t="str">
        <x:f t="shared" si="1"/>
        <x:v>sugarbeant_salty</x:v>
      </x:c>
      <x:c r="C32" s="8" t="s">
        <x:v>48</x:v>
      </x:c>
      <x:c r="D32" s="1" t="s">
        <x:v>189</x:v>
      </x:c>
      <x:c r="E32" s="1">
        <x:v>100</x:v>
      </x:c>
      <x:c r="F32" s="1" t="n">
        <x:f>IF(D32="",VLOOKUP(C32,dish_base!$B$4:$O$82,13,FALSE),VLOOKUP(C32,dish_base!$B$4:$O$82,14,FALSE))</x:f>
        <x:v>70</x:v>
      </x:c>
      <x:c r="G32" s="35" t="str">
        <x:f>IF(D32="",VLOOKUP(C32,dish_base!$B$4:$O$82,11,FALSE),VLOOKUP(C32,dish_base!$B$4:$O$82,12,FALSE))</x:f>
        <x:v>45,80</x:v>
      </x:c>
      <x:c r="H32" s="1" t="s">
        <x:v>186</x:v>
      </x:c>
      <x:c r="I32"/>
      <x:c r="J32" t="s">
        <x:v>49</x:v>
      </x:c>
    </x:row>
    <x:row r="33">
      <x:c r="A33"/>
      <x:c r="B33" s="1" t="str">
        <x:f t="shared" si="1"/>
        <x:v>sugarbeant_bitter</x:v>
      </x:c>
      <x:c r="C33" s="8" t="s">
        <x:v>48</x:v>
      </x:c>
      <x:c r="D33" s="1" t="s">
        <x:v>190</x:v>
      </x:c>
      <x:c r="E33" s="1">
        <x:v>100</x:v>
      </x:c>
      <x:c r="F33" s="1" t="n">
        <x:f>IF(D33="",VLOOKUP(C33,dish_base!$B$4:$O$82,13,FALSE),VLOOKUP(C33,dish_base!$B$4:$O$82,14,FALSE))</x:f>
        <x:v>70</x:v>
      </x:c>
      <x:c r="G33" s="35" t="str">
        <x:f>IF(D33="",VLOOKUP(C33,dish_base!$B$4:$O$82,11,FALSE),VLOOKUP(C33,dish_base!$B$4:$O$82,12,FALSE))</x:f>
        <x:v>45,80</x:v>
      </x:c>
      <x:c r="H33" s="1" t="s">
        <x:v>186</x:v>
      </x:c>
      <x:c r="I33"/>
      <x:c r="J33" t="s">
        <x:v>49</x:v>
      </x:c>
    </x:row>
    <x:row r="34">
      <x:c r="A34"/>
      <x:c r="B34" s="1" t="str">
        <x:f t="shared" si="1"/>
        <x:v>sugarbeant_numb</x:v>
      </x:c>
      <x:c r="C34" s="8" t="s">
        <x:v>48</x:v>
      </x:c>
      <x:c r="D34" s="1" t="s">
        <x:v>191</x:v>
      </x:c>
      <x:c r="E34" s="1">
        <x:v>100</x:v>
      </x:c>
      <x:c r="F34" s="1" t="n">
        <x:f>IF(D34="",VLOOKUP(C34,dish_base!$B$4:$O$82,13,FALSE),VLOOKUP(C34,dish_base!$B$4:$O$82,14,FALSE))</x:f>
        <x:v>70</x:v>
      </x:c>
      <x:c r="G34" s="35" t="str">
        <x:f>IF(D34="",VLOOKUP(C34,dish_base!$B$4:$O$82,11,FALSE),VLOOKUP(C34,dish_base!$B$4:$O$82,12,FALSE))</x:f>
        <x:v>45,80</x:v>
      </x:c>
      <x:c r="H34" s="1" t="s">
        <x:v>186</x:v>
      </x:c>
      <x:c r="I34"/>
      <x:c r="J34" t="s">
        <x:v>49</x:v>
      </x:c>
    </x:row>
    <x:row r="35">
      <x:c r="A35"/>
      <x:c r="B35" s="1" t="str">
        <x:f t="shared" si="1"/>
        <x:v>sugarbeant_rust</x:v>
      </x:c>
      <x:c r="C35" s="8" t="s">
        <x:v>48</x:v>
      </x:c>
      <x:c r="D35" s="1" t="s">
        <x:v>192</x:v>
      </x:c>
      <x:c r="E35" s="1">
        <x:v>100</x:v>
      </x:c>
      <x:c r="F35" s="1" t="n">
        <x:f>IF(D35="",VLOOKUP(C35,dish_base!$B$4:$O$82,13,FALSE),VLOOKUP(C35,dish_base!$B$4:$O$82,14,FALSE))</x:f>
        <x:v>70</x:v>
      </x:c>
      <x:c r="G35" s="35" t="str">
        <x:f>IF(D35="",VLOOKUP(C35,dish_base!$B$4:$O$82,11,FALSE),VLOOKUP(C35,dish_base!$B$4:$O$82,12,FALSE))</x:f>
        <x:v>45,80</x:v>
      </x:c>
      <x:c r="H35" s="1" t="s">
        <x:v>186</x:v>
      </x:c>
      <x:c r="I35"/>
      <x:c r="J35" t="s">
        <x:v>49</x:v>
      </x:c>
    </x:row>
    <x:row r="36">
      <x:c r="A36"/>
      <x:c r="B36" s="1" t="str">
        <x:f t="shared" si="1"/>
        <x:v>cheesecake</x:v>
      </x:c>
      <x:c r="C36" s="8" t="s">
        <x:v>51</x:v>
      </x:c>
      <x:c r="E36" s="1">
        <x:v>1200</x:v>
      </x:c>
      <x:c r="F36" s="1" t="n">
        <x:f>IF(D36="",VLOOKUP(C36,dish_base!$B$4:$O$82,13,FALSE),VLOOKUP(C36,dish_base!$B$4:$O$82,14,FALSE))</x:f>
        <x:v>30</x:v>
      </x:c>
      <x:c r="G36" s="35" t="str">
        <x:f>IF(D36="",VLOOKUP(C36,dish_base!$B$4:$O$82,11,FALSE),VLOOKUP(C36,dish_base!$B$4:$O$82,12,FALSE))</x:f>
        <x:v>10,45</x:v>
      </x:c>
      <x:c r="H36" s="1" t="s">
        <x:v>186</x:v>
      </x:c>
      <x:c r="I36"/>
      <x:c r="J36" t="s">
        <x:v>52</x:v>
      </x:c>
    </x:row>
    <x:row r="37">
      <x:c r="A37"/>
      <x:c r="B37" s="1" t="str">
        <x:f t="shared" si="1"/>
        <x:v>cheesecaket_sweet</x:v>
      </x:c>
      <x:c r="C37" s="8" t="s">
        <x:v>51</x:v>
      </x:c>
      <x:c r="D37" s="1" t="s">
        <x:v>187</x:v>
      </x:c>
      <x:c r="E37" s="1">
        <x:v>100</x:v>
      </x:c>
      <x:c r="F37" s="1" t="n">
        <x:f>IF(D37="",VLOOKUP(C37,dish_base!$B$4:$O$82,13,FALSE),VLOOKUP(C37,dish_base!$B$4:$O$82,14,FALSE))</x:f>
        <x:v>70</x:v>
      </x:c>
      <x:c r="G37" s="35" t="str">
        <x:f>IF(D37="",VLOOKUP(C37,dish_base!$B$4:$O$82,11,FALSE),VLOOKUP(C37,dish_base!$B$4:$O$82,12,FALSE))</x:f>
        <x:v>45,80</x:v>
      </x:c>
      <x:c r="H37" s="1" t="s">
        <x:v>186</x:v>
      </x:c>
      <x:c r="I37"/>
      <x:c r="J37" t="s">
        <x:v>52</x:v>
      </x:c>
    </x:row>
    <x:row r="38">
      <x:c r="A38"/>
      <x:c r="B38" s="1" t="str">
        <x:f t="shared" si="1"/>
        <x:v>cheesecaket_sour</x:v>
      </x:c>
      <x:c r="C38" s="8" t="s">
        <x:v>51</x:v>
      </x:c>
      <x:c r="D38" s="1" t="s">
        <x:v>188</x:v>
      </x:c>
      <x:c r="E38" s="1">
        <x:v>100</x:v>
      </x:c>
      <x:c r="F38" s="1" t="n">
        <x:f>IF(D38="",VLOOKUP(C38,dish_base!$B$4:$O$82,13,FALSE),VLOOKUP(C38,dish_base!$B$4:$O$82,14,FALSE))</x:f>
        <x:v>70</x:v>
      </x:c>
      <x:c r="G38" s="35" t="str">
        <x:f>IF(D38="",VLOOKUP(C38,dish_base!$B$4:$O$82,11,FALSE),VLOOKUP(C38,dish_base!$B$4:$O$82,12,FALSE))</x:f>
        <x:v>45,80</x:v>
      </x:c>
      <x:c r="H38" s="1" t="s">
        <x:v>186</x:v>
      </x:c>
      <x:c r="I38"/>
      <x:c r="J38" t="s">
        <x:v>52</x:v>
      </x:c>
    </x:row>
    <x:row r="39">
      <x:c r="A39"/>
      <x:c r="B39" s="1" t="str">
        <x:f t="shared" si="1"/>
        <x:v>cheesecaket_salty</x:v>
      </x:c>
      <x:c r="C39" s="8" t="s">
        <x:v>51</x:v>
      </x:c>
      <x:c r="D39" s="1" t="s">
        <x:v>189</x:v>
      </x:c>
      <x:c r="E39" s="1">
        <x:v>100</x:v>
      </x:c>
      <x:c r="F39" s="1" t="n">
        <x:f>IF(D39="",VLOOKUP(C39,dish_base!$B$4:$O$82,13,FALSE),VLOOKUP(C39,dish_base!$B$4:$O$82,14,FALSE))</x:f>
        <x:v>70</x:v>
      </x:c>
      <x:c r="G39" s="35" t="str">
        <x:f>IF(D39="",VLOOKUP(C39,dish_base!$B$4:$O$82,11,FALSE),VLOOKUP(C39,dish_base!$B$4:$O$82,12,FALSE))</x:f>
        <x:v>45,80</x:v>
      </x:c>
      <x:c r="H39" s="1" t="s">
        <x:v>186</x:v>
      </x:c>
      <x:c r="I39"/>
      <x:c r="J39" t="s">
        <x:v>52</x:v>
      </x:c>
    </x:row>
    <x:row r="40">
      <x:c r="A40"/>
      <x:c r="B40" s="1" t="str">
        <x:f t="shared" si="1"/>
        <x:v>cheesecaket_bitter</x:v>
      </x:c>
      <x:c r="C40" s="8" t="s">
        <x:v>51</x:v>
      </x:c>
      <x:c r="D40" s="1" t="s">
        <x:v>190</x:v>
      </x:c>
      <x:c r="E40" s="1">
        <x:v>100</x:v>
      </x:c>
      <x:c r="F40" s="1" t="n">
        <x:f>IF(D40="",VLOOKUP(C40,dish_base!$B$4:$O$82,13,FALSE),VLOOKUP(C40,dish_base!$B$4:$O$82,14,FALSE))</x:f>
        <x:v>70</x:v>
      </x:c>
      <x:c r="G40" s="35" t="str">
        <x:f>IF(D40="",VLOOKUP(C40,dish_base!$B$4:$O$82,11,FALSE),VLOOKUP(C40,dish_base!$B$4:$O$82,12,FALSE))</x:f>
        <x:v>45,80</x:v>
      </x:c>
      <x:c r="H40" s="1" t="s">
        <x:v>186</x:v>
      </x:c>
      <x:c r="I40"/>
      <x:c r="J40" t="s">
        <x:v>52</x:v>
      </x:c>
    </x:row>
    <x:row r="41">
      <x:c r="A41"/>
      <x:c r="B41" s="1" t="str">
        <x:f t="shared" si="1"/>
        <x:v>cheesecaket_numb</x:v>
      </x:c>
      <x:c r="C41" s="8" t="s">
        <x:v>51</x:v>
      </x:c>
      <x:c r="D41" s="1" t="s">
        <x:v>191</x:v>
      </x:c>
      <x:c r="E41" s="1">
        <x:v>100</x:v>
      </x:c>
      <x:c r="F41" s="1" t="n">
        <x:f>IF(D41="",VLOOKUP(C41,dish_base!$B$4:$O$82,13,FALSE),VLOOKUP(C41,dish_base!$B$4:$O$82,14,FALSE))</x:f>
        <x:v>70</x:v>
      </x:c>
      <x:c r="G41" s="35" t="str">
        <x:f>IF(D41="",VLOOKUP(C41,dish_base!$B$4:$O$82,11,FALSE),VLOOKUP(C41,dish_base!$B$4:$O$82,12,FALSE))</x:f>
        <x:v>45,80</x:v>
      </x:c>
      <x:c r="H41" s="1" t="s">
        <x:v>186</x:v>
      </x:c>
      <x:c r="I41"/>
      <x:c r="J41" t="s">
        <x:v>52</x:v>
      </x:c>
    </x:row>
    <x:row r="42">
      <x:c r="A42"/>
      <x:c r="B42" s="1" t="str">
        <x:f t="shared" si="1"/>
        <x:v>cheesecaket_rust</x:v>
      </x:c>
      <x:c r="C42" s="8" t="s">
        <x:v>51</x:v>
      </x:c>
      <x:c r="D42" s="1" t="s">
        <x:v>192</x:v>
      </x:c>
      <x:c r="E42" s="1">
        <x:v>100</x:v>
      </x:c>
      <x:c r="F42" s="1" t="n">
        <x:f>IF(D42="",VLOOKUP(C42,dish_base!$B$4:$O$82,13,FALSE),VLOOKUP(C42,dish_base!$B$4:$O$82,14,FALSE))</x:f>
        <x:v>70</x:v>
      </x:c>
      <x:c r="G42" s="35" t="str">
        <x:f>IF(D42="",VLOOKUP(C42,dish_base!$B$4:$O$82,11,FALSE),VLOOKUP(C42,dish_base!$B$4:$O$82,12,FALSE))</x:f>
        <x:v>45,80</x:v>
      </x:c>
      <x:c r="H42" s="1" t="s">
        <x:v>186</x:v>
      </x:c>
      <x:c r="I42"/>
      <x:c r="J42" t="s">
        <x:v>52</x:v>
      </x:c>
    </x:row>
    <x:row r="43">
      <x:c r="A43"/>
      <x:c r="B43" s="1" t="str">
        <x:f t="shared" si="1"/>
        <x:v>mousse</x:v>
      </x:c>
      <x:c r="C43" s="8" t="s">
        <x:v>55</x:v>
      </x:c>
      <x:c r="E43" s="1">
        <x:v>1200</x:v>
      </x:c>
      <x:c r="F43" s="1" t="n">
        <x:f>IF(D43="",VLOOKUP(C43,dish_base!$B$4:$O$82,13,FALSE),VLOOKUP(C43,dish_base!$B$4:$O$82,14,FALSE))</x:f>
        <x:v>30</x:v>
      </x:c>
      <x:c r="G43" s="35" t="str">
        <x:f>IF(D43="",VLOOKUP(C43,dish_base!$B$4:$O$82,11,FALSE),VLOOKUP(C43,dish_base!$B$4:$O$82,12,FALSE))</x:f>
        <x:v>10,45</x:v>
      </x:c>
      <x:c r="H43" s="1" t="s">
        <x:v>186</x:v>
      </x:c>
      <x:c r="I43"/>
      <x:c r="J43" t="s">
        <x:v>56</x:v>
      </x:c>
    </x:row>
    <x:row r="44">
      <x:c r="A44"/>
      <x:c r="B44" s="1" t="str">
        <x:f t="shared" si="1"/>
        <x:v>mousset_sweet</x:v>
      </x:c>
      <x:c r="C44" s="8" t="s">
        <x:v>55</x:v>
      </x:c>
      <x:c r="D44" s="1" t="s">
        <x:v>187</x:v>
      </x:c>
      <x:c r="E44" s="1">
        <x:v>100</x:v>
      </x:c>
      <x:c r="F44" s="1" t="n">
        <x:f>IF(D44="",VLOOKUP(C44,dish_base!$B$4:$O$82,13,FALSE),VLOOKUP(C44,dish_base!$B$4:$O$82,14,FALSE))</x:f>
        <x:v>70</x:v>
      </x:c>
      <x:c r="G44" s="35" t="str">
        <x:f>IF(D44="",VLOOKUP(C44,dish_base!$B$4:$O$82,11,FALSE),VLOOKUP(C44,dish_base!$B$4:$O$82,12,FALSE))</x:f>
        <x:v>45,80</x:v>
      </x:c>
      <x:c r="H44" s="1" t="s">
        <x:v>186</x:v>
      </x:c>
      <x:c r="I44"/>
      <x:c r="J44" t="s">
        <x:v>56</x:v>
      </x:c>
    </x:row>
    <x:row r="45">
      <x:c r="A45"/>
      <x:c r="B45" s="1" t="str">
        <x:f t="shared" ref="B45:B108" si="2">C45&amp;D45</x:f>
        <x:v>mousset_sour</x:v>
      </x:c>
      <x:c r="C45" s="8" t="s">
        <x:v>55</x:v>
      </x:c>
      <x:c r="D45" s="1" t="s">
        <x:v>188</x:v>
      </x:c>
      <x:c r="E45" s="1">
        <x:v>100</x:v>
      </x:c>
      <x:c r="F45" s="1" t="n">
        <x:f>IF(D45="",VLOOKUP(C45,dish_base!$B$4:$O$82,13,FALSE),VLOOKUP(C45,dish_base!$B$4:$O$82,14,FALSE))</x:f>
        <x:v>70</x:v>
      </x:c>
      <x:c r="G45" s="35" t="str">
        <x:f>IF(D45="",VLOOKUP(C45,dish_base!$B$4:$O$82,11,FALSE),VLOOKUP(C45,dish_base!$B$4:$O$82,12,FALSE))</x:f>
        <x:v>45,80</x:v>
      </x:c>
      <x:c r="H45" s="1" t="s">
        <x:v>186</x:v>
      </x:c>
      <x:c r="I45"/>
      <x:c r="J45" t="s">
        <x:v>56</x:v>
      </x:c>
    </x:row>
    <x:row r="46">
      <x:c r="A46"/>
      <x:c r="B46" s="1" t="str">
        <x:f t="shared" si="2"/>
        <x:v>mousset_salty</x:v>
      </x:c>
      <x:c r="C46" s="8" t="s">
        <x:v>55</x:v>
      </x:c>
      <x:c r="D46" s="1" t="s">
        <x:v>189</x:v>
      </x:c>
      <x:c r="E46" s="1">
        <x:v>100</x:v>
      </x:c>
      <x:c r="F46" s="1" t="n">
        <x:f>IF(D46="",VLOOKUP(C46,dish_base!$B$4:$O$82,13,FALSE),VLOOKUP(C46,dish_base!$B$4:$O$82,14,FALSE))</x:f>
        <x:v>70</x:v>
      </x:c>
      <x:c r="G46" s="35" t="str">
        <x:f>IF(D46="",VLOOKUP(C46,dish_base!$B$4:$O$82,11,FALSE),VLOOKUP(C46,dish_base!$B$4:$O$82,12,FALSE))</x:f>
        <x:v>45,80</x:v>
      </x:c>
      <x:c r="H46" s="1" t="s">
        <x:v>186</x:v>
      </x:c>
      <x:c r="I46"/>
      <x:c r="J46" t="s">
        <x:v>56</x:v>
      </x:c>
    </x:row>
    <x:row r="47">
      <x:c r="A47"/>
      <x:c r="B47" s="1" t="str">
        <x:f t="shared" si="2"/>
        <x:v>mousset_bitter</x:v>
      </x:c>
      <x:c r="C47" s="8" t="s">
        <x:v>55</x:v>
      </x:c>
      <x:c r="D47" s="1" t="s">
        <x:v>190</x:v>
      </x:c>
      <x:c r="E47" s="1">
        <x:v>100</x:v>
      </x:c>
      <x:c r="F47" s="1" t="n">
        <x:f>IF(D47="",VLOOKUP(C47,dish_base!$B$4:$O$82,13,FALSE),VLOOKUP(C47,dish_base!$B$4:$O$82,14,FALSE))</x:f>
        <x:v>70</x:v>
      </x:c>
      <x:c r="G47" s="35" t="str">
        <x:f>IF(D47="",VLOOKUP(C47,dish_base!$B$4:$O$82,11,FALSE),VLOOKUP(C47,dish_base!$B$4:$O$82,12,FALSE))</x:f>
        <x:v>45,80</x:v>
      </x:c>
      <x:c r="H47" s="1" t="s">
        <x:v>186</x:v>
      </x:c>
      <x:c r="I47"/>
      <x:c r="J47" t="s">
        <x:v>56</x:v>
      </x:c>
    </x:row>
    <x:row r="48">
      <x:c r="A48"/>
      <x:c r="B48" s="1" t="str">
        <x:f t="shared" si="2"/>
        <x:v>mousset_numb</x:v>
      </x:c>
      <x:c r="C48" s="8" t="s">
        <x:v>55</x:v>
      </x:c>
      <x:c r="D48" s="1" t="s">
        <x:v>191</x:v>
      </x:c>
      <x:c r="E48" s="1">
        <x:v>100</x:v>
      </x:c>
      <x:c r="F48" s="1" t="n">
        <x:f>IF(D48="",VLOOKUP(C48,dish_base!$B$4:$O$82,13,FALSE),VLOOKUP(C48,dish_base!$B$4:$O$82,14,FALSE))</x:f>
        <x:v>70</x:v>
      </x:c>
      <x:c r="G48" s="35" t="str">
        <x:f>IF(D48="",VLOOKUP(C48,dish_base!$B$4:$O$82,11,FALSE),VLOOKUP(C48,dish_base!$B$4:$O$82,12,FALSE))</x:f>
        <x:v>45,80</x:v>
      </x:c>
      <x:c r="H48" s="1" t="s">
        <x:v>186</x:v>
      </x:c>
      <x:c r="I48"/>
      <x:c r="J48" t="s">
        <x:v>56</x:v>
      </x:c>
    </x:row>
    <x:row r="49">
      <x:c r="A49"/>
      <x:c r="B49" s="1" t="str">
        <x:f t="shared" si="2"/>
        <x:v>mousset_rust</x:v>
      </x:c>
      <x:c r="C49" s="8" t="s">
        <x:v>55</x:v>
      </x:c>
      <x:c r="D49" s="1" t="s">
        <x:v>192</x:v>
      </x:c>
      <x:c r="E49" s="1">
        <x:v>100</x:v>
      </x:c>
      <x:c r="F49" s="1" t="n">
        <x:f>IF(D49="",VLOOKUP(C49,dish_base!$B$4:$O$82,13,FALSE),VLOOKUP(C49,dish_base!$B$4:$O$82,14,FALSE))</x:f>
        <x:v>70</x:v>
      </x:c>
      <x:c r="G49" s="35" t="str">
        <x:f>IF(D49="",VLOOKUP(C49,dish_base!$B$4:$O$82,11,FALSE),VLOOKUP(C49,dish_base!$B$4:$O$82,12,FALSE))</x:f>
        <x:v>45,80</x:v>
      </x:c>
      <x:c r="H49" s="1" t="s">
        <x:v>186</x:v>
      </x:c>
      <x:c r="I49"/>
      <x:c r="J49" t="s">
        <x:v>56</x:v>
      </x:c>
    </x:row>
    <x:row r="50">
      <x:c r="A50"/>
      <x:c r="B50" s="1" t="str">
        <x:f t="shared" si="2"/>
        <x:v>fruit_candy</x:v>
      </x:c>
      <x:c r="C50" s="8" t="s">
        <x:v>59</x:v>
      </x:c>
      <x:c r="E50" s="1">
        <x:v>1200</x:v>
      </x:c>
      <x:c r="F50" s="1" t="n">
        <x:f>IF(D50="",VLOOKUP(C50,dish_base!$B$4:$O$82,13,FALSE),VLOOKUP(C50,dish_base!$B$4:$O$82,14,FALSE))</x:f>
        <x:v>30</x:v>
      </x:c>
      <x:c r="G50" s="35" t="str">
        <x:f>IF(D50="",VLOOKUP(C50,dish_base!$B$4:$O$82,11,FALSE),VLOOKUP(C50,dish_base!$B$4:$O$82,12,FALSE))</x:f>
        <x:v>10,45</x:v>
      </x:c>
      <x:c r="H50" s="1" t="s">
        <x:v>186</x:v>
      </x:c>
      <x:c r="I50"/>
      <x:c r="J50" t="s">
        <x:v>60</x:v>
      </x:c>
    </x:row>
    <x:row r="51">
      <x:c r="A51"/>
      <x:c r="B51" s="1" t="str">
        <x:f t="shared" si="2"/>
        <x:v>fruit_candyt_sweet</x:v>
      </x:c>
      <x:c r="C51" s="8" t="s">
        <x:v>59</x:v>
      </x:c>
      <x:c r="D51" s="1" t="s">
        <x:v>187</x:v>
      </x:c>
      <x:c r="E51" s="1">
        <x:v>100</x:v>
      </x:c>
      <x:c r="F51" s="1" t="n">
        <x:f>IF(D51="",VLOOKUP(C51,dish_base!$B$4:$O$82,13,FALSE),VLOOKUP(C51,dish_base!$B$4:$O$82,14,FALSE))</x:f>
        <x:v>70</x:v>
      </x:c>
      <x:c r="G51" s="35" t="str">
        <x:f>IF(D51="",VLOOKUP(C51,dish_base!$B$4:$O$82,11,FALSE),VLOOKUP(C51,dish_base!$B$4:$O$82,12,FALSE))</x:f>
        <x:v>45,80</x:v>
      </x:c>
      <x:c r="H51" s="1" t="s">
        <x:v>186</x:v>
      </x:c>
      <x:c r="I51"/>
      <x:c r="J51" t="s">
        <x:v>60</x:v>
      </x:c>
    </x:row>
    <x:row r="52">
      <x:c r="A52"/>
      <x:c r="B52" s="1" t="str">
        <x:f t="shared" si="2"/>
        <x:v>fruit_candyt_sour</x:v>
      </x:c>
      <x:c r="C52" s="8" t="s">
        <x:v>59</x:v>
      </x:c>
      <x:c r="D52" s="1" t="s">
        <x:v>188</x:v>
      </x:c>
      <x:c r="E52" s="1">
        <x:v>100</x:v>
      </x:c>
      <x:c r="F52" s="1" t="n">
        <x:f>IF(D52="",VLOOKUP(C52,dish_base!$B$4:$O$82,13,FALSE),VLOOKUP(C52,dish_base!$B$4:$O$82,14,FALSE))</x:f>
        <x:v>70</x:v>
      </x:c>
      <x:c r="G52" s="35" t="str">
        <x:f>IF(D52="",VLOOKUP(C52,dish_base!$B$4:$O$82,11,FALSE),VLOOKUP(C52,dish_base!$B$4:$O$82,12,FALSE))</x:f>
        <x:v>45,80</x:v>
      </x:c>
      <x:c r="H52" s="1" t="s">
        <x:v>186</x:v>
      </x:c>
      <x:c r="I52"/>
      <x:c r="J52" t="s">
        <x:v>60</x:v>
      </x:c>
    </x:row>
    <x:row r="53">
      <x:c r="A53"/>
      <x:c r="B53" s="1" t="str">
        <x:f t="shared" si="2"/>
        <x:v>fruit_candyt_salty</x:v>
      </x:c>
      <x:c r="C53" s="1" t="s">
        <x:v>59</x:v>
      </x:c>
      <x:c r="D53" s="1" t="s">
        <x:v>189</x:v>
      </x:c>
      <x:c r="E53" s="1">
        <x:v>100</x:v>
      </x:c>
      <x:c r="F53" s="1" t="n">
        <x:f>IF(D53="",VLOOKUP(C53,dish_base!$B$4:$O$82,13,FALSE),VLOOKUP(C53,dish_base!$B$4:$O$82,14,FALSE))</x:f>
        <x:v>70</x:v>
      </x:c>
      <x:c r="G53" s="35" t="str">
        <x:f>IF(D53="",VLOOKUP(C53,dish_base!$B$4:$O$82,11,FALSE),VLOOKUP(C53,dish_base!$B$4:$O$82,12,FALSE))</x:f>
        <x:v>45,80</x:v>
      </x:c>
      <x:c r="H53" s="1" t="s">
        <x:v>186</x:v>
      </x:c>
      <x:c r="I53"/>
      <x:c r="J53" t="s">
        <x:v>60</x:v>
      </x:c>
    </x:row>
    <x:row r="54">
      <x:c r="A54"/>
      <x:c r="B54" s="1" t="str">
        <x:f t="shared" si="2"/>
        <x:v>fruit_candyt_bitter</x:v>
      </x:c>
      <x:c r="C54" s="1" t="s">
        <x:v>59</x:v>
      </x:c>
      <x:c r="D54" s="1" t="s">
        <x:v>190</x:v>
      </x:c>
      <x:c r="E54" s="1">
        <x:v>100</x:v>
      </x:c>
      <x:c r="F54" s="1" t="n">
        <x:f>IF(D54="",VLOOKUP(C54,dish_base!$B$4:$O$82,13,FALSE),VLOOKUP(C54,dish_base!$B$4:$O$82,14,FALSE))</x:f>
        <x:v>70</x:v>
      </x:c>
      <x:c r="G54" s="35" t="str">
        <x:f>IF(D54="",VLOOKUP(C54,dish_base!$B$4:$O$82,11,FALSE),VLOOKUP(C54,dish_base!$B$4:$O$82,12,FALSE))</x:f>
        <x:v>45,80</x:v>
      </x:c>
      <x:c r="H54" s="1" t="s">
        <x:v>186</x:v>
      </x:c>
      <x:c r="I54"/>
      <x:c r="J54" t="s">
        <x:v>60</x:v>
      </x:c>
    </x:row>
    <x:row r="55">
      <x:c r="A55"/>
      <x:c r="B55" s="1" t="str">
        <x:f t="shared" si="2"/>
        <x:v>fruit_candyt_numb</x:v>
      </x:c>
      <x:c r="C55" s="1" t="s">
        <x:v>59</x:v>
      </x:c>
      <x:c r="D55" s="1" t="s">
        <x:v>191</x:v>
      </x:c>
      <x:c r="E55" s="1">
        <x:v>100</x:v>
      </x:c>
      <x:c r="F55" s="1" t="n">
        <x:f>IF(D55="",VLOOKUP(C55,dish_base!$B$4:$O$82,13,FALSE),VLOOKUP(C55,dish_base!$B$4:$O$82,14,FALSE))</x:f>
        <x:v>70</x:v>
      </x:c>
      <x:c r="G55" s="35" t="str">
        <x:f>IF(D55="",VLOOKUP(C55,dish_base!$B$4:$O$82,11,FALSE),VLOOKUP(C55,dish_base!$B$4:$O$82,12,FALSE))</x:f>
        <x:v>45,80</x:v>
      </x:c>
      <x:c r="H55" s="1" t="s">
        <x:v>186</x:v>
      </x:c>
      <x:c r="I55"/>
      <x:c r="J55" t="s">
        <x:v>60</x:v>
      </x:c>
    </x:row>
    <x:row r="56">
      <x:c r="A56"/>
      <x:c r="B56" s="1" t="str">
        <x:f t="shared" si="2"/>
        <x:v>fruit_candyt_rust</x:v>
      </x:c>
      <x:c r="C56" s="1" t="s">
        <x:v>59</x:v>
      </x:c>
      <x:c r="D56" s="1" t="s">
        <x:v>192</x:v>
      </x:c>
      <x:c r="E56" s="1">
        <x:v>100</x:v>
      </x:c>
      <x:c r="F56" s="1" t="n">
        <x:f>IF(D56="",VLOOKUP(C56,dish_base!$B$4:$O$82,13,FALSE),VLOOKUP(C56,dish_base!$B$4:$O$82,14,FALSE))</x:f>
        <x:v>70</x:v>
      </x:c>
      <x:c r="G56" s="35" t="str">
        <x:f>IF(D56="",VLOOKUP(C56,dish_base!$B$4:$O$82,11,FALSE),VLOOKUP(C56,dish_base!$B$4:$O$82,12,FALSE))</x:f>
        <x:v>45,80</x:v>
      </x:c>
      <x:c r="H56" s="1" t="s">
        <x:v>186</x:v>
      </x:c>
      <x:c r="I56"/>
      <x:c r="J56" t="s">
        <x:v>60</x:v>
      </x:c>
    </x:row>
    <x:row r="57">
      <x:c r="A57"/>
      <x:c r="B57" s="1" t="str">
        <x:f t="shared" si="2"/>
        <x:v>choco_bar</x:v>
      </x:c>
      <x:c r="C57" s="1" t="s">
        <x:v>64</x:v>
      </x:c>
      <x:c r="E57" s="1">
        <x:v>1200</x:v>
      </x:c>
      <x:c r="F57" s="1" t="n">
        <x:f>IF(D57="",VLOOKUP(C57,dish_base!$B$4:$O$82,13,FALSE),VLOOKUP(C57,dish_base!$B$4:$O$82,14,FALSE))</x:f>
        <x:v>30</x:v>
      </x:c>
      <x:c r="G57" s="35" t="str">
        <x:f>IF(D57="",VLOOKUP(C57,dish_base!$B$4:$O$82,11,FALSE),VLOOKUP(C57,dish_base!$B$4:$O$82,12,FALSE))</x:f>
        <x:v>10,45</x:v>
      </x:c>
      <x:c r="H57" s="1" t="s">
        <x:v>186</x:v>
      </x:c>
      <x:c r="I57"/>
      <x:c r="J57" t="s">
        <x:v>65</x:v>
      </x:c>
    </x:row>
    <x:row r="58">
      <x:c r="A58"/>
      <x:c r="B58" s="1" t="str">
        <x:f t="shared" si="2"/>
        <x:v>choco_bart_sweet</x:v>
      </x:c>
      <x:c r="C58" s="1" t="s">
        <x:v>64</x:v>
      </x:c>
      <x:c r="D58" s="1" t="s">
        <x:v>187</x:v>
      </x:c>
      <x:c r="E58" s="1">
        <x:v>100</x:v>
      </x:c>
      <x:c r="F58" s="1" t="n">
        <x:f>IF(D58="",VLOOKUP(C58,dish_base!$B$4:$O$82,13,FALSE),VLOOKUP(C58,dish_base!$B$4:$O$82,14,FALSE))</x:f>
        <x:v>70</x:v>
      </x:c>
      <x:c r="G58" s="35" t="str">
        <x:f>IF(D58="",VLOOKUP(C58,dish_base!$B$4:$O$82,11,FALSE),VLOOKUP(C58,dish_base!$B$4:$O$82,12,FALSE))</x:f>
        <x:v>45,80</x:v>
      </x:c>
      <x:c r="H58" s="1" t="s">
        <x:v>186</x:v>
      </x:c>
      <x:c r="I58"/>
      <x:c r="J58" t="s">
        <x:v>65</x:v>
      </x:c>
    </x:row>
    <x:row r="59">
      <x:c r="A59"/>
      <x:c r="B59" s="1" t="str">
        <x:f t="shared" si="2"/>
        <x:v>choco_bart_sour</x:v>
      </x:c>
      <x:c r="C59" s="1" t="s">
        <x:v>64</x:v>
      </x:c>
      <x:c r="D59" s="1" t="s">
        <x:v>188</x:v>
      </x:c>
      <x:c r="E59" s="1">
        <x:v>100</x:v>
      </x:c>
      <x:c r="F59" s="1" t="n">
        <x:f>IF(D59="",VLOOKUP(C59,dish_base!$B$4:$O$82,13,FALSE),VLOOKUP(C59,dish_base!$B$4:$O$82,14,FALSE))</x:f>
        <x:v>70</x:v>
      </x:c>
      <x:c r="G59" s="35" t="str">
        <x:f>IF(D59="",VLOOKUP(C59,dish_base!$B$4:$O$82,11,FALSE),VLOOKUP(C59,dish_base!$B$4:$O$82,12,FALSE))</x:f>
        <x:v>45,80</x:v>
      </x:c>
      <x:c r="H59" s="1" t="s">
        <x:v>186</x:v>
      </x:c>
      <x:c r="I59"/>
      <x:c r="J59" t="s">
        <x:v>65</x:v>
      </x:c>
    </x:row>
    <x:row r="60">
      <x:c r="A60"/>
      <x:c r="B60" s="1" t="str">
        <x:f t="shared" si="2"/>
        <x:v>choco_bart_salty</x:v>
      </x:c>
      <x:c r="C60" s="1" t="s">
        <x:v>64</x:v>
      </x:c>
      <x:c r="D60" s="1" t="s">
        <x:v>189</x:v>
      </x:c>
      <x:c r="E60" s="1">
        <x:v>100</x:v>
      </x:c>
      <x:c r="F60" s="1" t="n">
        <x:f>IF(D60="",VLOOKUP(C60,dish_base!$B$4:$O$82,13,FALSE),VLOOKUP(C60,dish_base!$B$4:$O$82,14,FALSE))</x:f>
        <x:v>70</x:v>
      </x:c>
      <x:c r="G60" s="35" t="str">
        <x:f>IF(D60="",VLOOKUP(C60,dish_base!$B$4:$O$82,11,FALSE),VLOOKUP(C60,dish_base!$B$4:$O$82,12,FALSE))</x:f>
        <x:v>45,80</x:v>
      </x:c>
      <x:c r="H60" s="1" t="s">
        <x:v>186</x:v>
      </x:c>
      <x:c r="I60"/>
      <x:c r="J60" t="s">
        <x:v>65</x:v>
      </x:c>
    </x:row>
    <x:row r="61">
      <x:c r="A61"/>
      <x:c r="B61" s="1" t="str">
        <x:f t="shared" si="2"/>
        <x:v>choco_bart_bitter</x:v>
      </x:c>
      <x:c r="C61" s="1" t="s">
        <x:v>64</x:v>
      </x:c>
      <x:c r="D61" s="1" t="s">
        <x:v>190</x:v>
      </x:c>
      <x:c r="E61" s="1">
        <x:v>100</x:v>
      </x:c>
      <x:c r="F61" s="1" t="n">
        <x:f>IF(D61="",VLOOKUP(C61,dish_base!$B$4:$O$82,13,FALSE),VLOOKUP(C61,dish_base!$B$4:$O$82,14,FALSE))</x:f>
        <x:v>70</x:v>
      </x:c>
      <x:c r="G61" s="35" t="str">
        <x:f>IF(D61="",VLOOKUP(C61,dish_base!$B$4:$O$82,11,FALSE),VLOOKUP(C61,dish_base!$B$4:$O$82,12,FALSE))</x:f>
        <x:v>45,80</x:v>
      </x:c>
      <x:c r="H61" s="1" t="s">
        <x:v>186</x:v>
      </x:c>
      <x:c r="I61"/>
      <x:c r="J61" t="s">
        <x:v>65</x:v>
      </x:c>
    </x:row>
    <x:row r="62">
      <x:c r="A62"/>
      <x:c r="B62" s="1" t="str">
        <x:f t="shared" si="2"/>
        <x:v>choco_bart_numb</x:v>
      </x:c>
      <x:c r="C62" s="1" t="s">
        <x:v>64</x:v>
      </x:c>
      <x:c r="D62" s="1" t="s">
        <x:v>191</x:v>
      </x:c>
      <x:c r="E62" s="1">
        <x:v>100</x:v>
      </x:c>
      <x:c r="F62" s="1" t="n">
        <x:f>IF(D62="",VLOOKUP(C62,dish_base!$B$4:$O$82,13,FALSE),VLOOKUP(C62,dish_base!$B$4:$O$82,14,FALSE))</x:f>
        <x:v>70</x:v>
      </x:c>
      <x:c r="G62" s="35" t="str">
        <x:f>IF(D62="",VLOOKUP(C62,dish_base!$B$4:$O$82,11,FALSE),VLOOKUP(C62,dish_base!$B$4:$O$82,12,FALSE))</x:f>
        <x:v>45,80</x:v>
      </x:c>
      <x:c r="H62" s="1" t="s">
        <x:v>186</x:v>
      </x:c>
      <x:c r="I62"/>
      <x:c r="J62" t="s">
        <x:v>65</x:v>
      </x:c>
    </x:row>
    <x:row r="63">
      <x:c r="A63"/>
      <x:c r="B63" s="1" t="str">
        <x:f t="shared" si="2"/>
        <x:v>choco_bart_rust</x:v>
      </x:c>
      <x:c r="C63" s="1" t="s">
        <x:v>64</x:v>
      </x:c>
      <x:c r="D63" s="1" t="s">
        <x:v>192</x:v>
      </x:c>
      <x:c r="E63" s="1">
        <x:v>100</x:v>
      </x:c>
      <x:c r="F63" s="1" t="n">
        <x:f>IF(D63="",VLOOKUP(C63,dish_base!$B$4:$O$82,13,FALSE),VLOOKUP(C63,dish_base!$B$4:$O$82,14,FALSE))</x:f>
        <x:v>70</x:v>
      </x:c>
      <x:c r="G63" s="35" t="str">
        <x:f>IF(D63="",VLOOKUP(C63,dish_base!$B$4:$O$82,11,FALSE),VLOOKUP(C63,dish_base!$B$4:$O$82,12,FALSE))</x:f>
        <x:v>45,80</x:v>
      </x:c>
      <x:c r="H63" s="1" t="s">
        <x:v>186</x:v>
      </x:c>
      <x:c r="I63"/>
      <x:c r="J63" t="s">
        <x:v>65</x:v>
      </x:c>
    </x:row>
    <x:row r="64">
      <x:c r="A64"/>
      <x:c r="B64" s="1" t="str">
        <x:f t="shared" si="2"/>
        <x:v>mochi</x:v>
      </x:c>
      <x:c r="C64" s="1" t="s">
        <x:v>68</x:v>
      </x:c>
      <x:c r="E64" s="1">
        <x:v>1200</x:v>
      </x:c>
      <x:c r="F64" s="1" t="n">
        <x:f>IF(D64="",VLOOKUP(C64,dish_base!$B$4:$O$82,13,FALSE),VLOOKUP(C64,dish_base!$B$4:$O$82,14,FALSE))</x:f>
        <x:v>30</x:v>
      </x:c>
      <x:c r="G64" s="35" t="str">
        <x:f>IF(D64="",VLOOKUP(C64,dish_base!$B$4:$O$82,11,FALSE),VLOOKUP(C64,dish_base!$B$4:$O$82,12,FALSE))</x:f>
        <x:v>10,45</x:v>
      </x:c>
      <x:c r="H64" s="1" t="s">
        <x:v>186</x:v>
      </x:c>
      <x:c r="I64"/>
      <x:c r="J64" t="s">
        <x:v>69</x:v>
      </x:c>
    </x:row>
    <x:row r="65">
      <x:c r="A65"/>
      <x:c r="B65" s="1" t="str">
        <x:f t="shared" si="2"/>
        <x:v>mochit_sweet</x:v>
      </x:c>
      <x:c r="C65" s="1" t="s">
        <x:v>68</x:v>
      </x:c>
      <x:c r="D65" s="1" t="s">
        <x:v>187</x:v>
      </x:c>
      <x:c r="E65" s="1">
        <x:v>100</x:v>
      </x:c>
      <x:c r="F65" s="1" t="n">
        <x:f>IF(D65="",VLOOKUP(C65,dish_base!$B$4:$O$82,13,FALSE),VLOOKUP(C65,dish_base!$B$4:$O$82,14,FALSE))</x:f>
        <x:v>70</x:v>
      </x:c>
      <x:c r="G65" s="35" t="str">
        <x:f>IF(D65="",VLOOKUP(C65,dish_base!$B$4:$O$82,11,FALSE),VLOOKUP(C65,dish_base!$B$4:$O$82,12,FALSE))</x:f>
        <x:v>45,80</x:v>
      </x:c>
      <x:c r="H65" s="1" t="s">
        <x:v>186</x:v>
      </x:c>
      <x:c r="I65"/>
      <x:c r="J65" t="s">
        <x:v>69</x:v>
      </x:c>
    </x:row>
    <x:row r="66">
      <x:c r="A66"/>
      <x:c r="B66" s="1" t="str">
        <x:f t="shared" si="2"/>
        <x:v>mochit_sour</x:v>
      </x:c>
      <x:c r="C66" s="1" t="s">
        <x:v>68</x:v>
      </x:c>
      <x:c r="D66" s="1" t="s">
        <x:v>188</x:v>
      </x:c>
      <x:c r="E66" s="1">
        <x:v>100</x:v>
      </x:c>
      <x:c r="F66" s="1" t="n">
        <x:f>IF(D66="",VLOOKUP(C66,dish_base!$B$4:$O$82,13,FALSE),VLOOKUP(C66,dish_base!$B$4:$O$82,14,FALSE))</x:f>
        <x:v>70</x:v>
      </x:c>
      <x:c r="G66" s="35" t="str">
        <x:f>IF(D66="",VLOOKUP(C66,dish_base!$B$4:$O$82,11,FALSE),VLOOKUP(C66,dish_base!$B$4:$O$82,12,FALSE))</x:f>
        <x:v>45,80</x:v>
      </x:c>
      <x:c r="H66" s="1" t="s">
        <x:v>186</x:v>
      </x:c>
      <x:c r="I66"/>
      <x:c r="J66" t="s">
        <x:v>69</x:v>
      </x:c>
    </x:row>
    <x:row r="67">
      <x:c r="A67"/>
      <x:c r="B67" s="1" t="str">
        <x:f t="shared" si="2"/>
        <x:v>mochit_salty</x:v>
      </x:c>
      <x:c r="C67" s="1" t="s">
        <x:v>68</x:v>
      </x:c>
      <x:c r="D67" s="1" t="s">
        <x:v>189</x:v>
      </x:c>
      <x:c r="E67" s="1">
        <x:v>100</x:v>
      </x:c>
      <x:c r="F67" s="1" t="n">
        <x:f>IF(D67="",VLOOKUP(C67,dish_base!$B$4:$O$82,13,FALSE),VLOOKUP(C67,dish_base!$B$4:$O$82,14,FALSE))</x:f>
        <x:v>70</x:v>
      </x:c>
      <x:c r="G67" s="35" t="str">
        <x:f>IF(D67="",VLOOKUP(C67,dish_base!$B$4:$O$82,11,FALSE),VLOOKUP(C67,dish_base!$B$4:$O$82,12,FALSE))</x:f>
        <x:v>45,80</x:v>
      </x:c>
      <x:c r="H67" s="1" t="s">
        <x:v>186</x:v>
      </x:c>
      <x:c r="I67"/>
      <x:c r="J67" t="s">
        <x:v>69</x:v>
      </x:c>
    </x:row>
    <x:row r="68">
      <x:c r="A68"/>
      <x:c r="B68" s="1" t="str">
        <x:f t="shared" si="2"/>
        <x:v>mochit_bitter</x:v>
      </x:c>
      <x:c r="C68" s="1" t="s">
        <x:v>68</x:v>
      </x:c>
      <x:c r="D68" s="1" t="s">
        <x:v>190</x:v>
      </x:c>
      <x:c r="E68" s="1">
        <x:v>100</x:v>
      </x:c>
      <x:c r="F68" s="1" t="n">
        <x:f>IF(D68="",VLOOKUP(C68,dish_base!$B$4:$O$82,13,FALSE),VLOOKUP(C68,dish_base!$B$4:$O$82,14,FALSE))</x:f>
        <x:v>70</x:v>
      </x:c>
      <x:c r="G68" s="35" t="str">
        <x:f>IF(D68="",VLOOKUP(C68,dish_base!$B$4:$O$82,11,FALSE),VLOOKUP(C68,dish_base!$B$4:$O$82,12,FALSE))</x:f>
        <x:v>45,80</x:v>
      </x:c>
      <x:c r="H68" s="1" t="s">
        <x:v>186</x:v>
      </x:c>
      <x:c r="I68"/>
      <x:c r="J68" t="s">
        <x:v>69</x:v>
      </x:c>
    </x:row>
    <x:row r="69">
      <x:c r="A69"/>
      <x:c r="B69" s="1" t="str">
        <x:f t="shared" si="2"/>
        <x:v>mochit_numb</x:v>
      </x:c>
      <x:c r="C69" s="1" t="s">
        <x:v>68</x:v>
      </x:c>
      <x:c r="D69" s="1" t="s">
        <x:v>191</x:v>
      </x:c>
      <x:c r="E69" s="1">
        <x:v>100</x:v>
      </x:c>
      <x:c r="F69" s="1" t="n">
        <x:f>IF(D69="",VLOOKUP(C69,dish_base!$B$4:$O$82,13,FALSE),VLOOKUP(C69,dish_base!$B$4:$O$82,14,FALSE))</x:f>
        <x:v>70</x:v>
      </x:c>
      <x:c r="G69" s="35" t="str">
        <x:f>IF(D69="",VLOOKUP(C69,dish_base!$B$4:$O$82,11,FALSE),VLOOKUP(C69,dish_base!$B$4:$O$82,12,FALSE))</x:f>
        <x:v>45,80</x:v>
      </x:c>
      <x:c r="H69" s="1" t="s">
        <x:v>186</x:v>
      </x:c>
      <x:c r="I69"/>
      <x:c r="J69" t="s">
        <x:v>69</x:v>
      </x:c>
    </x:row>
    <x:row r="70">
      <x:c r="A70"/>
      <x:c r="B70" s="1" t="str">
        <x:f t="shared" si="2"/>
        <x:v>mochit_rust</x:v>
      </x:c>
      <x:c r="C70" s="1" t="s">
        <x:v>68</x:v>
      </x:c>
      <x:c r="D70" s="1" t="s">
        <x:v>192</x:v>
      </x:c>
      <x:c r="E70" s="1">
        <x:v>100</x:v>
      </x:c>
      <x:c r="F70" s="1" t="n">
        <x:f>IF(D70="",VLOOKUP(C70,dish_base!$B$4:$O$82,13,FALSE),VLOOKUP(C70,dish_base!$B$4:$O$82,14,FALSE))</x:f>
        <x:v>70</x:v>
      </x:c>
      <x:c r="G70" s="35" t="str">
        <x:f>IF(D70="",VLOOKUP(C70,dish_base!$B$4:$O$82,11,FALSE),VLOOKUP(C70,dish_base!$B$4:$O$82,12,FALSE))</x:f>
        <x:v>45,80</x:v>
      </x:c>
      <x:c r="H70" s="1" t="s">
        <x:v>186</x:v>
      </x:c>
      <x:c r="I70"/>
      <x:c r="J70" t="s">
        <x:v>69</x:v>
      </x:c>
    </x:row>
    <x:row r="71">
      <x:c r="A71"/>
      <x:c r="B71" s="1" t="str">
        <x:f t="shared" si="2"/>
        <x:v>cup_cake</x:v>
      </x:c>
      <x:c r="C71" s="1" t="s">
        <x:v>71</x:v>
      </x:c>
      <x:c r="E71" s="1">
        <x:v>1200</x:v>
      </x:c>
      <x:c r="F71" s="1" t="n">
        <x:f>IF(D71="",VLOOKUP(C71,dish_base!$B$4:$O$82,13,FALSE),VLOOKUP(C71,dish_base!$B$4:$O$82,14,FALSE))</x:f>
        <x:v>30</x:v>
      </x:c>
      <x:c r="G71" s="35" t="str">
        <x:f>IF(D71="",VLOOKUP(C71,dish_base!$B$4:$O$82,11,FALSE),VLOOKUP(C71,dish_base!$B$4:$O$82,12,FALSE))</x:f>
        <x:v>10,45</x:v>
      </x:c>
      <x:c r="H71" s="1" t="s">
        <x:v>186</x:v>
      </x:c>
      <x:c r="I71"/>
      <x:c r="J71" t="s">
        <x:v>72</x:v>
      </x:c>
    </x:row>
    <x:row r="72">
      <x:c r="A72"/>
      <x:c r="B72" s="1" t="str">
        <x:f t="shared" si="2"/>
        <x:v>cup_caket_sweet</x:v>
      </x:c>
      <x:c r="C72" s="1" t="s">
        <x:v>71</x:v>
      </x:c>
      <x:c r="D72" s="1" t="s">
        <x:v>187</x:v>
      </x:c>
      <x:c r="E72" s="1">
        <x:v>100</x:v>
      </x:c>
      <x:c r="F72" s="1" t="n">
        <x:f>IF(D72="",VLOOKUP(C72,dish_base!$B$4:$O$82,13,FALSE),VLOOKUP(C72,dish_base!$B$4:$O$82,14,FALSE))</x:f>
        <x:v>70</x:v>
      </x:c>
      <x:c r="G72" s="35" t="str">
        <x:f>IF(D72="",VLOOKUP(C72,dish_base!$B$4:$O$82,11,FALSE),VLOOKUP(C72,dish_base!$B$4:$O$82,12,FALSE))</x:f>
        <x:v>45,80</x:v>
      </x:c>
      <x:c r="H72" s="1" t="s">
        <x:v>186</x:v>
      </x:c>
      <x:c r="I72"/>
      <x:c r="J72" t="s">
        <x:v>72</x:v>
      </x:c>
    </x:row>
    <x:row r="73">
      <x:c r="A73"/>
      <x:c r="B73" s="1" t="str">
        <x:f t="shared" si="2"/>
        <x:v>cup_caket_sour</x:v>
      </x:c>
      <x:c r="C73" s="1" t="s">
        <x:v>71</x:v>
      </x:c>
      <x:c r="D73" s="1" t="s">
        <x:v>188</x:v>
      </x:c>
      <x:c r="E73" s="1">
        <x:v>100</x:v>
      </x:c>
      <x:c r="F73" s="1" t="n">
        <x:f>IF(D73="",VLOOKUP(C73,dish_base!$B$4:$O$82,13,FALSE),VLOOKUP(C73,dish_base!$B$4:$O$82,14,FALSE))</x:f>
        <x:v>70</x:v>
      </x:c>
      <x:c r="G73" s="35" t="str">
        <x:f>IF(D73="",VLOOKUP(C73,dish_base!$B$4:$O$82,11,FALSE),VLOOKUP(C73,dish_base!$B$4:$O$82,12,FALSE))</x:f>
        <x:v>45,80</x:v>
      </x:c>
      <x:c r="H73" s="1" t="s">
        <x:v>186</x:v>
      </x:c>
      <x:c r="I73"/>
      <x:c r="J73" t="s">
        <x:v>72</x:v>
      </x:c>
    </x:row>
    <x:row r="74">
      <x:c r="A74"/>
      <x:c r="B74" s="1" t="str">
        <x:f t="shared" si="2"/>
        <x:v>cup_caket_salty</x:v>
      </x:c>
      <x:c r="C74" s="1" t="s">
        <x:v>71</x:v>
      </x:c>
      <x:c r="D74" s="1" t="s">
        <x:v>189</x:v>
      </x:c>
      <x:c r="E74" s="1">
        <x:v>100</x:v>
      </x:c>
      <x:c r="F74" s="1" t="n">
        <x:f>IF(D74="",VLOOKUP(C74,dish_base!$B$4:$O$82,13,FALSE),VLOOKUP(C74,dish_base!$B$4:$O$82,14,FALSE))</x:f>
        <x:v>70</x:v>
      </x:c>
      <x:c r="G74" s="35" t="str">
        <x:f>IF(D74="",VLOOKUP(C74,dish_base!$B$4:$O$82,11,FALSE),VLOOKUP(C74,dish_base!$B$4:$O$82,12,FALSE))</x:f>
        <x:v>45,80</x:v>
      </x:c>
      <x:c r="H74" s="1" t="s">
        <x:v>186</x:v>
      </x:c>
      <x:c r="I74"/>
      <x:c r="J74" t="s">
        <x:v>72</x:v>
      </x:c>
    </x:row>
    <x:row r="75">
      <x:c r="A75"/>
      <x:c r="B75" s="1" t="str">
        <x:f t="shared" si="2"/>
        <x:v>cup_caket_bitter</x:v>
      </x:c>
      <x:c r="C75" s="1" t="s">
        <x:v>71</x:v>
      </x:c>
      <x:c r="D75" s="1" t="s">
        <x:v>190</x:v>
      </x:c>
      <x:c r="E75" s="1">
        <x:v>100</x:v>
      </x:c>
      <x:c r="F75" s="1" t="n">
        <x:f>IF(D75="",VLOOKUP(C75,dish_base!$B$4:$O$82,13,FALSE),VLOOKUP(C75,dish_base!$B$4:$O$82,14,FALSE))</x:f>
        <x:v>70</x:v>
      </x:c>
      <x:c r="G75" s="35" t="str">
        <x:f>IF(D75="",VLOOKUP(C75,dish_base!$B$4:$O$82,11,FALSE),VLOOKUP(C75,dish_base!$B$4:$O$82,12,FALSE))</x:f>
        <x:v>45,80</x:v>
      </x:c>
      <x:c r="H75" s="1" t="s">
        <x:v>186</x:v>
      </x:c>
      <x:c r="I75"/>
      <x:c r="J75" t="s">
        <x:v>72</x:v>
      </x:c>
    </x:row>
    <x:row r="76">
      <x:c r="A76"/>
      <x:c r="B76" s="1" t="str">
        <x:f t="shared" si="2"/>
        <x:v>cup_caket_numb</x:v>
      </x:c>
      <x:c r="C76" s="8" t="s">
        <x:v>71</x:v>
      </x:c>
      <x:c r="D76" s="1" t="s">
        <x:v>191</x:v>
      </x:c>
      <x:c r="E76" s="1">
        <x:v>100</x:v>
      </x:c>
      <x:c r="F76" s="1" t="n">
        <x:f>IF(D76="",VLOOKUP(C76,dish_base!$B$4:$O$82,13,FALSE),VLOOKUP(C76,dish_base!$B$4:$O$82,14,FALSE))</x:f>
        <x:v>70</x:v>
      </x:c>
      <x:c r="G76" s="35" t="str">
        <x:f>IF(D76="",VLOOKUP(C76,dish_base!$B$4:$O$82,11,FALSE),VLOOKUP(C76,dish_base!$B$4:$O$82,12,FALSE))</x:f>
        <x:v>45,80</x:v>
      </x:c>
      <x:c r="H76" s="1" t="s">
        <x:v>186</x:v>
      </x:c>
      <x:c r="I76"/>
      <x:c r="J76" t="s">
        <x:v>72</x:v>
      </x:c>
    </x:row>
    <x:row r="77">
      <x:c r="A77"/>
      <x:c r="B77" s="1" t="str">
        <x:f t="shared" si="2"/>
        <x:v>cup_caket_rust</x:v>
      </x:c>
      <x:c r="C77" s="8" t="s">
        <x:v>71</x:v>
      </x:c>
      <x:c r="D77" s="1" t="s">
        <x:v>192</x:v>
      </x:c>
      <x:c r="E77" s="1">
        <x:v>100</x:v>
      </x:c>
      <x:c r="F77" s="1" t="n">
        <x:f>IF(D77="",VLOOKUP(C77,dish_base!$B$4:$O$82,13,FALSE),VLOOKUP(C77,dish_base!$B$4:$O$82,14,FALSE))</x:f>
        <x:v>70</x:v>
      </x:c>
      <x:c r="G77" s="35" t="str">
        <x:f>IF(D77="",VLOOKUP(C77,dish_base!$B$4:$O$82,11,FALSE),VLOOKUP(C77,dish_base!$B$4:$O$82,12,FALSE))</x:f>
        <x:v>45,80</x:v>
      </x:c>
      <x:c r="H77" s="1" t="s">
        <x:v>186</x:v>
      </x:c>
      <x:c r="I77"/>
      <x:c r="J77" t="s">
        <x:v>72</x:v>
      </x:c>
    </x:row>
    <x:row r="78">
      <x:c r="A78"/>
      <x:c r="B78" s="1" t="str">
        <x:f t="shared" si="2"/>
        <x:v>cream</x:v>
      </x:c>
      <x:c r="C78" s="8" t="s">
        <x:v>74</x:v>
      </x:c>
      <x:c r="E78" s="1">
        <x:v>1200</x:v>
      </x:c>
      <x:c r="F78" s="1" t="n">
        <x:f>IF(D78="",VLOOKUP(C78,dish_base!$B$4:$O$82,13,FALSE),VLOOKUP(C78,dish_base!$B$4:$O$82,14,FALSE))</x:f>
        <x:v>30</x:v>
      </x:c>
      <x:c r="G78" s="35" t="str">
        <x:f>IF(D78="",VLOOKUP(C78,dish_base!$B$4:$O$82,11,FALSE),VLOOKUP(C78,dish_base!$B$4:$O$82,12,FALSE))</x:f>
        <x:v>10,45</x:v>
      </x:c>
      <x:c r="H78" s="1" t="s">
        <x:v>186</x:v>
      </x:c>
      <x:c r="I78"/>
      <x:c r="J78" t="s">
        <x:v>75</x:v>
      </x:c>
    </x:row>
    <x:row r="79">
      <x:c r="A79"/>
      <x:c r="B79" s="1" t="str">
        <x:f t="shared" si="2"/>
        <x:v>creamt_sweet</x:v>
      </x:c>
      <x:c r="C79" s="8" t="s">
        <x:v>74</x:v>
      </x:c>
      <x:c r="D79" s="1" t="s">
        <x:v>187</x:v>
      </x:c>
      <x:c r="E79" s="1">
        <x:v>100</x:v>
      </x:c>
      <x:c r="F79" s="1" t="n">
        <x:f>IF(D79="",VLOOKUP(C79,dish_base!$B$4:$O$82,13,FALSE),VLOOKUP(C79,dish_base!$B$4:$O$82,14,FALSE))</x:f>
        <x:v>70</x:v>
      </x:c>
      <x:c r="G79" s="35" t="str">
        <x:f>IF(D79="",VLOOKUP(C79,dish_base!$B$4:$O$82,11,FALSE),VLOOKUP(C79,dish_base!$B$4:$O$82,12,FALSE))</x:f>
        <x:v>45,80</x:v>
      </x:c>
      <x:c r="H79" s="1" t="s">
        <x:v>186</x:v>
      </x:c>
      <x:c r="I79"/>
      <x:c r="J79" t="s">
        <x:v>75</x:v>
      </x:c>
    </x:row>
    <x:row r="80">
      <x:c r="A80"/>
      <x:c r="B80" s="1" t="str">
        <x:f t="shared" si="2"/>
        <x:v>creamt_sour</x:v>
      </x:c>
      <x:c r="C80" s="8" t="s">
        <x:v>74</x:v>
      </x:c>
      <x:c r="D80" s="1" t="s">
        <x:v>188</x:v>
      </x:c>
      <x:c r="E80" s="1">
        <x:v>100</x:v>
      </x:c>
      <x:c r="F80" s="1" t="n">
        <x:f>IF(D80="",VLOOKUP(C80,dish_base!$B$4:$O$82,13,FALSE),VLOOKUP(C80,dish_base!$B$4:$O$82,14,FALSE))</x:f>
        <x:v>70</x:v>
      </x:c>
      <x:c r="G80" s="35" t="str">
        <x:f>IF(D80="",VLOOKUP(C80,dish_base!$B$4:$O$82,11,FALSE),VLOOKUP(C80,dish_base!$B$4:$O$82,12,FALSE))</x:f>
        <x:v>45,80</x:v>
      </x:c>
      <x:c r="H80" s="1" t="s">
        <x:v>186</x:v>
      </x:c>
      <x:c r="I80"/>
      <x:c r="J80" t="s">
        <x:v>75</x:v>
      </x:c>
    </x:row>
    <x:row r="81">
      <x:c r="A81"/>
      <x:c r="B81" s="1" t="str">
        <x:f t="shared" si="2"/>
        <x:v>creamt_salty</x:v>
      </x:c>
      <x:c r="C81" s="8" t="s">
        <x:v>74</x:v>
      </x:c>
      <x:c r="D81" s="1" t="s">
        <x:v>189</x:v>
      </x:c>
      <x:c r="E81" s="1">
        <x:v>100</x:v>
      </x:c>
      <x:c r="F81" s="1" t="n">
        <x:f>IF(D81="",VLOOKUP(C81,dish_base!$B$4:$O$82,13,FALSE),VLOOKUP(C81,dish_base!$B$4:$O$82,14,FALSE))</x:f>
        <x:v>70</x:v>
      </x:c>
      <x:c r="G81" s="35" t="str">
        <x:f>IF(D81="",VLOOKUP(C81,dish_base!$B$4:$O$82,11,FALSE),VLOOKUP(C81,dish_base!$B$4:$O$82,12,FALSE))</x:f>
        <x:v>45,80</x:v>
      </x:c>
      <x:c r="H81" s="1" t="s">
        <x:v>186</x:v>
      </x:c>
      <x:c r="I81"/>
      <x:c r="J81" t="s">
        <x:v>75</x:v>
      </x:c>
    </x:row>
    <x:row r="82">
      <x:c r="A82"/>
      <x:c r="B82" s="1" t="str">
        <x:f t="shared" si="2"/>
        <x:v>creamt_bitter</x:v>
      </x:c>
      <x:c r="C82" s="8" t="s">
        <x:v>74</x:v>
      </x:c>
      <x:c r="D82" s="1" t="s">
        <x:v>190</x:v>
      </x:c>
      <x:c r="E82" s="1">
        <x:v>100</x:v>
      </x:c>
      <x:c r="F82" s="1" t="n">
        <x:f>IF(D82="",VLOOKUP(C82,dish_base!$B$4:$O$82,13,FALSE),VLOOKUP(C82,dish_base!$B$4:$O$82,14,FALSE))</x:f>
        <x:v>70</x:v>
      </x:c>
      <x:c r="G82" s="35" t="str">
        <x:f>IF(D82="",VLOOKUP(C82,dish_base!$B$4:$O$82,11,FALSE),VLOOKUP(C82,dish_base!$B$4:$O$82,12,FALSE))</x:f>
        <x:v>45,80</x:v>
      </x:c>
      <x:c r="H82" s="1" t="s">
        <x:v>186</x:v>
      </x:c>
      <x:c r="I82"/>
      <x:c r="J82" t="s">
        <x:v>75</x:v>
      </x:c>
    </x:row>
    <x:row r="83">
      <x:c r="A83"/>
      <x:c r="B83" s="1" t="str">
        <x:f t="shared" si="2"/>
        <x:v>creamt_numb</x:v>
      </x:c>
      <x:c r="C83" s="8" t="s">
        <x:v>74</x:v>
      </x:c>
      <x:c r="D83" s="1" t="s">
        <x:v>191</x:v>
      </x:c>
      <x:c r="E83" s="1">
        <x:v>100</x:v>
      </x:c>
      <x:c r="F83" s="1" t="n">
        <x:f>IF(D83="",VLOOKUP(C83,dish_base!$B$4:$O$82,13,FALSE),VLOOKUP(C83,dish_base!$B$4:$O$82,14,FALSE))</x:f>
        <x:v>70</x:v>
      </x:c>
      <x:c r="G83" s="35" t="str">
        <x:f>IF(D83="",VLOOKUP(C83,dish_base!$B$4:$O$82,11,FALSE),VLOOKUP(C83,dish_base!$B$4:$O$82,12,FALSE))</x:f>
        <x:v>45,80</x:v>
      </x:c>
      <x:c r="H83" s="1" t="s">
        <x:v>186</x:v>
      </x:c>
      <x:c r="I83"/>
      <x:c r="J83" t="s">
        <x:v>75</x:v>
      </x:c>
    </x:row>
    <x:row r="84">
      <x:c r="A84"/>
      <x:c r="B84" s="1" t="str">
        <x:f t="shared" si="2"/>
        <x:v>creamt_rust</x:v>
      </x:c>
      <x:c r="C84" s="8" t="s">
        <x:v>74</x:v>
      </x:c>
      <x:c r="D84" s="1" t="s">
        <x:v>192</x:v>
      </x:c>
      <x:c r="E84" s="1">
        <x:v>100</x:v>
      </x:c>
      <x:c r="F84" s="1" t="n">
        <x:f>IF(D84="",VLOOKUP(C84,dish_base!$B$4:$O$82,13,FALSE),VLOOKUP(C84,dish_base!$B$4:$O$82,14,FALSE))</x:f>
        <x:v>70</x:v>
      </x:c>
      <x:c r="G84" s="35" t="str">
        <x:f>IF(D84="",VLOOKUP(C84,dish_base!$B$4:$O$82,11,FALSE),VLOOKUP(C84,dish_base!$B$4:$O$82,12,FALSE))</x:f>
        <x:v>45,80</x:v>
      </x:c>
      <x:c r="H84" s="1" t="s">
        <x:v>186</x:v>
      </x:c>
      <x:c r="I84"/>
      <x:c r="J84" t="s">
        <x:v>75</x:v>
      </x:c>
    </x:row>
    <x:row r="85">
      <x:c r="A85"/>
      <x:c r="B85" s="1" t="str">
        <x:f t="shared" si="2"/>
        <x:v>eggroll</x:v>
      </x:c>
      <x:c r="C85" s="8" t="s">
        <x:v>79</x:v>
      </x:c>
      <x:c r="E85" s="1">
        <x:v>1200</x:v>
      </x:c>
      <x:c r="F85" s="1" t="n">
        <x:f>IF(D85="",VLOOKUP(C85,dish_base!$B$4:$O$82,13,FALSE),VLOOKUP(C85,dish_base!$B$4:$O$82,14,FALSE))</x:f>
        <x:v>45</x:v>
      </x:c>
      <x:c r="G85" s="35" t="str">
        <x:f>IF(D85="",VLOOKUP(C85,dish_base!$B$4:$O$82,11,FALSE),VLOOKUP(C85,dish_base!$B$4:$O$82,12,FALSE))</x:f>
        <x:v>20,60</x:v>
      </x:c>
      <x:c r="H85" s="1" t="s">
        <x:v>186</x:v>
      </x:c>
      <x:c r="I85"/>
      <x:c r="J85" t="s">
        <x:v>80</x:v>
      </x:c>
    </x:row>
    <x:row r="86">
      <x:c r="A86"/>
      <x:c r="B86" s="1" t="str">
        <x:f t="shared" si="2"/>
        <x:v>eggrollt_sweet</x:v>
      </x:c>
      <x:c r="C86" s="8" t="s">
        <x:v>79</x:v>
      </x:c>
      <x:c r="D86" s="1" t="s">
        <x:v>187</x:v>
      </x:c>
      <x:c r="E86" s="1">
        <x:v>100</x:v>
      </x:c>
      <x:c r="F86" s="1" t="n">
        <x:f>IF(D86="",VLOOKUP(C86,dish_base!$B$4:$O$82,13,FALSE),VLOOKUP(C86,dish_base!$B$4:$O$82,14,FALSE))</x:f>
        <x:v>90</x:v>
      </x:c>
      <x:c r="G86" s="35" t="str">
        <x:f>IF(D86="",VLOOKUP(C86,dish_base!$B$4:$O$82,11,FALSE),VLOOKUP(C86,dish_base!$B$4:$O$82,12,FALSE))</x:f>
        <x:v>50,90</x:v>
      </x:c>
      <x:c r="H86" s="1" t="s">
        <x:v>186</x:v>
      </x:c>
      <x:c r="I86"/>
      <x:c r="J86" t="s">
        <x:v>80</x:v>
      </x:c>
    </x:row>
    <x:row r="87">
      <x:c r="A87"/>
      <x:c r="B87" s="1" t="str">
        <x:f t="shared" si="2"/>
        <x:v>eggrollt_sour</x:v>
      </x:c>
      <x:c r="C87" s="8" t="s">
        <x:v>79</x:v>
      </x:c>
      <x:c r="D87" s="1" t="s">
        <x:v>188</x:v>
      </x:c>
      <x:c r="E87" s="1">
        <x:v>100</x:v>
      </x:c>
      <x:c r="F87" s="1" t="n">
        <x:f>IF(D87="",VLOOKUP(C87,dish_base!$B$4:$O$82,13,FALSE),VLOOKUP(C87,dish_base!$B$4:$O$82,14,FALSE))</x:f>
        <x:v>90</x:v>
      </x:c>
      <x:c r="G87" s="35" t="str">
        <x:f>IF(D87="",VLOOKUP(C87,dish_base!$B$4:$O$82,11,FALSE),VLOOKUP(C87,dish_base!$B$4:$O$82,12,FALSE))</x:f>
        <x:v>50,90</x:v>
      </x:c>
      <x:c r="H87" s="1" t="s">
        <x:v>186</x:v>
      </x:c>
      <x:c r="I87"/>
      <x:c r="J87" t="s">
        <x:v>80</x:v>
      </x:c>
    </x:row>
    <x:row r="88">
      <x:c r="A88"/>
      <x:c r="B88" s="1" t="str">
        <x:f t="shared" si="2"/>
        <x:v>eggrollt_salty</x:v>
      </x:c>
      <x:c r="C88" s="8" t="s">
        <x:v>79</x:v>
      </x:c>
      <x:c r="D88" s="1" t="s">
        <x:v>189</x:v>
      </x:c>
      <x:c r="E88" s="1">
        <x:v>100</x:v>
      </x:c>
      <x:c r="F88" s="1" t="n">
        <x:f>IF(D88="",VLOOKUP(C88,dish_base!$B$4:$O$82,13,FALSE),VLOOKUP(C88,dish_base!$B$4:$O$82,14,FALSE))</x:f>
        <x:v>90</x:v>
      </x:c>
      <x:c r="G88" s="35" t="str">
        <x:f>IF(D88="",VLOOKUP(C88,dish_base!$B$4:$O$82,11,FALSE),VLOOKUP(C88,dish_base!$B$4:$O$82,12,FALSE))</x:f>
        <x:v>50,90</x:v>
      </x:c>
      <x:c r="H88" s="1" t="s">
        <x:v>186</x:v>
      </x:c>
      <x:c r="I88"/>
      <x:c r="J88" t="s">
        <x:v>80</x:v>
      </x:c>
    </x:row>
    <x:row r="89">
      <x:c r="A89"/>
      <x:c r="B89" s="1" t="str">
        <x:f t="shared" si="2"/>
        <x:v>eggrollt_bitter</x:v>
      </x:c>
      <x:c r="C89" s="8" t="s">
        <x:v>79</x:v>
      </x:c>
      <x:c r="D89" s="1" t="s">
        <x:v>190</x:v>
      </x:c>
      <x:c r="E89" s="1">
        <x:v>100</x:v>
      </x:c>
      <x:c r="F89" s="1" t="n">
        <x:f>IF(D89="",VLOOKUP(C89,dish_base!$B$4:$O$82,13,FALSE),VLOOKUP(C89,dish_base!$B$4:$O$82,14,FALSE))</x:f>
        <x:v>90</x:v>
      </x:c>
      <x:c r="G89" s="35" t="str">
        <x:f>IF(D89="",VLOOKUP(C89,dish_base!$B$4:$O$82,11,FALSE),VLOOKUP(C89,dish_base!$B$4:$O$82,12,FALSE))</x:f>
        <x:v>50,90</x:v>
      </x:c>
      <x:c r="H89" s="1" t="s">
        <x:v>186</x:v>
      </x:c>
      <x:c r="I89"/>
      <x:c r="J89" t="s">
        <x:v>80</x:v>
      </x:c>
    </x:row>
    <x:row r="90">
      <x:c r="A90"/>
      <x:c r="B90" s="1" t="str">
        <x:f t="shared" si="2"/>
        <x:v>eggrollt_numb</x:v>
      </x:c>
      <x:c r="C90" s="8" t="s">
        <x:v>79</x:v>
      </x:c>
      <x:c r="D90" s="1" t="s">
        <x:v>191</x:v>
      </x:c>
      <x:c r="E90" s="1">
        <x:v>100</x:v>
      </x:c>
      <x:c r="F90" s="1" t="n">
        <x:f>IF(D90="",VLOOKUP(C90,dish_base!$B$4:$O$82,13,FALSE),VLOOKUP(C90,dish_base!$B$4:$O$82,14,FALSE))</x:f>
        <x:v>90</x:v>
      </x:c>
      <x:c r="G90" s="35" t="str">
        <x:f>IF(D90="",VLOOKUP(C90,dish_base!$B$4:$O$82,11,FALSE),VLOOKUP(C90,dish_base!$B$4:$O$82,12,FALSE))</x:f>
        <x:v>50,90</x:v>
      </x:c>
      <x:c r="H90" s="1" t="s">
        <x:v>186</x:v>
      </x:c>
      <x:c r="I90"/>
      <x:c r="J90" t="s">
        <x:v>80</x:v>
      </x:c>
    </x:row>
    <x:row r="91">
      <x:c r="A91"/>
      <x:c r="B91" s="1" t="str">
        <x:f t="shared" si="2"/>
        <x:v>eggrollt_rust</x:v>
      </x:c>
      <x:c r="C91" s="8" t="s">
        <x:v>79</x:v>
      </x:c>
      <x:c r="D91" s="1" t="s">
        <x:v>192</x:v>
      </x:c>
      <x:c r="E91" s="1">
        <x:v>100</x:v>
      </x:c>
      <x:c r="F91" s="1" t="n">
        <x:f>IF(D91="",VLOOKUP(C91,dish_base!$B$4:$O$82,13,FALSE),VLOOKUP(C91,dish_base!$B$4:$O$82,14,FALSE))</x:f>
        <x:v>90</x:v>
      </x:c>
      <x:c r="G91" s="35" t="str">
        <x:f>IF(D91="",VLOOKUP(C91,dish_base!$B$4:$O$82,11,FALSE),VLOOKUP(C91,dish_base!$B$4:$O$82,12,FALSE))</x:f>
        <x:v>50,90</x:v>
      </x:c>
      <x:c r="H91" s="1" t="s">
        <x:v>186</x:v>
      </x:c>
      <x:c r="I91"/>
      <x:c r="J91" t="s">
        <x:v>80</x:v>
      </x:c>
    </x:row>
    <x:row r="92">
      <x:c r="A92"/>
      <x:c r="B92" s="1" t="str">
        <x:f t="shared" si="2"/>
        <x:v>baguette</x:v>
      </x:c>
      <x:c r="C92" s="8" t="s">
        <x:v>85</x:v>
      </x:c>
      <x:c r="E92" s="1">
        <x:v>1200</x:v>
      </x:c>
      <x:c r="F92" s="1" t="n">
        <x:f>IF(D92="",VLOOKUP(C92,dish_base!$B$4:$O$82,13,FALSE),VLOOKUP(C92,dish_base!$B$4:$O$82,14,FALSE))</x:f>
        <x:v>45</x:v>
      </x:c>
      <x:c r="G92" s="35" t="str">
        <x:f>IF(D92="",VLOOKUP(C92,dish_base!$B$4:$O$82,11,FALSE),VLOOKUP(C92,dish_base!$B$4:$O$82,12,FALSE))</x:f>
        <x:v>20,60</x:v>
      </x:c>
      <x:c r="H92" s="1" t="s">
        <x:v>186</x:v>
      </x:c>
      <x:c r="I92"/>
      <x:c r="J92" t="s">
        <x:v>86</x:v>
      </x:c>
    </x:row>
    <x:row r="93">
      <x:c r="A93"/>
      <x:c r="B93" s="1" t="str">
        <x:f t="shared" si="2"/>
        <x:v>baguettet_sweet</x:v>
      </x:c>
      <x:c r="C93" s="8" t="s">
        <x:v>85</x:v>
      </x:c>
      <x:c r="D93" s="1" t="s">
        <x:v>187</x:v>
      </x:c>
      <x:c r="E93" s="1">
        <x:v>100</x:v>
      </x:c>
      <x:c r="F93" s="1" t="n">
        <x:f>IF(D93="",VLOOKUP(C93,dish_base!$B$4:$O$82,13,FALSE),VLOOKUP(C93,dish_base!$B$4:$O$82,14,FALSE))</x:f>
        <x:v>90</x:v>
      </x:c>
      <x:c r="G93" s="35" t="str">
        <x:f>IF(D93="",VLOOKUP(C93,dish_base!$B$4:$O$82,11,FALSE),VLOOKUP(C93,dish_base!$B$4:$O$82,12,FALSE))</x:f>
        <x:v>50,90</x:v>
      </x:c>
      <x:c r="H93" s="1" t="s">
        <x:v>186</x:v>
      </x:c>
      <x:c r="I93"/>
      <x:c r="J93" t="s">
        <x:v>86</x:v>
      </x:c>
    </x:row>
    <x:row r="94">
      <x:c r="A94"/>
      <x:c r="B94" s="1" t="str">
        <x:f t="shared" si="2"/>
        <x:v>baguettet_sour</x:v>
      </x:c>
      <x:c r="C94" s="8" t="s">
        <x:v>85</x:v>
      </x:c>
      <x:c r="D94" s="1" t="s">
        <x:v>188</x:v>
      </x:c>
      <x:c r="E94" s="1">
        <x:v>100</x:v>
      </x:c>
      <x:c r="F94" s="1" t="n">
        <x:f>IF(D94="",VLOOKUP(C94,dish_base!$B$4:$O$82,13,FALSE),VLOOKUP(C94,dish_base!$B$4:$O$82,14,FALSE))</x:f>
        <x:v>90</x:v>
      </x:c>
      <x:c r="G94" s="35" t="str">
        <x:f>IF(D94="",VLOOKUP(C94,dish_base!$B$4:$O$82,11,FALSE),VLOOKUP(C94,dish_base!$B$4:$O$82,12,FALSE))</x:f>
        <x:v>50,90</x:v>
      </x:c>
      <x:c r="H94" s="1" t="s">
        <x:v>186</x:v>
      </x:c>
      <x:c r="I94"/>
      <x:c r="J94" t="s">
        <x:v>86</x:v>
      </x:c>
    </x:row>
    <x:row r="95">
      <x:c r="A95"/>
      <x:c r="B95" s="1" t="str">
        <x:f t="shared" si="2"/>
        <x:v>baguettet_salty</x:v>
      </x:c>
      <x:c r="C95" s="8" t="s">
        <x:v>85</x:v>
      </x:c>
      <x:c r="D95" s="1" t="s">
        <x:v>189</x:v>
      </x:c>
      <x:c r="E95" s="1">
        <x:v>100</x:v>
      </x:c>
      <x:c r="F95" s="1" t="n">
        <x:f>IF(D95="",VLOOKUP(C95,dish_base!$B$4:$O$82,13,FALSE),VLOOKUP(C95,dish_base!$B$4:$O$82,14,FALSE))</x:f>
        <x:v>90</x:v>
      </x:c>
      <x:c r="G95" s="35" t="str">
        <x:f>IF(D95="",VLOOKUP(C95,dish_base!$B$4:$O$82,11,FALSE),VLOOKUP(C95,dish_base!$B$4:$O$82,12,FALSE))</x:f>
        <x:v>50,90</x:v>
      </x:c>
      <x:c r="H95" s="1" t="s">
        <x:v>186</x:v>
      </x:c>
      <x:c r="I95"/>
      <x:c r="J95" t="s">
        <x:v>86</x:v>
      </x:c>
    </x:row>
    <x:row r="96">
      <x:c r="A96"/>
      <x:c r="B96" s="1" t="str">
        <x:f t="shared" si="2"/>
        <x:v>baguettet_bitter</x:v>
      </x:c>
      <x:c r="C96" s="8" t="s">
        <x:v>85</x:v>
      </x:c>
      <x:c r="D96" s="1" t="s">
        <x:v>190</x:v>
      </x:c>
      <x:c r="E96" s="1">
        <x:v>100</x:v>
      </x:c>
      <x:c r="F96" s="1" t="n">
        <x:f>IF(D96="",VLOOKUP(C96,dish_base!$B$4:$O$82,13,FALSE),VLOOKUP(C96,dish_base!$B$4:$O$82,14,FALSE))</x:f>
        <x:v>90</x:v>
      </x:c>
      <x:c r="G96" s="35" t="str">
        <x:f>IF(D96="",VLOOKUP(C96,dish_base!$B$4:$O$82,11,FALSE),VLOOKUP(C96,dish_base!$B$4:$O$82,12,FALSE))</x:f>
        <x:v>50,90</x:v>
      </x:c>
      <x:c r="H96" s="1" t="s">
        <x:v>186</x:v>
      </x:c>
      <x:c r="I96"/>
      <x:c r="J96" t="s">
        <x:v>86</x:v>
      </x:c>
    </x:row>
    <x:row r="97">
      <x:c r="A97"/>
      <x:c r="B97" s="1" t="str">
        <x:f t="shared" si="2"/>
        <x:v>baguettet_numb</x:v>
      </x:c>
      <x:c r="C97" s="8" t="s">
        <x:v>85</x:v>
      </x:c>
      <x:c r="D97" s="1" t="s">
        <x:v>191</x:v>
      </x:c>
      <x:c r="E97" s="1">
        <x:v>100</x:v>
      </x:c>
      <x:c r="F97" s="1" t="n">
        <x:f>IF(D97="",VLOOKUP(C97,dish_base!$B$4:$O$82,13,FALSE),VLOOKUP(C97,dish_base!$B$4:$O$82,14,FALSE))</x:f>
        <x:v>90</x:v>
      </x:c>
      <x:c r="G97" s="35" t="str">
        <x:f>IF(D97="",VLOOKUP(C97,dish_base!$B$4:$O$82,11,FALSE),VLOOKUP(C97,dish_base!$B$4:$O$82,12,FALSE))</x:f>
        <x:v>50,90</x:v>
      </x:c>
      <x:c r="H97" s="1" t="s">
        <x:v>186</x:v>
      </x:c>
      <x:c r="I97"/>
      <x:c r="J97" t="s">
        <x:v>86</x:v>
      </x:c>
    </x:row>
    <x:row r="98">
      <x:c r="A98"/>
      <x:c r="B98" s="1" t="str">
        <x:f t="shared" si="2"/>
        <x:v>baguettet_rust</x:v>
      </x:c>
      <x:c r="C98" s="8" t="s">
        <x:v>85</x:v>
      </x:c>
      <x:c r="D98" s="1" t="s">
        <x:v>192</x:v>
      </x:c>
      <x:c r="E98" s="1">
        <x:v>100</x:v>
      </x:c>
      <x:c r="F98" s="1" t="n">
        <x:f>IF(D98="",VLOOKUP(C98,dish_base!$B$4:$O$82,13,FALSE),VLOOKUP(C98,dish_base!$B$4:$O$82,14,FALSE))</x:f>
        <x:v>90</x:v>
      </x:c>
      <x:c r="G98" s="35" t="str">
        <x:f>IF(D98="",VLOOKUP(C98,dish_base!$B$4:$O$82,11,FALSE),VLOOKUP(C98,dish_base!$B$4:$O$82,12,FALSE))</x:f>
        <x:v>50,90</x:v>
      </x:c>
      <x:c r="H98" s="1" t="s">
        <x:v>186</x:v>
      </x:c>
      <x:c r="I98"/>
      <x:c r="J98" t="s">
        <x:v>86</x:v>
      </x:c>
    </x:row>
    <x:row r="99">
      <x:c r="A99"/>
      <x:c r="B99" s="1" t="str">
        <x:f t="shared" si="2"/>
        <x:v>tanghulu</x:v>
      </x:c>
      <x:c r="C99" s="8" t="s">
        <x:v>90</x:v>
      </x:c>
      <x:c r="E99" s="1">
        <x:v>1200</x:v>
      </x:c>
      <x:c r="F99" s="1" t="n">
        <x:f>IF(D99="",VLOOKUP(C99,dish_base!$B$4:$O$82,13,FALSE),VLOOKUP(C99,dish_base!$B$4:$O$82,14,FALSE))</x:f>
        <x:v>45</x:v>
      </x:c>
      <x:c r="G99" s="35" t="str">
        <x:f>IF(D99="",VLOOKUP(C99,dish_base!$B$4:$O$82,11,FALSE),VLOOKUP(C99,dish_base!$B$4:$O$82,12,FALSE))</x:f>
        <x:v>20,60</x:v>
      </x:c>
      <x:c r="H99" s="1" t="s">
        <x:v>186</x:v>
      </x:c>
      <x:c r="I99"/>
      <x:c r="J99" t="s">
        <x:v>91</x:v>
      </x:c>
    </x:row>
    <x:row r="100">
      <x:c r="A100"/>
      <x:c r="B100" s="1" t="str">
        <x:f t="shared" si="2"/>
        <x:v>tanghulut_sweet</x:v>
      </x:c>
      <x:c r="C100" s="8" t="s">
        <x:v>90</x:v>
      </x:c>
      <x:c r="D100" s="1" t="s">
        <x:v>187</x:v>
      </x:c>
      <x:c r="E100" s="1">
        <x:v>100</x:v>
      </x:c>
      <x:c r="F100" s="1" t="n">
        <x:f>IF(D100="",VLOOKUP(C100,dish_base!$B$4:$O$82,13,FALSE),VLOOKUP(C100,dish_base!$B$4:$O$82,14,FALSE))</x:f>
        <x:v>90</x:v>
      </x:c>
      <x:c r="G100" s="35" t="str">
        <x:f>IF(D100="",VLOOKUP(C100,dish_base!$B$4:$O$82,11,FALSE),VLOOKUP(C100,dish_base!$B$4:$O$82,12,FALSE))</x:f>
        <x:v>50,90</x:v>
      </x:c>
      <x:c r="H100" s="1" t="s">
        <x:v>186</x:v>
      </x:c>
      <x:c r="I100"/>
      <x:c r="J100" t="s">
        <x:v>91</x:v>
      </x:c>
    </x:row>
    <x:row r="101">
      <x:c r="A101"/>
      <x:c r="B101" s="1" t="str">
        <x:f t="shared" si="2"/>
        <x:v>tanghulut_sour</x:v>
      </x:c>
      <x:c r="C101" s="1" t="s">
        <x:v>90</x:v>
      </x:c>
      <x:c r="D101" s="1" t="s">
        <x:v>188</x:v>
      </x:c>
      <x:c r="E101" s="1">
        <x:v>100</x:v>
      </x:c>
      <x:c r="F101" s="1" t="n">
        <x:f>IF(D101="",VLOOKUP(C101,dish_base!$B$4:$O$82,13,FALSE),VLOOKUP(C101,dish_base!$B$4:$O$82,14,FALSE))</x:f>
        <x:v>90</x:v>
      </x:c>
      <x:c r="G101" s="35" t="str">
        <x:f>IF(D101="",VLOOKUP(C101,dish_base!$B$4:$O$82,11,FALSE),VLOOKUP(C101,dish_base!$B$4:$O$82,12,FALSE))</x:f>
        <x:v>50,90</x:v>
      </x:c>
      <x:c r="H101" s="1" t="s">
        <x:v>186</x:v>
      </x:c>
      <x:c r="I101"/>
      <x:c r="J101" t="s">
        <x:v>91</x:v>
      </x:c>
    </x:row>
    <x:row r="102">
      <x:c r="A102"/>
      <x:c r="B102" s="1" t="str">
        <x:f t="shared" si="2"/>
        <x:v>tanghulut_salty</x:v>
      </x:c>
      <x:c r="C102" s="1" t="s">
        <x:v>90</x:v>
      </x:c>
      <x:c r="D102" s="1" t="s">
        <x:v>189</x:v>
      </x:c>
      <x:c r="E102" s="1">
        <x:v>100</x:v>
      </x:c>
      <x:c r="F102" s="1" t="n">
        <x:f>IF(D102="",VLOOKUP(C102,dish_base!$B$4:$O$82,13,FALSE),VLOOKUP(C102,dish_base!$B$4:$O$82,14,FALSE))</x:f>
        <x:v>90</x:v>
      </x:c>
      <x:c r="G102" s="35" t="str">
        <x:f>IF(D102="",VLOOKUP(C102,dish_base!$B$4:$O$82,11,FALSE),VLOOKUP(C102,dish_base!$B$4:$O$82,12,FALSE))</x:f>
        <x:v>50,90</x:v>
      </x:c>
      <x:c r="H102" s="1" t="s">
        <x:v>186</x:v>
      </x:c>
      <x:c r="I102"/>
      <x:c r="J102" t="s">
        <x:v>91</x:v>
      </x:c>
    </x:row>
    <x:row r="103">
      <x:c r="A103"/>
      <x:c r="B103" s="1" t="str">
        <x:f t="shared" si="2"/>
        <x:v>tanghulut_bitter</x:v>
      </x:c>
      <x:c r="C103" s="1" t="s">
        <x:v>90</x:v>
      </x:c>
      <x:c r="D103" s="1" t="s">
        <x:v>190</x:v>
      </x:c>
      <x:c r="E103" s="1">
        <x:v>100</x:v>
      </x:c>
      <x:c r="F103" s="1" t="n">
        <x:f>IF(D103="",VLOOKUP(C103,dish_base!$B$4:$O$82,13,FALSE),VLOOKUP(C103,dish_base!$B$4:$O$82,14,FALSE))</x:f>
        <x:v>90</x:v>
      </x:c>
      <x:c r="G103" s="35" t="str">
        <x:f>IF(D103="",VLOOKUP(C103,dish_base!$B$4:$O$82,11,FALSE),VLOOKUP(C103,dish_base!$B$4:$O$82,12,FALSE))</x:f>
        <x:v>50,90</x:v>
      </x:c>
      <x:c r="H103" s="1" t="s">
        <x:v>186</x:v>
      </x:c>
      <x:c r="I103"/>
      <x:c r="J103" t="s">
        <x:v>91</x:v>
      </x:c>
    </x:row>
    <x:row r="104">
      <x:c r="A104"/>
      <x:c r="B104" s="1" t="str">
        <x:f t="shared" si="2"/>
        <x:v>tanghulut_numb</x:v>
      </x:c>
      <x:c r="C104" s="1" t="s">
        <x:v>90</x:v>
      </x:c>
      <x:c r="D104" s="1" t="s">
        <x:v>191</x:v>
      </x:c>
      <x:c r="E104" s="1">
        <x:v>100</x:v>
      </x:c>
      <x:c r="F104" s="1" t="n">
        <x:f>IF(D104="",VLOOKUP(C104,dish_base!$B$4:$O$82,13,FALSE),VLOOKUP(C104,dish_base!$B$4:$O$82,14,FALSE))</x:f>
        <x:v>90</x:v>
      </x:c>
      <x:c r="G104" s="35" t="str">
        <x:f>IF(D104="",VLOOKUP(C104,dish_base!$B$4:$O$82,11,FALSE),VLOOKUP(C104,dish_base!$B$4:$O$82,12,FALSE))</x:f>
        <x:v>50,90</x:v>
      </x:c>
      <x:c r="H104" s="1" t="s">
        <x:v>186</x:v>
      </x:c>
      <x:c r="I104"/>
      <x:c r="J104" t="s">
        <x:v>91</x:v>
      </x:c>
    </x:row>
    <x:row r="105">
      <x:c r="A105"/>
      <x:c r="B105" s="1" t="str">
        <x:f t="shared" si="2"/>
        <x:v>tanghulut_rust</x:v>
      </x:c>
      <x:c r="C105" s="1" t="s">
        <x:v>90</x:v>
      </x:c>
      <x:c r="D105" s="1" t="s">
        <x:v>192</x:v>
      </x:c>
      <x:c r="E105" s="1">
        <x:v>100</x:v>
      </x:c>
      <x:c r="F105" s="1" t="n">
        <x:f>IF(D105="",VLOOKUP(C105,dish_base!$B$4:$O$82,13,FALSE),VLOOKUP(C105,dish_base!$B$4:$O$82,14,FALSE))</x:f>
        <x:v>90</x:v>
      </x:c>
      <x:c r="G105" s="35" t="str">
        <x:f>IF(D105="",VLOOKUP(C105,dish_base!$B$4:$O$82,11,FALSE),VLOOKUP(C105,dish_base!$B$4:$O$82,12,FALSE))</x:f>
        <x:v>50,90</x:v>
      </x:c>
      <x:c r="H105" s="1" t="s">
        <x:v>186</x:v>
      </x:c>
      <x:c r="I105"/>
      <x:c r="J105" t="s">
        <x:v>91</x:v>
      </x:c>
    </x:row>
    <x:row r="106">
      <x:c r="A106"/>
      <x:c r="B106" s="1" t="str">
        <x:f t="shared" si="2"/>
        <x:v>cake_slice</x:v>
      </x:c>
      <x:c r="C106" s="1" t="s">
        <x:v>95</x:v>
      </x:c>
      <x:c r="E106" s="1">
        <x:v>1200</x:v>
      </x:c>
      <x:c r="F106" s="1" t="n">
        <x:f>IF(D106="",VLOOKUP(C106,dish_base!$B$4:$O$82,13,FALSE),VLOOKUP(C106,dish_base!$B$4:$O$82,14,FALSE))</x:f>
        <x:v>45</x:v>
      </x:c>
      <x:c r="G106" s="35" t="str">
        <x:f>IF(D106="",VLOOKUP(C106,dish_base!$B$4:$O$82,11,FALSE),VLOOKUP(C106,dish_base!$B$4:$O$82,12,FALSE))</x:f>
        <x:v>20,60</x:v>
      </x:c>
      <x:c r="H106" s="1" t="s">
        <x:v>186</x:v>
      </x:c>
      <x:c r="I106"/>
      <x:c r="J106" t="s">
        <x:v>96</x:v>
      </x:c>
    </x:row>
    <x:row r="107">
      <x:c r="A107"/>
      <x:c r="B107" s="1" t="str">
        <x:f t="shared" si="2"/>
        <x:v>cake_slicet_sweet</x:v>
      </x:c>
      <x:c r="C107" s="1" t="s">
        <x:v>95</x:v>
      </x:c>
      <x:c r="D107" s="1" t="s">
        <x:v>187</x:v>
      </x:c>
      <x:c r="E107" s="1">
        <x:v>100</x:v>
      </x:c>
      <x:c r="F107" s="1" t="n">
        <x:f>IF(D107="",VLOOKUP(C107,dish_base!$B$4:$O$82,13,FALSE),VLOOKUP(C107,dish_base!$B$4:$O$82,14,FALSE))</x:f>
        <x:v>90</x:v>
      </x:c>
      <x:c r="G107" s="35" t="str">
        <x:f>IF(D107="",VLOOKUP(C107,dish_base!$B$4:$O$82,11,FALSE),VLOOKUP(C107,dish_base!$B$4:$O$82,12,FALSE))</x:f>
        <x:v>50,90</x:v>
      </x:c>
      <x:c r="H107" s="1" t="s">
        <x:v>186</x:v>
      </x:c>
      <x:c r="I107"/>
      <x:c r="J107" t="s">
        <x:v>96</x:v>
      </x:c>
    </x:row>
    <x:row r="108">
      <x:c r="A108"/>
      <x:c r="B108" s="1" t="str">
        <x:f t="shared" si="2"/>
        <x:v>cake_slicet_sour</x:v>
      </x:c>
      <x:c r="C108" s="1" t="s">
        <x:v>95</x:v>
      </x:c>
      <x:c r="D108" s="1" t="s">
        <x:v>188</x:v>
      </x:c>
      <x:c r="E108" s="1">
        <x:v>100</x:v>
      </x:c>
      <x:c r="F108" s="1" t="n">
        <x:f>IF(D108="",VLOOKUP(C108,dish_base!$B$4:$O$82,13,FALSE),VLOOKUP(C108,dish_base!$B$4:$O$82,14,FALSE))</x:f>
        <x:v>90</x:v>
      </x:c>
      <x:c r="G108" s="35" t="str">
        <x:f>IF(D108="",VLOOKUP(C108,dish_base!$B$4:$O$82,11,FALSE),VLOOKUP(C108,dish_base!$B$4:$O$82,12,FALSE))</x:f>
        <x:v>50,90</x:v>
      </x:c>
      <x:c r="H108" s="1" t="s">
        <x:v>186</x:v>
      </x:c>
      <x:c r="I108"/>
      <x:c r="J108" t="s">
        <x:v>96</x:v>
      </x:c>
    </x:row>
    <x:row r="109">
      <x:c r="A109"/>
      <x:c r="B109" s="1" t="str">
        <x:f t="shared" ref="B109:B173" si="3">C109&amp;D109</x:f>
        <x:v>cake_slicet_salty</x:v>
      </x:c>
      <x:c r="C109" s="1" t="s">
        <x:v>95</x:v>
      </x:c>
      <x:c r="D109" s="1" t="s">
        <x:v>189</x:v>
      </x:c>
      <x:c r="E109" s="1">
        <x:v>100</x:v>
      </x:c>
      <x:c r="F109" s="1" t="n">
        <x:f>IF(D109="",VLOOKUP(C109,dish_base!$B$4:$O$82,13,FALSE),VLOOKUP(C109,dish_base!$B$4:$O$82,14,FALSE))</x:f>
        <x:v>90</x:v>
      </x:c>
      <x:c r="G109" s="35" t="str">
        <x:f>IF(D109="",VLOOKUP(C109,dish_base!$B$4:$O$82,11,FALSE),VLOOKUP(C109,dish_base!$B$4:$O$82,12,FALSE))</x:f>
        <x:v>50,90</x:v>
      </x:c>
      <x:c r="H109" s="1" t="s">
        <x:v>186</x:v>
      </x:c>
      <x:c r="I109"/>
      <x:c r="J109" t="s">
        <x:v>96</x:v>
      </x:c>
    </x:row>
    <x:row r="110">
      <x:c r="A110"/>
      <x:c r="B110" s="1" t="str">
        <x:f t="shared" si="3"/>
        <x:v>cake_slicet_bitter</x:v>
      </x:c>
      <x:c r="C110" s="1" t="s">
        <x:v>95</x:v>
      </x:c>
      <x:c r="D110" s="1" t="s">
        <x:v>190</x:v>
      </x:c>
      <x:c r="E110" s="1">
        <x:v>100</x:v>
      </x:c>
      <x:c r="F110" s="1" t="n">
        <x:f>IF(D110="",VLOOKUP(C110,dish_base!$B$4:$O$82,13,FALSE),VLOOKUP(C110,dish_base!$B$4:$O$82,14,FALSE))</x:f>
        <x:v>90</x:v>
      </x:c>
      <x:c r="G110" s="35" t="str">
        <x:f>IF(D110="",VLOOKUP(C110,dish_base!$B$4:$O$82,11,FALSE),VLOOKUP(C110,dish_base!$B$4:$O$82,12,FALSE))</x:f>
        <x:v>50,90</x:v>
      </x:c>
      <x:c r="H110" s="1" t="s">
        <x:v>186</x:v>
      </x:c>
      <x:c r="I110"/>
      <x:c r="J110" t="s">
        <x:v>96</x:v>
      </x:c>
    </x:row>
    <x:row r="111">
      <x:c r="A111"/>
      <x:c r="B111" s="1" t="str">
        <x:f t="shared" si="3"/>
        <x:v>cake_slicet_numb</x:v>
      </x:c>
      <x:c r="C111" s="1" t="s">
        <x:v>95</x:v>
      </x:c>
      <x:c r="D111" s="1" t="s">
        <x:v>191</x:v>
      </x:c>
      <x:c r="E111" s="1">
        <x:v>100</x:v>
      </x:c>
      <x:c r="F111" s="1" t="n">
        <x:f>IF(D111="",VLOOKUP(C111,dish_base!$B$4:$O$82,13,FALSE),VLOOKUP(C111,dish_base!$B$4:$O$82,14,FALSE))</x:f>
        <x:v>90</x:v>
      </x:c>
      <x:c r="G111" s="35" t="str">
        <x:f>IF(D111="",VLOOKUP(C111,dish_base!$B$4:$O$82,11,FALSE),VLOOKUP(C111,dish_base!$B$4:$O$82,12,FALSE))</x:f>
        <x:v>50,90</x:v>
      </x:c>
      <x:c r="H111" s="1" t="s">
        <x:v>186</x:v>
      </x:c>
      <x:c r="I111"/>
      <x:c r="J111" t="s">
        <x:v>96</x:v>
      </x:c>
    </x:row>
    <x:row r="112">
      <x:c r="A112"/>
      <x:c r="B112" s="1" t="str">
        <x:f t="shared" si="3"/>
        <x:v>cake_slicet_rust</x:v>
      </x:c>
      <x:c r="C112" s="1" t="s">
        <x:v>95</x:v>
      </x:c>
      <x:c r="D112" s="1" t="s">
        <x:v>192</x:v>
      </x:c>
      <x:c r="E112" s="1">
        <x:v>100</x:v>
      </x:c>
      <x:c r="F112" s="1" t="n">
        <x:f>IF(D112="",VLOOKUP(C112,dish_base!$B$4:$O$82,13,FALSE),VLOOKUP(C112,dish_base!$B$4:$O$82,14,FALSE))</x:f>
        <x:v>90</x:v>
      </x:c>
      <x:c r="G112" s="35" t="str">
        <x:f>IF(D112="",VLOOKUP(C112,dish_base!$B$4:$O$82,11,FALSE),VLOOKUP(C112,dish_base!$B$4:$O$82,12,FALSE))</x:f>
        <x:v>50,90</x:v>
      </x:c>
      <x:c r="H112" s="1" t="s">
        <x:v>186</x:v>
      </x:c>
      <x:c r="I112"/>
      <x:c r="J112" t="s">
        <x:v>96</x:v>
      </x:c>
    </x:row>
    <x:row r="113">
      <x:c r="A113"/>
      <x:c r="B113" s="1" t="str">
        <x:f t="shared" si="3"/>
        <x:v>long_cake</x:v>
      </x:c>
      <x:c r="C113" s="1" t="s">
        <x:v>100</x:v>
      </x:c>
      <x:c r="E113" s="1">
        <x:v>1200</x:v>
      </x:c>
      <x:c r="F113" s="1" t="n">
        <x:f>IF(D113="",VLOOKUP(C113,dish_base!$B$4:$O$82,13,FALSE),VLOOKUP(C113,dish_base!$B$4:$O$82,14,FALSE))</x:f>
        <x:v>45</x:v>
      </x:c>
      <x:c r="G113" s="35" t="str">
        <x:f>IF(D113="",VLOOKUP(C113,dish_base!$B$4:$O$82,11,FALSE),VLOOKUP(C113,dish_base!$B$4:$O$82,12,FALSE))</x:f>
        <x:v>20,60</x:v>
      </x:c>
      <x:c r="H113" s="1" t="s">
        <x:v>186</x:v>
      </x:c>
      <x:c r="I113"/>
      <x:c r="J113" t="s">
        <x:v>101</x:v>
      </x:c>
    </x:row>
    <x:row r="114">
      <x:c r="A114"/>
      <x:c r="B114" s="1" t="str">
        <x:f t="shared" si="3"/>
        <x:v>long_caket_sweet</x:v>
      </x:c>
      <x:c r="C114" s="1" t="s">
        <x:v>100</x:v>
      </x:c>
      <x:c r="D114" s="1" t="s">
        <x:v>187</x:v>
      </x:c>
      <x:c r="E114" s="1">
        <x:v>100</x:v>
      </x:c>
      <x:c r="F114" s="1" t="n">
        <x:f>IF(D114="",VLOOKUP(C114,dish_base!$B$4:$O$82,13,FALSE),VLOOKUP(C114,dish_base!$B$4:$O$82,14,FALSE))</x:f>
        <x:v>90</x:v>
      </x:c>
      <x:c r="G114" s="35" t="str">
        <x:f>IF(D114="",VLOOKUP(C114,dish_base!$B$4:$O$82,11,FALSE),VLOOKUP(C114,dish_base!$B$4:$O$82,12,FALSE))</x:f>
        <x:v>50,90</x:v>
      </x:c>
      <x:c r="H114" s="1" t="s">
        <x:v>186</x:v>
      </x:c>
      <x:c r="I114"/>
      <x:c r="J114" t="s">
        <x:v>101</x:v>
      </x:c>
    </x:row>
    <x:row r="115">
      <x:c r="A115"/>
      <x:c r="B115" s="1" t="str">
        <x:f t="shared" si="3"/>
        <x:v>long_caket_sour</x:v>
      </x:c>
      <x:c r="C115" s="1" t="s">
        <x:v>100</x:v>
      </x:c>
      <x:c r="D115" s="1" t="s">
        <x:v>188</x:v>
      </x:c>
      <x:c r="E115" s="1">
        <x:v>100</x:v>
      </x:c>
      <x:c r="F115" s="1" t="n">
        <x:f>IF(D115="",VLOOKUP(C115,dish_base!$B$4:$O$82,13,FALSE),VLOOKUP(C115,dish_base!$B$4:$O$82,14,FALSE))</x:f>
        <x:v>90</x:v>
      </x:c>
      <x:c r="G115" s="35" t="str">
        <x:f>IF(D115="",VLOOKUP(C115,dish_base!$B$4:$O$82,11,FALSE),VLOOKUP(C115,dish_base!$B$4:$O$82,12,FALSE))</x:f>
        <x:v>50,90</x:v>
      </x:c>
      <x:c r="H115" s="1" t="s">
        <x:v>186</x:v>
      </x:c>
      <x:c r="I115"/>
      <x:c r="J115" t="s">
        <x:v>101</x:v>
      </x:c>
    </x:row>
    <x:row r="116">
      <x:c r="A116"/>
      <x:c r="B116" s="1" t="str">
        <x:f t="shared" si="3"/>
        <x:v>long_caket_salty</x:v>
      </x:c>
      <x:c r="C116" s="1" t="s">
        <x:v>100</x:v>
      </x:c>
      <x:c r="D116" s="1" t="s">
        <x:v>189</x:v>
      </x:c>
      <x:c r="E116" s="1">
        <x:v>100</x:v>
      </x:c>
      <x:c r="F116" s="1" t="n">
        <x:f>IF(D116="",VLOOKUP(C116,dish_base!$B$4:$O$82,13,FALSE),VLOOKUP(C116,dish_base!$B$4:$O$82,14,FALSE))</x:f>
        <x:v>90</x:v>
      </x:c>
      <x:c r="G116" s="35" t="str">
        <x:f>IF(D116="",VLOOKUP(C116,dish_base!$B$4:$O$82,11,FALSE),VLOOKUP(C116,dish_base!$B$4:$O$82,12,FALSE))</x:f>
        <x:v>50,90</x:v>
      </x:c>
      <x:c r="H116" s="1" t="s">
        <x:v>186</x:v>
      </x:c>
      <x:c r="I116"/>
      <x:c r="J116" t="s">
        <x:v>101</x:v>
      </x:c>
    </x:row>
    <x:row r="117">
      <x:c r="A117"/>
      <x:c r="B117" s="1" t="str">
        <x:f t="shared" si="3"/>
        <x:v>long_caket_bitter</x:v>
      </x:c>
      <x:c r="C117" s="1" t="s">
        <x:v>100</x:v>
      </x:c>
      <x:c r="D117" s="1" t="s">
        <x:v>190</x:v>
      </x:c>
      <x:c r="E117" s="1">
        <x:v>100</x:v>
      </x:c>
      <x:c r="F117" s="1" t="n">
        <x:f>IF(D117="",VLOOKUP(C117,dish_base!$B$4:$O$82,13,FALSE),VLOOKUP(C117,dish_base!$B$4:$O$82,14,FALSE))</x:f>
        <x:v>90</x:v>
      </x:c>
      <x:c r="G117" s="35" t="str">
        <x:f>IF(D117="",VLOOKUP(C117,dish_base!$B$4:$O$82,11,FALSE),VLOOKUP(C117,dish_base!$B$4:$O$82,12,FALSE))</x:f>
        <x:v>50,90</x:v>
      </x:c>
      <x:c r="H117" s="1" t="s">
        <x:v>186</x:v>
      </x:c>
      <x:c r="I117"/>
      <x:c r="J117" t="s">
        <x:v>101</x:v>
      </x:c>
    </x:row>
    <x:row r="118">
      <x:c r="A118"/>
      <x:c r="B118" s="1" t="str">
        <x:f t="shared" si="3"/>
        <x:v>long_caket_numb</x:v>
      </x:c>
      <x:c r="C118" s="1" t="s">
        <x:v>100</x:v>
      </x:c>
      <x:c r="D118" s="1" t="s">
        <x:v>191</x:v>
      </x:c>
      <x:c r="E118" s="1">
        <x:v>100</x:v>
      </x:c>
      <x:c r="F118" s="1" t="n">
        <x:f>IF(D118="",VLOOKUP(C118,dish_base!$B$4:$O$82,13,FALSE),VLOOKUP(C118,dish_base!$B$4:$O$82,14,FALSE))</x:f>
        <x:v>90</x:v>
      </x:c>
      <x:c r="G118" s="35" t="str">
        <x:f>IF(D118="",VLOOKUP(C118,dish_base!$B$4:$O$82,11,FALSE),VLOOKUP(C118,dish_base!$B$4:$O$82,12,FALSE))</x:f>
        <x:v>50,90</x:v>
      </x:c>
      <x:c r="H118" s="1" t="s">
        <x:v>186</x:v>
      </x:c>
      <x:c r="I118"/>
      <x:c r="J118" t="s">
        <x:v>101</x:v>
      </x:c>
    </x:row>
    <x:row r="119">
      <x:c r="A119"/>
      <x:c r="B119" s="1" t="str">
        <x:f t="shared" si="3"/>
        <x:v>long_caket_rust</x:v>
      </x:c>
      <x:c r="C119" s="1" t="s">
        <x:v>100</x:v>
      </x:c>
      <x:c r="D119" s="1" t="s">
        <x:v>192</x:v>
      </x:c>
      <x:c r="E119" s="1">
        <x:v>100</x:v>
      </x:c>
      <x:c r="F119" s="1" t="n">
        <x:f>IF(D119="",VLOOKUP(C119,dish_base!$B$4:$O$82,13,FALSE),VLOOKUP(C119,dish_base!$B$4:$O$82,14,FALSE))</x:f>
        <x:v>90</x:v>
      </x:c>
      <x:c r="G119" s="35" t="str">
        <x:f>IF(D119="",VLOOKUP(C119,dish_base!$B$4:$O$82,11,FALSE),VLOOKUP(C119,dish_base!$B$4:$O$82,12,FALSE))</x:f>
        <x:v>50,90</x:v>
      </x:c>
      <x:c r="H119" s="1" t="s">
        <x:v>186</x:v>
      </x:c>
      <x:c r="I119"/>
      <x:c r="J119" t="s">
        <x:v>101</x:v>
      </x:c>
    </x:row>
    <x:row r="120">
      <x:c r="A120"/>
      <x:c r="B120" s="1" t="str">
        <x:f t="shared" si="3"/>
        <x:v>eclair</x:v>
      </x:c>
      <x:c r="C120" s="1" t="s">
        <x:v>105</x:v>
      </x:c>
      <x:c r="E120" s="1">
        <x:v>1200</x:v>
      </x:c>
      <x:c r="F120" s="1" t="n">
        <x:f>IF(D120="",VLOOKUP(C120,dish_base!$B$4:$O$82,13,FALSE),VLOOKUP(C120,dish_base!$B$4:$O$82,14,FALSE))</x:f>
        <x:v>45</x:v>
      </x:c>
      <x:c r="G120" s="35" t="str">
        <x:f>IF(D120="",VLOOKUP(C120,dish_base!$B$4:$O$82,11,FALSE),VLOOKUP(C120,dish_base!$B$4:$O$82,12,FALSE))</x:f>
        <x:v>20,60</x:v>
      </x:c>
      <x:c r="H120" s="1" t="s">
        <x:v>186</x:v>
      </x:c>
      <x:c r="I120"/>
      <x:c r="J120" t="s">
        <x:v>106</x:v>
      </x:c>
    </x:row>
    <x:row r="121">
      <x:c r="A121"/>
      <x:c r="B121" s="1" t="str">
        <x:f t="shared" si="3"/>
        <x:v>eclairt_sweet</x:v>
      </x:c>
      <x:c r="C121" s="1" t="s">
        <x:v>105</x:v>
      </x:c>
      <x:c r="D121" s="1" t="s">
        <x:v>187</x:v>
      </x:c>
      <x:c r="E121" s="1">
        <x:v>100</x:v>
      </x:c>
      <x:c r="F121" s="1" t="n">
        <x:f>IF(D121="",VLOOKUP(C121,dish_base!$B$4:$O$82,13,FALSE),VLOOKUP(C121,dish_base!$B$4:$O$82,14,FALSE))</x:f>
        <x:v>90</x:v>
      </x:c>
      <x:c r="G121" s="35" t="str">
        <x:f>IF(D121="",VLOOKUP(C121,dish_base!$B$4:$O$82,11,FALSE),VLOOKUP(C121,dish_base!$B$4:$O$82,12,FALSE))</x:f>
        <x:v>50,90</x:v>
      </x:c>
      <x:c r="H121" s="1" t="s">
        <x:v>186</x:v>
      </x:c>
      <x:c r="I121"/>
      <x:c r="J121" t="s">
        <x:v>106</x:v>
      </x:c>
    </x:row>
    <x:row r="122">
      <x:c r="A122"/>
      <x:c r="B122" s="1" t="str">
        <x:f t="shared" si="3"/>
        <x:v>eclairt_sour</x:v>
      </x:c>
      <x:c r="C122" s="1" t="s">
        <x:v>105</x:v>
      </x:c>
      <x:c r="D122" s="1" t="s">
        <x:v>188</x:v>
      </x:c>
      <x:c r="E122" s="1">
        <x:v>100</x:v>
      </x:c>
      <x:c r="F122" s="1" t="n">
        <x:f>IF(D122="",VLOOKUP(C122,dish_base!$B$4:$O$82,13,FALSE),VLOOKUP(C122,dish_base!$B$4:$O$82,14,FALSE))</x:f>
        <x:v>90</x:v>
      </x:c>
      <x:c r="G122" s="35" t="str">
        <x:f>IF(D122="",VLOOKUP(C122,dish_base!$B$4:$O$82,11,FALSE),VLOOKUP(C122,dish_base!$B$4:$O$82,12,FALSE))</x:f>
        <x:v>50,90</x:v>
      </x:c>
      <x:c r="H122" s="1" t="s">
        <x:v>186</x:v>
      </x:c>
      <x:c r="I122"/>
      <x:c r="J122" t="s">
        <x:v>106</x:v>
      </x:c>
    </x:row>
    <x:row r="123">
      <x:c r="A123"/>
      <x:c r="B123" s="1" t="str">
        <x:f t="shared" si="3"/>
        <x:v>eclairt_salty</x:v>
      </x:c>
      <x:c r="C123" s="1" t="s">
        <x:v>105</x:v>
      </x:c>
      <x:c r="D123" s="1" t="s">
        <x:v>189</x:v>
      </x:c>
      <x:c r="E123" s="1">
        <x:v>100</x:v>
      </x:c>
      <x:c r="F123" s="1" t="n">
        <x:f>IF(D123="",VLOOKUP(C123,dish_base!$B$4:$O$82,13,FALSE),VLOOKUP(C123,dish_base!$B$4:$O$82,14,FALSE))</x:f>
        <x:v>90</x:v>
      </x:c>
      <x:c r="G123" s="35" t="str">
        <x:f>IF(D123="",VLOOKUP(C123,dish_base!$B$4:$O$82,11,FALSE),VLOOKUP(C123,dish_base!$B$4:$O$82,12,FALSE))</x:f>
        <x:v>50,90</x:v>
      </x:c>
      <x:c r="H123" s="1" t="s">
        <x:v>186</x:v>
      </x:c>
      <x:c r="I123"/>
      <x:c r="J123" t="s">
        <x:v>106</x:v>
      </x:c>
    </x:row>
    <x:row r="124">
      <x:c r="A124"/>
      <x:c r="B124" s="1" t="str">
        <x:f t="shared" si="3"/>
        <x:v>eclairt_bitter</x:v>
      </x:c>
      <x:c r="C124" s="8" t="s">
        <x:v>105</x:v>
      </x:c>
      <x:c r="D124" s="1" t="s">
        <x:v>190</x:v>
      </x:c>
      <x:c r="E124" s="1">
        <x:v>100</x:v>
      </x:c>
      <x:c r="F124" s="1" t="n">
        <x:f>IF(D124="",VLOOKUP(C124,dish_base!$B$4:$O$82,13,FALSE),VLOOKUP(C124,dish_base!$B$4:$O$82,14,FALSE))</x:f>
        <x:v>90</x:v>
      </x:c>
      <x:c r="G124" s="35" t="str">
        <x:f>IF(D124="",VLOOKUP(C124,dish_base!$B$4:$O$82,11,FALSE),VLOOKUP(C124,dish_base!$B$4:$O$82,12,FALSE))</x:f>
        <x:v>50,90</x:v>
      </x:c>
      <x:c r="H124" s="1" t="s">
        <x:v>186</x:v>
      </x:c>
      <x:c r="I124"/>
      <x:c r="J124" t="s">
        <x:v>106</x:v>
      </x:c>
    </x:row>
    <x:row r="125">
      <x:c r="A125"/>
      <x:c r="B125" s="1" t="str">
        <x:f t="shared" si="3"/>
        <x:v>eclairt_numb</x:v>
      </x:c>
      <x:c r="C125" s="8" t="s">
        <x:v>105</x:v>
      </x:c>
      <x:c r="D125" s="1" t="s">
        <x:v>191</x:v>
      </x:c>
      <x:c r="E125" s="1">
        <x:v>100</x:v>
      </x:c>
      <x:c r="F125" s="1" t="n">
        <x:f>IF(D125="",VLOOKUP(C125,dish_base!$B$4:$O$82,13,FALSE),VLOOKUP(C125,dish_base!$B$4:$O$82,14,FALSE))</x:f>
        <x:v>90</x:v>
      </x:c>
      <x:c r="G125" s="35" t="str">
        <x:f>IF(D125="",VLOOKUP(C125,dish_base!$B$4:$O$82,11,FALSE),VLOOKUP(C125,dish_base!$B$4:$O$82,12,FALSE))</x:f>
        <x:v>50,90</x:v>
      </x:c>
      <x:c r="H125" s="1" t="s">
        <x:v>186</x:v>
      </x:c>
      <x:c r="I125"/>
      <x:c r="J125" t="s">
        <x:v>106</x:v>
      </x:c>
    </x:row>
    <x:row r="126">
      <x:c r="A126"/>
      <x:c r="B126" s="1" t="str">
        <x:f t="shared" si="3"/>
        <x:v>eclairt_rust</x:v>
      </x:c>
      <x:c r="C126" s="8" t="s">
        <x:v>105</x:v>
      </x:c>
      <x:c r="D126" s="1" t="s">
        <x:v>192</x:v>
      </x:c>
      <x:c r="E126" s="1">
        <x:v>100</x:v>
      </x:c>
      <x:c r="F126" s="1" t="n">
        <x:f>IF(D126="",VLOOKUP(C126,dish_base!$B$4:$O$82,13,FALSE),VLOOKUP(C126,dish_base!$B$4:$O$82,14,FALSE))</x:f>
        <x:v>90</x:v>
      </x:c>
      <x:c r="G126" s="35" t="str">
        <x:f>IF(D126="",VLOOKUP(C126,dish_base!$B$4:$O$82,11,FALSE),VLOOKUP(C126,dish_base!$B$4:$O$82,12,FALSE))</x:f>
        <x:v>50,90</x:v>
      </x:c>
      <x:c r="H126" s="1" t="s">
        <x:v>186</x:v>
      </x:c>
      <x:c r="I126"/>
      <x:c r="J126" t="s">
        <x:v>106</x:v>
      </x:c>
    </x:row>
    <x:row r="127">
      <x:c r="A127"/>
      <x:c r="B127" s="1" t="str">
        <x:f t="shared" si="3"/>
        <x:v>gummy</x:v>
      </x:c>
      <x:c r="C127" s="8" t="s">
        <x:v>111</x:v>
      </x:c>
      <x:c r="E127" s="1">
        <x:v>1200</x:v>
      </x:c>
      <x:c r="F127" s="1" t="n">
        <x:f>IF(D127="",VLOOKUP(C127,dish_base!$B$4:$O$82,13,FALSE),VLOOKUP(C127,dish_base!$B$4:$O$82,14,FALSE))</x:f>
        <x:v>45</x:v>
      </x:c>
      <x:c r="G127" s="35" t="str">
        <x:f>IF(D127="",VLOOKUP(C127,dish_base!$B$4:$O$82,11,FALSE),VLOOKUP(C127,dish_base!$B$4:$O$82,12,FALSE))</x:f>
        <x:v>20,60</x:v>
      </x:c>
      <x:c r="H127" s="1" t="s">
        <x:v>186</x:v>
      </x:c>
      <x:c r="I127"/>
      <x:c r="J127" t="s">
        <x:v>112</x:v>
      </x:c>
    </x:row>
    <x:row r="128">
      <x:c r="A128"/>
      <x:c r="B128" s="1" t="str">
        <x:f t="shared" si="3"/>
        <x:v>gummyt_sweet</x:v>
      </x:c>
      <x:c r="C128" s="8" t="s">
        <x:v>111</x:v>
      </x:c>
      <x:c r="D128" s="1" t="s">
        <x:v>187</x:v>
      </x:c>
      <x:c r="E128" s="1">
        <x:v>100</x:v>
      </x:c>
      <x:c r="F128" s="1" t="n">
        <x:f>IF(D128="",VLOOKUP(C128,dish_base!$B$4:$O$82,13,FALSE),VLOOKUP(C128,dish_base!$B$4:$O$82,14,FALSE))</x:f>
        <x:v>90</x:v>
      </x:c>
      <x:c r="G128" s="35" t="str">
        <x:f>IF(D128="",VLOOKUP(C128,dish_base!$B$4:$O$82,11,FALSE),VLOOKUP(C128,dish_base!$B$4:$O$82,12,FALSE))</x:f>
        <x:v>50,90</x:v>
      </x:c>
      <x:c r="H128" s="1" t="s">
        <x:v>186</x:v>
      </x:c>
      <x:c r="I128"/>
      <x:c r="J128" t="s">
        <x:v>112</x:v>
      </x:c>
    </x:row>
    <x:row r="129">
      <x:c r="A129"/>
      <x:c r="B129" s="1" t="str">
        <x:f t="shared" si="3"/>
        <x:v>gummyt_sour</x:v>
      </x:c>
      <x:c r="C129" s="8" t="s">
        <x:v>111</x:v>
      </x:c>
      <x:c r="D129" s="1" t="s">
        <x:v>188</x:v>
      </x:c>
      <x:c r="E129" s="1">
        <x:v>100</x:v>
      </x:c>
      <x:c r="F129" s="1" t="n">
        <x:f>IF(D129="",VLOOKUP(C129,dish_base!$B$4:$O$82,13,FALSE),VLOOKUP(C129,dish_base!$B$4:$O$82,14,FALSE))</x:f>
        <x:v>90</x:v>
      </x:c>
      <x:c r="G129" s="35" t="str">
        <x:f>IF(D129="",VLOOKUP(C129,dish_base!$B$4:$O$82,11,FALSE),VLOOKUP(C129,dish_base!$B$4:$O$82,12,FALSE))</x:f>
        <x:v>50,90</x:v>
      </x:c>
      <x:c r="H129" s="1" t="s">
        <x:v>186</x:v>
      </x:c>
      <x:c r="I129"/>
      <x:c r="J129" t="s">
        <x:v>112</x:v>
      </x:c>
    </x:row>
    <x:row r="130">
      <x:c r="A130"/>
      <x:c r="B130" s="1" t="str">
        <x:f t="shared" si="3"/>
        <x:v>gummyt_salty</x:v>
      </x:c>
      <x:c r="C130" s="8" t="s">
        <x:v>111</x:v>
      </x:c>
      <x:c r="D130" s="1" t="s">
        <x:v>189</x:v>
      </x:c>
      <x:c r="E130" s="1">
        <x:v>100</x:v>
      </x:c>
      <x:c r="F130" s="1" t="n">
        <x:f>IF(D130="",VLOOKUP(C130,dish_base!$B$4:$O$82,13,FALSE),VLOOKUP(C130,dish_base!$B$4:$O$82,14,FALSE))</x:f>
        <x:v>90</x:v>
      </x:c>
      <x:c r="G130" s="35" t="str">
        <x:f>IF(D130="",VLOOKUP(C130,dish_base!$B$4:$O$82,11,FALSE),VLOOKUP(C130,dish_base!$B$4:$O$82,12,FALSE))</x:f>
        <x:v>50,90</x:v>
      </x:c>
      <x:c r="H130" s="1" t="s">
        <x:v>186</x:v>
      </x:c>
      <x:c r="I130"/>
      <x:c r="J130" t="s">
        <x:v>112</x:v>
      </x:c>
    </x:row>
    <x:row r="131">
      <x:c r="A131"/>
      <x:c r="B131" s="1" t="str">
        <x:f t="shared" si="3"/>
        <x:v>gummyt_bitter</x:v>
      </x:c>
      <x:c r="C131" s="8" t="s">
        <x:v>111</x:v>
      </x:c>
      <x:c r="D131" s="1" t="s">
        <x:v>190</x:v>
      </x:c>
      <x:c r="E131" s="1">
        <x:v>100</x:v>
      </x:c>
      <x:c r="F131" s="1" t="n">
        <x:f>IF(D131="",VLOOKUP(C131,dish_base!$B$4:$O$82,13,FALSE),VLOOKUP(C131,dish_base!$B$4:$O$82,14,FALSE))</x:f>
        <x:v>90</x:v>
      </x:c>
      <x:c r="G131" s="35" t="str">
        <x:f>IF(D131="",VLOOKUP(C131,dish_base!$B$4:$O$82,11,FALSE),VLOOKUP(C131,dish_base!$B$4:$O$82,12,FALSE))</x:f>
        <x:v>50,90</x:v>
      </x:c>
      <x:c r="H131" s="1" t="s">
        <x:v>186</x:v>
      </x:c>
      <x:c r="I131"/>
      <x:c r="J131" t="s">
        <x:v>112</x:v>
      </x:c>
    </x:row>
    <x:row r="132">
      <x:c r="A132"/>
      <x:c r="B132" s="1" t="str">
        <x:f t="shared" si="3"/>
        <x:v>gummyt_numb</x:v>
      </x:c>
      <x:c r="C132" s="8" t="s">
        <x:v>111</x:v>
      </x:c>
      <x:c r="D132" s="1" t="s">
        <x:v>191</x:v>
      </x:c>
      <x:c r="E132" s="1">
        <x:v>100</x:v>
      </x:c>
      <x:c r="F132" s="1" t="n">
        <x:f>IF(D132="",VLOOKUP(C132,dish_base!$B$4:$O$82,13,FALSE),VLOOKUP(C132,dish_base!$B$4:$O$82,14,FALSE))</x:f>
        <x:v>90</x:v>
      </x:c>
      <x:c r="G132" s="35" t="str">
        <x:f>IF(D132="",VLOOKUP(C132,dish_base!$B$4:$O$82,11,FALSE),VLOOKUP(C132,dish_base!$B$4:$O$82,12,FALSE))</x:f>
        <x:v>50,90</x:v>
      </x:c>
      <x:c r="H132" s="1" t="s">
        <x:v>186</x:v>
      </x:c>
      <x:c r="I132"/>
      <x:c r="J132" t="s">
        <x:v>112</x:v>
      </x:c>
    </x:row>
    <x:row r="133">
      <x:c r="A133"/>
      <x:c r="B133" s="1" t="str">
        <x:f t="shared" si="3"/>
        <x:v>gummyt_rust</x:v>
      </x:c>
      <x:c r="C133" s="8" t="s">
        <x:v>111</x:v>
      </x:c>
      <x:c r="D133" s="1" t="s">
        <x:v>192</x:v>
      </x:c>
      <x:c r="E133" s="1">
        <x:v>100</x:v>
      </x:c>
      <x:c r="F133" s="1" t="n">
        <x:f>IF(D133="",VLOOKUP(C133,dish_base!$B$4:$O$82,13,FALSE),VLOOKUP(C133,dish_base!$B$4:$O$82,14,FALSE))</x:f>
        <x:v>90</x:v>
      </x:c>
      <x:c r="G133" s="35" t="str">
        <x:f>IF(D133="",VLOOKUP(C133,dish_base!$B$4:$O$82,11,FALSE),VLOOKUP(C133,dish_base!$B$4:$O$82,12,FALSE))</x:f>
        <x:v>50,90</x:v>
      </x:c>
      <x:c r="H133" s="1" t="s">
        <x:v>186</x:v>
      </x:c>
      <x:c r="I133"/>
      <x:c r="J133" t="s">
        <x:v>112</x:v>
      </x:c>
    </x:row>
    <x:row r="134">
      <x:c r="A134"/>
      <x:c r="B134" s="1" t="str">
        <x:f t="shared" si="3"/>
        <x:v>chocolate_strip</x:v>
      </x:c>
      <x:c r="C134" s="8" t="s">
        <x:v>114</x:v>
      </x:c>
      <x:c r="E134" s="1">
        <x:v>1200</x:v>
      </x:c>
      <x:c r="F134" s="1" t="n">
        <x:f>IF(D134="",VLOOKUP(C134,dish_base!$B$4:$O$82,13,FALSE),VLOOKUP(C134,dish_base!$B$4:$O$82,14,FALSE))</x:f>
        <x:v>45</x:v>
      </x:c>
      <x:c r="G134" s="35" t="str">
        <x:f>IF(D134="",VLOOKUP(C134,dish_base!$B$4:$O$82,11,FALSE),VLOOKUP(C134,dish_base!$B$4:$O$82,12,FALSE))</x:f>
        <x:v>20,60</x:v>
      </x:c>
      <x:c r="H134" s="1" t="s">
        <x:v>186</x:v>
      </x:c>
      <x:c r="I134"/>
      <x:c r="J134" t="s">
        <x:v>115</x:v>
      </x:c>
    </x:row>
    <x:row r="135">
      <x:c r="A135"/>
      <x:c r="B135" s="1" t="str">
        <x:f t="shared" si="3"/>
        <x:v>chocolate_stript_sweet</x:v>
      </x:c>
      <x:c r="C135" s="8" t="s">
        <x:v>114</x:v>
      </x:c>
      <x:c r="D135" s="1" t="s">
        <x:v>187</x:v>
      </x:c>
      <x:c r="E135" s="1">
        <x:v>100</x:v>
      </x:c>
      <x:c r="F135" s="1" t="n">
        <x:f>IF(D135="",VLOOKUP(C135,dish_base!$B$4:$O$82,13,FALSE),VLOOKUP(C135,dish_base!$B$4:$O$82,14,FALSE))</x:f>
        <x:v>90</x:v>
      </x:c>
      <x:c r="G135" s="35" t="str">
        <x:f>IF(D135="",VLOOKUP(C135,dish_base!$B$4:$O$82,11,FALSE),VLOOKUP(C135,dish_base!$B$4:$O$82,12,FALSE))</x:f>
        <x:v>50,90</x:v>
      </x:c>
      <x:c r="H135" s="1" t="s">
        <x:v>186</x:v>
      </x:c>
      <x:c r="I135"/>
      <x:c r="J135" t="s">
        <x:v>115</x:v>
      </x:c>
    </x:row>
    <x:row r="136">
      <x:c r="A136"/>
      <x:c r="B136" s="1" t="str">
        <x:f t="shared" si="3"/>
        <x:v>chocolate_stript_sour</x:v>
      </x:c>
      <x:c r="C136" s="8" t="s">
        <x:v>114</x:v>
      </x:c>
      <x:c r="D136" s="1" t="s">
        <x:v>188</x:v>
      </x:c>
      <x:c r="E136" s="1">
        <x:v>100</x:v>
      </x:c>
      <x:c r="F136" s="1" t="n">
        <x:f>IF(D136="",VLOOKUP(C136,dish_base!$B$4:$O$82,13,FALSE),VLOOKUP(C136,dish_base!$B$4:$O$82,14,FALSE))</x:f>
        <x:v>90</x:v>
      </x:c>
      <x:c r="G136" s="35" t="str">
        <x:f>IF(D136="",VLOOKUP(C136,dish_base!$B$4:$O$82,11,FALSE),VLOOKUP(C136,dish_base!$B$4:$O$82,12,FALSE))</x:f>
        <x:v>50,90</x:v>
      </x:c>
      <x:c r="H136" s="1" t="s">
        <x:v>186</x:v>
      </x:c>
      <x:c r="I136"/>
      <x:c r="J136" t="s">
        <x:v>115</x:v>
      </x:c>
    </x:row>
    <x:row r="137">
      <x:c r="A137"/>
      <x:c r="B137" s="1" t="str">
        <x:f t="shared" si="3"/>
        <x:v>chocolate_stript_salty</x:v>
      </x:c>
      <x:c r="C137" s="8" t="s">
        <x:v>114</x:v>
      </x:c>
      <x:c r="D137" s="1" t="s">
        <x:v>189</x:v>
      </x:c>
      <x:c r="E137" s="1">
        <x:v>100</x:v>
      </x:c>
      <x:c r="F137" s="1" t="n">
        <x:f>IF(D137="",VLOOKUP(C137,dish_base!$B$4:$O$82,13,FALSE),VLOOKUP(C137,dish_base!$B$4:$O$82,14,FALSE))</x:f>
        <x:v>90</x:v>
      </x:c>
      <x:c r="G137" s="35" t="str">
        <x:f>IF(D137="",VLOOKUP(C137,dish_base!$B$4:$O$82,11,FALSE),VLOOKUP(C137,dish_base!$B$4:$O$82,12,FALSE))</x:f>
        <x:v>50,90</x:v>
      </x:c>
      <x:c r="H137" s="1" t="s">
        <x:v>186</x:v>
      </x:c>
      <x:c r="I137"/>
      <x:c r="J137" t="s">
        <x:v>115</x:v>
      </x:c>
    </x:row>
    <x:row r="138">
      <x:c r="A138"/>
      <x:c r="B138" s="1" t="str">
        <x:f t="shared" si="3"/>
        <x:v>chocolate_stript_bitter</x:v>
      </x:c>
      <x:c r="C138" s="8" t="s">
        <x:v>114</x:v>
      </x:c>
      <x:c r="D138" s="1" t="s">
        <x:v>190</x:v>
      </x:c>
      <x:c r="E138" s="1">
        <x:v>100</x:v>
      </x:c>
      <x:c r="F138" s="1" t="n">
        <x:f>IF(D138="",VLOOKUP(C138,dish_base!$B$4:$O$82,13,FALSE),VLOOKUP(C138,dish_base!$B$4:$O$82,14,FALSE))</x:f>
        <x:v>90</x:v>
      </x:c>
      <x:c r="G138" s="35" t="str">
        <x:f>IF(D138="",VLOOKUP(C138,dish_base!$B$4:$O$82,11,FALSE),VLOOKUP(C138,dish_base!$B$4:$O$82,12,FALSE))</x:f>
        <x:v>50,90</x:v>
      </x:c>
      <x:c r="H138" s="1" t="s">
        <x:v>186</x:v>
      </x:c>
      <x:c r="I138"/>
      <x:c r="J138" t="s">
        <x:v>115</x:v>
      </x:c>
    </x:row>
    <x:row r="139">
      <x:c r="A139"/>
      <x:c r="B139" s="1" t="str">
        <x:f t="shared" si="3"/>
        <x:v>chocolate_stript_numb</x:v>
      </x:c>
      <x:c r="C139" s="8" t="s">
        <x:v>114</x:v>
      </x:c>
      <x:c r="D139" s="1" t="s">
        <x:v>191</x:v>
      </x:c>
      <x:c r="E139" s="1">
        <x:v>100</x:v>
      </x:c>
      <x:c r="F139" s="1" t="n">
        <x:f>IF(D139="",VLOOKUP(C139,dish_base!$B$4:$O$82,13,FALSE),VLOOKUP(C139,dish_base!$B$4:$O$82,14,FALSE))</x:f>
        <x:v>90</x:v>
      </x:c>
      <x:c r="G139" s="35" t="str">
        <x:f>IF(D139="",VLOOKUP(C139,dish_base!$B$4:$O$82,11,FALSE),VLOOKUP(C139,dish_base!$B$4:$O$82,12,FALSE))</x:f>
        <x:v>50,90</x:v>
      </x:c>
      <x:c r="H139" s="1" t="s">
        <x:v>186</x:v>
      </x:c>
      <x:c r="I139"/>
      <x:c r="J139" t="s">
        <x:v>115</x:v>
      </x:c>
    </x:row>
    <x:row r="140">
      <x:c r="A140"/>
      <x:c r="B140" s="1" t="str">
        <x:f t="shared" si="3"/>
        <x:v>chocolate_stript_rust</x:v>
      </x:c>
      <x:c r="C140" s="8" t="s">
        <x:v>114</x:v>
      </x:c>
      <x:c r="D140" s="1" t="s">
        <x:v>192</x:v>
      </x:c>
      <x:c r="E140" s="1">
        <x:v>100</x:v>
      </x:c>
      <x:c r="F140" s="1" t="n">
        <x:f>IF(D140="",VLOOKUP(C140,dish_base!$B$4:$O$82,13,FALSE),VLOOKUP(C140,dish_base!$B$4:$O$82,14,FALSE))</x:f>
        <x:v>90</x:v>
      </x:c>
      <x:c r="G140" s="35" t="str">
        <x:f>IF(D140="",VLOOKUP(C140,dish_base!$B$4:$O$82,11,FALSE),VLOOKUP(C140,dish_base!$B$4:$O$82,12,FALSE))</x:f>
        <x:v>50,90</x:v>
      </x:c>
      <x:c r="H140" s="1" t="s">
        <x:v>186</x:v>
      </x:c>
      <x:c r="I140"/>
      <x:c r="J140" t="s">
        <x:v>115</x:v>
      </x:c>
    </x:row>
    <x:row r="141">
      <x:c r="A141"/>
      <x:c r="B141" s="1" t="str">
        <x:f t="shared" si="3"/>
        <x:v>cake_roll</x:v>
      </x:c>
      <x:c r="C141" s="8" t="s">
        <x:v>117</x:v>
      </x:c>
      <x:c r="E141" s="1">
        <x:v>1200</x:v>
      </x:c>
      <x:c r="F141" s="1" t="n">
        <x:f>IF(D141="",VLOOKUP(C141,dish_base!$B$4:$O$82,13,FALSE),VLOOKUP(C141,dish_base!$B$4:$O$82,14,FALSE))</x:f>
        <x:v>45</x:v>
      </x:c>
      <x:c r="G141" s="35" t="str">
        <x:f>IF(D141="",VLOOKUP(C141,dish_base!$B$4:$O$82,11,FALSE),VLOOKUP(C141,dish_base!$B$4:$O$82,12,FALSE))</x:f>
        <x:v>20,60</x:v>
      </x:c>
      <x:c r="H141" s="1" t="s">
        <x:v>186</x:v>
      </x:c>
      <x:c r="I141"/>
      <x:c r="J141" t="s">
        <x:v>118</x:v>
      </x:c>
    </x:row>
    <x:row r="142">
      <x:c r="A142"/>
      <x:c r="B142" s="1" t="str">
        <x:f t="shared" si="3"/>
        <x:v>cake_rollt_sweet</x:v>
      </x:c>
      <x:c r="C142" s="8" t="s">
        <x:v>117</x:v>
      </x:c>
      <x:c r="D142" s="1" t="s">
        <x:v>187</x:v>
      </x:c>
      <x:c r="E142" s="1">
        <x:v>100</x:v>
      </x:c>
      <x:c r="F142" s="1" t="n">
        <x:f>IF(D142="",VLOOKUP(C142,dish_base!$B$4:$O$82,13,FALSE),VLOOKUP(C142,dish_base!$B$4:$O$82,14,FALSE))</x:f>
        <x:v>90</x:v>
      </x:c>
      <x:c r="G142" s="35" t="str">
        <x:f>IF(D142="",VLOOKUP(C142,dish_base!$B$4:$O$82,11,FALSE),VLOOKUP(C142,dish_base!$B$4:$O$82,12,FALSE))</x:f>
        <x:v>50,90</x:v>
      </x:c>
      <x:c r="H142" s="1" t="s">
        <x:v>186</x:v>
      </x:c>
      <x:c r="I142"/>
      <x:c r="J142" t="s">
        <x:v>118</x:v>
      </x:c>
    </x:row>
    <x:row r="143">
      <x:c r="A143"/>
      <x:c r="B143" s="1" t="str">
        <x:f t="shared" si="3"/>
        <x:v>cake_rollt_sour</x:v>
      </x:c>
      <x:c r="C143" s="8" t="s">
        <x:v>117</x:v>
      </x:c>
      <x:c r="D143" s="1" t="s">
        <x:v>188</x:v>
      </x:c>
      <x:c r="E143" s="1">
        <x:v>100</x:v>
      </x:c>
      <x:c r="F143" s="1" t="n">
        <x:f>IF(D143="",VLOOKUP(C143,dish_base!$B$4:$O$82,13,FALSE),VLOOKUP(C143,dish_base!$B$4:$O$82,14,FALSE))</x:f>
        <x:v>90</x:v>
      </x:c>
      <x:c r="G143" s="35" t="str">
        <x:f>IF(D143="",VLOOKUP(C143,dish_base!$B$4:$O$82,11,FALSE),VLOOKUP(C143,dish_base!$B$4:$O$82,12,FALSE))</x:f>
        <x:v>50,90</x:v>
      </x:c>
      <x:c r="H143" s="1" t="s">
        <x:v>186</x:v>
      </x:c>
      <x:c r="I143"/>
      <x:c r="J143" t="s">
        <x:v>118</x:v>
      </x:c>
    </x:row>
    <x:row r="144">
      <x:c r="A144"/>
      <x:c r="B144" s="1" t="str">
        <x:f t="shared" si="3"/>
        <x:v>cake_rollt_salty</x:v>
      </x:c>
      <x:c r="C144" s="8" t="s">
        <x:v>117</x:v>
      </x:c>
      <x:c r="D144" s="1" t="s">
        <x:v>189</x:v>
      </x:c>
      <x:c r="E144" s="1">
        <x:v>100</x:v>
      </x:c>
      <x:c r="F144" s="1" t="n">
        <x:f>IF(D144="",VLOOKUP(C144,dish_base!$B$4:$O$82,13,FALSE),VLOOKUP(C144,dish_base!$B$4:$O$82,14,FALSE))</x:f>
        <x:v>90</x:v>
      </x:c>
      <x:c r="G144" s="35" t="str">
        <x:f>IF(D144="",VLOOKUP(C144,dish_base!$B$4:$O$82,11,FALSE),VLOOKUP(C144,dish_base!$B$4:$O$82,12,FALSE))</x:f>
        <x:v>50,90</x:v>
      </x:c>
      <x:c r="H144" s="1" t="s">
        <x:v>186</x:v>
      </x:c>
      <x:c r="I144"/>
      <x:c r="J144" t="s">
        <x:v>118</x:v>
      </x:c>
    </x:row>
    <x:row r="145">
      <x:c r="A145"/>
      <x:c r="B145" s="1" t="str">
        <x:f t="shared" si="3"/>
        <x:v>cake_rollt_bitter</x:v>
      </x:c>
      <x:c r="C145" s="8" t="s">
        <x:v>117</x:v>
      </x:c>
      <x:c r="D145" s="1" t="s">
        <x:v>190</x:v>
      </x:c>
      <x:c r="E145" s="1">
        <x:v>100</x:v>
      </x:c>
      <x:c r="F145" s="1" t="n">
        <x:f>IF(D145="",VLOOKUP(C145,dish_base!$B$4:$O$82,13,FALSE),VLOOKUP(C145,dish_base!$B$4:$O$82,14,FALSE))</x:f>
        <x:v>90</x:v>
      </x:c>
      <x:c r="G145" s="35" t="str">
        <x:f>IF(D145="",VLOOKUP(C145,dish_base!$B$4:$O$82,11,FALSE),VLOOKUP(C145,dish_base!$B$4:$O$82,12,FALSE))</x:f>
        <x:v>50,90</x:v>
      </x:c>
      <x:c r="H145" s="1" t="s">
        <x:v>186</x:v>
      </x:c>
      <x:c r="I145"/>
      <x:c r="J145" t="s">
        <x:v>118</x:v>
      </x:c>
    </x:row>
    <x:row r="146">
      <x:c r="A146"/>
      <x:c r="B146" s="1" t="str">
        <x:f t="shared" si="3"/>
        <x:v>cake_rollt_numb</x:v>
      </x:c>
      <x:c r="C146" s="8" t="s">
        <x:v>117</x:v>
      </x:c>
      <x:c r="D146" s="1" t="s">
        <x:v>191</x:v>
      </x:c>
      <x:c r="E146" s="1">
        <x:v>100</x:v>
      </x:c>
      <x:c r="F146" s="1" t="n">
        <x:f>IF(D146="",VLOOKUP(C146,dish_base!$B$4:$O$82,13,FALSE),VLOOKUP(C146,dish_base!$B$4:$O$82,14,FALSE))</x:f>
        <x:v>90</x:v>
      </x:c>
      <x:c r="G146" s="35" t="str">
        <x:f>IF(D146="",VLOOKUP(C146,dish_base!$B$4:$O$82,11,FALSE),VLOOKUP(C146,dish_base!$B$4:$O$82,12,FALSE))</x:f>
        <x:v>50,90</x:v>
      </x:c>
      <x:c r="H146" s="1" t="s">
        <x:v>186</x:v>
      </x:c>
      <x:c r="I146"/>
      <x:c r="J146" t="s">
        <x:v>118</x:v>
      </x:c>
    </x:row>
    <x:row r="147">
      <x:c r="A147"/>
      <x:c r="B147" s="1" t="str">
        <x:f t="shared" si="3"/>
        <x:v>cake_rollt_rust</x:v>
      </x:c>
      <x:c r="C147" s="8" t="s">
        <x:v>117</x:v>
      </x:c>
      <x:c r="D147" s="1" t="s">
        <x:v>192</x:v>
      </x:c>
      <x:c r="E147" s="1">
        <x:v>100</x:v>
      </x:c>
      <x:c r="F147" s="1" t="n">
        <x:f>IF(D147="",VLOOKUP(C147,dish_base!$B$4:$O$82,13,FALSE),VLOOKUP(C147,dish_base!$B$4:$O$82,14,FALSE))</x:f>
        <x:v>90</x:v>
      </x:c>
      <x:c r="G147" s="35" t="str">
        <x:f>IF(D147="",VLOOKUP(C147,dish_base!$B$4:$O$82,11,FALSE),VLOOKUP(C147,dish_base!$B$4:$O$82,12,FALSE))</x:f>
        <x:v>50,90</x:v>
      </x:c>
      <x:c r="H147" s="1" t="s">
        <x:v>186</x:v>
      </x:c>
      <x:c r="I147"/>
      <x:c r="J147" t="s">
        <x:v>118</x:v>
      </x:c>
    </x:row>
    <x:row r="148">
      <x:c r="A148"/>
      <x:c r="B148" s="1" t="str">
        <x:f t="shared" si="3"/>
        <x:v>palmier</x:v>
      </x:c>
      <x:c r="C148" s="8" t="s">
        <x:v>120</x:v>
      </x:c>
      <x:c r="E148" s="1">
        <x:v>1200</x:v>
      </x:c>
      <x:c r="F148" s="1" t="n">
        <x:f>IF(D148="",VLOOKUP(C148,dish_base!$B$4:$O$82,13,FALSE),VLOOKUP(C148,dish_base!$B$4:$O$82,14,FALSE))</x:f>
        <x:v>45</x:v>
      </x:c>
      <x:c r="G148" s="35" t="str">
        <x:f>IF(D148="",VLOOKUP(C148,dish_base!$B$4:$O$82,11,FALSE),VLOOKUP(C148,dish_base!$B$4:$O$82,12,FALSE))</x:f>
        <x:v>20,60</x:v>
      </x:c>
      <x:c r="H148" s="1" t="s">
        <x:v>186</x:v>
      </x:c>
      <x:c r="I148"/>
      <x:c r="J148" t="s">
        <x:v>121</x:v>
      </x:c>
    </x:row>
    <x:row r="149">
      <x:c r="A149"/>
      <x:c r="B149" s="1" t="str">
        <x:f t="shared" si="3"/>
        <x:v>palmiert_sweet</x:v>
      </x:c>
      <x:c r="C149" s="1" t="s">
        <x:v>120</x:v>
      </x:c>
      <x:c r="D149" s="1" t="s">
        <x:v>187</x:v>
      </x:c>
      <x:c r="E149" s="1">
        <x:v>100</x:v>
      </x:c>
      <x:c r="F149" s="1" t="n">
        <x:f>IF(D149="",VLOOKUP(C149,dish_base!$B$4:$O$82,13,FALSE),VLOOKUP(C149,dish_base!$B$4:$O$82,14,FALSE))</x:f>
        <x:v>90</x:v>
      </x:c>
      <x:c r="G149" s="35" t="str">
        <x:f>IF(D149="",VLOOKUP(C149,dish_base!$B$4:$O$82,11,FALSE),VLOOKUP(C149,dish_base!$B$4:$O$82,12,FALSE))</x:f>
        <x:v>50,90</x:v>
      </x:c>
      <x:c r="H149" s="1" t="s">
        <x:v>186</x:v>
      </x:c>
      <x:c r="I149"/>
      <x:c r="J149" t="s">
        <x:v>121</x:v>
      </x:c>
    </x:row>
    <x:row r="150">
      <x:c r="A150"/>
      <x:c r="B150" s="1" t="str">
        <x:f t="shared" si="3"/>
        <x:v>palmiert_sour</x:v>
      </x:c>
      <x:c r="C150" s="1" t="s">
        <x:v>120</x:v>
      </x:c>
      <x:c r="D150" s="1" t="s">
        <x:v>188</x:v>
      </x:c>
      <x:c r="E150" s="1">
        <x:v>100</x:v>
      </x:c>
      <x:c r="F150" s="1" t="n">
        <x:f>IF(D150="",VLOOKUP(C150,dish_base!$B$4:$O$82,13,FALSE),VLOOKUP(C150,dish_base!$B$4:$O$82,14,FALSE))</x:f>
        <x:v>90</x:v>
      </x:c>
      <x:c r="G150" s="35" t="str">
        <x:f>IF(D150="",VLOOKUP(C150,dish_base!$B$4:$O$82,11,FALSE),VLOOKUP(C150,dish_base!$B$4:$O$82,12,FALSE))</x:f>
        <x:v>50,90</x:v>
      </x:c>
      <x:c r="H150" s="1" t="s">
        <x:v>186</x:v>
      </x:c>
      <x:c r="I150"/>
      <x:c r="J150" t="s">
        <x:v>121</x:v>
      </x:c>
    </x:row>
    <x:row r="151">
      <x:c r="A151"/>
      <x:c r="B151" s="1" t="str">
        <x:f t="shared" si="3"/>
        <x:v>palmiert_salty</x:v>
      </x:c>
      <x:c r="C151" s="1" t="s">
        <x:v>120</x:v>
      </x:c>
      <x:c r="D151" s="1" t="s">
        <x:v>189</x:v>
      </x:c>
      <x:c r="E151" s="1">
        <x:v>100</x:v>
      </x:c>
      <x:c r="F151" s="1" t="n">
        <x:f>IF(D151="",VLOOKUP(C151,dish_base!$B$4:$O$82,13,FALSE),VLOOKUP(C151,dish_base!$B$4:$O$82,14,FALSE))</x:f>
        <x:v>90</x:v>
      </x:c>
      <x:c r="G151" s="35" t="str">
        <x:f>IF(D151="",VLOOKUP(C151,dish_base!$B$4:$O$82,11,FALSE),VLOOKUP(C151,dish_base!$B$4:$O$82,12,FALSE))</x:f>
        <x:v>50,90</x:v>
      </x:c>
      <x:c r="H151" s="1" t="s">
        <x:v>186</x:v>
      </x:c>
      <x:c r="I151"/>
      <x:c r="J151" t="s">
        <x:v>121</x:v>
      </x:c>
    </x:row>
    <x:row r="152">
      <x:c r="A152"/>
      <x:c r="B152" s="1" t="str">
        <x:f t="shared" si="3"/>
        <x:v>palmiert_bitter</x:v>
      </x:c>
      <x:c r="C152" s="1" t="s">
        <x:v>120</x:v>
      </x:c>
      <x:c r="D152" s="1" t="s">
        <x:v>190</x:v>
      </x:c>
      <x:c r="E152" s="1">
        <x:v>100</x:v>
      </x:c>
      <x:c r="F152" s="1" t="n">
        <x:f>IF(D152="",VLOOKUP(C152,dish_base!$B$4:$O$82,13,FALSE),VLOOKUP(C152,dish_base!$B$4:$O$82,14,FALSE))</x:f>
        <x:v>90</x:v>
      </x:c>
      <x:c r="G152" s="35" t="str">
        <x:f>IF(D152="",VLOOKUP(C152,dish_base!$B$4:$O$82,11,FALSE),VLOOKUP(C152,dish_base!$B$4:$O$82,12,FALSE))</x:f>
        <x:v>50,90</x:v>
      </x:c>
      <x:c r="H152" s="1" t="s">
        <x:v>186</x:v>
      </x:c>
      <x:c r="I152"/>
      <x:c r="J152" t="s">
        <x:v>121</x:v>
      </x:c>
    </x:row>
    <x:row r="153">
      <x:c r="A153"/>
      <x:c r="B153" s="1" t="str">
        <x:f t="shared" si="3"/>
        <x:v>palmiert_numb</x:v>
      </x:c>
      <x:c r="C153" s="1" t="s">
        <x:v>120</x:v>
      </x:c>
      <x:c r="D153" s="1" t="s">
        <x:v>191</x:v>
      </x:c>
      <x:c r="E153" s="1">
        <x:v>100</x:v>
      </x:c>
      <x:c r="F153" s="1" t="n">
        <x:f>IF(D153="",VLOOKUP(C153,dish_base!$B$4:$O$82,13,FALSE),VLOOKUP(C153,dish_base!$B$4:$O$82,14,FALSE))</x:f>
        <x:v>90</x:v>
      </x:c>
      <x:c r="G153" s="35" t="str">
        <x:f>IF(D153="",VLOOKUP(C153,dish_base!$B$4:$O$82,11,FALSE),VLOOKUP(C153,dish_base!$B$4:$O$82,12,FALSE))</x:f>
        <x:v>50,90</x:v>
      </x:c>
      <x:c r="H153" s="1" t="s">
        <x:v>186</x:v>
      </x:c>
      <x:c r="I153"/>
      <x:c r="J153" t="s">
        <x:v>121</x:v>
      </x:c>
    </x:row>
    <x:row r="154">
      <x:c r="A154"/>
      <x:c r="B154" s="1" t="str">
        <x:f t="shared" si="3"/>
        <x:v>palmiert_rust</x:v>
      </x:c>
      <x:c r="C154" s="1" t="s">
        <x:v>120</x:v>
      </x:c>
      <x:c r="D154" s="1" t="s">
        <x:v>192</x:v>
      </x:c>
      <x:c r="E154" s="1">
        <x:v>100</x:v>
      </x:c>
      <x:c r="F154" s="1" t="n">
        <x:f>IF(D154="",VLOOKUP(C154,dish_base!$B$4:$O$82,13,FALSE),VLOOKUP(C154,dish_base!$B$4:$O$82,14,FALSE))</x:f>
        <x:v>90</x:v>
      </x:c>
      <x:c r="G154" s="35" t="str">
        <x:f>IF(D154="",VLOOKUP(C154,dish_base!$B$4:$O$82,11,FALSE),VLOOKUP(C154,dish_base!$B$4:$O$82,12,FALSE))</x:f>
        <x:v>50,90</x:v>
      </x:c>
      <x:c r="H154" s="1" t="s">
        <x:v>186</x:v>
      </x:c>
      <x:c r="I154"/>
      <x:c r="J154" t="s">
        <x:v>121</x:v>
      </x:c>
    </x:row>
    <x:row r="155">
      <x:c r="A155"/>
      <x:c r="B155" s="1" t="str">
        <x:f t="shared" si="3"/>
        <x:v>chiffion</x:v>
      </x:c>
      <x:c r="C155" s="1" t="s">
        <x:v>124</x:v>
      </x:c>
      <x:c r="E155" s="1">
        <x:v>1200</x:v>
      </x:c>
      <x:c r="F155" s="1" t="n">
        <x:f>IF(D155="",VLOOKUP(C155,dish_base!$B$4:$O$82,13,FALSE),VLOOKUP(C155,dish_base!$B$4:$O$82,14,FALSE))</x:f>
        <x:v>60</x:v>
      </x:c>
      <x:c r="G155" s="35" t="str">
        <x:f>IF(D155="",VLOOKUP(C155,dish_base!$B$4:$O$82,11,FALSE),VLOOKUP(C155,dish_base!$B$4:$O$82,12,FALSE))</x:f>
        <x:v>30,75</x:v>
      </x:c>
      <x:c r="H155" s="1" t="s">
        <x:v>186</x:v>
      </x:c>
      <x:c r="I155"/>
      <x:c r="J155" t="s">
        <x:v>125</x:v>
      </x:c>
    </x:row>
    <x:row r="156">
      <x:c r="A156"/>
      <x:c r="B156" s="1" t="str">
        <x:f t="shared" si="3"/>
        <x:v>chiffiont_sweet</x:v>
      </x:c>
      <x:c r="C156" s="1" t="s">
        <x:v>124</x:v>
      </x:c>
      <x:c r="D156" s="1" t="s">
        <x:v>187</x:v>
      </x:c>
      <x:c r="E156" s="1">
        <x:v>100</x:v>
      </x:c>
      <x:c r="F156" s="1" t="n">
        <x:f>IF(D156="",VLOOKUP(C156,dish_base!$B$4:$O$82,13,FALSE),VLOOKUP(C156,dish_base!$B$4:$O$82,14,FALSE))</x:f>
        <x:v>110</x:v>
      </x:c>
      <x:c r="G156" s="35" t="str">
        <x:f>IF(D156="",VLOOKUP(C156,dish_base!$B$4:$O$82,11,FALSE),VLOOKUP(C156,dish_base!$B$4:$O$82,12,FALSE))</x:f>
        <x:v>55,100</x:v>
      </x:c>
      <x:c r="H156" s="1" t="s">
        <x:v>186</x:v>
      </x:c>
      <x:c r="I156"/>
      <x:c r="J156" t="s">
        <x:v>125</x:v>
      </x:c>
    </x:row>
    <x:row r="157">
      <x:c r="A157"/>
      <x:c r="B157" s="1" t="str">
        <x:f t="shared" si="3"/>
        <x:v>chiffiont_sour</x:v>
      </x:c>
      <x:c r="C157" s="1" t="s">
        <x:v>124</x:v>
      </x:c>
      <x:c r="D157" s="1" t="s">
        <x:v>188</x:v>
      </x:c>
      <x:c r="E157" s="1">
        <x:v>100</x:v>
      </x:c>
      <x:c r="F157" s="1" t="n">
        <x:f>IF(D157="",VLOOKUP(C157,dish_base!$B$4:$O$82,13,FALSE),VLOOKUP(C157,dish_base!$B$4:$O$82,14,FALSE))</x:f>
        <x:v>110</x:v>
      </x:c>
      <x:c r="G157" s="35" t="str">
        <x:f>IF(D157="",VLOOKUP(C157,dish_base!$B$4:$O$82,11,FALSE),VLOOKUP(C157,dish_base!$B$4:$O$82,12,FALSE))</x:f>
        <x:v>55,100</x:v>
      </x:c>
      <x:c r="H157" s="1" t="s">
        <x:v>186</x:v>
      </x:c>
      <x:c r="I157"/>
      <x:c r="J157" t="s">
        <x:v>125</x:v>
      </x:c>
    </x:row>
    <x:row r="158">
      <x:c r="A158"/>
      <x:c r="B158" s="1" t="str">
        <x:f t="shared" si="3"/>
        <x:v>chiffiont_salty</x:v>
      </x:c>
      <x:c r="C158" s="1" t="s">
        <x:v>124</x:v>
      </x:c>
      <x:c r="D158" s="1" t="s">
        <x:v>189</x:v>
      </x:c>
      <x:c r="E158" s="1">
        <x:v>100</x:v>
      </x:c>
      <x:c r="F158" s="1" t="n">
        <x:f>IF(D158="",VLOOKUP(C158,dish_base!$B$4:$O$82,13,FALSE),VLOOKUP(C158,dish_base!$B$4:$O$82,14,FALSE))</x:f>
        <x:v>110</x:v>
      </x:c>
      <x:c r="G158" s="35" t="str">
        <x:f>IF(D158="",VLOOKUP(C158,dish_base!$B$4:$O$82,11,FALSE),VLOOKUP(C158,dish_base!$B$4:$O$82,12,FALSE))</x:f>
        <x:v>55,100</x:v>
      </x:c>
      <x:c r="H158" s="1" t="s">
        <x:v>186</x:v>
      </x:c>
      <x:c r="I158"/>
      <x:c r="J158" t="s">
        <x:v>125</x:v>
      </x:c>
    </x:row>
    <x:row r="159">
      <x:c r="A159"/>
      <x:c r="B159" s="1" t="str">
        <x:f t="shared" si="3"/>
        <x:v>chiffiont_bitter</x:v>
      </x:c>
      <x:c r="C159" s="1" t="s">
        <x:v>124</x:v>
      </x:c>
      <x:c r="D159" s="1" t="s">
        <x:v>190</x:v>
      </x:c>
      <x:c r="E159" s="1">
        <x:v>100</x:v>
      </x:c>
      <x:c r="F159" s="1" t="n">
        <x:f>IF(D159="",VLOOKUP(C159,dish_base!$B$4:$O$82,13,FALSE),VLOOKUP(C159,dish_base!$B$4:$O$82,14,FALSE))</x:f>
        <x:v>110</x:v>
      </x:c>
      <x:c r="G159" s="35" t="str">
        <x:f>IF(D159="",VLOOKUP(C159,dish_base!$B$4:$O$82,11,FALSE),VLOOKUP(C159,dish_base!$B$4:$O$82,12,FALSE))</x:f>
        <x:v>55,100</x:v>
      </x:c>
      <x:c r="H159" s="1" t="s">
        <x:v>186</x:v>
      </x:c>
      <x:c r="I159"/>
      <x:c r="J159" t="s">
        <x:v>125</x:v>
      </x:c>
    </x:row>
    <x:row r="160">
      <x:c r="A160"/>
      <x:c r="B160" s="1" t="str">
        <x:f t="shared" si="3"/>
        <x:v>chiffiont_numb</x:v>
      </x:c>
      <x:c r="C160" s="1" t="s">
        <x:v>124</x:v>
      </x:c>
      <x:c r="D160" s="1" t="s">
        <x:v>191</x:v>
      </x:c>
      <x:c r="E160" s="1">
        <x:v>100</x:v>
      </x:c>
      <x:c r="F160" s="1" t="n">
        <x:f>IF(D160="",VLOOKUP(C160,dish_base!$B$4:$O$82,13,FALSE),VLOOKUP(C160,dish_base!$B$4:$O$82,14,FALSE))</x:f>
        <x:v>110</x:v>
      </x:c>
      <x:c r="G160" s="35" t="str">
        <x:f>IF(D160="",VLOOKUP(C160,dish_base!$B$4:$O$82,11,FALSE),VLOOKUP(C160,dish_base!$B$4:$O$82,12,FALSE))</x:f>
        <x:v>55,100</x:v>
      </x:c>
      <x:c r="H160" s="1" t="s">
        <x:v>186</x:v>
      </x:c>
      <x:c r="I160"/>
      <x:c r="J160" t="s">
        <x:v>125</x:v>
      </x:c>
    </x:row>
    <x:row r="161">
      <x:c r="A161"/>
      <x:c r="B161" s="1" t="str">
        <x:f t="shared" si="3"/>
        <x:v>chiffiont_rust</x:v>
      </x:c>
      <x:c r="C161" s="1" t="s">
        <x:v>124</x:v>
      </x:c>
      <x:c r="D161" s="1" t="s">
        <x:v>192</x:v>
      </x:c>
      <x:c r="E161" s="1">
        <x:v>100</x:v>
      </x:c>
      <x:c r="F161" s="1" t="n">
        <x:f>IF(D161="",VLOOKUP(C161,dish_base!$B$4:$O$82,13,FALSE),VLOOKUP(C161,dish_base!$B$4:$O$82,14,FALSE))</x:f>
        <x:v>110</x:v>
      </x:c>
      <x:c r="G161" s="35" t="str">
        <x:f>IF(D161="",VLOOKUP(C161,dish_base!$B$4:$O$82,11,FALSE),VLOOKUP(C161,dish_base!$B$4:$O$82,12,FALSE))</x:f>
        <x:v>55,100</x:v>
      </x:c>
      <x:c r="H161" s="1" t="s">
        <x:v>186</x:v>
      </x:c>
      <x:c r="I161"/>
      <x:c r="J161" t="s">
        <x:v>125</x:v>
      </x:c>
    </x:row>
    <x:row r="162">
      <x:c r="A162"/>
      <x:c r="B162" s="1" t="str">
        <x:f t="shared" si="3"/>
        <x:v>maple_sugar</x:v>
      </x:c>
      <x:c r="C162" s="1" t="s">
        <x:v>127</x:v>
      </x:c>
      <x:c r="E162" s="1">
        <x:v>1200</x:v>
      </x:c>
      <x:c r="F162" s="1" t="n">
        <x:f>IF(D162="",VLOOKUP(C162,dish_base!$B$4:$O$82,13,FALSE),VLOOKUP(C162,dish_base!$B$4:$O$82,14,FALSE))</x:f>
        <x:v>60</x:v>
      </x:c>
      <x:c r="G162" s="35" t="str">
        <x:f>IF(D162="",VLOOKUP(C162,dish_base!$B$4:$O$82,11,FALSE),VLOOKUP(C162,dish_base!$B$4:$O$82,12,FALSE))</x:f>
        <x:v>30,75</x:v>
      </x:c>
      <x:c r="H162" s="1" t="s">
        <x:v>186</x:v>
      </x:c>
      <x:c r="I162"/>
      <x:c r="J162" t="s">
        <x:v>128</x:v>
      </x:c>
    </x:row>
    <x:row r="163">
      <x:c r="A163"/>
      <x:c r="B163" s="1" t="str">
        <x:f t="shared" si="3"/>
        <x:v>maple_sugart_sweet</x:v>
      </x:c>
      <x:c r="C163" s="1" t="s">
        <x:v>127</x:v>
      </x:c>
      <x:c r="D163" s="1" t="s">
        <x:v>187</x:v>
      </x:c>
      <x:c r="E163" s="1">
        <x:v>100</x:v>
      </x:c>
      <x:c r="F163" s="1" t="n">
        <x:f>IF(D163="",VLOOKUP(C163,dish_base!$B$4:$O$82,13,FALSE),VLOOKUP(C163,dish_base!$B$4:$O$82,14,FALSE))</x:f>
        <x:v>110</x:v>
      </x:c>
      <x:c r="G163" s="35" t="str">
        <x:f>IF(D163="",VLOOKUP(C163,dish_base!$B$4:$O$82,11,FALSE),VLOOKUP(C163,dish_base!$B$4:$O$82,12,FALSE))</x:f>
        <x:v>55,100</x:v>
      </x:c>
      <x:c r="H163" s="1" t="s">
        <x:v>186</x:v>
      </x:c>
      <x:c r="I163"/>
      <x:c r="J163" t="s">
        <x:v>128</x:v>
      </x:c>
    </x:row>
    <x:row r="164">
      <x:c r="A164"/>
      <x:c r="B164" s="1" t="str">
        <x:f t="shared" si="3"/>
        <x:v>maple_sugart_sour</x:v>
      </x:c>
      <x:c r="C164" s="1" t="s">
        <x:v>127</x:v>
      </x:c>
      <x:c r="D164" s="1" t="s">
        <x:v>188</x:v>
      </x:c>
      <x:c r="E164" s="1">
        <x:v>100</x:v>
      </x:c>
      <x:c r="F164" s="1" t="n">
        <x:f>IF(D164="",VLOOKUP(C164,dish_base!$B$4:$O$82,13,FALSE),VLOOKUP(C164,dish_base!$B$4:$O$82,14,FALSE))</x:f>
        <x:v>110</x:v>
      </x:c>
      <x:c r="G164" s="35" t="str">
        <x:f>IF(D164="",VLOOKUP(C164,dish_base!$B$4:$O$82,11,FALSE),VLOOKUP(C164,dish_base!$B$4:$O$82,12,FALSE))</x:f>
        <x:v>55,100</x:v>
      </x:c>
      <x:c r="H164" s="1" t="s">
        <x:v>186</x:v>
      </x:c>
      <x:c r="I164"/>
      <x:c r="J164" t="s">
        <x:v>128</x:v>
      </x:c>
    </x:row>
    <x:row r="165">
      <x:c r="A165"/>
      <x:c r="B165" s="1" t="str">
        <x:f t="shared" si="3"/>
        <x:v>maple_sugart_salty</x:v>
      </x:c>
      <x:c r="C165" s="1" t="s">
        <x:v>127</x:v>
      </x:c>
      <x:c r="D165" s="1" t="s">
        <x:v>189</x:v>
      </x:c>
      <x:c r="E165" s="1">
        <x:v>100</x:v>
      </x:c>
      <x:c r="F165" s="1" t="n">
        <x:f>IF(D165="",VLOOKUP(C165,dish_base!$B$4:$O$82,13,FALSE),VLOOKUP(C165,dish_base!$B$4:$O$82,14,FALSE))</x:f>
        <x:v>110</x:v>
      </x:c>
      <x:c r="G165" s="35" t="str">
        <x:f>IF(D165="",VLOOKUP(C165,dish_base!$B$4:$O$82,11,FALSE),VLOOKUP(C165,dish_base!$B$4:$O$82,12,FALSE))</x:f>
        <x:v>55,100</x:v>
      </x:c>
      <x:c r="H165" s="1" t="s">
        <x:v>186</x:v>
      </x:c>
      <x:c r="I165"/>
      <x:c r="J165" t="s">
        <x:v>128</x:v>
      </x:c>
    </x:row>
    <x:row r="166">
      <x:c r="A166"/>
      <x:c r="B166" s="1" t="str">
        <x:f t="shared" si="3"/>
        <x:v>maple_sugart_bitter</x:v>
      </x:c>
      <x:c r="C166" s="1" t="s">
        <x:v>127</x:v>
      </x:c>
      <x:c r="D166" s="1" t="s">
        <x:v>190</x:v>
      </x:c>
      <x:c r="E166" s="1">
        <x:v>100</x:v>
      </x:c>
      <x:c r="F166" s="1" t="n">
        <x:f>IF(D166="",VLOOKUP(C166,dish_base!$B$4:$O$82,13,FALSE),VLOOKUP(C166,dish_base!$B$4:$O$82,14,FALSE))</x:f>
        <x:v>110</x:v>
      </x:c>
      <x:c r="G166" s="35" t="str">
        <x:f>IF(D166="",VLOOKUP(C166,dish_base!$B$4:$O$82,11,FALSE),VLOOKUP(C166,dish_base!$B$4:$O$82,12,FALSE))</x:f>
        <x:v>55,100</x:v>
      </x:c>
      <x:c r="H166" s="1" t="s">
        <x:v>186</x:v>
      </x:c>
      <x:c r="I166"/>
      <x:c r="J166" t="s">
        <x:v>128</x:v>
      </x:c>
    </x:row>
    <x:row r="167">
      <x:c r="A167"/>
      <x:c r="B167" s="1" t="str">
        <x:f t="shared" si="3"/>
        <x:v>maple_sugart_numb</x:v>
      </x:c>
      <x:c r="C167" s="1" t="s">
        <x:v>127</x:v>
      </x:c>
      <x:c r="D167" s="1" t="s">
        <x:v>191</x:v>
      </x:c>
      <x:c r="E167" s="1">
        <x:v>100</x:v>
      </x:c>
      <x:c r="F167" s="1" t="n">
        <x:f>IF(D167="",VLOOKUP(C167,dish_base!$B$4:$O$82,13,FALSE),VLOOKUP(C167,dish_base!$B$4:$O$82,14,FALSE))</x:f>
        <x:v>110</x:v>
      </x:c>
      <x:c r="G167" s="35" t="str">
        <x:f>IF(D167="",VLOOKUP(C167,dish_base!$B$4:$O$82,11,FALSE),VLOOKUP(C167,dish_base!$B$4:$O$82,12,FALSE))</x:f>
        <x:v>55,100</x:v>
      </x:c>
      <x:c r="H167" s="1" t="s">
        <x:v>186</x:v>
      </x:c>
      <x:c r="I167"/>
      <x:c r="J167" t="s">
        <x:v>128</x:v>
      </x:c>
    </x:row>
    <x:row r="168">
      <x:c r="A168"/>
      <x:c r="B168" s="1" t="str">
        <x:f t="shared" si="3"/>
        <x:v>maple_sugart_rust</x:v>
      </x:c>
      <x:c r="C168" s="1" t="s">
        <x:v>127</x:v>
      </x:c>
      <x:c r="D168" s="1" t="s">
        <x:v>192</x:v>
      </x:c>
      <x:c r="E168" s="1">
        <x:v>100</x:v>
      </x:c>
      <x:c r="F168" s="1" t="n">
        <x:f>IF(D168="",VLOOKUP(C168,dish_base!$B$4:$O$82,13,FALSE),VLOOKUP(C168,dish_base!$B$4:$O$82,14,FALSE))</x:f>
        <x:v>110</x:v>
      </x:c>
      <x:c r="G168" s="35" t="str">
        <x:f>IF(D168="",VLOOKUP(C168,dish_base!$B$4:$O$82,11,FALSE),VLOOKUP(C168,dish_base!$B$4:$O$82,12,FALSE))</x:f>
        <x:v>55,100</x:v>
      </x:c>
      <x:c r="H168" s="1" t="s">
        <x:v>186</x:v>
      </x:c>
      <x:c r="I168"/>
      <x:c r="J168" t="s">
        <x:v>128</x:v>
      </x:c>
    </x:row>
    <x:row r="169">
      <x:c r="A169"/>
      <x:c r="B169" s="1" t="str">
        <x:f t="shared" si="3"/>
        <x:v>taosu</x:v>
      </x:c>
      <x:c r="C169" s="1" t="s">
        <x:v>130</x:v>
      </x:c>
      <x:c r="E169" s="1">
        <x:v>1200</x:v>
      </x:c>
      <x:c r="F169" s="1" t="n">
        <x:f>IF(D169="",VLOOKUP(C169,dish_base!$B$4:$O$82,13,FALSE),VLOOKUP(C169,dish_base!$B$4:$O$82,14,FALSE))</x:f>
        <x:v>60</x:v>
      </x:c>
      <x:c r="G169" s="35" t="str">
        <x:f>IF(D169="",VLOOKUP(C169,dish_base!$B$4:$O$82,11,FALSE),VLOOKUP(C169,dish_base!$B$4:$O$82,12,FALSE))</x:f>
        <x:v>30,75</x:v>
      </x:c>
      <x:c r="H169" s="1" t="s">
        <x:v>186</x:v>
      </x:c>
      <x:c r="I169"/>
      <x:c r="J169" t="s">
        <x:v>131</x:v>
      </x:c>
    </x:row>
    <x:row r="170">
      <x:c r="A170"/>
      <x:c r="B170" s="1" t="str">
        <x:f t="shared" si="3"/>
        <x:v>taosut_sweet</x:v>
      </x:c>
      <x:c r="C170" s="1" t="s">
        <x:v>130</x:v>
      </x:c>
      <x:c r="D170" s="1" t="s">
        <x:v>187</x:v>
      </x:c>
      <x:c r="E170" s="1">
        <x:v>100</x:v>
      </x:c>
      <x:c r="F170" s="1" t="n">
        <x:f>IF(D170="",VLOOKUP(C170,dish_base!$B$4:$O$82,13,FALSE),VLOOKUP(C170,dish_base!$B$4:$O$82,14,FALSE))</x:f>
        <x:v>110</x:v>
      </x:c>
      <x:c r="G170" s="35" t="str">
        <x:f>IF(D170="",VLOOKUP(C170,dish_base!$B$4:$O$82,11,FALSE),VLOOKUP(C170,dish_base!$B$4:$O$82,12,FALSE))</x:f>
        <x:v>55,100</x:v>
      </x:c>
      <x:c r="H170" s="1" t="s">
        <x:v>186</x:v>
      </x:c>
      <x:c r="I170"/>
      <x:c r="J170" t="s">
        <x:v>131</x:v>
      </x:c>
    </x:row>
    <x:row r="171">
      <x:c r="A171"/>
      <x:c r="B171" s="1" t="str">
        <x:f t="shared" si="3"/>
        <x:v>taosut_sour</x:v>
      </x:c>
      <x:c r="C171" s="1" t="s">
        <x:v>130</x:v>
      </x:c>
      <x:c r="D171" s="1" t="s">
        <x:v>188</x:v>
      </x:c>
      <x:c r="E171" s="1">
        <x:v>100</x:v>
      </x:c>
      <x:c r="F171" s="1" t="n">
        <x:f>IF(D171="",VLOOKUP(C171,dish_base!$B$4:$O$82,13,FALSE),VLOOKUP(C171,dish_base!$B$4:$O$82,14,FALSE))</x:f>
        <x:v>110</x:v>
      </x:c>
      <x:c r="G171" s="35" t="str">
        <x:f>IF(D171="",VLOOKUP(C171,dish_base!$B$4:$O$82,11,FALSE),VLOOKUP(C171,dish_base!$B$4:$O$82,12,FALSE))</x:f>
        <x:v>55,100</x:v>
      </x:c>
      <x:c r="H171" s="1" t="s">
        <x:v>186</x:v>
      </x:c>
      <x:c r="I171"/>
      <x:c r="J171" t="s">
        <x:v>131</x:v>
      </x:c>
    </x:row>
    <x:row r="172">
      <x:c r="A172"/>
      <x:c r="B172" s="1" t="str">
        <x:f t="shared" si="3"/>
        <x:v>taosut_salty</x:v>
      </x:c>
      <x:c r="C172" s="8" t="s">
        <x:v>130</x:v>
      </x:c>
      <x:c r="D172" s="1" t="s">
        <x:v>189</x:v>
      </x:c>
      <x:c r="E172" s="1">
        <x:v>100</x:v>
      </x:c>
      <x:c r="F172" s="1" t="n">
        <x:f>IF(D172="",VLOOKUP(C172,dish_base!$B$4:$O$82,13,FALSE),VLOOKUP(C172,dish_base!$B$4:$O$82,14,FALSE))</x:f>
        <x:v>110</x:v>
      </x:c>
      <x:c r="G172" s="35" t="str">
        <x:f>IF(D172="",VLOOKUP(C172,dish_base!$B$4:$O$82,11,FALSE),VLOOKUP(C172,dish_base!$B$4:$O$82,12,FALSE))</x:f>
        <x:v>55,100</x:v>
      </x:c>
      <x:c r="H172" s="1" t="s">
        <x:v>186</x:v>
      </x:c>
      <x:c r="I172"/>
      <x:c r="J172" t="s">
        <x:v>131</x:v>
      </x:c>
    </x:row>
    <x:row r="173">
      <x:c r="A173"/>
      <x:c r="B173" s="1" t="str">
        <x:f t="shared" si="3"/>
        <x:v>taosut_bitter</x:v>
      </x:c>
      <x:c r="C173" s="8" t="s">
        <x:v>130</x:v>
      </x:c>
      <x:c r="D173" s="1" t="s">
        <x:v>190</x:v>
      </x:c>
      <x:c r="E173" s="1">
        <x:v>100</x:v>
      </x:c>
      <x:c r="F173" s="1" t="n">
        <x:f>IF(D173="",VLOOKUP(C173,dish_base!$B$4:$O$82,13,FALSE),VLOOKUP(C173,dish_base!$B$4:$O$82,14,FALSE))</x:f>
        <x:v>110</x:v>
      </x:c>
      <x:c r="G173" s="35" t="str">
        <x:f>IF(D173="",VLOOKUP(C173,dish_base!$B$4:$O$82,11,FALSE),VLOOKUP(C173,dish_base!$B$4:$O$82,12,FALSE))</x:f>
        <x:v>55,100</x:v>
      </x:c>
      <x:c r="H173" s="1" t="s">
        <x:v>186</x:v>
      </x:c>
      <x:c r="I173"/>
      <x:c r="J173" t="s">
        <x:v>131</x:v>
      </x:c>
    </x:row>
    <x:row r="174">
      <x:c r="A174"/>
      <x:c r="B174" s="1" t="str">
        <x:f t="shared" ref="B174:B237" si="4">C174&amp;D174</x:f>
        <x:v>taosut_numb</x:v>
      </x:c>
      <x:c r="C174" s="8" t="s">
        <x:v>130</x:v>
      </x:c>
      <x:c r="D174" s="1" t="s">
        <x:v>191</x:v>
      </x:c>
      <x:c r="E174" s="1">
        <x:v>100</x:v>
      </x:c>
      <x:c r="F174" s="1" t="n">
        <x:f>IF(D174="",VLOOKUP(C174,dish_base!$B$4:$O$82,13,FALSE),VLOOKUP(C174,dish_base!$B$4:$O$82,14,FALSE))</x:f>
        <x:v>110</x:v>
      </x:c>
      <x:c r="G174" s="35" t="str">
        <x:f>IF(D174="",VLOOKUP(C174,dish_base!$B$4:$O$82,11,FALSE),VLOOKUP(C174,dish_base!$B$4:$O$82,12,FALSE))</x:f>
        <x:v>55,100</x:v>
      </x:c>
      <x:c r="H174" s="1" t="s">
        <x:v>186</x:v>
      </x:c>
      <x:c r="I174"/>
      <x:c r="J174" t="s">
        <x:v>131</x:v>
      </x:c>
    </x:row>
    <x:row r="175">
      <x:c r="A175"/>
      <x:c r="B175" s="1" t="str">
        <x:f t="shared" si="4"/>
        <x:v>taosut_rust</x:v>
      </x:c>
      <x:c r="C175" s="8" t="s">
        <x:v>130</x:v>
      </x:c>
      <x:c r="D175" s="1" t="s">
        <x:v>192</x:v>
      </x:c>
      <x:c r="E175" s="1">
        <x:v>100</x:v>
      </x:c>
      <x:c r="F175" s="1" t="n">
        <x:f>IF(D175="",VLOOKUP(C175,dish_base!$B$4:$O$82,13,FALSE),VLOOKUP(C175,dish_base!$B$4:$O$82,14,FALSE))</x:f>
        <x:v>110</x:v>
      </x:c>
      <x:c r="G175" s="35" t="str">
        <x:f>IF(D175="",VLOOKUP(C175,dish_base!$B$4:$O$82,11,FALSE),VLOOKUP(C175,dish_base!$B$4:$O$82,12,FALSE))</x:f>
        <x:v>55,100</x:v>
      </x:c>
      <x:c r="H175" s="1" t="s">
        <x:v>186</x:v>
      </x:c>
      <x:c r="I175"/>
      <x:c r="J175" t="s">
        <x:v>131</x:v>
      </x:c>
    </x:row>
    <x:row r="176">
      <x:c r="A176"/>
      <x:c r="B176" s="1" t="str">
        <x:f t="shared" si="4"/>
        <x:v>waffle</x:v>
      </x:c>
      <x:c r="C176" s="8" t="s">
        <x:v>133</x:v>
      </x:c>
      <x:c r="E176" s="1">
        <x:v>1200</x:v>
      </x:c>
      <x:c r="F176" s="1" t="n">
        <x:f>IF(D176="",VLOOKUP(C176,dish_base!$B$4:$O$82,13,FALSE),VLOOKUP(C176,dish_base!$B$4:$O$82,14,FALSE))</x:f>
        <x:v>60</x:v>
      </x:c>
      <x:c r="G176" s="35" t="str">
        <x:f>IF(D176="",VLOOKUP(C176,dish_base!$B$4:$O$82,11,FALSE),VLOOKUP(C176,dish_base!$B$4:$O$82,12,FALSE))</x:f>
        <x:v>30,75</x:v>
      </x:c>
      <x:c r="H176" s="1" t="s">
        <x:v>186</x:v>
      </x:c>
      <x:c r="I176"/>
      <x:c r="J176" t="s">
        <x:v>134</x:v>
      </x:c>
    </x:row>
    <x:row r="177">
      <x:c r="A177"/>
      <x:c r="B177" s="1" t="str">
        <x:f t="shared" si="4"/>
        <x:v>wafflet_sweet</x:v>
      </x:c>
      <x:c r="C177" s="8" t="s">
        <x:v>133</x:v>
      </x:c>
      <x:c r="D177" s="1" t="s">
        <x:v>187</x:v>
      </x:c>
      <x:c r="E177" s="1">
        <x:v>100</x:v>
      </x:c>
      <x:c r="F177" s="1" t="n">
        <x:f>IF(D177="",VLOOKUP(C177,dish_base!$B$4:$O$82,13,FALSE),VLOOKUP(C177,dish_base!$B$4:$O$82,14,FALSE))</x:f>
        <x:v>110</x:v>
      </x:c>
      <x:c r="G177" s="35" t="str">
        <x:f>IF(D177="",VLOOKUP(C177,dish_base!$B$4:$O$82,11,FALSE),VLOOKUP(C177,dish_base!$B$4:$O$82,12,FALSE))</x:f>
        <x:v>55,100</x:v>
      </x:c>
      <x:c r="H177" s="1" t="s">
        <x:v>186</x:v>
      </x:c>
      <x:c r="I177"/>
      <x:c r="J177" t="s">
        <x:v>134</x:v>
      </x:c>
    </x:row>
    <x:row r="178">
      <x:c r="A178"/>
      <x:c r="B178" s="1" t="str">
        <x:f t="shared" si="4"/>
        <x:v>wafflet_sour</x:v>
      </x:c>
      <x:c r="C178" s="8" t="s">
        <x:v>133</x:v>
      </x:c>
      <x:c r="D178" s="1" t="s">
        <x:v>188</x:v>
      </x:c>
      <x:c r="E178" s="1">
        <x:v>100</x:v>
      </x:c>
      <x:c r="F178" s="1" t="n">
        <x:f>IF(D178="",VLOOKUP(C178,dish_base!$B$4:$O$82,13,FALSE),VLOOKUP(C178,dish_base!$B$4:$O$82,14,FALSE))</x:f>
        <x:v>110</x:v>
      </x:c>
      <x:c r="G178" s="35" t="str">
        <x:f>IF(D178="",VLOOKUP(C178,dish_base!$B$4:$O$82,11,FALSE),VLOOKUP(C178,dish_base!$B$4:$O$82,12,FALSE))</x:f>
        <x:v>55,100</x:v>
      </x:c>
      <x:c r="H178" s="1" t="s">
        <x:v>186</x:v>
      </x:c>
      <x:c r="I178"/>
      <x:c r="J178" t="s">
        <x:v>134</x:v>
      </x:c>
    </x:row>
    <x:row r="179">
      <x:c r="A179"/>
      <x:c r="B179" s="1" t="str">
        <x:f t="shared" si="4"/>
        <x:v>wafflet_salty</x:v>
      </x:c>
      <x:c r="C179" s="8" t="s">
        <x:v>133</x:v>
      </x:c>
      <x:c r="D179" s="1" t="s">
        <x:v>189</x:v>
      </x:c>
      <x:c r="E179" s="1">
        <x:v>100</x:v>
      </x:c>
      <x:c r="F179" s="1" t="n">
        <x:f>IF(D179="",VLOOKUP(C179,dish_base!$B$4:$O$82,13,FALSE),VLOOKUP(C179,dish_base!$B$4:$O$82,14,FALSE))</x:f>
        <x:v>110</x:v>
      </x:c>
      <x:c r="G179" s="35" t="str">
        <x:f>IF(D179="",VLOOKUP(C179,dish_base!$B$4:$O$82,11,FALSE),VLOOKUP(C179,dish_base!$B$4:$O$82,12,FALSE))</x:f>
        <x:v>55,100</x:v>
      </x:c>
      <x:c r="H179" s="1" t="s">
        <x:v>186</x:v>
      </x:c>
      <x:c r="I179"/>
      <x:c r="J179" t="s">
        <x:v>134</x:v>
      </x:c>
    </x:row>
    <x:row r="180">
      <x:c r="A180"/>
      <x:c r="B180" s="1" t="str">
        <x:f t="shared" si="4"/>
        <x:v>wafflet_bitter</x:v>
      </x:c>
      <x:c r="C180" s="8" t="s">
        <x:v>133</x:v>
      </x:c>
      <x:c r="D180" s="1" t="s">
        <x:v>190</x:v>
      </x:c>
      <x:c r="E180" s="1">
        <x:v>100</x:v>
      </x:c>
      <x:c r="F180" s="1" t="n">
        <x:f>IF(D180="",VLOOKUP(C180,dish_base!$B$4:$O$82,13,FALSE),VLOOKUP(C180,dish_base!$B$4:$O$82,14,FALSE))</x:f>
        <x:v>110</x:v>
      </x:c>
      <x:c r="G180" s="35" t="str">
        <x:f>IF(D180="",VLOOKUP(C180,dish_base!$B$4:$O$82,11,FALSE),VLOOKUP(C180,dish_base!$B$4:$O$82,12,FALSE))</x:f>
        <x:v>55,100</x:v>
      </x:c>
      <x:c r="H180" s="1" t="s">
        <x:v>186</x:v>
      </x:c>
      <x:c r="I180"/>
      <x:c r="J180" t="s">
        <x:v>134</x:v>
      </x:c>
    </x:row>
    <x:row r="181">
      <x:c r="A181"/>
      <x:c r="B181" s="1" t="str">
        <x:f t="shared" si="4"/>
        <x:v>wafflet_numb</x:v>
      </x:c>
      <x:c r="C181" s="8" t="s">
        <x:v>133</x:v>
      </x:c>
      <x:c r="D181" s="1" t="s">
        <x:v>191</x:v>
      </x:c>
      <x:c r="E181" s="1">
        <x:v>100</x:v>
      </x:c>
      <x:c r="F181" s="1" t="n">
        <x:f>IF(D181="",VLOOKUP(C181,dish_base!$B$4:$O$82,13,FALSE),VLOOKUP(C181,dish_base!$B$4:$O$82,14,FALSE))</x:f>
        <x:v>110</x:v>
      </x:c>
      <x:c r="G181" s="35" t="str">
        <x:f>IF(D181="",VLOOKUP(C181,dish_base!$B$4:$O$82,11,FALSE),VLOOKUP(C181,dish_base!$B$4:$O$82,12,FALSE))</x:f>
        <x:v>55,100</x:v>
      </x:c>
      <x:c r="H181" s="1" t="s">
        <x:v>186</x:v>
      </x:c>
      <x:c r="I181"/>
      <x:c r="J181" t="s">
        <x:v>134</x:v>
      </x:c>
    </x:row>
    <x:row r="182">
      <x:c r="A182"/>
      <x:c r="B182" s="1" t="str">
        <x:f t="shared" si="4"/>
        <x:v>wafflet_rust</x:v>
      </x:c>
      <x:c r="C182" s="8" t="s">
        <x:v>133</x:v>
      </x:c>
      <x:c r="D182" s="1" t="s">
        <x:v>192</x:v>
      </x:c>
      <x:c r="E182" s="1">
        <x:v>100</x:v>
      </x:c>
      <x:c r="F182" s="1" t="n">
        <x:f>IF(D182="",VLOOKUP(C182,dish_base!$B$4:$O$82,13,FALSE),VLOOKUP(C182,dish_base!$B$4:$O$82,14,FALSE))</x:f>
        <x:v>110</x:v>
      </x:c>
      <x:c r="G182" s="35" t="str">
        <x:f>IF(D182="",VLOOKUP(C182,dish_base!$B$4:$O$82,11,FALSE),VLOOKUP(C182,dish_base!$B$4:$O$82,12,FALSE))</x:f>
        <x:v>55,100</x:v>
      </x:c>
      <x:c r="H182" s="1" t="s">
        <x:v>186</x:v>
      </x:c>
      <x:c r="I182"/>
      <x:c r="J182" t="s">
        <x:v>134</x:v>
      </x:c>
    </x:row>
    <x:row r="183">
      <x:c r="A183"/>
      <x:c r="B183" s="1" t="str">
        <x:f t="shared" si="4"/>
        <x:v>cream_cake</x:v>
      </x:c>
      <x:c r="C183" s="8" t="s">
        <x:v>136</x:v>
      </x:c>
      <x:c r="E183" s="1">
        <x:v>1200</x:v>
      </x:c>
      <x:c r="F183" s="1" t="n">
        <x:f>IF(D183="",VLOOKUP(C183,dish_base!$B$4:$O$82,13,FALSE),VLOOKUP(C183,dish_base!$B$4:$O$82,14,FALSE))</x:f>
        <x:v>60</x:v>
      </x:c>
      <x:c r="G183" s="35" t="str">
        <x:f>IF(D183="",VLOOKUP(C183,dish_base!$B$4:$O$82,11,FALSE),VLOOKUP(C183,dish_base!$B$4:$O$82,12,FALSE))</x:f>
        <x:v>30,75</x:v>
      </x:c>
      <x:c r="H183" s="1" t="s">
        <x:v>186</x:v>
      </x:c>
      <x:c r="I183"/>
      <x:c r="J183" t="s">
        <x:v>137</x:v>
      </x:c>
    </x:row>
    <x:row r="184">
      <x:c r="A184"/>
      <x:c r="B184" s="1" t="str">
        <x:f t="shared" si="4"/>
        <x:v>cream_caket_sweet</x:v>
      </x:c>
      <x:c r="C184" s="8" t="s">
        <x:v>136</x:v>
      </x:c>
      <x:c r="D184" s="1" t="s">
        <x:v>187</x:v>
      </x:c>
      <x:c r="E184" s="1">
        <x:v>100</x:v>
      </x:c>
      <x:c r="F184" s="1" t="n">
        <x:f>IF(D184="",VLOOKUP(C184,dish_base!$B$4:$O$82,13,FALSE),VLOOKUP(C184,dish_base!$B$4:$O$82,14,FALSE))</x:f>
        <x:v>110</x:v>
      </x:c>
      <x:c r="G184" s="35" t="str">
        <x:f>IF(D184="",VLOOKUP(C184,dish_base!$B$4:$O$82,11,FALSE),VLOOKUP(C184,dish_base!$B$4:$O$82,12,FALSE))</x:f>
        <x:v>55,100</x:v>
      </x:c>
      <x:c r="H184" s="1" t="s">
        <x:v>186</x:v>
      </x:c>
      <x:c r="I184"/>
      <x:c r="J184" t="s">
        <x:v>137</x:v>
      </x:c>
    </x:row>
    <x:row r="185">
      <x:c r="A185"/>
      <x:c r="B185" s="1" t="str">
        <x:f t="shared" si="4"/>
        <x:v>cream_caket_sour</x:v>
      </x:c>
      <x:c r="C185" s="8" t="s">
        <x:v>136</x:v>
      </x:c>
      <x:c r="D185" s="1" t="s">
        <x:v>188</x:v>
      </x:c>
      <x:c r="E185" s="1">
        <x:v>100</x:v>
      </x:c>
      <x:c r="F185" s="1" t="n">
        <x:f>IF(D185="",VLOOKUP(C185,dish_base!$B$4:$O$82,13,FALSE),VLOOKUP(C185,dish_base!$B$4:$O$82,14,FALSE))</x:f>
        <x:v>110</x:v>
      </x:c>
      <x:c r="G185" s="35" t="str">
        <x:f>IF(D185="",VLOOKUP(C185,dish_base!$B$4:$O$82,11,FALSE),VLOOKUP(C185,dish_base!$B$4:$O$82,12,FALSE))</x:f>
        <x:v>55,100</x:v>
      </x:c>
      <x:c r="H185" s="1" t="s">
        <x:v>186</x:v>
      </x:c>
      <x:c r="I185"/>
      <x:c r="J185" t="s">
        <x:v>137</x:v>
      </x:c>
    </x:row>
    <x:row r="186">
      <x:c r="A186"/>
      <x:c r="B186" s="1" t="str">
        <x:f t="shared" si="4"/>
        <x:v>cream_caket_salty</x:v>
      </x:c>
      <x:c r="C186" s="8" t="s">
        <x:v>136</x:v>
      </x:c>
      <x:c r="D186" s="1" t="s">
        <x:v>189</x:v>
      </x:c>
      <x:c r="E186" s="1">
        <x:v>100</x:v>
      </x:c>
      <x:c r="F186" s="1" t="n">
        <x:f>IF(D186="",VLOOKUP(C186,dish_base!$B$4:$O$82,13,FALSE),VLOOKUP(C186,dish_base!$B$4:$O$82,14,FALSE))</x:f>
        <x:v>110</x:v>
      </x:c>
      <x:c r="G186" s="35" t="str">
        <x:f>IF(D186="",VLOOKUP(C186,dish_base!$B$4:$O$82,11,FALSE),VLOOKUP(C186,dish_base!$B$4:$O$82,12,FALSE))</x:f>
        <x:v>55,100</x:v>
      </x:c>
      <x:c r="H186" s="1" t="s">
        <x:v>186</x:v>
      </x:c>
      <x:c r="I186"/>
      <x:c r="J186" t="s">
        <x:v>137</x:v>
      </x:c>
    </x:row>
    <x:row r="187">
      <x:c r="A187"/>
      <x:c r="B187" s="1" t="str">
        <x:f t="shared" si="4"/>
        <x:v>cream_caket_bitter</x:v>
      </x:c>
      <x:c r="C187" s="8" t="s">
        <x:v>136</x:v>
      </x:c>
      <x:c r="D187" s="1" t="s">
        <x:v>190</x:v>
      </x:c>
      <x:c r="E187" s="1">
        <x:v>100</x:v>
      </x:c>
      <x:c r="F187" s="1" t="n">
        <x:f>IF(D187="",VLOOKUP(C187,dish_base!$B$4:$O$82,13,FALSE),VLOOKUP(C187,dish_base!$B$4:$O$82,14,FALSE))</x:f>
        <x:v>110</x:v>
      </x:c>
      <x:c r="G187" s="35" t="str">
        <x:f>IF(D187="",VLOOKUP(C187,dish_base!$B$4:$O$82,11,FALSE),VLOOKUP(C187,dish_base!$B$4:$O$82,12,FALSE))</x:f>
        <x:v>55,100</x:v>
      </x:c>
      <x:c r="H187" s="1" t="s">
        <x:v>186</x:v>
      </x:c>
      <x:c r="I187"/>
      <x:c r="J187" t="s">
        <x:v>137</x:v>
      </x:c>
    </x:row>
    <x:row r="188">
      <x:c r="A188"/>
      <x:c r="B188" s="1" t="str">
        <x:f t="shared" si="4"/>
        <x:v>cream_caket_numb</x:v>
      </x:c>
      <x:c r="C188" s="8" t="s">
        <x:v>136</x:v>
      </x:c>
      <x:c r="D188" s="1" t="s">
        <x:v>191</x:v>
      </x:c>
      <x:c r="E188" s="1">
        <x:v>100</x:v>
      </x:c>
      <x:c r="F188" s="1" t="n">
        <x:f>IF(D188="",VLOOKUP(C188,dish_base!$B$4:$O$82,13,FALSE),VLOOKUP(C188,dish_base!$B$4:$O$82,14,FALSE))</x:f>
        <x:v>110</x:v>
      </x:c>
      <x:c r="G188" s="35" t="str">
        <x:f>IF(D188="",VLOOKUP(C188,dish_base!$B$4:$O$82,11,FALSE),VLOOKUP(C188,dish_base!$B$4:$O$82,12,FALSE))</x:f>
        <x:v>55,100</x:v>
      </x:c>
      <x:c r="H188" s="1" t="s">
        <x:v>186</x:v>
      </x:c>
      <x:c r="I188"/>
      <x:c r="J188" t="s">
        <x:v>137</x:v>
      </x:c>
    </x:row>
    <x:row r="189">
      <x:c r="A189"/>
      <x:c r="B189" s="1" t="str">
        <x:f t="shared" si="4"/>
        <x:v>cream_caket_rust</x:v>
      </x:c>
      <x:c r="C189" s="8" t="s">
        <x:v>136</x:v>
      </x:c>
      <x:c r="D189" s="1" t="s">
        <x:v>192</x:v>
      </x:c>
      <x:c r="E189" s="1">
        <x:v>100</x:v>
      </x:c>
      <x:c r="F189" s="1" t="n">
        <x:f>IF(D189="",VLOOKUP(C189,dish_base!$B$4:$O$82,13,FALSE),VLOOKUP(C189,dish_base!$B$4:$O$82,14,FALSE))</x:f>
        <x:v>110</x:v>
      </x:c>
      <x:c r="G189" s="35" t="str">
        <x:f>IF(D189="",VLOOKUP(C189,dish_base!$B$4:$O$82,11,FALSE),VLOOKUP(C189,dish_base!$B$4:$O$82,12,FALSE))</x:f>
        <x:v>55,100</x:v>
      </x:c>
      <x:c r="H189" s="1" t="s">
        <x:v>186</x:v>
      </x:c>
      <x:c r="I189"/>
      <x:c r="J189" t="s">
        <x:v>137</x:v>
      </x:c>
    </x:row>
    <x:row r="190">
      <x:c r="A190"/>
      <x:c r="B190" s="1" t="str">
        <x:f t="shared" si="4"/>
        <x:v>candycane</x:v>
      </x:c>
      <x:c r="C190" s="8" t="s">
        <x:v>139</x:v>
      </x:c>
      <x:c r="E190" s="1">
        <x:v>1200</x:v>
      </x:c>
      <x:c r="F190" s="1" t="n">
        <x:f>IF(D190="",VLOOKUP(C190,dish_base!$B$4:$O$82,13,FALSE),VLOOKUP(C190,dish_base!$B$4:$O$82,14,FALSE))</x:f>
        <x:v>60</x:v>
      </x:c>
      <x:c r="G190" s="35" t="str">
        <x:f>IF(D190="",VLOOKUP(C190,dish_base!$B$4:$O$82,11,FALSE),VLOOKUP(C190,dish_base!$B$4:$O$82,12,FALSE))</x:f>
        <x:v>30,75</x:v>
      </x:c>
      <x:c r="H190" s="1" t="s">
        <x:v>186</x:v>
      </x:c>
      <x:c r="I190"/>
      <x:c r="J190" t="s">
        <x:v>140</x:v>
      </x:c>
    </x:row>
    <x:row r="191">
      <x:c r="A191"/>
      <x:c r="B191" s="1" t="str">
        <x:f t="shared" si="4"/>
        <x:v>candycanet_sweet</x:v>
      </x:c>
      <x:c r="C191" s="8" t="s">
        <x:v>139</x:v>
      </x:c>
      <x:c r="D191" s="1" t="s">
        <x:v>187</x:v>
      </x:c>
      <x:c r="E191" s="1">
        <x:v>100</x:v>
      </x:c>
      <x:c r="F191" s="1" t="n">
        <x:f>IF(D191="",VLOOKUP(C191,dish_base!$B$4:$O$82,13,FALSE),VLOOKUP(C191,dish_base!$B$4:$O$82,14,FALSE))</x:f>
        <x:v>110</x:v>
      </x:c>
      <x:c r="G191" s="35" t="str">
        <x:f>IF(D191="",VLOOKUP(C191,dish_base!$B$4:$O$82,11,FALSE),VLOOKUP(C191,dish_base!$B$4:$O$82,12,FALSE))</x:f>
        <x:v>55,100</x:v>
      </x:c>
      <x:c r="H191" s="1" t="s">
        <x:v>186</x:v>
      </x:c>
      <x:c r="I191"/>
      <x:c r="J191" t="s">
        <x:v>140</x:v>
      </x:c>
    </x:row>
    <x:row r="192">
      <x:c r="A192"/>
      <x:c r="B192" s="1" t="str">
        <x:f t="shared" si="4"/>
        <x:v>candycanet_sour</x:v>
      </x:c>
      <x:c r="C192" s="8" t="s">
        <x:v>139</x:v>
      </x:c>
      <x:c r="D192" s="1" t="s">
        <x:v>188</x:v>
      </x:c>
      <x:c r="E192" s="1">
        <x:v>100</x:v>
      </x:c>
      <x:c r="F192" s="1" t="n">
        <x:f>IF(D192="",VLOOKUP(C192,dish_base!$B$4:$O$82,13,FALSE),VLOOKUP(C192,dish_base!$B$4:$O$82,14,FALSE))</x:f>
        <x:v>110</x:v>
      </x:c>
      <x:c r="G192" s="35" t="str">
        <x:f>IF(D192="",VLOOKUP(C192,dish_base!$B$4:$O$82,11,FALSE),VLOOKUP(C192,dish_base!$B$4:$O$82,12,FALSE))</x:f>
        <x:v>55,100</x:v>
      </x:c>
      <x:c r="H192" s="1" t="s">
        <x:v>186</x:v>
      </x:c>
      <x:c r="I192"/>
      <x:c r="J192" t="s">
        <x:v>140</x:v>
      </x:c>
    </x:row>
    <x:row r="193">
      <x:c r="A193"/>
      <x:c r="B193" s="1" t="str">
        <x:f t="shared" si="4"/>
        <x:v>candycanet_salty</x:v>
      </x:c>
      <x:c r="C193" s="8" t="s">
        <x:v>139</x:v>
      </x:c>
      <x:c r="D193" s="1" t="s">
        <x:v>189</x:v>
      </x:c>
      <x:c r="E193" s="1">
        <x:v>100</x:v>
      </x:c>
      <x:c r="F193" s="1" t="n">
        <x:f>IF(D193="",VLOOKUP(C193,dish_base!$B$4:$O$82,13,FALSE),VLOOKUP(C193,dish_base!$B$4:$O$82,14,FALSE))</x:f>
        <x:v>110</x:v>
      </x:c>
      <x:c r="G193" s="35" t="str">
        <x:f>IF(D193="",VLOOKUP(C193,dish_base!$B$4:$O$82,11,FALSE),VLOOKUP(C193,dish_base!$B$4:$O$82,12,FALSE))</x:f>
        <x:v>55,100</x:v>
      </x:c>
      <x:c r="H193" s="1" t="s">
        <x:v>186</x:v>
      </x:c>
      <x:c r="I193"/>
      <x:c r="J193" t="s">
        <x:v>140</x:v>
      </x:c>
    </x:row>
    <x:row r="194">
      <x:c r="A194"/>
      <x:c r="B194" s="1" t="str">
        <x:f t="shared" si="4"/>
        <x:v>candycanet_bitter</x:v>
      </x:c>
      <x:c r="C194" s="8" t="s">
        <x:v>139</x:v>
      </x:c>
      <x:c r="D194" s="1" t="s">
        <x:v>190</x:v>
      </x:c>
      <x:c r="E194" s="1">
        <x:v>100</x:v>
      </x:c>
      <x:c r="F194" s="1" t="n">
        <x:f>IF(D194="",VLOOKUP(C194,dish_base!$B$4:$O$82,13,FALSE),VLOOKUP(C194,dish_base!$B$4:$O$82,14,FALSE))</x:f>
        <x:v>110</x:v>
      </x:c>
      <x:c r="G194" s="35" t="str">
        <x:f>IF(D194="",VLOOKUP(C194,dish_base!$B$4:$O$82,11,FALSE),VLOOKUP(C194,dish_base!$B$4:$O$82,12,FALSE))</x:f>
        <x:v>55,100</x:v>
      </x:c>
      <x:c r="H194" s="1" t="s">
        <x:v>186</x:v>
      </x:c>
      <x:c r="I194"/>
      <x:c r="J194" t="s">
        <x:v>140</x:v>
      </x:c>
    </x:row>
    <x:row r="195">
      <x:c r="A195"/>
      <x:c r="B195" s="1" t="str">
        <x:f t="shared" si="4"/>
        <x:v>candycanet_numb</x:v>
      </x:c>
      <x:c r="C195" s="8" t="s">
        <x:v>139</x:v>
      </x:c>
      <x:c r="D195" s="1" t="s">
        <x:v>191</x:v>
      </x:c>
      <x:c r="E195" s="1">
        <x:v>100</x:v>
      </x:c>
      <x:c r="F195" s="1" t="n">
        <x:f>IF(D195="",VLOOKUP(C195,dish_base!$B$4:$O$82,13,FALSE),VLOOKUP(C195,dish_base!$B$4:$O$82,14,FALSE))</x:f>
        <x:v>110</x:v>
      </x:c>
      <x:c r="G195" s="35" t="str">
        <x:f>IF(D195="",VLOOKUP(C195,dish_base!$B$4:$O$82,11,FALSE),VLOOKUP(C195,dish_base!$B$4:$O$82,12,FALSE))</x:f>
        <x:v>55,100</x:v>
      </x:c>
      <x:c r="H195" s="1" t="s">
        <x:v>186</x:v>
      </x:c>
      <x:c r="I195"/>
      <x:c r="J195" t="s">
        <x:v>140</x:v>
      </x:c>
    </x:row>
    <x:row r="196">
      <x:c r="A196"/>
      <x:c r="B196" s="1" t="str">
        <x:f t="shared" si="4"/>
        <x:v>candycanet_rust</x:v>
      </x:c>
      <x:c r="C196" s="8" t="s">
        <x:v>139</x:v>
      </x:c>
      <x:c r="D196" s="1" t="s">
        <x:v>192</x:v>
      </x:c>
      <x:c r="E196" s="1">
        <x:v>100</x:v>
      </x:c>
      <x:c r="F196" s="1" t="n">
        <x:f>IF(D196="",VLOOKUP(C196,dish_base!$B$4:$O$82,13,FALSE),VLOOKUP(C196,dish_base!$B$4:$O$82,14,FALSE))</x:f>
        <x:v>110</x:v>
      </x:c>
      <x:c r="G196" s="35" t="str">
        <x:f>IF(D196="",VLOOKUP(C196,dish_base!$B$4:$O$82,11,FALSE),VLOOKUP(C196,dish_base!$B$4:$O$82,12,FALSE))</x:f>
        <x:v>55,100</x:v>
      </x:c>
      <x:c r="H196" s="1" t="s">
        <x:v>186</x:v>
      </x:c>
      <x:c r="I196"/>
      <x:c r="J196" t="s">
        <x:v>140</x:v>
      </x:c>
    </x:row>
    <x:row r="197">
      <x:c r="A197"/>
      <x:c r="B197" s="1" t="str">
        <x:f t="shared" si="4"/>
        <x:v>black_forest_cake</x:v>
      </x:c>
      <x:c r="C197" s="1" t="s">
        <x:v>142</x:v>
      </x:c>
      <x:c r="E197" s="1">
        <x:v>1200</x:v>
      </x:c>
      <x:c r="F197" s="1" t="n">
        <x:f>IF(D197="",VLOOKUP(C197,dish_base!$B$4:$O$82,13,FALSE),VLOOKUP(C197,dish_base!$B$4:$O$82,14,FALSE))</x:f>
        <x:v>90</x:v>
      </x:c>
      <x:c r="G197" s="35" t="str">
        <x:f>IF(D197="",VLOOKUP(C197,dish_base!$B$4:$O$82,11,FALSE),VLOOKUP(C197,dish_base!$B$4:$O$82,12,FALSE))</x:f>
        <x:v>40,90</x:v>
      </x:c>
      <x:c r="H197" s="1" t="s">
        <x:v>186</x:v>
      </x:c>
      <x:c r="I197"/>
      <x:c r="J197" t="s">
        <x:v>143</x:v>
      </x:c>
    </x:row>
    <x:row r="198">
      <x:c r="A198"/>
      <x:c r="B198" s="1" t="str">
        <x:f t="shared" si="4"/>
        <x:v>black_forest_caket_sweet</x:v>
      </x:c>
      <x:c r="C198" s="1" t="s">
        <x:v>142</x:v>
      </x:c>
      <x:c r="D198" s="1" t="s">
        <x:v>187</x:v>
      </x:c>
      <x:c r="E198" s="1">
        <x:v>100</x:v>
      </x:c>
      <x:c r="F198" s="1" t="n">
        <x:f>IF(D198="",VLOOKUP(C198,dish_base!$B$4:$O$82,13,FALSE),VLOOKUP(C198,dish_base!$B$4:$O$82,14,FALSE))</x:f>
        <x:v>160</x:v>
      </x:c>
      <x:c r="G198" s="35" t="str">
        <x:f>IF(D198="",VLOOKUP(C198,dish_base!$B$4:$O$82,11,FALSE),VLOOKUP(C198,dish_base!$B$4:$O$82,12,FALSE))</x:f>
        <x:v>70,120</x:v>
      </x:c>
      <x:c r="H198" s="1" t="s">
        <x:v>186</x:v>
      </x:c>
      <x:c r="I198"/>
      <x:c r="J198" t="s">
        <x:v>143</x:v>
      </x:c>
    </x:row>
    <x:row r="199">
      <x:c r="A199"/>
      <x:c r="B199" s="1" t="str">
        <x:f t="shared" si="4"/>
        <x:v>black_forest_caket_sour</x:v>
      </x:c>
      <x:c r="C199" s="1" t="s">
        <x:v>142</x:v>
      </x:c>
      <x:c r="D199" s="1" t="s">
        <x:v>188</x:v>
      </x:c>
      <x:c r="E199" s="1">
        <x:v>100</x:v>
      </x:c>
      <x:c r="F199" s="1" t="n">
        <x:f>IF(D199="",VLOOKUP(C199,dish_base!$B$4:$O$82,13,FALSE),VLOOKUP(C199,dish_base!$B$4:$O$82,14,FALSE))</x:f>
        <x:v>160</x:v>
      </x:c>
      <x:c r="G199" s="35" t="str">
        <x:f>IF(D199="",VLOOKUP(C199,dish_base!$B$4:$O$82,11,FALSE),VLOOKUP(C199,dish_base!$B$4:$O$82,12,FALSE))</x:f>
        <x:v>70,120</x:v>
      </x:c>
      <x:c r="H199" s="1" t="s">
        <x:v>186</x:v>
      </x:c>
      <x:c r="I199"/>
      <x:c r="J199" t="s">
        <x:v>143</x:v>
      </x:c>
    </x:row>
    <x:row r="200">
      <x:c r="A200"/>
      <x:c r="B200" s="1" t="str">
        <x:f t="shared" si="4"/>
        <x:v>black_forest_caket_salty</x:v>
      </x:c>
      <x:c r="C200" s="1" t="s">
        <x:v>142</x:v>
      </x:c>
      <x:c r="D200" s="1" t="s">
        <x:v>189</x:v>
      </x:c>
      <x:c r="E200" s="1">
        <x:v>100</x:v>
      </x:c>
      <x:c r="F200" s="1" t="n">
        <x:f>IF(D200="",VLOOKUP(C200,dish_base!$B$4:$O$82,13,FALSE),VLOOKUP(C200,dish_base!$B$4:$O$82,14,FALSE))</x:f>
        <x:v>160</x:v>
      </x:c>
      <x:c r="G200" s="35" t="str">
        <x:f>IF(D200="",VLOOKUP(C200,dish_base!$B$4:$O$82,11,FALSE),VLOOKUP(C200,dish_base!$B$4:$O$82,12,FALSE))</x:f>
        <x:v>70,120</x:v>
      </x:c>
      <x:c r="H200" s="1" t="s">
        <x:v>186</x:v>
      </x:c>
      <x:c r="I200"/>
      <x:c r="J200" t="s">
        <x:v>143</x:v>
      </x:c>
    </x:row>
    <x:row r="201">
      <x:c r="A201"/>
      <x:c r="B201" s="1" t="str">
        <x:f t="shared" si="4"/>
        <x:v>black_forest_caket_bitter</x:v>
      </x:c>
      <x:c r="C201" s="1" t="s">
        <x:v>142</x:v>
      </x:c>
      <x:c r="D201" s="1" t="s">
        <x:v>190</x:v>
      </x:c>
      <x:c r="E201" s="1">
        <x:v>100</x:v>
      </x:c>
      <x:c r="F201" s="1" t="n">
        <x:f>IF(D201="",VLOOKUP(C201,dish_base!$B$4:$O$82,13,FALSE),VLOOKUP(C201,dish_base!$B$4:$O$82,14,FALSE))</x:f>
        <x:v>160</x:v>
      </x:c>
      <x:c r="G201" s="35" t="str">
        <x:f>IF(D201="",VLOOKUP(C201,dish_base!$B$4:$O$82,11,FALSE),VLOOKUP(C201,dish_base!$B$4:$O$82,12,FALSE))</x:f>
        <x:v>70,120</x:v>
      </x:c>
      <x:c r="H201" s="1" t="s">
        <x:v>186</x:v>
      </x:c>
      <x:c r="I201"/>
      <x:c r="J201" t="s">
        <x:v>143</x:v>
      </x:c>
    </x:row>
    <x:row r="202">
      <x:c r="A202"/>
      <x:c r="B202" s="1" t="str">
        <x:f t="shared" si="4"/>
        <x:v>black_forest_caket_numb</x:v>
      </x:c>
      <x:c r="C202" s="1" t="s">
        <x:v>142</x:v>
      </x:c>
      <x:c r="D202" s="1" t="s">
        <x:v>191</x:v>
      </x:c>
      <x:c r="E202" s="1">
        <x:v>100</x:v>
      </x:c>
      <x:c r="F202" s="1" t="n">
        <x:f>IF(D202="",VLOOKUP(C202,dish_base!$B$4:$O$82,13,FALSE),VLOOKUP(C202,dish_base!$B$4:$O$82,14,FALSE))</x:f>
        <x:v>160</x:v>
      </x:c>
      <x:c r="G202" s="35" t="str">
        <x:f>IF(D202="",VLOOKUP(C202,dish_base!$B$4:$O$82,11,FALSE),VLOOKUP(C202,dish_base!$B$4:$O$82,12,FALSE))</x:f>
        <x:v>70,120</x:v>
      </x:c>
      <x:c r="H202" s="1" t="s">
        <x:v>186</x:v>
      </x:c>
      <x:c r="I202"/>
      <x:c r="J202" t="s">
        <x:v>143</x:v>
      </x:c>
    </x:row>
    <x:row r="203">
      <x:c r="A203"/>
      <x:c r="B203" s="1" t="str">
        <x:f t="shared" si="4"/>
        <x:v>black_forest_caket_rust</x:v>
      </x:c>
      <x:c r="C203" s="1" t="s">
        <x:v>142</x:v>
      </x:c>
      <x:c r="D203" s="1" t="s">
        <x:v>192</x:v>
      </x:c>
      <x:c r="E203" s="1">
        <x:v>100</x:v>
      </x:c>
      <x:c r="F203" s="1" t="n">
        <x:f>IF(D203="",VLOOKUP(C203,dish_base!$B$4:$O$82,13,FALSE),VLOOKUP(C203,dish_base!$B$4:$O$82,14,FALSE))</x:f>
        <x:v>160</x:v>
      </x:c>
      <x:c r="G203" s="35" t="str">
        <x:f>IF(D203="",VLOOKUP(C203,dish_base!$B$4:$O$82,11,FALSE),VLOOKUP(C203,dish_base!$B$4:$O$82,12,FALSE))</x:f>
        <x:v>70,120</x:v>
      </x:c>
      <x:c r="H203" s="1" t="s">
        <x:v>186</x:v>
      </x:c>
      <x:c r="I203"/>
      <x:c r="J203" t="s">
        <x:v>143</x:v>
      </x:c>
    </x:row>
    <x:row r="204">
      <x:c r="A204"/>
      <x:c r="B204" s="1" t="str">
        <x:f t="shared" si="4"/>
        <x:v>chocolate_sauce</x:v>
      </x:c>
      <x:c r="C204" s="1" t="s">
        <x:v>145</x:v>
      </x:c>
      <x:c r="E204" s="1">
        <x:v>1200</x:v>
      </x:c>
      <x:c r="F204" s="1" t="n">
        <x:f>IF(D204="",VLOOKUP(C204,dish_base!$B$4:$O$82,13,FALSE),VLOOKUP(C204,dish_base!$B$4:$O$82,14,FALSE))</x:f>
        <x:v>90</x:v>
      </x:c>
      <x:c r="G204" s="35" t="str">
        <x:f>IF(D204="",VLOOKUP(C204,dish_base!$B$4:$O$82,11,FALSE),VLOOKUP(C204,dish_base!$B$4:$O$82,12,FALSE))</x:f>
        <x:v>40,90</x:v>
      </x:c>
      <x:c r="H204" s="1" t="s">
        <x:v>186</x:v>
      </x:c>
      <x:c r="I204"/>
      <x:c r="J204" t="s">
        <x:v>146</x:v>
      </x:c>
    </x:row>
    <x:row r="205">
      <x:c r="A205"/>
      <x:c r="B205" s="1" t="str">
        <x:f t="shared" si="4"/>
        <x:v>chocolate_saucet_sweet</x:v>
      </x:c>
      <x:c r="C205" s="1" t="s">
        <x:v>145</x:v>
      </x:c>
      <x:c r="D205" s="1" t="s">
        <x:v>187</x:v>
      </x:c>
      <x:c r="E205" s="1">
        <x:v>100</x:v>
      </x:c>
      <x:c r="F205" s="1" t="n">
        <x:f>IF(D205="",VLOOKUP(C205,dish_base!$B$4:$O$82,13,FALSE),VLOOKUP(C205,dish_base!$B$4:$O$82,14,FALSE))</x:f>
        <x:v>160</x:v>
      </x:c>
      <x:c r="G205" s="35" t="str">
        <x:f>IF(D205="",VLOOKUP(C205,dish_base!$B$4:$O$82,11,FALSE),VLOOKUP(C205,dish_base!$B$4:$O$82,12,FALSE))</x:f>
        <x:v>70,120</x:v>
      </x:c>
      <x:c r="H205" s="1" t="s">
        <x:v>186</x:v>
      </x:c>
      <x:c r="I205"/>
      <x:c r="J205" t="s">
        <x:v>146</x:v>
      </x:c>
    </x:row>
    <x:row r="206">
      <x:c r="A206"/>
      <x:c r="B206" s="1" t="str">
        <x:f t="shared" si="4"/>
        <x:v>chocolate_saucet_sour</x:v>
      </x:c>
      <x:c r="C206" s="1" t="s">
        <x:v>145</x:v>
      </x:c>
      <x:c r="D206" s="1" t="s">
        <x:v>188</x:v>
      </x:c>
      <x:c r="E206" s="1">
        <x:v>100</x:v>
      </x:c>
      <x:c r="F206" s="1" t="n">
        <x:f>IF(D206="",VLOOKUP(C206,dish_base!$B$4:$O$82,13,FALSE),VLOOKUP(C206,dish_base!$B$4:$O$82,14,FALSE))</x:f>
        <x:v>160</x:v>
      </x:c>
      <x:c r="G206" s="35" t="str">
        <x:f>IF(D206="",VLOOKUP(C206,dish_base!$B$4:$O$82,11,FALSE),VLOOKUP(C206,dish_base!$B$4:$O$82,12,FALSE))</x:f>
        <x:v>70,120</x:v>
      </x:c>
      <x:c r="H206" s="1" t="s">
        <x:v>186</x:v>
      </x:c>
      <x:c r="I206"/>
      <x:c r="J206" t="s">
        <x:v>146</x:v>
      </x:c>
    </x:row>
    <x:row r="207">
      <x:c r="A207"/>
      <x:c r="B207" s="1" t="str">
        <x:f t="shared" si="4"/>
        <x:v>chocolate_saucet_salty</x:v>
      </x:c>
      <x:c r="C207" s="1" t="s">
        <x:v>145</x:v>
      </x:c>
      <x:c r="D207" s="1" t="s">
        <x:v>189</x:v>
      </x:c>
      <x:c r="E207" s="1">
        <x:v>100</x:v>
      </x:c>
      <x:c r="F207" s="1" t="n">
        <x:f>IF(D207="",VLOOKUP(C207,dish_base!$B$4:$O$82,13,FALSE),VLOOKUP(C207,dish_base!$B$4:$O$82,14,FALSE))</x:f>
        <x:v>160</x:v>
      </x:c>
      <x:c r="G207" s="35" t="str">
        <x:f>IF(D207="",VLOOKUP(C207,dish_base!$B$4:$O$82,11,FALSE),VLOOKUP(C207,dish_base!$B$4:$O$82,12,FALSE))</x:f>
        <x:v>70,120</x:v>
      </x:c>
      <x:c r="H207" s="1" t="s">
        <x:v>186</x:v>
      </x:c>
      <x:c r="I207"/>
      <x:c r="J207" t="s">
        <x:v>146</x:v>
      </x:c>
    </x:row>
    <x:row r="208">
      <x:c r="A208"/>
      <x:c r="B208" s="1" t="str">
        <x:f t="shared" si="4"/>
        <x:v>chocolate_saucet_bitter</x:v>
      </x:c>
      <x:c r="C208" s="1" t="s">
        <x:v>145</x:v>
      </x:c>
      <x:c r="D208" s="1" t="s">
        <x:v>190</x:v>
      </x:c>
      <x:c r="E208" s="1">
        <x:v>100</x:v>
      </x:c>
      <x:c r="F208" s="1" t="n">
        <x:f>IF(D208="",VLOOKUP(C208,dish_base!$B$4:$O$82,13,FALSE),VLOOKUP(C208,dish_base!$B$4:$O$82,14,FALSE))</x:f>
        <x:v>160</x:v>
      </x:c>
      <x:c r="G208" s="35" t="str">
        <x:f>IF(D208="",VLOOKUP(C208,dish_base!$B$4:$O$82,11,FALSE),VLOOKUP(C208,dish_base!$B$4:$O$82,12,FALSE))</x:f>
        <x:v>70,120</x:v>
      </x:c>
      <x:c r="H208" s="1" t="s">
        <x:v>186</x:v>
      </x:c>
      <x:c r="I208"/>
      <x:c r="J208" t="s">
        <x:v>146</x:v>
      </x:c>
    </x:row>
    <x:row r="209">
      <x:c r="A209"/>
      <x:c r="B209" s="1" t="str">
        <x:f t="shared" si="4"/>
        <x:v>chocolate_saucet_numb</x:v>
      </x:c>
      <x:c r="C209" s="1" t="s">
        <x:v>145</x:v>
      </x:c>
      <x:c r="D209" s="1" t="s">
        <x:v>191</x:v>
      </x:c>
      <x:c r="E209" s="1">
        <x:v>100</x:v>
      </x:c>
      <x:c r="F209" s="1" t="n">
        <x:f>IF(D209="",VLOOKUP(C209,dish_base!$B$4:$O$82,13,FALSE),VLOOKUP(C209,dish_base!$B$4:$O$82,14,FALSE))</x:f>
        <x:v>160</x:v>
      </x:c>
      <x:c r="G209" s="35" t="str">
        <x:f>IF(D209="",VLOOKUP(C209,dish_base!$B$4:$O$82,11,FALSE),VLOOKUP(C209,dish_base!$B$4:$O$82,12,FALSE))</x:f>
        <x:v>70,120</x:v>
      </x:c>
      <x:c r="H209" s="1" t="s">
        <x:v>186</x:v>
      </x:c>
      <x:c r="I209"/>
      <x:c r="J209" t="s">
        <x:v>146</x:v>
      </x:c>
    </x:row>
    <x:row r="210">
      <x:c r="A210"/>
      <x:c r="B210" s="1" t="str">
        <x:f t="shared" si="4"/>
        <x:v>chocolate_saucet_rust</x:v>
      </x:c>
      <x:c r="C210" s="1" t="s">
        <x:v>145</x:v>
      </x:c>
      <x:c r="D210" s="1" t="s">
        <x:v>192</x:v>
      </x:c>
      <x:c r="E210" s="1">
        <x:v>100</x:v>
      </x:c>
      <x:c r="F210" s="1" t="n">
        <x:f>IF(D210="",VLOOKUP(C210,dish_base!$B$4:$O$82,13,FALSE),VLOOKUP(C210,dish_base!$B$4:$O$82,14,FALSE))</x:f>
        <x:v>160</x:v>
      </x:c>
      <x:c r="G210" s="35" t="str">
        <x:f>IF(D210="",VLOOKUP(C210,dish_base!$B$4:$O$82,11,FALSE),VLOOKUP(C210,dish_base!$B$4:$O$82,12,FALSE))</x:f>
        <x:v>70,120</x:v>
      </x:c>
      <x:c r="H210" s="1" t="s">
        <x:v>186</x:v>
      </x:c>
      <x:c r="I210"/>
      <x:c r="J210" t="s">
        <x:v>146</x:v>
      </x:c>
    </x:row>
    <x:row r="211">
      <x:c r="A211"/>
      <x:c r="B211" s="1" t="str">
        <x:f t="shared" si="4"/>
        <x:v>mango_sago</x:v>
      </x:c>
      <x:c r="C211" s="1" t="s">
        <x:v>148</x:v>
      </x:c>
      <x:c r="E211" s="1">
        <x:v>1200</x:v>
      </x:c>
      <x:c r="F211" s="1" t="n">
        <x:f>IF(D211="",VLOOKUP(C211,dish_base!$B$4:$O$82,13,FALSE),VLOOKUP(C211,dish_base!$B$4:$O$82,14,FALSE))</x:f>
        <x:v>90</x:v>
      </x:c>
      <x:c r="G211" s="35" t="str">
        <x:f>IF(D211="",VLOOKUP(C211,dish_base!$B$4:$O$82,11,FALSE),VLOOKUP(C211,dish_base!$B$4:$O$82,12,FALSE))</x:f>
        <x:v>40,90</x:v>
      </x:c>
      <x:c r="H211" s="1" t="s">
        <x:v>186</x:v>
      </x:c>
      <x:c r="I211"/>
      <x:c r="J211" t="s">
        <x:v>149</x:v>
      </x:c>
    </x:row>
    <x:row r="212">
      <x:c r="A212"/>
      <x:c r="B212" s="1" t="str">
        <x:f t="shared" si="4"/>
        <x:v>mango_sagot_sweet</x:v>
      </x:c>
      <x:c r="C212" s="1" t="s">
        <x:v>148</x:v>
      </x:c>
      <x:c r="D212" s="1" t="s">
        <x:v>187</x:v>
      </x:c>
      <x:c r="E212" s="1">
        <x:v>100</x:v>
      </x:c>
      <x:c r="F212" s="1" t="n">
        <x:f>IF(D212="",VLOOKUP(C212,dish_base!$B$4:$O$82,13,FALSE),VLOOKUP(C212,dish_base!$B$4:$O$82,14,FALSE))</x:f>
        <x:v>160</x:v>
      </x:c>
      <x:c r="G212" s="35" t="str">
        <x:f>IF(D212="",VLOOKUP(C212,dish_base!$B$4:$O$82,11,FALSE),VLOOKUP(C212,dish_base!$B$4:$O$82,12,FALSE))</x:f>
        <x:v>70,120</x:v>
      </x:c>
      <x:c r="H212" s="1" t="s">
        <x:v>186</x:v>
      </x:c>
      <x:c r="I212"/>
      <x:c r="J212" t="s">
        <x:v>149</x:v>
      </x:c>
    </x:row>
    <x:row r="213">
      <x:c r="A213"/>
      <x:c r="B213" s="1" t="str">
        <x:f t="shared" si="4"/>
        <x:v>mango_sagot_sour</x:v>
      </x:c>
      <x:c r="C213" s="1" t="s">
        <x:v>148</x:v>
      </x:c>
      <x:c r="D213" s="1" t="s">
        <x:v>188</x:v>
      </x:c>
      <x:c r="E213" s="1">
        <x:v>100</x:v>
      </x:c>
      <x:c r="F213" s="1" t="n">
        <x:f>IF(D213="",VLOOKUP(C213,dish_base!$B$4:$O$82,13,FALSE),VLOOKUP(C213,dish_base!$B$4:$O$82,14,FALSE))</x:f>
        <x:v>160</x:v>
      </x:c>
      <x:c r="G213" s="35" t="str">
        <x:f>IF(D213="",VLOOKUP(C213,dish_base!$B$4:$O$82,11,FALSE),VLOOKUP(C213,dish_base!$B$4:$O$82,12,FALSE))</x:f>
        <x:v>70,120</x:v>
      </x:c>
      <x:c r="H213" s="1" t="s">
        <x:v>186</x:v>
      </x:c>
      <x:c r="I213"/>
      <x:c r="J213" t="s">
        <x:v>149</x:v>
      </x:c>
    </x:row>
    <x:row r="214">
      <x:c r="A214"/>
      <x:c r="B214" s="1" t="str">
        <x:f t="shared" si="4"/>
        <x:v>mango_sagot_salty</x:v>
      </x:c>
      <x:c r="C214" s="1" t="s">
        <x:v>148</x:v>
      </x:c>
      <x:c r="D214" s="1" t="s">
        <x:v>189</x:v>
      </x:c>
      <x:c r="E214" s="1">
        <x:v>100</x:v>
      </x:c>
      <x:c r="F214" s="1" t="n">
        <x:f>IF(D214="",VLOOKUP(C214,dish_base!$B$4:$O$82,13,FALSE),VLOOKUP(C214,dish_base!$B$4:$O$82,14,FALSE))</x:f>
        <x:v>160</x:v>
      </x:c>
      <x:c r="G214" s="35" t="str">
        <x:f>IF(D214="",VLOOKUP(C214,dish_base!$B$4:$O$82,11,FALSE),VLOOKUP(C214,dish_base!$B$4:$O$82,12,FALSE))</x:f>
        <x:v>70,120</x:v>
      </x:c>
      <x:c r="H214" s="1" t="s">
        <x:v>186</x:v>
      </x:c>
      <x:c r="I214"/>
      <x:c r="J214" t="s">
        <x:v>149</x:v>
      </x:c>
    </x:row>
    <x:row r="215">
      <x:c r="A215"/>
      <x:c r="B215" s="1" t="str">
        <x:f t="shared" si="4"/>
        <x:v>mango_sagot_bitter</x:v>
      </x:c>
      <x:c r="C215" s="1" t="s">
        <x:v>148</x:v>
      </x:c>
      <x:c r="D215" s="1" t="s">
        <x:v>190</x:v>
      </x:c>
      <x:c r="E215" s="1">
        <x:v>100</x:v>
      </x:c>
      <x:c r="F215" s="1" t="n">
        <x:f>IF(D215="",VLOOKUP(C215,dish_base!$B$4:$O$82,13,FALSE),VLOOKUP(C215,dish_base!$B$4:$O$82,14,FALSE))</x:f>
        <x:v>160</x:v>
      </x:c>
      <x:c r="G215" s="35" t="str">
        <x:f>IF(D215="",VLOOKUP(C215,dish_base!$B$4:$O$82,11,FALSE),VLOOKUP(C215,dish_base!$B$4:$O$82,12,FALSE))</x:f>
        <x:v>70,120</x:v>
      </x:c>
      <x:c r="H215" s="1" t="s">
        <x:v>186</x:v>
      </x:c>
      <x:c r="I215"/>
      <x:c r="J215" t="s">
        <x:v>149</x:v>
      </x:c>
    </x:row>
    <x:row r="216">
      <x:c r="A216"/>
      <x:c r="B216" s="1" t="str">
        <x:f t="shared" si="4"/>
        <x:v>mango_sagot_numb</x:v>
      </x:c>
      <x:c r="C216" s="1" t="s">
        <x:v>148</x:v>
      </x:c>
      <x:c r="D216" s="1" t="s">
        <x:v>191</x:v>
      </x:c>
      <x:c r="E216" s="1">
        <x:v>100</x:v>
      </x:c>
      <x:c r="F216" s="1" t="n">
        <x:f>IF(D216="",VLOOKUP(C216,dish_base!$B$4:$O$82,13,FALSE),VLOOKUP(C216,dish_base!$B$4:$O$82,14,FALSE))</x:f>
        <x:v>160</x:v>
      </x:c>
      <x:c r="G216" s="35" t="str">
        <x:f>IF(D216="",VLOOKUP(C216,dish_base!$B$4:$O$82,11,FALSE),VLOOKUP(C216,dish_base!$B$4:$O$82,12,FALSE))</x:f>
        <x:v>70,120</x:v>
      </x:c>
      <x:c r="H216" s="1" t="s">
        <x:v>186</x:v>
      </x:c>
      <x:c r="I216"/>
      <x:c r="J216" t="s">
        <x:v>149</x:v>
      </x:c>
    </x:row>
    <x:row r="217">
      <x:c r="A217"/>
      <x:c r="B217" s="1" t="str">
        <x:f t="shared" si="4"/>
        <x:v>mango_sagot_rust</x:v>
      </x:c>
      <x:c r="C217" s="1" t="s">
        <x:v>148</x:v>
      </x:c>
      <x:c r="D217" s="1" t="s">
        <x:v>192</x:v>
      </x:c>
      <x:c r="E217" s="1">
        <x:v>100</x:v>
      </x:c>
      <x:c r="F217" s="1" t="n">
        <x:f>IF(D217="",VLOOKUP(C217,dish_base!$B$4:$O$82,13,FALSE),VLOOKUP(C217,dish_base!$B$4:$O$82,14,FALSE))</x:f>
        <x:v>160</x:v>
      </x:c>
      <x:c r="G217" s="35" t="str">
        <x:f>IF(D217="",VLOOKUP(C217,dish_base!$B$4:$O$82,11,FALSE),VLOOKUP(C217,dish_base!$B$4:$O$82,12,FALSE))</x:f>
        <x:v>70,120</x:v>
      </x:c>
      <x:c r="H217" s="1" t="s">
        <x:v>186</x:v>
      </x:c>
      <x:c r="I217"/>
      <x:c r="J217" t="s">
        <x:v>149</x:v>
      </x:c>
    </x:row>
    <x:row r="218">
      <x:c r="A218"/>
      <x:c r="B218" s="1" t="str">
        <x:f t="shared" si="4"/>
        <x:v>fruit_cake</x:v>
      </x:c>
      <x:c r="C218" s="1" t="s">
        <x:v>151</x:v>
      </x:c>
      <x:c r="E218" s="1">
        <x:v>1200</x:v>
      </x:c>
      <x:c r="F218" s="1" t="n">
        <x:f>IF(D218="",VLOOKUP(C218,dish_base!$B$4:$O$82,13,FALSE),VLOOKUP(C218,dish_base!$B$4:$O$82,14,FALSE))</x:f>
        <x:v>90</x:v>
      </x:c>
      <x:c r="G218" s="35" t="str">
        <x:f>IF(D218="",VLOOKUP(C218,dish_base!$B$4:$O$82,11,FALSE),VLOOKUP(C218,dish_base!$B$4:$O$82,12,FALSE))</x:f>
        <x:v>40,90</x:v>
      </x:c>
      <x:c r="H218" s="1" t="s">
        <x:v>186</x:v>
      </x:c>
      <x:c r="I218"/>
      <x:c r="J218" s="1" t="s">
        <x:v>152</x:v>
      </x:c>
    </x:row>
    <x:row r="219">
      <x:c r="A219"/>
      <x:c r="B219" s="1" t="str">
        <x:f t="shared" si="4"/>
        <x:v>fruit_caket_sweet</x:v>
      </x:c>
      <x:c r="C219" s="1" t="s">
        <x:v>151</x:v>
      </x:c>
      <x:c r="D219" s="1" t="s">
        <x:v>187</x:v>
      </x:c>
      <x:c r="E219" s="1">
        <x:v>100</x:v>
      </x:c>
      <x:c r="F219" s="1" t="n">
        <x:f>IF(D219="",VLOOKUP(C219,dish_base!$B$4:$O$82,13,FALSE),VLOOKUP(C219,dish_base!$B$4:$O$82,14,FALSE))</x:f>
        <x:v>160</x:v>
      </x:c>
      <x:c r="G219" s="35" t="str">
        <x:f>IF(D219="",VLOOKUP(C219,dish_base!$B$4:$O$82,11,FALSE),VLOOKUP(C219,dish_base!$B$4:$O$82,12,FALSE))</x:f>
        <x:v>70,120</x:v>
      </x:c>
      <x:c r="H219" s="1" t="s">
        <x:v>186</x:v>
      </x:c>
      <x:c r="I219"/>
      <x:c r="J219" t="s">
        <x:v>152</x:v>
      </x:c>
    </x:row>
    <x:row r="220">
      <x:c r="A220"/>
      <x:c r="B220" s="1" t="str">
        <x:f t="shared" si="4"/>
        <x:v>fruit_caket_sour</x:v>
      </x:c>
      <x:c r="C220" s="8" t="s">
        <x:v>151</x:v>
      </x:c>
      <x:c r="D220" s="1" t="s">
        <x:v>188</x:v>
      </x:c>
      <x:c r="E220" s="1">
        <x:v>100</x:v>
      </x:c>
      <x:c r="F220" s="1" t="n">
        <x:f>IF(D220="",VLOOKUP(C220,dish_base!$B$4:$O$82,13,FALSE),VLOOKUP(C220,dish_base!$B$4:$O$82,14,FALSE))</x:f>
        <x:v>160</x:v>
      </x:c>
      <x:c r="G220" s="35" t="str">
        <x:f>IF(D220="",VLOOKUP(C220,dish_base!$B$4:$O$82,11,FALSE),VLOOKUP(C220,dish_base!$B$4:$O$82,12,FALSE))</x:f>
        <x:v>70,120</x:v>
      </x:c>
      <x:c r="H220" s="1" t="s">
        <x:v>186</x:v>
      </x:c>
      <x:c r="I220"/>
      <x:c r="J220" t="s">
        <x:v>152</x:v>
      </x:c>
    </x:row>
    <x:row r="221">
      <x:c r="A221"/>
      <x:c r="B221" s="1" t="str">
        <x:f t="shared" si="4"/>
        <x:v>fruit_caket_salty</x:v>
      </x:c>
      <x:c r="C221" s="8" t="s">
        <x:v>151</x:v>
      </x:c>
      <x:c r="D221" s="1" t="s">
        <x:v>189</x:v>
      </x:c>
      <x:c r="E221" s="1">
        <x:v>100</x:v>
      </x:c>
      <x:c r="F221" s="1" t="n">
        <x:f>IF(D221="",VLOOKUP(C221,dish_base!$B$4:$O$82,13,FALSE),VLOOKUP(C221,dish_base!$B$4:$O$82,14,FALSE))</x:f>
        <x:v>160</x:v>
      </x:c>
      <x:c r="G221" s="35" t="str">
        <x:f>IF(D221="",VLOOKUP(C221,dish_base!$B$4:$O$82,11,FALSE),VLOOKUP(C221,dish_base!$B$4:$O$82,12,FALSE))</x:f>
        <x:v>70,120</x:v>
      </x:c>
      <x:c r="H221" s="1" t="s">
        <x:v>186</x:v>
      </x:c>
      <x:c r="I221"/>
      <x:c r="J221" t="s">
        <x:v>152</x:v>
      </x:c>
    </x:row>
    <x:row r="222">
      <x:c r="A222"/>
      <x:c r="B222" s="1" t="str">
        <x:f t="shared" si="4"/>
        <x:v>fruit_caket_bitter</x:v>
      </x:c>
      <x:c r="C222" s="8" t="s">
        <x:v>151</x:v>
      </x:c>
      <x:c r="D222" s="1" t="s">
        <x:v>190</x:v>
      </x:c>
      <x:c r="E222" s="1">
        <x:v>100</x:v>
      </x:c>
      <x:c r="F222" s="1" t="n">
        <x:f>IF(D222="",VLOOKUP(C222,dish_base!$B$4:$O$82,13,FALSE),VLOOKUP(C222,dish_base!$B$4:$O$82,14,FALSE))</x:f>
        <x:v>160</x:v>
      </x:c>
      <x:c r="G222" s="35" t="str">
        <x:f>IF(D222="",VLOOKUP(C222,dish_base!$B$4:$O$82,11,FALSE),VLOOKUP(C222,dish_base!$B$4:$O$82,12,FALSE))</x:f>
        <x:v>70,120</x:v>
      </x:c>
      <x:c r="H222" s="1" t="s">
        <x:v>186</x:v>
      </x:c>
      <x:c r="I222"/>
      <x:c r="J222" t="s">
        <x:v>152</x:v>
      </x:c>
    </x:row>
    <x:row r="223">
      <x:c r="A223"/>
      <x:c r="B223" s="1" t="str">
        <x:f t="shared" si="4"/>
        <x:v>fruit_caket_numb</x:v>
      </x:c>
      <x:c r="C223" s="8" t="s">
        <x:v>151</x:v>
      </x:c>
      <x:c r="D223" s="1" t="s">
        <x:v>191</x:v>
      </x:c>
      <x:c r="E223" s="1">
        <x:v>100</x:v>
      </x:c>
      <x:c r="F223" s="1" t="n">
        <x:f>IF(D223="",VLOOKUP(C223,dish_base!$B$4:$O$82,13,FALSE),VLOOKUP(C223,dish_base!$B$4:$O$82,14,FALSE))</x:f>
        <x:v>160</x:v>
      </x:c>
      <x:c r="G223" s="35" t="str">
        <x:f>IF(D223="",VLOOKUP(C223,dish_base!$B$4:$O$82,11,FALSE),VLOOKUP(C223,dish_base!$B$4:$O$82,12,FALSE))</x:f>
        <x:v>70,120</x:v>
      </x:c>
      <x:c r="H223" s="1" t="s">
        <x:v>186</x:v>
      </x:c>
      <x:c r="I223"/>
      <x:c r="J223" t="s">
        <x:v>152</x:v>
      </x:c>
    </x:row>
    <x:row r="224">
      <x:c r="A224"/>
      <x:c r="B224" s="1" t="str">
        <x:f t="shared" si="4"/>
        <x:v>fruit_caket_rust</x:v>
      </x:c>
      <x:c r="C224" s="8" t="s">
        <x:v>151</x:v>
      </x:c>
      <x:c r="D224" s="1" t="s">
        <x:v>192</x:v>
      </x:c>
      <x:c r="E224" s="1">
        <x:v>100</x:v>
      </x:c>
      <x:c r="F224" s="1" t="n">
        <x:f>IF(D224="",VLOOKUP(C224,dish_base!$B$4:$O$82,13,FALSE),VLOOKUP(C224,dish_base!$B$4:$O$82,14,FALSE))</x:f>
        <x:v>160</x:v>
      </x:c>
      <x:c r="G224" s="35" t="str">
        <x:f>IF(D224="",VLOOKUP(C224,dish_base!$B$4:$O$82,11,FALSE),VLOOKUP(C224,dish_base!$B$4:$O$82,12,FALSE))</x:f>
        <x:v>70,120</x:v>
      </x:c>
      <x:c r="H224" s="1" t="s">
        <x:v>186</x:v>
      </x:c>
      <x:c r="I224"/>
      <x:c r="J224" t="s">
        <x:v>152</x:v>
      </x:c>
    </x:row>
    <x:row r="225">
      <x:c r="A225"/>
      <x:c r="B225" s="1" t="str">
        <x:f t="shared" si="4"/>
        <x:v>parfait</x:v>
      </x:c>
      <x:c r="C225" s="8" t="s">
        <x:v>154</x:v>
      </x:c>
      <x:c r="E225" s="1">
        <x:v>1200</x:v>
      </x:c>
      <x:c r="F225" s="1" t="n">
        <x:f>IF(D225="",VLOOKUP(C225,dish_base!$B$4:$O$82,13,FALSE),VLOOKUP(C225,dish_base!$B$4:$O$82,14,FALSE))</x:f>
        <x:v>90</x:v>
      </x:c>
      <x:c r="G225" s="35" t="str">
        <x:f>IF(D225="",VLOOKUP(C225,dish_base!$B$4:$O$82,11,FALSE),VLOOKUP(C225,dish_base!$B$4:$O$82,12,FALSE))</x:f>
        <x:v>40,90</x:v>
      </x:c>
      <x:c r="H225" s="1" t="s">
        <x:v>186</x:v>
      </x:c>
      <x:c r="I225"/>
      <x:c r="J225" t="s">
        <x:v>155</x:v>
      </x:c>
    </x:row>
    <x:row r="226">
      <x:c r="A226"/>
      <x:c r="B226" s="1" t="str">
        <x:f t="shared" si="4"/>
        <x:v>parfaitt_sweet</x:v>
      </x:c>
      <x:c r="C226" s="8" t="s">
        <x:v>154</x:v>
      </x:c>
      <x:c r="D226" s="1" t="s">
        <x:v>187</x:v>
      </x:c>
      <x:c r="E226" s="1">
        <x:v>100</x:v>
      </x:c>
      <x:c r="F226" s="1" t="n">
        <x:f>IF(D226="",VLOOKUP(C226,dish_base!$B$4:$O$82,13,FALSE),VLOOKUP(C226,dish_base!$B$4:$O$82,14,FALSE))</x:f>
        <x:v>160</x:v>
      </x:c>
      <x:c r="G226" s="35" t="str">
        <x:f>IF(D226="",VLOOKUP(C226,dish_base!$B$4:$O$82,11,FALSE),VLOOKUP(C226,dish_base!$B$4:$O$82,12,FALSE))</x:f>
        <x:v>70,120</x:v>
      </x:c>
      <x:c r="H226" s="1" t="s">
        <x:v>186</x:v>
      </x:c>
      <x:c r="I226"/>
      <x:c r="J226" t="s">
        <x:v>155</x:v>
      </x:c>
    </x:row>
    <x:row r="227">
      <x:c r="A227"/>
      <x:c r="B227" s="1" t="str">
        <x:f t="shared" si="4"/>
        <x:v>parfaitt_sour</x:v>
      </x:c>
      <x:c r="C227" s="8" t="s">
        <x:v>154</x:v>
      </x:c>
      <x:c r="D227" s="1" t="s">
        <x:v>188</x:v>
      </x:c>
      <x:c r="E227" s="1">
        <x:v>100</x:v>
      </x:c>
      <x:c r="F227" s="1" t="n">
        <x:f>IF(D227="",VLOOKUP(C227,dish_base!$B$4:$O$82,13,FALSE),VLOOKUP(C227,dish_base!$B$4:$O$82,14,FALSE))</x:f>
        <x:v>160</x:v>
      </x:c>
      <x:c r="G227" s="35" t="str">
        <x:f>IF(D227="",VLOOKUP(C227,dish_base!$B$4:$O$82,11,FALSE),VLOOKUP(C227,dish_base!$B$4:$O$82,12,FALSE))</x:f>
        <x:v>70,120</x:v>
      </x:c>
      <x:c r="H227" s="1" t="s">
        <x:v>186</x:v>
      </x:c>
      <x:c r="I227"/>
      <x:c r="J227" t="s">
        <x:v>155</x:v>
      </x:c>
    </x:row>
    <x:row r="228">
      <x:c r="A228"/>
      <x:c r="B228" s="1" t="str">
        <x:f t="shared" si="4"/>
        <x:v>parfaitt_salty</x:v>
      </x:c>
      <x:c r="C228" s="8" t="s">
        <x:v>154</x:v>
      </x:c>
      <x:c r="D228" s="1" t="s">
        <x:v>189</x:v>
      </x:c>
      <x:c r="E228" s="1">
        <x:v>100</x:v>
      </x:c>
      <x:c r="F228" s="1" t="n">
        <x:f>IF(D228="",VLOOKUP(C228,dish_base!$B$4:$O$82,13,FALSE),VLOOKUP(C228,dish_base!$B$4:$O$82,14,FALSE))</x:f>
        <x:v>160</x:v>
      </x:c>
      <x:c r="G228" s="35" t="str">
        <x:f>IF(D228="",VLOOKUP(C228,dish_base!$B$4:$O$82,11,FALSE),VLOOKUP(C228,dish_base!$B$4:$O$82,12,FALSE))</x:f>
        <x:v>70,120</x:v>
      </x:c>
      <x:c r="H228" s="1" t="s">
        <x:v>186</x:v>
      </x:c>
      <x:c r="I228"/>
      <x:c r="J228" t="s">
        <x:v>155</x:v>
      </x:c>
    </x:row>
    <x:row r="229">
      <x:c r="A229"/>
      <x:c r="B229" s="1" t="str">
        <x:f t="shared" si="4"/>
        <x:v>parfaitt_bitter</x:v>
      </x:c>
      <x:c r="C229" s="8" t="s">
        <x:v>154</x:v>
      </x:c>
      <x:c r="D229" s="1" t="s">
        <x:v>190</x:v>
      </x:c>
      <x:c r="E229" s="1">
        <x:v>100</x:v>
      </x:c>
      <x:c r="F229" s="1" t="n">
        <x:f>IF(D229="",VLOOKUP(C229,dish_base!$B$4:$O$82,13,FALSE),VLOOKUP(C229,dish_base!$B$4:$O$82,14,FALSE))</x:f>
        <x:v>160</x:v>
      </x:c>
      <x:c r="G229" s="35" t="str">
        <x:f>IF(D229="",VLOOKUP(C229,dish_base!$B$4:$O$82,11,FALSE),VLOOKUP(C229,dish_base!$B$4:$O$82,12,FALSE))</x:f>
        <x:v>70,120</x:v>
      </x:c>
      <x:c r="H229" s="1" t="s">
        <x:v>186</x:v>
      </x:c>
      <x:c r="I229"/>
      <x:c r="J229" t="s">
        <x:v>155</x:v>
      </x:c>
    </x:row>
    <x:row r="230">
      <x:c r="A230"/>
      <x:c r="B230" s="1" t="str">
        <x:f t="shared" si="4"/>
        <x:v>parfaitt_numb</x:v>
      </x:c>
      <x:c r="C230" s="8" t="s">
        <x:v>154</x:v>
      </x:c>
      <x:c r="D230" s="1" t="s">
        <x:v>191</x:v>
      </x:c>
      <x:c r="E230" s="1">
        <x:v>100</x:v>
      </x:c>
      <x:c r="F230" s="1" t="n">
        <x:f>IF(D230="",VLOOKUP(C230,dish_base!$B$4:$O$82,13,FALSE),VLOOKUP(C230,dish_base!$B$4:$O$82,14,FALSE))</x:f>
        <x:v>160</x:v>
      </x:c>
      <x:c r="G230" s="35" t="str">
        <x:f>IF(D230="",VLOOKUP(C230,dish_base!$B$4:$O$82,11,FALSE),VLOOKUP(C230,dish_base!$B$4:$O$82,12,FALSE))</x:f>
        <x:v>70,120</x:v>
      </x:c>
      <x:c r="H230" s="1" t="s">
        <x:v>186</x:v>
      </x:c>
      <x:c r="I230"/>
      <x:c r="J230" t="s">
        <x:v>155</x:v>
      </x:c>
    </x:row>
    <x:row r="231">
      <x:c r="A231"/>
      <x:c r="B231" s="1" t="str">
        <x:f t="shared" si="4"/>
        <x:v>parfaitt_rust</x:v>
      </x:c>
      <x:c r="C231" s="8" t="s">
        <x:v>154</x:v>
      </x:c>
      <x:c r="D231" s="1" t="s">
        <x:v>192</x:v>
      </x:c>
      <x:c r="E231" s="1">
        <x:v>100</x:v>
      </x:c>
      <x:c r="F231" s="1" t="n">
        <x:f>IF(D231="",VLOOKUP(C231,dish_base!$B$4:$O$82,13,FALSE),VLOOKUP(C231,dish_base!$B$4:$O$82,14,FALSE))</x:f>
        <x:v>160</x:v>
      </x:c>
      <x:c r="G231" s="35" t="str">
        <x:f>IF(D231="",VLOOKUP(C231,dish_base!$B$4:$O$82,11,FALSE),VLOOKUP(C231,dish_base!$B$4:$O$82,12,FALSE))</x:f>
        <x:v>70,120</x:v>
      </x:c>
      <x:c r="H231" s="1" t="s">
        <x:v>186</x:v>
      </x:c>
      <x:c r="I231"/>
      <x:c r="J231" t="s">
        <x:v>155</x:v>
      </x:c>
    </x:row>
    <x:row r="232">
      <x:c r="A232"/>
      <x:c r="B232" s="1" t="str">
        <x:f t="shared" si="4"/>
        <x:v>marshmallow</x:v>
      </x:c>
      <x:c r="C232" s="8" t="s">
        <x:v>157</x:v>
      </x:c>
      <x:c r="E232" s="1">
        <x:v>1200</x:v>
      </x:c>
      <x:c r="F232" s="1" t="n">
        <x:f>IF(D232="",VLOOKUP(C232,dish_base!$B$4:$O$82,13,FALSE),VLOOKUP(C232,dish_base!$B$4:$O$82,14,FALSE))</x:f>
        <x:v>90</x:v>
      </x:c>
      <x:c r="G232" s="35" t="str">
        <x:f>IF(D232="",VLOOKUP(C232,dish_base!$B$4:$O$82,11,FALSE),VLOOKUP(C232,dish_base!$B$4:$O$82,12,FALSE))</x:f>
        <x:v>40,90</x:v>
      </x:c>
      <x:c r="H232" s="1" t="s">
        <x:v>186</x:v>
      </x:c>
      <x:c r="I232"/>
      <x:c r="J232" t="s">
        <x:v>158</x:v>
      </x:c>
    </x:row>
    <x:row r="233">
      <x:c r="A233"/>
      <x:c r="B233" s="1" t="str">
        <x:f t="shared" si="4"/>
        <x:v>marshmallowt_sweet</x:v>
      </x:c>
      <x:c r="C233" s="8" t="s">
        <x:v>157</x:v>
      </x:c>
      <x:c r="D233" s="1" t="s">
        <x:v>187</x:v>
      </x:c>
      <x:c r="E233" s="1">
        <x:v>100</x:v>
      </x:c>
      <x:c r="F233" s="1" t="n">
        <x:f>IF(D233="",VLOOKUP(C233,dish_base!$B$4:$O$82,13,FALSE),VLOOKUP(C233,dish_base!$B$4:$O$82,14,FALSE))</x:f>
        <x:v>160</x:v>
      </x:c>
      <x:c r="G233" s="35" t="str">
        <x:f>IF(D233="",VLOOKUP(C233,dish_base!$B$4:$O$82,11,FALSE),VLOOKUP(C233,dish_base!$B$4:$O$82,12,FALSE))</x:f>
        <x:v>70,120</x:v>
      </x:c>
      <x:c r="H233" s="1" t="s">
        <x:v>186</x:v>
      </x:c>
      <x:c r="I233"/>
      <x:c r="J233" t="s">
        <x:v>158</x:v>
      </x:c>
    </x:row>
    <x:row r="234">
      <x:c r="A234"/>
      <x:c r="B234" s="1" t="str">
        <x:f t="shared" si="4"/>
        <x:v>marshmallowt_sour</x:v>
      </x:c>
      <x:c r="C234" s="8" t="s">
        <x:v>157</x:v>
      </x:c>
      <x:c r="D234" s="1" t="s">
        <x:v>188</x:v>
      </x:c>
      <x:c r="E234" s="1">
        <x:v>100</x:v>
      </x:c>
      <x:c r="F234" s="1" t="n">
        <x:f>IF(D234="",VLOOKUP(C234,dish_base!$B$4:$O$82,13,FALSE),VLOOKUP(C234,dish_base!$B$4:$O$82,14,FALSE))</x:f>
        <x:v>160</x:v>
      </x:c>
      <x:c r="G234" s="35" t="str">
        <x:f>IF(D234="",VLOOKUP(C234,dish_base!$B$4:$O$82,11,FALSE),VLOOKUP(C234,dish_base!$B$4:$O$82,12,FALSE))</x:f>
        <x:v>70,120</x:v>
      </x:c>
      <x:c r="H234" s="1" t="s">
        <x:v>186</x:v>
      </x:c>
      <x:c r="I234"/>
      <x:c r="J234" t="s">
        <x:v>158</x:v>
      </x:c>
    </x:row>
    <x:row r="235">
      <x:c r="A235"/>
      <x:c r="B235" s="1" t="str">
        <x:f t="shared" si="4"/>
        <x:v>marshmallowt_salty</x:v>
      </x:c>
      <x:c r="C235" s="8" t="s">
        <x:v>157</x:v>
      </x:c>
      <x:c r="D235" s="1" t="s">
        <x:v>189</x:v>
      </x:c>
      <x:c r="E235" s="1">
        <x:v>100</x:v>
      </x:c>
      <x:c r="F235" s="1" t="n">
        <x:f>IF(D235="",VLOOKUP(C235,dish_base!$B$4:$O$82,13,FALSE),VLOOKUP(C235,dish_base!$B$4:$O$82,14,FALSE))</x:f>
        <x:v>160</x:v>
      </x:c>
      <x:c r="G235" s="35" t="str">
        <x:f>IF(D235="",VLOOKUP(C235,dish_base!$B$4:$O$82,11,FALSE),VLOOKUP(C235,dish_base!$B$4:$O$82,12,FALSE))</x:f>
        <x:v>70,120</x:v>
      </x:c>
      <x:c r="H235" s="1" t="s">
        <x:v>186</x:v>
      </x:c>
      <x:c r="I235"/>
      <x:c r="J235" t="s">
        <x:v>158</x:v>
      </x:c>
    </x:row>
    <x:row r="236">
      <x:c r="A236"/>
      <x:c r="B236" s="1" t="str">
        <x:f t="shared" si="4"/>
        <x:v>marshmallowt_bitter</x:v>
      </x:c>
      <x:c r="C236" s="8" t="s">
        <x:v>157</x:v>
      </x:c>
      <x:c r="D236" s="1" t="s">
        <x:v>190</x:v>
      </x:c>
      <x:c r="E236" s="1">
        <x:v>100</x:v>
      </x:c>
      <x:c r="F236" s="1" t="n">
        <x:f>IF(D236="",VLOOKUP(C236,dish_base!$B$4:$O$82,13,FALSE),VLOOKUP(C236,dish_base!$B$4:$O$82,14,FALSE))</x:f>
        <x:v>160</x:v>
      </x:c>
      <x:c r="G236" s="35" t="str">
        <x:f>IF(D236="",VLOOKUP(C236,dish_base!$B$4:$O$82,11,FALSE),VLOOKUP(C236,dish_base!$B$4:$O$82,12,FALSE))</x:f>
        <x:v>70,120</x:v>
      </x:c>
      <x:c r="H236" s="1" t="s">
        <x:v>186</x:v>
      </x:c>
      <x:c r="I236"/>
      <x:c r="J236" t="s">
        <x:v>158</x:v>
      </x:c>
    </x:row>
    <x:row r="237">
      <x:c r="A237"/>
      <x:c r="B237" s="1" t="str">
        <x:f t="shared" si="4"/>
        <x:v>marshmallowt_numb</x:v>
      </x:c>
      <x:c r="C237" s="8" t="s">
        <x:v>157</x:v>
      </x:c>
      <x:c r="D237" s="1" t="s">
        <x:v>191</x:v>
      </x:c>
      <x:c r="E237" s="1">
        <x:v>100</x:v>
      </x:c>
      <x:c r="F237" s="1" t="n">
        <x:f>IF(D237="",VLOOKUP(C237,dish_base!$B$4:$O$82,13,FALSE),VLOOKUP(C237,dish_base!$B$4:$O$82,14,FALSE))</x:f>
        <x:v>160</x:v>
      </x:c>
      <x:c r="G237" s="35" t="str">
        <x:f>IF(D237="",VLOOKUP(C237,dish_base!$B$4:$O$82,11,FALSE),VLOOKUP(C237,dish_base!$B$4:$O$82,12,FALSE))</x:f>
        <x:v>70,120</x:v>
      </x:c>
      <x:c r="H237" s="1" t="s">
        <x:v>186</x:v>
      </x:c>
      <x:c r="I237"/>
      <x:c r="J237" t="s">
        <x:v>158</x:v>
      </x:c>
    </x:row>
    <x:row r="238">
      <x:c r="A238"/>
      <x:c r="B238" s="1" t="str">
        <x:f t="shared" ref="B238:B301" si="5">C238&amp;D238</x:f>
        <x:v>marshmallowt_rust</x:v>
      </x:c>
      <x:c r="C238" s="8" t="s">
        <x:v>157</x:v>
      </x:c>
      <x:c r="D238" s="1" t="s">
        <x:v>192</x:v>
      </x:c>
      <x:c r="E238" s="1">
        <x:v>100</x:v>
      </x:c>
      <x:c r="F238" s="1" t="n">
        <x:f>IF(D238="",VLOOKUP(C238,dish_base!$B$4:$O$82,13,FALSE),VLOOKUP(C238,dish_base!$B$4:$O$82,14,FALSE))</x:f>
        <x:v>160</x:v>
      </x:c>
      <x:c r="G238" s="35" t="str">
        <x:f>IF(D238="",VLOOKUP(C238,dish_base!$B$4:$O$82,11,FALSE),VLOOKUP(C238,dish_base!$B$4:$O$82,12,FALSE))</x:f>
        <x:v>70,120</x:v>
      </x:c>
      <x:c r="H238" s="1" t="s">
        <x:v>186</x:v>
      </x:c>
      <x:c r="I238"/>
      <x:c r="J238" t="s">
        <x:v>158</x:v>
      </x:c>
    </x:row>
    <x:row r="239">
      <x:c r="A239"/>
      <x:c r="B239" s="1" t="str">
        <x:f t="shared" si="5"/>
        <x:v>big_lollipop</x:v>
      </x:c>
      <x:c r="C239" s="8" t="s">
        <x:v>160</x:v>
      </x:c>
      <x:c r="E239" s="1">
        <x:v>1200</x:v>
      </x:c>
      <x:c r="F239" s="1" t="n">
        <x:f>IF(D239="",VLOOKUP(C239,dish_base!$B$4:$O$82,13,FALSE),VLOOKUP(C239,dish_base!$B$4:$O$82,14,FALSE))</x:f>
        <x:v>135</x:v>
      </x:c>
      <x:c r="G239" s="35" t="str">
        <x:f>IF(D239="",VLOOKUP(C239,dish_base!$B$4:$O$82,11,FALSE),VLOOKUP(C239,dish_base!$B$4:$O$82,12,FALSE))</x:f>
        <x:v>45,100</x:v>
      </x:c>
      <x:c r="H239" s="1" t="s">
        <x:v>186</x:v>
      </x:c>
      <x:c r="I239"/>
      <x:c r="J239" t="s">
        <x:v>161</x:v>
      </x:c>
    </x:row>
    <x:row r="240">
      <x:c r="A240"/>
      <x:c r="B240" s="1" t="str">
        <x:f t="shared" si="5"/>
        <x:v>big_lollipopt_sweet</x:v>
      </x:c>
      <x:c r="C240" s="8" t="s">
        <x:v>160</x:v>
      </x:c>
      <x:c r="D240" s="1" t="s">
        <x:v>187</x:v>
      </x:c>
      <x:c r="E240" s="1">
        <x:v>100</x:v>
      </x:c>
      <x:c r="F240" s="1" t="n">
        <x:f>IF(D240="",VLOOKUP(C240,dish_base!$B$4:$O$82,13,FALSE),VLOOKUP(C240,dish_base!$B$4:$O$82,14,FALSE))</x:f>
        <x:v>230</x:v>
      </x:c>
      <x:c r="G240" s="35" t="str">
        <x:f>IF(D240="",VLOOKUP(C240,dish_base!$B$4:$O$82,11,FALSE),VLOOKUP(C240,dish_base!$B$4:$O$82,12,FALSE))</x:f>
        <x:v>80,130</x:v>
      </x:c>
      <x:c r="H240" s="1" t="s">
        <x:v>186</x:v>
      </x:c>
      <x:c r="I240"/>
      <x:c r="J240" t="s">
        <x:v>161</x:v>
      </x:c>
    </x:row>
    <x:row r="241">
      <x:c r="A241"/>
      <x:c r="B241" s="1" t="str">
        <x:f t="shared" si="5"/>
        <x:v>big_lollipopt_sour</x:v>
      </x:c>
      <x:c r="C241" s="8" t="s">
        <x:v>160</x:v>
      </x:c>
      <x:c r="D241" s="1" t="s">
        <x:v>188</x:v>
      </x:c>
      <x:c r="E241" s="1">
        <x:v>100</x:v>
      </x:c>
      <x:c r="F241" s="1" t="n">
        <x:f>IF(D241="",VLOOKUP(C241,dish_base!$B$4:$O$82,13,FALSE),VLOOKUP(C241,dish_base!$B$4:$O$82,14,FALSE))</x:f>
        <x:v>230</x:v>
      </x:c>
      <x:c r="G241" s="35" t="str">
        <x:f>IF(D241="",VLOOKUP(C241,dish_base!$B$4:$O$82,11,FALSE),VLOOKUP(C241,dish_base!$B$4:$O$82,12,FALSE))</x:f>
        <x:v>80,130</x:v>
      </x:c>
      <x:c r="H241" s="1" t="s">
        <x:v>186</x:v>
      </x:c>
      <x:c r="I241"/>
      <x:c r="J241" t="s">
        <x:v>161</x:v>
      </x:c>
    </x:row>
    <x:row r="242">
      <x:c r="A242"/>
      <x:c r="B242" s="1" t="str">
        <x:f t="shared" si="5"/>
        <x:v>big_lollipopt_salty</x:v>
      </x:c>
      <x:c r="C242" s="8" t="s">
        <x:v>160</x:v>
      </x:c>
      <x:c r="D242" s="1" t="s">
        <x:v>189</x:v>
      </x:c>
      <x:c r="E242" s="1">
        <x:v>100</x:v>
      </x:c>
      <x:c r="F242" s="1" t="n">
        <x:f>IF(D242="",VLOOKUP(C242,dish_base!$B$4:$O$82,13,FALSE),VLOOKUP(C242,dish_base!$B$4:$O$82,14,FALSE))</x:f>
        <x:v>230</x:v>
      </x:c>
      <x:c r="G242" s="35" t="str">
        <x:f>IF(D242="",VLOOKUP(C242,dish_base!$B$4:$O$82,11,FALSE),VLOOKUP(C242,dish_base!$B$4:$O$82,12,FALSE))</x:f>
        <x:v>80,130</x:v>
      </x:c>
      <x:c r="H242" s="1" t="s">
        <x:v>186</x:v>
      </x:c>
      <x:c r="I242"/>
      <x:c r="J242" t="s">
        <x:v>161</x:v>
      </x:c>
    </x:row>
    <x:row r="243">
      <x:c r="A243"/>
      <x:c r="B243" s="1" t="str">
        <x:f t="shared" si="5"/>
        <x:v>big_lollipopt_bitter</x:v>
      </x:c>
      <x:c r="C243" s="8" t="s">
        <x:v>160</x:v>
      </x:c>
      <x:c r="D243" s="1" t="s">
        <x:v>190</x:v>
      </x:c>
      <x:c r="E243" s="1">
        <x:v>100</x:v>
      </x:c>
      <x:c r="F243" s="1" t="n">
        <x:f>IF(D243="",VLOOKUP(C243,dish_base!$B$4:$O$82,13,FALSE),VLOOKUP(C243,dish_base!$B$4:$O$82,14,FALSE))</x:f>
        <x:v>230</x:v>
      </x:c>
      <x:c r="G243" s="35" t="str">
        <x:f>IF(D243="",VLOOKUP(C243,dish_base!$B$4:$O$82,11,FALSE),VLOOKUP(C243,dish_base!$B$4:$O$82,12,FALSE))</x:f>
        <x:v>80,130</x:v>
      </x:c>
      <x:c r="H243" s="1" t="s">
        <x:v>186</x:v>
      </x:c>
      <x:c r="I243"/>
      <x:c r="J243" t="s">
        <x:v>161</x:v>
      </x:c>
    </x:row>
    <x:row r="244">
      <x:c r="A244"/>
      <x:c r="B244" s="1" t="str">
        <x:f t="shared" si="5"/>
        <x:v>big_lollipopt_numb</x:v>
      </x:c>
      <x:c r="C244" s="8" t="s">
        <x:v>160</x:v>
      </x:c>
      <x:c r="D244" s="1" t="s">
        <x:v>191</x:v>
      </x:c>
      <x:c r="E244" s="1">
        <x:v>100</x:v>
      </x:c>
      <x:c r="F244" s="1" t="n">
        <x:f>IF(D244="",VLOOKUP(C244,dish_base!$B$4:$O$82,13,FALSE),VLOOKUP(C244,dish_base!$B$4:$O$82,14,FALSE))</x:f>
        <x:v>230</x:v>
      </x:c>
      <x:c r="G244" s="35" t="str">
        <x:f>IF(D244="",VLOOKUP(C244,dish_base!$B$4:$O$82,11,FALSE),VLOOKUP(C244,dish_base!$B$4:$O$82,12,FALSE))</x:f>
        <x:v>80,130</x:v>
      </x:c>
      <x:c r="H244" s="1" t="s">
        <x:v>186</x:v>
      </x:c>
      <x:c r="I244"/>
      <x:c r="J244" t="s">
        <x:v>161</x:v>
      </x:c>
    </x:row>
    <x:row r="245">
      <x:c r="A245"/>
      <x:c r="B245" s="1" t="str">
        <x:f t="shared" si="5"/>
        <x:v>big_lollipopt_rust</x:v>
      </x:c>
      <x:c r="C245" s="1" t="s">
        <x:v>160</x:v>
      </x:c>
      <x:c r="D245" s="1" t="s">
        <x:v>192</x:v>
      </x:c>
      <x:c r="E245" s="1">
        <x:v>100</x:v>
      </x:c>
      <x:c r="F245" s="1" t="n">
        <x:f>IF(D245="",VLOOKUP(C245,dish_base!$B$4:$O$82,13,FALSE),VLOOKUP(C245,dish_base!$B$4:$O$82,14,FALSE))</x:f>
        <x:v>230</x:v>
      </x:c>
      <x:c r="G245" s="35" t="str">
        <x:f>IF(D245="",VLOOKUP(C245,dish_base!$B$4:$O$82,11,FALSE),VLOOKUP(C245,dish_base!$B$4:$O$82,12,FALSE))</x:f>
        <x:v>80,130</x:v>
      </x:c>
      <x:c r="H245" s="1" t="s">
        <x:v>186</x:v>
      </x:c>
      <x:c r="I245"/>
      <x:c r="J245" t="s">
        <x:v>161</x:v>
      </x:c>
    </x:row>
    <x:row r="246">
      <x:c r="A246"/>
      <x:c r="B246" s="1" t="str">
        <x:f t="shared" si="5"/>
        <x:v>apple_pie</x:v>
      </x:c>
      <x:c r="C246" s="1" t="s">
        <x:v>163</x:v>
      </x:c>
      <x:c r="E246" s="1">
        <x:v>1200</x:v>
      </x:c>
      <x:c r="F246" s="1" t="n">
        <x:f>IF(D246="",VLOOKUP(C246,dish_base!$B$4:$O$82,13,FALSE),VLOOKUP(C246,dish_base!$B$4:$O$82,14,FALSE))</x:f>
        <x:v>135</x:v>
      </x:c>
      <x:c r="G246" s="35" t="str">
        <x:f>IF(D246="",VLOOKUP(C246,dish_base!$B$4:$O$82,11,FALSE),VLOOKUP(C246,dish_base!$B$4:$O$82,12,FALSE))</x:f>
        <x:v>45,100</x:v>
      </x:c>
      <x:c r="H246" s="1" t="s">
        <x:v>186</x:v>
      </x:c>
      <x:c r="I246"/>
      <x:c r="J246" t="s">
        <x:v>164</x:v>
      </x:c>
    </x:row>
    <x:row r="247">
      <x:c r="A247"/>
      <x:c r="B247" s="1" t="str">
        <x:f t="shared" si="5"/>
        <x:v>apple_piet_sweet</x:v>
      </x:c>
      <x:c r="C247" s="1" t="s">
        <x:v>163</x:v>
      </x:c>
      <x:c r="D247" s="1" t="s">
        <x:v>187</x:v>
      </x:c>
      <x:c r="E247" s="1">
        <x:v>100</x:v>
      </x:c>
      <x:c r="F247" s="1" t="n">
        <x:f>IF(D247="",VLOOKUP(C247,dish_base!$B$4:$O$82,13,FALSE),VLOOKUP(C247,dish_base!$B$4:$O$82,14,FALSE))</x:f>
        <x:v>230</x:v>
      </x:c>
      <x:c r="G247" s="35" t="str">
        <x:f>IF(D247="",VLOOKUP(C247,dish_base!$B$4:$O$82,11,FALSE),VLOOKUP(C247,dish_base!$B$4:$O$82,12,FALSE))</x:f>
        <x:v>80,130</x:v>
      </x:c>
      <x:c r="H247" s="1" t="s">
        <x:v>186</x:v>
      </x:c>
      <x:c r="I247"/>
      <x:c r="J247" t="s">
        <x:v>164</x:v>
      </x:c>
    </x:row>
    <x:row r="248">
      <x:c r="A248"/>
      <x:c r="B248" s="1" t="str">
        <x:f t="shared" si="5"/>
        <x:v>apple_piet_sour</x:v>
      </x:c>
      <x:c r="C248" s="1" t="s">
        <x:v>163</x:v>
      </x:c>
      <x:c r="D248" s="1" t="s">
        <x:v>188</x:v>
      </x:c>
      <x:c r="E248" s="1">
        <x:v>100</x:v>
      </x:c>
      <x:c r="F248" s="1" t="n">
        <x:f>IF(D248="",VLOOKUP(C248,dish_base!$B$4:$O$82,13,FALSE),VLOOKUP(C248,dish_base!$B$4:$O$82,14,FALSE))</x:f>
        <x:v>230</x:v>
      </x:c>
      <x:c r="G248" s="35" t="str">
        <x:f>IF(D248="",VLOOKUP(C248,dish_base!$B$4:$O$82,11,FALSE),VLOOKUP(C248,dish_base!$B$4:$O$82,12,FALSE))</x:f>
        <x:v>80,130</x:v>
      </x:c>
      <x:c r="H248" s="1" t="s">
        <x:v>186</x:v>
      </x:c>
      <x:c r="I248"/>
      <x:c r="J248" t="s">
        <x:v>164</x:v>
      </x:c>
    </x:row>
    <x:row r="249">
      <x:c r="A249"/>
      <x:c r="B249" s="1" t="str">
        <x:f t="shared" si="5"/>
        <x:v>apple_piet_salty</x:v>
      </x:c>
      <x:c r="C249" s="1" t="s">
        <x:v>163</x:v>
      </x:c>
      <x:c r="D249" s="1" t="s">
        <x:v>189</x:v>
      </x:c>
      <x:c r="E249" s="1">
        <x:v>100</x:v>
      </x:c>
      <x:c r="F249" s="1" t="n">
        <x:f>IF(D249="",VLOOKUP(C249,dish_base!$B$4:$O$82,13,FALSE),VLOOKUP(C249,dish_base!$B$4:$O$82,14,FALSE))</x:f>
        <x:v>230</x:v>
      </x:c>
      <x:c r="G249" s="35" t="str">
        <x:f>IF(D249="",VLOOKUP(C249,dish_base!$B$4:$O$82,11,FALSE),VLOOKUP(C249,dish_base!$B$4:$O$82,12,FALSE))</x:f>
        <x:v>80,130</x:v>
      </x:c>
      <x:c r="H249" s="1" t="s">
        <x:v>186</x:v>
      </x:c>
      <x:c r="I249"/>
      <x:c r="J249" t="s">
        <x:v>164</x:v>
      </x:c>
    </x:row>
    <x:row r="250">
      <x:c r="A250"/>
      <x:c r="B250" s="1" t="str">
        <x:f t="shared" si="5"/>
        <x:v>apple_piet_bitter</x:v>
      </x:c>
      <x:c r="C250" s="1" t="s">
        <x:v>163</x:v>
      </x:c>
      <x:c r="D250" s="1" t="s">
        <x:v>190</x:v>
      </x:c>
      <x:c r="E250" s="1">
        <x:v>100</x:v>
      </x:c>
      <x:c r="F250" s="1" t="n">
        <x:f>IF(D250="",VLOOKUP(C250,dish_base!$B$4:$O$82,13,FALSE),VLOOKUP(C250,dish_base!$B$4:$O$82,14,FALSE))</x:f>
        <x:v>230</x:v>
      </x:c>
      <x:c r="G250" s="35" t="str">
        <x:f>IF(D250="",VLOOKUP(C250,dish_base!$B$4:$O$82,11,FALSE),VLOOKUP(C250,dish_base!$B$4:$O$82,12,FALSE))</x:f>
        <x:v>80,130</x:v>
      </x:c>
      <x:c r="H250" s="1" t="s">
        <x:v>186</x:v>
      </x:c>
      <x:c r="I250"/>
      <x:c r="J250" t="s">
        <x:v>164</x:v>
      </x:c>
    </x:row>
    <x:row r="251">
      <x:c r="A251"/>
      <x:c r="B251" s="1" t="str">
        <x:f t="shared" si="5"/>
        <x:v>apple_piet_numb</x:v>
      </x:c>
      <x:c r="C251" s="1" t="s">
        <x:v>163</x:v>
      </x:c>
      <x:c r="D251" s="1" t="s">
        <x:v>191</x:v>
      </x:c>
      <x:c r="E251" s="1">
        <x:v>100</x:v>
      </x:c>
      <x:c r="F251" s="1" t="n">
        <x:f>IF(D251="",VLOOKUP(C251,dish_base!$B$4:$O$82,13,FALSE),VLOOKUP(C251,dish_base!$B$4:$O$82,14,FALSE))</x:f>
        <x:v>230</x:v>
      </x:c>
      <x:c r="G251" s="35" t="str">
        <x:f>IF(D251="",VLOOKUP(C251,dish_base!$B$4:$O$82,11,FALSE),VLOOKUP(C251,dish_base!$B$4:$O$82,12,FALSE))</x:f>
        <x:v>80,130</x:v>
      </x:c>
      <x:c r="H251" s="1" t="s">
        <x:v>186</x:v>
      </x:c>
      <x:c r="I251"/>
      <x:c r="J251" t="s">
        <x:v>164</x:v>
      </x:c>
    </x:row>
    <x:row r="252">
      <x:c r="A252"/>
      <x:c r="B252" s="1" t="str">
        <x:f t="shared" si="5"/>
        <x:v>apple_piet_rust</x:v>
      </x:c>
      <x:c r="C252" s="1" t="s">
        <x:v>163</x:v>
      </x:c>
      <x:c r="D252" s="1" t="s">
        <x:v>192</x:v>
      </x:c>
      <x:c r="E252" s="1">
        <x:v>100</x:v>
      </x:c>
      <x:c r="F252" s="1" t="n">
        <x:f>IF(D252="",VLOOKUP(C252,dish_base!$B$4:$O$82,13,FALSE),VLOOKUP(C252,dish_base!$B$4:$O$82,14,FALSE))</x:f>
        <x:v>230</x:v>
      </x:c>
      <x:c r="G252" s="35" t="str">
        <x:f>IF(D252="",VLOOKUP(C252,dish_base!$B$4:$O$82,11,FALSE),VLOOKUP(C252,dish_base!$B$4:$O$82,12,FALSE))</x:f>
        <x:v>80,130</x:v>
      </x:c>
      <x:c r="H252" s="1" t="s">
        <x:v>186</x:v>
      </x:c>
      <x:c r="I252"/>
      <x:c r="J252" t="s">
        <x:v>164</x:v>
      </x:c>
    </x:row>
    <x:row r="253">
      <x:c r="A253"/>
      <x:c r="B253" s="1" t="str">
        <x:f t="shared" si="5"/>
        <x:v>double_cake</x:v>
      </x:c>
      <x:c r="C253" s="1" t="s">
        <x:v>166</x:v>
      </x:c>
      <x:c r="E253" s="1">
        <x:v>1200</x:v>
      </x:c>
      <x:c r="F253" s="1" t="n">
        <x:f>IF(D253="",VLOOKUP(C253,dish_base!$B$4:$O$82,13,FALSE),VLOOKUP(C253,dish_base!$B$4:$O$82,14,FALSE))</x:f>
        <x:v>180</x:v>
      </x:c>
      <x:c r="G253" s="35" t="str">
        <x:f>IF(D253="",VLOOKUP(C253,dish_base!$B$4:$O$82,11,FALSE),VLOOKUP(C253,dish_base!$B$4:$O$82,12,FALSE))</x:f>
        <x:v>45,100</x:v>
      </x:c>
      <x:c r="H253" s="1" t="s">
        <x:v>186</x:v>
      </x:c>
      <x:c r="I253"/>
      <x:c r="J253" t="s">
        <x:v>167</x:v>
      </x:c>
    </x:row>
    <x:row r="254">
      <x:c r="A254"/>
      <x:c r="B254" s="1" t="str">
        <x:f t="shared" si="5"/>
        <x:v>double_caket_sweet</x:v>
      </x:c>
      <x:c r="C254" s="1" t="s">
        <x:v>166</x:v>
      </x:c>
      <x:c r="D254" s="1" t="s">
        <x:v>187</x:v>
      </x:c>
      <x:c r="E254" s="1">
        <x:v>100</x:v>
      </x:c>
      <x:c r="F254" s="1" t="n">
        <x:f>IF(D254="",VLOOKUP(C254,dish_base!$B$4:$O$82,13,FALSE),VLOOKUP(C254,dish_base!$B$4:$O$82,14,FALSE))</x:f>
        <x:v>290</x:v>
      </x:c>
      <x:c r="G254" s="35" t="str">
        <x:f>IF(D254="",VLOOKUP(C254,dish_base!$B$4:$O$82,11,FALSE),VLOOKUP(C254,dish_base!$B$4:$O$82,12,FALSE))</x:f>
        <x:v>80,130</x:v>
      </x:c>
      <x:c r="H254" s="1" t="s">
        <x:v>186</x:v>
      </x:c>
      <x:c r="I254"/>
      <x:c r="J254" t="s">
        <x:v>167</x:v>
      </x:c>
    </x:row>
    <x:row r="255">
      <x:c r="A255"/>
      <x:c r="B255" s="1" t="str">
        <x:f t="shared" si="5"/>
        <x:v>double_caket_sour</x:v>
      </x:c>
      <x:c r="C255" s="1" t="s">
        <x:v>166</x:v>
      </x:c>
      <x:c r="D255" s="1" t="s">
        <x:v>188</x:v>
      </x:c>
      <x:c r="E255" s="1">
        <x:v>100</x:v>
      </x:c>
      <x:c r="F255" s="1" t="n">
        <x:f>IF(D255="",VLOOKUP(C255,dish_base!$B$4:$O$82,13,FALSE),VLOOKUP(C255,dish_base!$B$4:$O$82,14,FALSE))</x:f>
        <x:v>290</x:v>
      </x:c>
      <x:c r="G255" s="35" t="str">
        <x:f>IF(D255="",VLOOKUP(C255,dish_base!$B$4:$O$82,11,FALSE),VLOOKUP(C255,dish_base!$B$4:$O$82,12,FALSE))</x:f>
        <x:v>80,130</x:v>
      </x:c>
      <x:c r="H255" s="1" t="s">
        <x:v>186</x:v>
      </x:c>
      <x:c r="I255"/>
      <x:c r="J255" t="s">
        <x:v>167</x:v>
      </x:c>
    </x:row>
    <x:row r="256">
      <x:c r="A256"/>
      <x:c r="B256" s="1" t="str">
        <x:f t="shared" si="5"/>
        <x:v>double_caket_salty</x:v>
      </x:c>
      <x:c r="C256" s="1" t="s">
        <x:v>166</x:v>
      </x:c>
      <x:c r="D256" s="1" t="s">
        <x:v>189</x:v>
      </x:c>
      <x:c r="E256" s="1">
        <x:v>100</x:v>
      </x:c>
      <x:c r="F256" s="1" t="n">
        <x:f>IF(D256="",VLOOKUP(C256,dish_base!$B$4:$O$82,13,FALSE),VLOOKUP(C256,dish_base!$B$4:$O$82,14,FALSE))</x:f>
        <x:v>290</x:v>
      </x:c>
      <x:c r="G256" s="35" t="str">
        <x:f>IF(D256="",VLOOKUP(C256,dish_base!$B$4:$O$82,11,FALSE),VLOOKUP(C256,dish_base!$B$4:$O$82,12,FALSE))</x:f>
        <x:v>80,130</x:v>
      </x:c>
      <x:c r="H256" s="1" t="s">
        <x:v>186</x:v>
      </x:c>
      <x:c r="I256"/>
      <x:c r="J256" t="s">
        <x:v>167</x:v>
      </x:c>
    </x:row>
    <x:row r="257">
      <x:c r="A257"/>
      <x:c r="B257" s="1" t="str">
        <x:f t="shared" si="5"/>
        <x:v>double_caket_bitter</x:v>
      </x:c>
      <x:c r="C257" s="1" t="s">
        <x:v>166</x:v>
      </x:c>
      <x:c r="D257" s="1" t="s">
        <x:v>190</x:v>
      </x:c>
      <x:c r="E257" s="1">
        <x:v>100</x:v>
      </x:c>
      <x:c r="F257" s="1" t="n">
        <x:f>IF(D257="",VLOOKUP(C257,dish_base!$B$4:$O$82,13,FALSE),VLOOKUP(C257,dish_base!$B$4:$O$82,14,FALSE))</x:f>
        <x:v>290</x:v>
      </x:c>
      <x:c r="G257" s="35" t="str">
        <x:f>IF(D257="",VLOOKUP(C257,dish_base!$B$4:$O$82,11,FALSE),VLOOKUP(C257,dish_base!$B$4:$O$82,12,FALSE))</x:f>
        <x:v>80,130</x:v>
      </x:c>
      <x:c r="H257" s="1" t="s">
        <x:v>186</x:v>
      </x:c>
      <x:c r="I257"/>
      <x:c r="J257" t="s">
        <x:v>167</x:v>
      </x:c>
    </x:row>
    <x:row r="258">
      <x:c r="A258"/>
      <x:c r="B258" s="1" t="str">
        <x:f t="shared" si="5"/>
        <x:v>double_caket_numb</x:v>
      </x:c>
      <x:c r="C258" s="1" t="s">
        <x:v>166</x:v>
      </x:c>
      <x:c r="D258" s="1" t="s">
        <x:v>191</x:v>
      </x:c>
      <x:c r="E258" s="1">
        <x:v>100</x:v>
      </x:c>
      <x:c r="F258" s="1" t="n">
        <x:f>IF(D258="",VLOOKUP(C258,dish_base!$B$4:$O$82,13,FALSE),VLOOKUP(C258,dish_base!$B$4:$O$82,14,FALSE))</x:f>
        <x:v>290</x:v>
      </x:c>
      <x:c r="G258" s="35" t="str">
        <x:f>IF(D258="",VLOOKUP(C258,dish_base!$B$4:$O$82,11,FALSE),VLOOKUP(C258,dish_base!$B$4:$O$82,12,FALSE))</x:f>
        <x:v>80,130</x:v>
      </x:c>
      <x:c r="H258" s="1" t="s">
        <x:v>186</x:v>
      </x:c>
      <x:c r="I258"/>
      <x:c r="J258" t="s">
        <x:v>167</x:v>
      </x:c>
    </x:row>
    <x:row r="259">
      <x:c r="A259"/>
      <x:c r="B259" s="1" t="str">
        <x:f t="shared" si="5"/>
        <x:v>double_caket_rust</x:v>
      </x:c>
      <x:c r="C259" s="1" t="s">
        <x:v>166</x:v>
      </x:c>
      <x:c r="D259" s="1" t="s">
        <x:v>192</x:v>
      </x:c>
      <x:c r="E259" s="1">
        <x:v>100</x:v>
      </x:c>
      <x:c r="F259" s="1" t="n">
        <x:f>IF(D259="",VLOOKUP(C259,dish_base!$B$4:$O$82,13,FALSE),VLOOKUP(C259,dish_base!$B$4:$O$82,14,FALSE))</x:f>
        <x:v>290</x:v>
      </x:c>
      <x:c r="G259" s="35" t="str">
        <x:f>IF(D259="",VLOOKUP(C259,dish_base!$B$4:$O$82,11,FALSE),VLOOKUP(C259,dish_base!$B$4:$O$82,12,FALSE))</x:f>
        <x:v>80,130</x:v>
      </x:c>
      <x:c r="H259" s="1" t="s">
        <x:v>186</x:v>
      </x:c>
      <x:c r="I259"/>
      <x:c r="J259" t="s">
        <x:v>167</x:v>
      </x:c>
    </x:row>
    <x:row r="260">
      <x:c r="B260" s="1" t="str">
        <x:f t="shared" si="5"/>
      </x:c>
    </x:row>
    <x:row r="261">
      <x:c r="B261" s="1" t="str">
        <x:f t="shared" si="5"/>
      </x:c>
    </x:row>
    <x:row r="262">
      <x:c r="B262" s="1" t="str">
        <x:f t="shared" si="5"/>
      </x:c>
    </x:row>
    <x:row r="263">
      <x:c r="B263" s="1" t="str">
        <x:f t="shared" si="5"/>
      </x:c>
    </x:row>
    <x:row r="264">
      <x:c r="B264" s="1" t="str">
        <x:f t="shared" si="5"/>
      </x:c>
    </x:row>
    <x:row r="265">
      <x:c r="B265" s="1" t="str">
        <x:f t="shared" si="5"/>
      </x:c>
    </x:row>
    <x:row r="266">
      <x:c r="B266" s="1" t="str">
        <x:f t="shared" si="5"/>
      </x:c>
    </x:row>
    <x:row r="267">
      <x:c r="B267" s="1" t="str">
        <x:f t="shared" si="5"/>
      </x:c>
    </x:row>
    <x:row r="268">
      <x:c r="B268" s="1" t="str">
        <x:f t="shared" si="5"/>
      </x:c>
      <x:c r="C268" s="8"/>
    </x:row>
    <x:row r="269">
      <x:c r="B269" s="1" t="str">
        <x:f t="shared" si="5"/>
      </x:c>
      <x:c r="C269" s="8"/>
    </x:row>
    <x:row r="270">
      <x:c r="B270" s="1" t="str">
        <x:f t="shared" si="5"/>
      </x:c>
      <x:c r="C270" s="8"/>
    </x:row>
    <x:row r="271">
      <x:c r="B271" s="1" t="str">
        <x:f t="shared" si="5"/>
      </x:c>
      <x:c r="C271" s="8"/>
    </x:row>
    <x:row r="272">
      <x:c r="B272" s="1" t="str">
        <x:f t="shared" si="5"/>
      </x:c>
      <x:c r="C272" s="8"/>
    </x:row>
    <x:row r="273">
      <x:c r="B273" s="1" t="str">
        <x:f t="shared" si="5"/>
      </x:c>
      <x:c r="C273" s="8"/>
    </x:row>
    <x:row r="274">
      <x:c r="B274" s="1" t="str">
        <x:f t="shared" si="5"/>
      </x:c>
      <x:c r="C274" s="8"/>
    </x:row>
    <x:row r="275">
      <x:c r="B275" s="1" t="str">
        <x:f t="shared" si="5"/>
      </x:c>
      <x:c r="C275" s="8"/>
    </x:row>
    <x:row r="276">
      <x:c r="B276" s="1" t="str">
        <x:f t="shared" si="5"/>
      </x:c>
      <x:c r="C276" s="8"/>
    </x:row>
    <x:row r="277">
      <x:c r="B277" s="1" t="str">
        <x:f t="shared" si="5"/>
      </x:c>
      <x:c r="C277" s="8"/>
    </x:row>
    <x:row r="278">
      <x:c r="B278" s="1" t="str">
        <x:f t="shared" si="5"/>
      </x:c>
      <x:c r="C278" s="8"/>
    </x:row>
    <x:row r="279">
      <x:c r="B279" s="1" t="str">
        <x:f t="shared" si="5"/>
      </x:c>
      <x:c r="C279" s="8"/>
    </x:row>
    <x:row r="280">
      <x:c r="B280" s="1" t="str">
        <x:f t="shared" si="5"/>
      </x:c>
      <x:c r="C280" s="8"/>
    </x:row>
    <x:row r="281">
      <x:c r="B281" s="1" t="str">
        <x:f t="shared" si="5"/>
      </x:c>
      <x:c r="C281" s="8"/>
    </x:row>
    <x:row r="282">
      <x:c r="B282" s="1" t="str">
        <x:f t="shared" si="5"/>
      </x:c>
      <x:c r="C282" s="8"/>
    </x:row>
    <x:row r="283">
      <x:c r="B283" s="1" t="str">
        <x:f t="shared" si="5"/>
      </x:c>
      <x:c r="C283" s="8"/>
    </x:row>
    <x:row r="284">
      <x:c r="B284" s="1" t="str">
        <x:f t="shared" si="5"/>
      </x:c>
      <x:c r="C284" s="8"/>
    </x:row>
    <x:row r="285">
      <x:c r="B285" s="1" t="str">
        <x:f t="shared" si="5"/>
      </x:c>
      <x:c r="C285" s="8"/>
    </x:row>
    <x:row r="286">
      <x:c r="B286" s="1" t="str">
        <x:f t="shared" si="5"/>
      </x:c>
      <x:c r="C286" s="8"/>
    </x:row>
    <x:row r="287">
      <x:c r="B287" s="1" t="str">
        <x:f t="shared" si="5"/>
      </x:c>
      <x:c r="C287" s="8"/>
    </x:row>
    <x:row r="288">
      <x:c r="B288" s="1" t="str">
        <x:f t="shared" si="5"/>
      </x:c>
      <x:c r="C288" s="8"/>
    </x:row>
    <x:row r="289">
      <x:c r="B289" s="1" t="str">
        <x:f t="shared" si="5"/>
      </x:c>
      <x:c r="C289" s="8"/>
    </x:row>
    <x:row r="290">
      <x:c r="B290" s="1" t="str">
        <x:f t="shared" si="5"/>
      </x:c>
      <x:c r="C290" s="8"/>
    </x:row>
    <x:row r="291">
      <x:c r="B291" s="1" t="str">
        <x:f t="shared" si="5"/>
      </x:c>
      <x:c r="C291" s="8"/>
    </x:row>
    <x:row r="292">
      <x:c r="B292" s="1" t="str">
        <x:f t="shared" si="5"/>
      </x:c>
      <x:c r="C292" s="8"/>
    </x:row>
    <x:row r="293">
      <x:c r="B293" s="1" t="str">
        <x:f t="shared" si="5"/>
      </x:c>
    </x:row>
    <x:row r="294">
      <x:c r="B294" s="1" t="str">
        <x:f t="shared" si="5"/>
      </x:c>
    </x:row>
    <x:row r="295">
      <x:c r="B295" s="1" t="str">
        <x:f t="shared" si="5"/>
      </x:c>
    </x:row>
    <x:row r="296">
      <x:c r="B296" s="1" t="str">
        <x:f t="shared" si="5"/>
      </x:c>
    </x:row>
    <x:row r="297">
      <x:c r="B297" s="1" t="str">
        <x:f t="shared" si="5"/>
      </x:c>
    </x:row>
    <x:row r="298">
      <x:c r="B298" s="1" t="str">
        <x:f t="shared" si="5"/>
      </x:c>
    </x:row>
    <x:row r="299">
      <x:c r="B299" s="1" t="str">
        <x:f t="shared" si="5"/>
      </x:c>
    </x:row>
    <x:row r="300">
      <x:c r="B300" s="1" t="str">
        <x:f t="shared" si="5"/>
      </x:c>
    </x:row>
    <x:row r="301">
      <x:c r="B301" s="1" t="str">
        <x:f t="shared" si="5"/>
      </x:c>
    </x:row>
    <x:row r="302">
      <x:c r="B302" s="1" t="str">
        <x:f t="shared" ref="B302:B308" si="6">C302&amp;D302</x:f>
      </x:c>
    </x:row>
    <x:row r="303">
      <x:c r="B303" s="1" t="str">
        <x:f t="shared" si="6"/>
      </x:c>
    </x:row>
    <x:row r="304">
      <x:c r="B304" s="1" t="str">
        <x:f t="shared" si="6"/>
      </x:c>
    </x:row>
    <x:row r="305">
      <x:c r="B305" s="1" t="str">
        <x:f t="shared" si="6"/>
      </x:c>
    </x:row>
    <x:row r="306">
      <x:c r="B306" s="1" t="str">
        <x:f t="shared" si="6"/>
      </x:c>
    </x:row>
    <x:row r="307">
      <x:c r="B307" s="1" t="str">
        <x:f t="shared" si="6"/>
      </x:c>
    </x:row>
    <x:row r="308">
      <x:c r="B308" s="1" t="str">
        <x:f t="shared" si="6"/>
      </x:c>
    </x:row>
    <x:row r="309">
      <x:c r="B309" s="1" t="str">
        <x:f t="shared" ref="B309:B315" si="7">C309&amp;D309</x:f>
      </x:c>
    </x:row>
    <x:row r="310">
      <x:c r="B310" s="1" t="str">
        <x:f t="shared" si="7"/>
      </x:c>
    </x:row>
    <x:row r="311">
      <x:c r="B311" s="1" t="str">
        <x:f t="shared" si="7"/>
      </x:c>
    </x:row>
    <x:row r="312">
      <x:c r="B312" s="1" t="str">
        <x:f t="shared" si="7"/>
      </x:c>
    </x:row>
    <x:row r="313">
      <x:c r="B313" s="1" t="str">
        <x:f t="shared" si="7"/>
      </x:c>
    </x:row>
    <x:row r="314">
      <x:c r="B314" s="1" t="str">
        <x:f t="shared" si="7"/>
      </x:c>
    </x:row>
    <x:row r="315">
      <x:c r="B315" s="1" t="str">
        <x:f t="shared" si="7"/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">
        <x:v>0</x:v>
      </x:c>
      <x:c r="B1" t="s">
        <x:v>1</x:v>
      </x:c>
      <x:c r="C1" t="s">
        <x:v>193</x:v>
      </x:c>
    </x:row>
    <x:row r="2">
      <x:c r="A2" t="s">
        <x:v>9</x:v>
      </x:c>
      <x:c r="B2" t="s">
        <x:v>194</x:v>
      </x:c>
      <x:c r="C2" t="s">
        <x:v>195</x:v>
      </x:c>
    </x:row>
    <x:row r="3">
      <x:c r="A3" t="s">
        <x:v>18</x:v>
      </x:c>
      <x:c r="B3" t="s">
        <x:v>19</x:v>
      </x:c>
      <x:c r="C3" t="s">
        <x:v>19</x:v>
      </x:c>
    </x:row>
    <x:row r="4">
      <x:c r="B4" t="s">
        <x:v>26</x:v>
      </x:c>
      <x:c r="C4" t="s">
        <x:v>196</x:v>
      </x:c>
      <x:c r="G4" t="s">
        <x:v>196</x:v>
      </x:c>
      <x:c r="J4" t="s">
        <x:v>23</x:v>
      </x:c>
      <x:c r="K4" t="s">
        <x:v>24</x:v>
      </x:c>
    </x:row>
    <x:row r="5">
      <x:c r="B5" t="s">
        <x:v>30</x:v>
      </x:c>
      <x:c r="C5" t="s">
        <x:v>197</x:v>
      </x:c>
      <x:c r="G5" t="s">
        <x:v>197</x:v>
      </x:c>
      <x:c r="J5" t="s">
        <x:v>28</x:v>
      </x:c>
      <x:c r="K5" t="s">
        <x:v>29</x:v>
      </x:c>
    </x:row>
    <x:row r="6">
      <x:c r="B6" t="s">
        <x:v>33</x:v>
      </x:c>
      <x:c r="C6" t="s">
        <x:v>198</x:v>
      </x:c>
      <x:c r="G6" t="s">
        <x:v>198</x:v>
      </x:c>
      <x:c r="J6" t="s">
        <x:v>31</x:v>
      </x:c>
      <x:c r="K6" t="s">
        <x:v>32</x:v>
      </x:c>
    </x:row>
    <x:row r="7">
      <x:c r="B7" t="s">
        <x:v>37</x:v>
      </x:c>
      <x:c r="C7" t="s">
        <x:v>199</x:v>
      </x:c>
      <x:c r="G7" t="s">
        <x:v>199</x:v>
      </x:c>
      <x:c r="J7" t="s">
        <x:v>35</x:v>
      </x:c>
      <x:c r="K7" t="s">
        <x:v>36</x:v>
      </x:c>
    </x:row>
    <x:row r="8">
      <x:c r="B8" t="s">
        <x:v>40</x:v>
      </x:c>
      <x:c r="C8" t="s">
        <x:v>200</x:v>
      </x:c>
      <x:c r="G8" t="s">
        <x:v>200</x:v>
      </x:c>
      <x:c r="J8" t="s">
        <x:v>38</x:v>
      </x:c>
      <x:c r="K8" t="s">
        <x:v>39</x:v>
      </x:c>
    </x:row>
    <x:row r="9">
      <x:c r="B9" t="s">
        <x:v>43</x:v>
      </x:c>
      <x:c r="C9" t="s">
        <x:v>201</x:v>
      </x:c>
      <x:c r="G9" t="s">
        <x:v>201</x:v>
      </x:c>
      <x:c r="J9" t="s">
        <x:v>41</x:v>
      </x:c>
      <x:c r="K9" t="s">
        <x:v>42</x:v>
      </x:c>
    </x:row>
    <x:row r="10">
      <x:c r="B10" t="s">
        <x:v>47</x:v>
      </x:c>
      <x:c r="C10" t="s">
        <x:v>202</x:v>
      </x:c>
      <x:c r="G10" t="s">
        <x:v>202</x:v>
      </x:c>
      <x:c r="J10" t="s">
        <x:v>45</x:v>
      </x:c>
      <x:c r="K10" t="s">
        <x:v>46</x:v>
      </x:c>
    </x:row>
    <x:row r="11">
      <x:c r="B11" t="s">
        <x:v>50</x:v>
      </x:c>
      <x:c r="C11" t="s">
        <x:v>203</x:v>
      </x:c>
      <x:c r="G11" t="s">
        <x:v>204</x:v>
      </x:c>
      <x:c r="H11" t="s">
        <x:v>205</x:v>
      </x:c>
      <x:c r="J11" t="s">
        <x:v>48</x:v>
      </x:c>
      <x:c r="K11" t="s">
        <x:v>49</x:v>
      </x:c>
    </x:row>
    <x:row r="12">
      <x:c r="B12" t="s">
        <x:v>53</x:v>
      </x:c>
      <x:c r="C12" t="s">
        <x:v>206</x:v>
      </x:c>
      <x:c r="G12" t="s">
        <x:v>207</x:v>
      </x:c>
      <x:c r="H12" t="s">
        <x:v>208</x:v>
      </x:c>
      <x:c r="J12" t="s">
        <x:v>51</x:v>
      </x:c>
      <x:c r="K12" t="s">
        <x:v>52</x:v>
      </x:c>
    </x:row>
    <x:row r="13">
      <x:c r="B13" t="s">
        <x:v>57</x:v>
      </x:c>
      <x:c r="C13" t="s">
        <x:v>209</x:v>
      </x:c>
      <x:c r="G13" t="s">
        <x:v>209</x:v>
      </x:c>
      <x:c r="J13" t="s">
        <x:v>55</x:v>
      </x:c>
      <x:c r="K13" t="s">
        <x:v>56</x:v>
      </x:c>
    </x:row>
    <x:row r="14">
      <x:c r="B14" t="s">
        <x:v>61</x:v>
      </x:c>
      <x:c r="C14" t="s">
        <x:v>210</x:v>
      </x:c>
      <x:c r="G14" t="s">
        <x:v>211</x:v>
      </x:c>
      <x:c r="H14" t="s">
        <x:v>212</x:v>
      </x:c>
      <x:c r="J14" t="s">
        <x:v>59</x:v>
      </x:c>
      <x:c r="K14" t="s">
        <x:v>60</x:v>
      </x:c>
    </x:row>
    <x:row r="15">
      <x:c r="B15" t="s">
        <x:v>66</x:v>
      </x:c>
      <x:c r="C15" t="s">
        <x:v>213</x:v>
      </x:c>
      <x:c r="G15" t="s">
        <x:v>214</x:v>
      </x:c>
      <x:c r="H15" t="s">
        <x:v>215</x:v>
      </x:c>
      <x:c r="J15" t="s">
        <x:v>64</x:v>
      </x:c>
      <x:c r="K15" t="s">
        <x:v>65</x:v>
      </x:c>
    </x:row>
    <x:row r="16">
      <x:c r="B16" t="s">
        <x:v>70</x:v>
      </x:c>
      <x:c r="C16" t="s">
        <x:v>216</x:v>
      </x:c>
      <x:c r="G16" t="s">
        <x:v>216</x:v>
      </x:c>
      <x:c r="J16" t="s">
        <x:v>68</x:v>
      </x:c>
      <x:c r="K16" t="s">
        <x:v>69</x:v>
      </x:c>
    </x:row>
    <x:row r="17">
      <x:c r="B17" t="s">
        <x:v>73</x:v>
      </x:c>
      <x:c r="C17" t="s">
        <x:v>217</x:v>
      </x:c>
      <x:c r="G17" t="s">
        <x:v>218</x:v>
      </x:c>
      <x:c r="H17" t="s">
        <x:v>219</x:v>
      </x:c>
      <x:c r="J17" t="s">
        <x:v>71</x:v>
      </x:c>
      <x:c r="K17" t="s">
        <x:v>72</x:v>
      </x:c>
    </x:row>
    <x:row r="18">
      <x:c r="B18" t="s">
        <x:v>76</x:v>
      </x:c>
      <x:c r="C18" t="s">
        <x:v>220</x:v>
      </x:c>
      <x:c r="G18" t="s">
        <x:v>220</x:v>
      </x:c>
      <x:c r="J18" t="s">
        <x:v>74</x:v>
      </x:c>
      <x:c r="K18" t="s">
        <x:v>75</x:v>
      </x:c>
    </x:row>
    <x:row r="19">
      <x:c r="B19" t="s">
        <x:v>81</x:v>
      </x:c>
      <x:c r="C19" t="s">
        <x:v>221</x:v>
      </x:c>
      <x:c r="G19" t="s">
        <x:v>221</x:v>
      </x:c>
      <x:c r="J19" t="s">
        <x:v>79</x:v>
      </x:c>
      <x:c r="K19" t="s">
        <x:v>80</x:v>
      </x:c>
    </x:row>
    <x:row r="20">
      <x:c r="B20" t="s">
        <x:v>87</x:v>
      </x:c>
      <x:c r="C20" t="s">
        <x:v>222</x:v>
      </x:c>
      <x:c r="G20" t="s">
        <x:v>222</x:v>
      </x:c>
      <x:c r="J20" t="s">
        <x:v>85</x:v>
      </x:c>
      <x:c r="K20" t="s">
        <x:v>86</x:v>
      </x:c>
    </x:row>
    <x:row r="21">
      <x:c r="B21" t="s">
        <x:v>92</x:v>
      </x:c>
      <x:c r="C21" t="s">
        <x:v>223</x:v>
      </x:c>
      <x:c r="G21" t="s">
        <x:v>224</x:v>
      </x:c>
      <x:c r="H21" t="s">
        <x:v>225</x:v>
      </x:c>
      <x:c r="J21" t="s">
        <x:v>90</x:v>
      </x:c>
      <x:c r="K21" t="s">
        <x:v>91</x:v>
      </x:c>
    </x:row>
    <x:row r="22">
      <x:c r="B22" t="s">
        <x:v>97</x:v>
      </x:c>
      <x:c r="C22" t="s">
        <x:v>226</x:v>
      </x:c>
      <x:c r="G22" t="s">
        <x:v>227</x:v>
      </x:c>
      <x:c r="H22" t="s">
        <x:v>228</x:v>
      </x:c>
      <x:c r="J22" t="s">
        <x:v>95</x:v>
      </x:c>
      <x:c r="K22" t="s">
        <x:v>96</x:v>
      </x:c>
    </x:row>
    <x:row r="23">
      <x:c r="B23" t="s">
        <x:v>102</x:v>
      </x:c>
      <x:c r="C23" t="s">
        <x:v>229</x:v>
      </x:c>
      <x:c r="G23" t="s">
        <x:v>230</x:v>
      </x:c>
      <x:c r="H23" t="s">
        <x:v>231</x:v>
      </x:c>
      <x:c r="J23" t="s">
        <x:v>100</x:v>
      </x:c>
      <x:c r="K23" t="s">
        <x:v>101</x:v>
      </x:c>
    </x:row>
    <x:row r="24">
      <x:c r="B24" t="s">
        <x:v>107</x:v>
      </x:c>
      <x:c r="C24" t="s">
        <x:v>232</x:v>
      </x:c>
      <x:c r="G24" t="s">
        <x:v>232</x:v>
      </x:c>
      <x:c r="J24" t="s">
        <x:v>105</x:v>
      </x:c>
      <x:c r="K24" t="s">
        <x:v>106</x:v>
      </x:c>
    </x:row>
    <x:row r="25">
      <x:c r="B25" t="s">
        <x:v>113</x:v>
      </x:c>
      <x:c r="C25" t="s">
        <x:v>233</x:v>
      </x:c>
      <x:c r="G25" t="s">
        <x:v>233</x:v>
      </x:c>
      <x:c r="J25" t="s">
        <x:v>111</x:v>
      </x:c>
      <x:c r="K25" t="s">
        <x:v>112</x:v>
      </x:c>
    </x:row>
    <x:row r="26">
      <x:c r="B26" t="s">
        <x:v>116</x:v>
      </x:c>
      <x:c r="C26" t="s">
        <x:v>234</x:v>
      </x:c>
      <x:c r="G26" t="s">
        <x:v>235</x:v>
      </x:c>
      <x:c r="H26" t="s">
        <x:v>236</x:v>
      </x:c>
      <x:c r="J26" t="s">
        <x:v>114</x:v>
      </x:c>
      <x:c r="K26" t="s">
        <x:v>115</x:v>
      </x:c>
    </x:row>
    <x:row r="27">
      <x:c r="B27" t="s">
        <x:v>119</x:v>
      </x:c>
      <x:c r="C27" t="s">
        <x:v>237</x:v>
      </x:c>
      <x:c r="G27" t="s">
        <x:v>238</x:v>
      </x:c>
      <x:c r="H27" t="s">
        <x:v>239</x:v>
      </x:c>
      <x:c r="J27" t="s">
        <x:v>117</x:v>
      </x:c>
      <x:c r="K27" t="s">
        <x:v>118</x:v>
      </x:c>
    </x:row>
    <x:row r="28">
      <x:c r="B28" t="s">
        <x:v>122</x:v>
      </x:c>
      <x:c r="C28" t="s">
        <x:v>240</x:v>
      </x:c>
      <x:c r="G28" t="s">
        <x:v>240</x:v>
      </x:c>
      <x:c r="J28" t="s">
        <x:v>120</x:v>
      </x:c>
      <x:c r="K28" t="s">
        <x:v>121</x:v>
      </x:c>
    </x:row>
    <x:row r="29">
      <x:c r="B29" t="s">
        <x:v>126</x:v>
      </x:c>
      <x:c r="C29" t="s">
        <x:v>241</x:v>
      </x:c>
      <x:c r="G29" t="s">
        <x:v>241</x:v>
      </x:c>
      <x:c r="J29" t="s">
        <x:v>124</x:v>
      </x:c>
      <x:c r="K29" t="s">
        <x:v>125</x:v>
      </x:c>
    </x:row>
    <x:row r="30">
      <x:c r="B30" t="s">
        <x:v>129</x:v>
      </x:c>
      <x:c r="C30" t="s">
        <x:v>242</x:v>
      </x:c>
      <x:c r="G30" t="s">
        <x:v>242</x:v>
      </x:c>
      <x:c r="J30" t="s">
        <x:v>127</x:v>
      </x:c>
      <x:c r="K30" t="s">
        <x:v>128</x:v>
      </x:c>
    </x:row>
    <x:row r="31">
      <x:c r="B31" t="s">
        <x:v>132</x:v>
      </x:c>
      <x:c r="C31" t="s">
        <x:v>243</x:v>
      </x:c>
      <x:c r="G31" t="s">
        <x:v>243</x:v>
      </x:c>
      <x:c r="J31" t="s">
        <x:v>130</x:v>
      </x:c>
      <x:c r="K31" t="s">
        <x:v>131</x:v>
      </x:c>
    </x:row>
    <x:row r="32">
      <x:c r="B32" t="s">
        <x:v>135</x:v>
      </x:c>
      <x:c r="C32" t="s">
        <x:v>244</x:v>
      </x:c>
      <x:c r="G32" t="s">
        <x:v>244</x:v>
      </x:c>
      <x:c r="J32" t="s">
        <x:v>133</x:v>
      </x:c>
      <x:c r="K32" t="s">
        <x:v>134</x:v>
      </x:c>
    </x:row>
    <x:row r="33">
      <x:c r="B33" t="s">
        <x:v>138</x:v>
      </x:c>
      <x:c r="C33" t="s">
        <x:v>245</x:v>
      </x:c>
      <x:c r="G33" t="s">
        <x:v>246</x:v>
      </x:c>
      <x:c r="H33" t="s">
        <x:v>247</x:v>
      </x:c>
      <x:c r="J33" t="s">
        <x:v>136</x:v>
      </x:c>
      <x:c r="K33" t="s">
        <x:v>137</x:v>
      </x:c>
    </x:row>
    <x:row r="34">
      <x:c r="B34" t="s">
        <x:v>141</x:v>
      </x:c>
      <x:c r="C34" t="s">
        <x:v>248</x:v>
      </x:c>
      <x:c r="G34" t="s">
        <x:v>249</x:v>
      </x:c>
      <x:c r="H34" t="s">
        <x:v>250</x:v>
      </x:c>
      <x:c r="J34" t="s">
        <x:v>139</x:v>
      </x:c>
      <x:c r="K34" t="s">
        <x:v>140</x:v>
      </x:c>
    </x:row>
    <x:row r="35">
      <x:c r="B35" t="s">
        <x:v>144</x:v>
      </x:c>
      <x:c r="C35" t="s">
        <x:v>251</x:v>
      </x:c>
      <x:c r="G35" t="s">
        <x:v>252</x:v>
      </x:c>
      <x:c r="H35" t="s">
        <x:v>253</x:v>
      </x:c>
      <x:c r="J35" t="s">
        <x:v>142</x:v>
      </x:c>
      <x:c r="K35" t="s">
        <x:v>143</x:v>
      </x:c>
    </x:row>
    <x:row r="36">
      <x:c r="B36" t="s">
        <x:v>147</x:v>
      </x:c>
      <x:c r="C36" t="s">
        <x:v>254</x:v>
      </x:c>
      <x:c r="G36" t="s">
        <x:v>255</x:v>
      </x:c>
      <x:c r="H36" t="s">
        <x:v>256</x:v>
      </x:c>
      <x:c r="J36" t="s">
        <x:v>145</x:v>
      </x:c>
      <x:c r="K36" t="s">
        <x:v>146</x:v>
      </x:c>
    </x:row>
    <x:row r="37">
      <x:c r="B37" t="s">
        <x:v>150</x:v>
      </x:c>
      <x:c r="C37" t="s">
        <x:v>257</x:v>
      </x:c>
      <x:c r="G37" t="s">
        <x:v>257</x:v>
      </x:c>
      <x:c r="J37" t="s">
        <x:v>148</x:v>
      </x:c>
      <x:c r="K37" t="s">
        <x:v>149</x:v>
      </x:c>
    </x:row>
    <x:row r="38">
      <x:c r="B38" t="s">
        <x:v>153</x:v>
      </x:c>
      <x:c r="C38" t="s">
        <x:v>258</x:v>
      </x:c>
      <x:c r="G38" t="s">
        <x:v>259</x:v>
      </x:c>
      <x:c r="H38" t="s">
        <x:v>260</x:v>
      </x:c>
      <x:c r="J38" t="s">
        <x:v>151</x:v>
      </x:c>
      <x:c r="K38" t="s">
        <x:v>152</x:v>
      </x:c>
    </x:row>
    <x:row r="39">
      <x:c r="B39" t="s">
        <x:v>156</x:v>
      </x:c>
      <x:c r="C39" t="s">
        <x:v>261</x:v>
      </x:c>
      <x:c r="G39" t="s">
        <x:v>261</x:v>
      </x:c>
      <x:c r="J39" t="s">
        <x:v>154</x:v>
      </x:c>
      <x:c r="K39" t="s">
        <x:v>155</x:v>
      </x:c>
    </x:row>
    <x:row r="40">
      <x:c r="B40" t="s">
        <x:v>159</x:v>
      </x:c>
      <x:c r="C40" t="s">
        <x:v>262</x:v>
      </x:c>
      <x:c r="G40" t="s">
        <x:v>262</x:v>
      </x:c>
      <x:c r="J40" t="s">
        <x:v>157</x:v>
      </x:c>
      <x:c r="K40" t="s">
        <x:v>158</x:v>
      </x:c>
    </x:row>
    <x:row r="41">
      <x:c r="B41" t="s">
        <x:v>162</x:v>
      </x:c>
      <x:c r="C41" t="s">
        <x:v>263</x:v>
      </x:c>
      <x:c r="G41" t="s">
        <x:v>264</x:v>
      </x:c>
      <x:c r="H41" t="s">
        <x:v>265</x:v>
      </x:c>
      <x:c r="J41" t="s">
        <x:v>160</x:v>
      </x:c>
      <x:c r="K41" t="s">
        <x:v>161</x:v>
      </x:c>
    </x:row>
    <x:row r="42">
      <x:c r="B42" t="s">
        <x:v>165</x:v>
      </x:c>
      <x:c r="C42" t="s">
        <x:v>266</x:v>
      </x:c>
      <x:c r="G42" t="s">
        <x:v>266</x:v>
      </x:c>
      <x:c r="J42" t="s">
        <x:v>163</x:v>
      </x:c>
      <x:c r="K42" t="s">
        <x:v>164</x:v>
      </x:c>
    </x:row>
    <x:row r="43">
      <x:c r="B43" t="s">
        <x:v>168</x:v>
      </x:c>
      <x:c r="C43" t="s">
        <x:v>267</x:v>
      </x:c>
      <x:c r="G43" t="s">
        <x:v>267</x:v>
      </x:c>
      <x:c r="J43" t="s">
        <x:v>166</x:v>
      </x:c>
      <x:c r="K43" t="s">
        <x:v>167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58.653846740722656" style="1" customWidth="1"/>
    <x:col min="10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268</x:v>
      </x:c>
      <x:c r="E1" s="1" t="s">
        <x:v>269</x:v>
      </x:c>
      <x:c r="F1" s="1" t="s">
        <x:v>270</x:v>
      </x:c>
      <x:c r="G1" s="1" t="s">
        <x:v>271</x:v>
      </x:c>
      <x:c r="H1" s="1" t="s">
        <x:v>272</x:v>
      </x:c>
    </x:row>
    <x:row r="2">
      <x:c r="A2" s="1" t="s">
        <x:v>9</x:v>
      </x:c>
      <x:c r="B2" s="1" t="s">
        <x:v>273</x:v>
      </x:c>
      <x:c r="C2" s="1" t="s">
        <x:v>274</x:v>
      </x:c>
      <x:c r="D2" s="1" t="s">
        <x:v>275</x:v>
      </x:c>
      <x:c r="E2" s="1" t="s">
        <x:v>276</x:v>
      </x:c>
      <x:c r="F2" s="1" t="s">
        <x:v>277</x:v>
      </x:c>
      <x:c r="G2" s="1" t="s">
        <x:v>278</x:v>
      </x:c>
      <x:c r="H2" s="1" t="s">
        <x:v>279</x:v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19</x:v>
      </x:c>
      <x:c r="E3" s="1" t="s">
        <x:v>280</x:v>
      </x:c>
      <x:c r="F3" s="1" t="s">
        <x:v>22</x:v>
      </x:c>
      <x:c r="G3" s="1" t="s">
        <x:v>281</x:v>
      </x:c>
      <x:c r="H3" s="1" t="s">
        <x:v>19</x:v>
      </x:c>
    </x:row>
    <x:row r="4">
      <x:c r="B4" s="1" t="s">
        <x:v>187</x:v>
      </x:c>
      <x:c r="C4" s="1" t="s">
        <x:v>282</x:v>
      </x:c>
      <x:c r="D4" s="1" t="s">
        <x:v>283</x:v>
      </x:c>
      <x:c r="E4" s="1" t="s">
        <x:v>284</x:v>
      </x:c>
      <x:c r="G4" s="1" t="s">
        <x:v>285</x:v>
      </x:c>
      <x:c r="I4" s="1" t="s">
        <x:v>286</x:v>
      </x:c>
    </x:row>
    <x:row r="5">
      <x:c r="B5" s="1" t="s">
        <x:v>190</x:v>
      </x:c>
      <x:c r="C5" s="1" t="s">
        <x:v>287</x:v>
      </x:c>
      <x:c r="D5" s="1" t="s">
        <x:v>288</x:v>
      </x:c>
      <x:c r="E5" s="1" t="s">
        <x:v>284</x:v>
      </x:c>
      <x:c r="G5" s="1" t="s">
        <x:v>289</x:v>
      </x:c>
      <x:c r="I5" s="1" t="s">
        <x:v>290</x:v>
      </x:c>
    </x:row>
    <x:row r="6" ht="34">
      <x:c r="B6" s="1" t="s">
        <x:v>192</x:v>
      </x:c>
      <x:c r="C6" s="1" t="s">
        <x:v>291</x:v>
      </x:c>
      <x:c r="D6" s="19" t="s">
        <x:v>292</x:v>
      </x:c>
      <x:c r="E6" s="1" t="s">
        <x:v>293</x:v>
      </x:c>
      <x:c r="G6" s="1">
        <x:v>10</x:v>
      </x:c>
      <x:c r="I6" s="1" t="s">
        <x:v>294</x:v>
      </x:c>
    </x:row>
    <x:row r="7">
      <x:c r="B7" s="1" t="s">
        <x:v>191</x:v>
      </x:c>
      <x:c r="C7" s="1" t="s">
        <x:v>295</x:v>
      </x:c>
      <x:c r="D7" s="1" t="s">
        <x:v>296</x:v>
      </x:c>
      <x:c r="E7" s="1" t="s">
        <x:v>297</x:v>
      </x:c>
      <x:c r="G7" s="1" t="s">
        <x:v>285</x:v>
      </x:c>
      <x:c r="I7" s="1" t="s">
        <x:v>298</x:v>
      </x:c>
    </x:row>
    <x:row r="8" ht="34">
      <x:c r="B8" s="34" t="s">
        <x:v>188</x:v>
      </x:c>
      <x:c r="C8" s="34" t="s">
        <x:v>299</x:v>
      </x:c>
      <x:c r="D8" s="24" t="s">
        <x:v>300</x:v>
      </x:c>
      <x:c r="E8" s="34" t="s">
        <x:v>301</x:v>
      </x:c>
      <x:c r="F8" s="34"/>
      <x:c r="G8" s="34" t="s">
        <x:v>302</x:v>
      </x:c>
      <x:c r="H8" s="34"/>
    </x:row>
    <x:row r="9" ht="34">
      <x:c r="B9" s="34" t="s">
        <x:v>189</x:v>
      </x:c>
      <x:c r="C9" s="34" t="s">
        <x:v>303</x:v>
      </x:c>
      <x:c r="D9" s="24" t="s">
        <x:v>304</x:v>
      </x:c>
      <x:c r="E9" s="34" t="s">
        <x:v>305</x:v>
      </x:c>
      <x:c r="F9" s="34"/>
      <x:c r="G9" s="34">
        <x:v>20</x:v>
      </x:c>
      <x:c r="H9" s="34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306</x:v>
      </x:c>
      <x:c r="D1" t="s">
        <x:v>307</x:v>
      </x:c>
      <x:c r="E1" t="s">
        <x:v>6</x:v>
      </x:c>
      <x:c r="F1" t="s">
        <x:v>269</x:v>
      </x:c>
      <x:c r="G1" t="s">
        <x:v>308</x:v>
      </x:c>
      <x:c r="H1" t="s">
        <x:v>268</x:v>
      </x:c>
    </x:row>
    <x:row r="2">
      <x:c r="A2" t="s">
        <x:v>9</x:v>
      </x:c>
      <x:c r="B2" t="s">
        <x:v>309</x:v>
      </x:c>
      <x:c r="C2" t="s">
        <x:v>310</x:v>
      </x:c>
      <x:c r="D2" t="s">
        <x:v>311</x:v>
      </x:c>
      <x:c r="E2" t="s">
        <x:v>312</x:v>
      </x:c>
      <x:c r="F2" t="s">
        <x:v>313</x:v>
      </x:c>
      <x:c r="G2" t="s">
        <x:v>314</x:v>
      </x:c>
      <x:c r="H2" t="s">
        <x:v>315</x:v>
      </x:c>
    </x:row>
    <x:row r="3">
      <x:c r="A3" t="s">
        <x:v>18</x:v>
      </x:c>
      <x:c r="B3" t="s">
        <x:v>19</x:v>
      </x:c>
      <x:c r="C3" t="s">
        <x:v>20</x:v>
      </x:c>
      <x:c r="D3" t="s">
        <x:v>20</x:v>
      </x:c>
      <x:c r="E3" t="s">
        <x:v>19</x:v>
      </x:c>
      <x:c r="F3" t="s">
        <x:v>316</x:v>
      </x:c>
      <x:c r="G3" t="s">
        <x:v>182</x:v>
      </x:c>
      <x:c r="H3" t="s">
        <x:v>19</x:v>
      </x:c>
    </x:row>
    <x:row r="4">
      <x:c r="B4" t="s">
        <x:v>317</x:v>
      </x:c>
      <x:c r="C4">
        <x:v>0</x:v>
      </x:c>
      <x:c r="D4">
        <x:v>1</x:v>
      </x:c>
      <x:c r="E4" t="s">
        <x:v>44</x:v>
      </x:c>
      <x:c r="F4" t="s">
        <x:v>318</x:v>
      </x:c>
      <x:c r="G4">
        <x:v>3</x:v>
      </x:c>
      <x:c r="H4" t="s">
        <x:v>319</x:v>
      </x:c>
    </x:row>
    <x:row r="5">
      <x:c r="B5" t="s">
        <x:v>320</x:v>
      </x:c>
      <x:c r="C5">
        <x:v>1</x:v>
      </x:c>
      <x:c r="D5">
        <x:v>50</x:v>
      </x:c>
      <x:c r="E5" t="s">
        <x:v>44</x:v>
      </x:c>
      <x:c r="F5" t="s">
        <x:v>321</x:v>
      </x:c>
      <x:c r="G5">
        <x:v>0.05</x:v>
      </x:c>
      <x:c r="H5" t="s">
        <x:v>322</x:v>
      </x:c>
      <x:c r="L5">
        <x:v>8</x:v>
      </x:c>
      <x:c r="M5">
        <x:v>30</x:v>
      </x:c>
    </x:row>
    <x:row r="6">
      <x:c r="B6" t="s">
        <x:v>323</x:v>
      </x:c>
      <x:c r="C6">
        <x:v>2</x:v>
      </x:c>
      <x:c r="D6">
        <x:v>100</x:v>
      </x:c>
      <x:c r="E6" t="s">
        <x:v>44</x:v>
      </x:c>
      <x:c r="F6" t="s">
        <x:v>324</x:v>
      </x:c>
      <x:c r="G6">
        <x:v>0.02</x:v>
      </x:c>
      <x:c r="H6" t="s">
        <x:v>325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12.769230842590332" style="1" customWidth="1"/>
    <x:col min="16" max="16" width="84.61538696289062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326</x:v>
      </x:c>
      <x:c r="D1" s="1" t="s">
        <x:v>327</x:v>
      </x:c>
      <x:c r="E1" s="1" t="s">
        <x:v>328</x:v>
      </x:c>
      <x:c r="F1" s="1" t="s">
        <x:v>329</x:v>
      </x:c>
      <x:c r="G1" s="1" t="s">
        <x:v>330</x:v>
      </x:c>
      <x:c r="H1" s="1" t="s">
        <x:v>331</x:v>
      </x:c>
      <x:c r="I1" s="1" t="s">
        <x:v>332</x:v>
      </x:c>
      <x:c r="J1" s="1" t="s">
        <x:v>333</x:v>
      </x:c>
      <x:c r="K1" s="1" t="s">
        <x:v>334</x:v>
      </x:c>
      <x:c r="L1" s="1" t="s">
        <x:v>335</x:v>
      </x:c>
      <x:c r="M1" s="1" t="s">
        <x:v>336</x:v>
      </x:c>
      <x:c r="N1" s="1" t="s">
        <x:v>337</x:v>
      </x:c>
      <x:c r="O1" s="1" t="s">
        <x:v>338</x:v>
      </x:c>
      <x:c r="P1" s="1" t="s">
        <x:v>339</x:v>
      </x:c>
      <x:c r="Q1" s="1" t="s">
        <x:v>272</x:v>
      </x:c>
      <x:c r="R1"/>
      <x:c r="S1"/>
      <x:c r="T1"/>
    </x:row>
    <x:row r="2">
      <x:c r="A2" s="1" t="s">
        <x:v>9</x:v>
      </x:c>
      <x:c r="B2" s="1" t="s">
        <x:v>340</x:v>
      </x:c>
      <x:c r="C2" s="1" t="s">
        <x:v>341</x:v>
      </x:c>
      <x:c r="D2" s="1" t="s">
        <x:v>342</x:v>
      </x:c>
      <x:c r="E2" s="1" t="s">
        <x:v>343</x:v>
      </x:c>
      <x:c r="F2" s="1" t="s">
        <x:v>344</x:v>
      </x:c>
      <x:c r="G2" s="1" t="s">
        <x:v>345</x:v>
      </x:c>
      <x:c r="H2" s="1" t="s">
        <x:v>346</x:v>
      </x:c>
      <x:c r="I2" s="1" t="s">
        <x:v>347</x:v>
      </x:c>
      <x:c r="J2" s="1" t="s">
        <x:v>348</x:v>
      </x:c>
      <x:c r="K2" s="1" t="s">
        <x:v>349</x:v>
      </x:c>
      <x:c r="L2" s="1" t="s">
        <x:v>350</x:v>
      </x:c>
      <x:c r="M2" s="1" t="s">
        <x:v>351</x:v>
      </x:c>
      <x:c r="N2" s="1" t="s">
        <x:v>352</x:v>
      </x:c>
      <x:c r="O2" s="1" t="s">
        <x:v>353</x:v>
      </x:c>
      <x:c r="P2" s="1" t="s">
        <x:v>354</x:v>
      </x:c>
      <x:c r="Q2" s="1" t="s">
        <x:v>355</x:v>
      </x:c>
      <x:c r="R2"/>
      <x:c r="S2"/>
      <x:c r="T2"/>
    </x:row>
    <x:row r="3">
      <x:c r="A3" s="1" t="s">
        <x:v>18</x:v>
      </x:c>
      <x:c r="B3" s="1" t="s">
        <x:v>19</x:v>
      </x:c>
      <x:c r="C3" s="1" t="s">
        <x:v>356</x:v>
      </x:c>
      <x:c r="D3" s="1" t="s">
        <x:v>357</x:v>
      </x:c>
      <x:c r="E3" s="1" t="s">
        <x:v>358</x:v>
      </x:c>
      <x:c r="F3" s="1" t="s">
        <x:v>359</x:v>
      </x:c>
      <x:c r="G3" s="1" t="s">
        <x:v>360</x:v>
      </x:c>
      <x:c r="H3" s="1" t="s">
        <x:v>19</x:v>
      </x:c>
      <x:c r="I3" s="1" t="s">
        <x:v>316</x:v>
      </x:c>
      <x:c r="J3" s="1" t="s">
        <x:v>358</x:v>
      </x:c>
      <x:c r="K3" s="1" t="s">
        <x:v>20</x:v>
      </x:c>
      <x:c r="L3" s="1" t="s">
        <x:v>281</x:v>
      </x:c>
      <x:c r="M3" s="1" t="s">
        <x:v>22</x:v>
      </x:c>
      <x:c r="N3" s="1" t="s">
        <x:v>21</x:v>
      </x:c>
      <x:c r="O3" s="1" t="s">
        <x:v>21</x:v>
      </x:c>
      <x:c r="P3" s="1" t="s">
        <x:v>19</x:v>
      </x:c>
      <x:c r="Q3" s="1" t="s">
        <x:v>19</x:v>
      </x:c>
      <x:c r="R3"/>
      <x:c r="S3" s="1" t="s">
        <x:v>361</x:v>
      </x:c>
      <x:c r="T3" s="1" t="s">
        <x:v>361</x:v>
      </x:c>
    </x:row>
    <x:row r="4" ht="17">
      <x:c r="A4"/>
      <x:c r="B4" s="1" t="s">
        <x:v>196</x:v>
      </x:c>
      <x:c r="C4" s="1" t="s">
        <x:v>362</x:v>
      </x:c>
      <x:c r="D4" s="1" t="s">
        <x:v>363</x:v>
      </x:c>
      <x:c r="E4" s="1" t="s">
        <x:v>364</x:v>
      </x:c>
      <x:c r="F4" s="1" t="s">
        <x:v>365</x:v>
      </x:c>
      <x:c r="G4" s="1" t="s">
        <x:v>366</x:v>
      </x:c>
      <x:c r="H4"/>
      <x:c r="I4" s="1" t="s">
        <x:v>318</x:v>
      </x:c>
      <x:c r="J4" s="1" t="s">
        <x:v>367</x:v>
      </x:c>
      <x:c r="K4" s="1">
        <x:v>0</x:v>
      </x:c>
      <x:c r="L4" s="1">
        <x:v>15</x:v>
      </x:c>
      <x:c r="M4"/>
      <x:c r="N4" s="1" t="s">
        <x:v>25</x:v>
      </x:c>
      <x:c r="O4" s="1" t="s">
        <x:v>368</x:v>
      </x:c>
      <x:c r="P4" s="19" t="str">
        <x:v>{ascope}分数 {0}</x:v>
      </x:c>
      <x:c r="Q4"/>
      <x:c r="R4"/>
      <x:c r="S4" s="33" t="s">
        <x:v>24</x:v>
      </x:c>
      <x:c r="T4" s="33" t="s">
        <x:v>367</x:v>
      </x:c>
    </x:row>
    <x:row r="5" ht="17">
      <x:c r="A5"/>
      <x:c r="B5" s="1" t="s">
        <x:v>197</x:v>
      </x:c>
      <x:c r="C5" s="1" t="s">
        <x:v>362</x:v>
      </x:c>
      <x:c r="D5" s="1" t="s">
        <x:v>363</x:v>
      </x:c>
      <x:c r="E5" s="1" t="s">
        <x:v>364</x:v>
      </x:c>
      <x:c r="F5" s="1" t="s">
        <x:v>365</x:v>
      </x:c>
      <x:c r="G5" s="1" t="s">
        <x:v>366</x:v>
      </x:c>
      <x:c r="H5"/>
      <x:c r="I5" s="1" t="s">
        <x:v>321</x:v>
      </x:c>
      <x:c r="J5" s="1" t="s">
        <x:v>369</x:v>
      </x:c>
      <x:c r="K5" s="1">
        <x:v>0</x:v>
      </x:c>
      <x:c r="L5" s="1">
        <x:v>0.5</x:v>
      </x:c>
      <x:c r="M5"/>
      <x:c r="N5" s="1" t="s">
        <x:v>25</x:v>
      </x:c>
      <x:c r="O5" s="1" t="s">
        <x:v>368</x:v>
      </x:c>
      <x:c r="P5" s="19" t="str">
        <x:v>{ascope}倍率 {0}</x:v>
      </x:c>
      <x:c r="Q5"/>
      <x:c r="R5"/>
      <x:c r="S5" s="33" t="s">
        <x:v>29</x:v>
      </x:c>
      <x:c r="T5" s="33" t="s">
        <x:v>369</x:v>
      </x:c>
    </x:row>
    <x:row r="6">
      <x:c r="A6"/>
      <x:c r="B6" s="1" t="s">
        <x:v>198</x:v>
      </x:c>
      <x:c r="C6" s="1" t="s">
        <x:v>362</x:v>
      </x:c>
      <x:c r="D6" s="1" t="s">
        <x:v>363</x:v>
      </x:c>
      <x:c r="E6" s="1" t="s">
        <x:v>364</x:v>
      </x:c>
      <x:c r="F6" s="1" t="s">
        <x:v>365</x:v>
      </x:c>
      <x:c r="G6" s="1" t="s">
        <x:v>366</x:v>
      </x:c>
      <x:c r="H6"/>
      <x:c r="I6" s="1" t="s">
        <x:v>318</x:v>
      </x:c>
      <x:c r="J6" s="1" t="s">
        <x:v>370</x:v>
      </x:c>
      <x:c r="K6" s="1">
        <x:v>0</x:v>
      </x:c>
      <x:c r="L6" s="1">
        <x:v>15</x:v>
      </x:c>
      <x:c r="M6"/>
      <x:c r="N6" s="1" t="s">
        <x:v>25</x:v>
      </x:c>
      <x:c r="O6" s="1" t="s">
        <x:v>368</x:v>
      </x:c>
      <x:c r="P6" s="1" t="str">
        <x:v>{ascope}分数 {0}</x:v>
      </x:c>
      <x:c r="Q6"/>
      <x:c r="R6"/>
      <x:c r="S6" s="33" t="s">
        <x:v>32</x:v>
      </x:c>
      <x:c r="T6" s="33" t="s">
        <x:v>370</x:v>
      </x:c>
    </x:row>
    <x:row r="7" ht="17">
      <x:c r="A7"/>
      <x:c r="B7" s="1" t="s">
        <x:v>199</x:v>
      </x:c>
      <x:c r="C7" s="1" t="s">
        <x:v>362</x:v>
      </x:c>
      <x:c r="D7" s="1" t="s">
        <x:v>363</x:v>
      </x:c>
      <x:c r="E7" s="1" t="s">
        <x:v>364</x:v>
      </x:c>
      <x:c r="F7" s="1" t="s">
        <x:v>365</x:v>
      </x:c>
      <x:c r="G7" s="1" t="s">
        <x:v>366</x:v>
      </x:c>
      <x:c r="H7"/>
      <x:c r="I7" s="1" t="s">
        <x:v>321</x:v>
      </x:c>
      <x:c r="J7" s="1" t="s">
        <x:v>371</x:v>
      </x:c>
      <x:c r="K7" s="1">
        <x:v>0</x:v>
      </x:c>
      <x:c r="L7" s="1">
        <x:v>0.5</x:v>
      </x:c>
      <x:c r="M7"/>
      <x:c r="N7" s="1" t="s">
        <x:v>25</x:v>
      </x:c>
      <x:c r="O7" s="1" t="s">
        <x:v>368</x:v>
      </x:c>
      <x:c r="P7" s="19" t="str">
        <x:v>{ascope}倍率 {0}</x:v>
      </x:c>
      <x:c r="Q7"/>
      <x:c r="R7"/>
      <x:c r="S7" s="33" t="s">
        <x:v>36</x:v>
      </x:c>
      <x:c r="T7" s="33" t="s">
        <x:v>371</x:v>
      </x:c>
    </x:row>
    <x:row r="8" ht="17">
      <x:c r="A8"/>
      <x:c r="B8" s="1" t="s">
        <x:v>200</x:v>
      </x:c>
      <x:c r="C8" s="1" t="s">
        <x:v>362</x:v>
      </x:c>
      <x:c r="D8" s="1" t="s">
        <x:v>372</x:v>
      </x:c>
      <x:c r="E8" s="1" t="s">
        <x:v>373</x:v>
      </x:c>
      <x:c r="F8" s="1" t="s">
        <x:v>365</x:v>
      </x:c>
      <x:c r="G8" s="1" t="s">
        <x:v>366</x:v>
      </x:c>
      <x:c r="H8"/>
      <x:c r="I8" s="1" t="s">
        <x:v>321</x:v>
      </x:c>
      <x:c r="J8" s="1" t="s">
        <x:v>373</x:v>
      </x:c>
      <x:c r="K8" s="1">
        <x:v>0</x:v>
      </x:c>
      <x:c r="L8" s="1">
        <x:v>1.5</x:v>
      </x:c>
      <x:c r="M8"/>
      <x:c r="N8" s="1" t="s">
        <x:v>25</x:v>
      </x:c>
      <x:c r="O8" s="1" t="s">
        <x:v>368</x:v>
      </x:c>
      <x:c r="P8" s="19" t="str">
        <x:v>{cscope}没有空格时
倍率 {0}</x:v>
      </x:c>
      <x:c r="Q8"/>
      <x:c r="R8"/>
      <x:c r="S8" s="33" t="s">
        <x:v>39</x:v>
      </x:c>
      <x:c r="T8" s="33" t="s">
        <x:v>373</x:v>
      </x:c>
    </x:row>
    <x:row r="9" ht="17">
      <x:c r="A9"/>
      <x:c r="B9" s="1" t="s">
        <x:v>201</x:v>
      </x:c>
      <x:c r="C9" s="1" t="s">
        <x:v>362</x:v>
      </x:c>
      <x:c r="D9" s="1" t="s">
        <x:v>374</x:v>
      </x:c>
      <x:c r="E9" s="1" t="s">
        <x:v>373</x:v>
      </x:c>
      <x:c r="F9" s="1" t="s">
        <x:v>365</x:v>
      </x:c>
      <x:c r="G9" s="1" t="s">
        <x:v>375</x:v>
      </x:c>
      <x:c r="H9"/>
      <x:c r="I9" s="1" t="s">
        <x:v>376</x:v>
      </x:c>
      <x:c r="J9" s="1" t="s">
        <x:v>377</x:v>
      </x:c>
      <x:c r="K9" s="1">
        <x:v>0</x:v>
      </x:c>
      <x:c r="L9" s="1">
        <x:v>2</x:v>
      </x:c>
      <x:c r="M9"/>
      <x:c r="N9" s="1" t="s">
        <x:v>25</x:v>
      </x:c>
      <x:c r="O9" s="1" t="s">
        <x:v>368</x:v>
      </x:c>
      <x:c r="P9" s="19" t="str">
        <x:v>{cscope}每有 1 {unit}技能
欢乐蛋糕 {0} 层</x:v>
      </x:c>
      <x:c r="Q9" t="s">
        <x:v>378</x:v>
      </x:c>
      <x:c r="R9"/>
      <x:c r="S9" s="33" t="s">
        <x:v>42</x:v>
      </x:c>
      <x:c r="T9" s="33" t="s">
        <x:v>379</x:v>
      </x:c>
    </x:row>
    <x:row r="10" ht="17">
      <x:c r="A10"/>
      <x:c r="B10" s="1" t="s">
        <x:v>202</x:v>
      </x:c>
      <x:c r="C10" s="1" t="s">
        <x:v>362</x:v>
      </x:c>
      <x:c r="D10" s="1" t="s">
        <x:v>380</x:v>
      </x:c>
      <x:c r="E10" s="1" t="s">
        <x:v>369</x:v>
      </x:c>
      <x:c r="F10" s="1" t="s">
        <x:v>365</x:v>
      </x:c>
      <x:c r="G10" s="1" t="s">
        <x:v>375</x:v>
      </x:c>
      <x:c r="H10"/>
      <x:c r="I10" s="1" t="s">
        <x:v>321</x:v>
      </x:c>
      <x:c r="J10" s="1" t="s">
        <x:v>369</x:v>
      </x:c>
      <x:c r="K10" s="1">
        <x:v>0</x:v>
      </x:c>
      <x:c r="L10" s="1">
        <x:v>0.8</x:v>
      </x:c>
      <x:c r="M10"/>
      <x:c r="N10" s="1" t="s">
        <x:v>25</x:v>
      </x:c>
      <x:c r="O10" s="1" t="s">
        <x:v>368</x:v>
      </x:c>
      <x:c r="P10" s="19" t="str">
        <x:v>{cscope}每有 1 {unit}食物
倍率 {0}</x:v>
      </x:c>
      <x:c r="Q10"/>
      <x:c r="R10"/>
      <x:c r="S10" s="33" t="s">
        <x:v>46</x:v>
      </x:c>
      <x:c r="T10" s="33" t="s">
        <x:v>369</x:v>
      </x:c>
    </x:row>
    <x:row r="11" ht="17">
      <x:c r="A11"/>
      <x:c r="B11" s="1" t="s">
        <x:v>204</x:v>
      </x:c>
      <x:c r="C11" s="1" t="s">
        <x:v>362</x:v>
      </x:c>
      <x:c r="D11" s="1" t="s">
        <x:v>374</x:v>
      </x:c>
      <x:c r="E11" s="1" t="s">
        <x:v>367</x:v>
      </x:c>
      <x:c r="F11" s="1" t="s">
        <x:v>365</x:v>
      </x:c>
      <x:c r="G11" s="1" t="s">
        <x:v>375</x:v>
      </x:c>
      <x:c r="H11"/>
      <x:c r="I11" s="1" t="s">
        <x:v>318</x:v>
      </x:c>
      <x:c r="J11" s="1" t="s">
        <x:v>367</x:v>
      </x:c>
      <x:c r="K11" s="1">
        <x:v>0</x:v>
      </x:c>
      <x:c r="L11" s="1">
        <x:v>6</x:v>
      </x:c>
      <x:c r="M11"/>
      <x:c r="N11" s="1" t="s">
        <x:v>25</x:v>
      </x:c>
      <x:c r="O11" s="1" t="s">
        <x:v>368</x:v>
      </x:c>
      <x:c r="P11" s="19" t="str">
        <x:v>{cscope}每有 1 {unit}技能
分数 {0}</x:v>
      </x:c>
      <x:c r="Q11"/>
      <x:c r="R11"/>
      <x:c r="S11" s="33" t="s">
        <x:v>49</x:v>
      </x:c>
      <x:c r="T11" s="33" t="s">
        <x:v>367</x:v>
      </x:c>
    </x:row>
    <x:row r="12" ht="17">
      <x:c r="A12"/>
      <x:c r="B12" s="1" t="s">
        <x:v>205</x:v>
      </x:c>
      <x:c r="C12" s="1" t="s">
        <x:v>362</x:v>
      </x:c>
      <x:c r="D12" s="1" t="s">
        <x:v>363</x:v>
      </x:c>
      <x:c r="E12" s="1" t="s">
        <x:v>381</x:v>
      </x:c>
      <x:c r="F12" s="1" t="s">
        <x:v>365</x:v>
      </x:c>
      <x:c r="G12" s="1" t="s">
        <x:v>366</x:v>
      </x:c>
      <x:c r="H12"/>
      <x:c r="I12" s="1" t="s">
        <x:v>382</x:v>
      </x:c>
      <x:c r="J12" s="1" t="s">
        <x:v>381</x:v>
      </x:c>
      <x:c r="K12" s="1">
        <x:v>1</x:v>
      </x:c>
      <x:c r="L12" s="1">
        <x:v>0</x:v>
      </x:c>
      <x:c r="M12"/>
      <x:c r="N12" s="1" t="s">
        <x:v>25</x:v>
      </x:c>
      <x:c r="O12" s="1" t="s">
        <x:v>25</x:v>
      </x:c>
      <x:c r="P12" s="19" t="str">
        <x:v>甜蜜传递 {count} 个食物</x:v>
      </x:c>
      <x:c r="Q12" t="s">
        <x:v>383</x:v>
      </x:c>
      <x:c r="R12"/>
      <x:c r="S12" s="33" t="s">
        <x:v>49</x:v>
      </x:c>
      <x:c r="T12" s="33" t="s">
        <x:v>381</x:v>
      </x:c>
    </x:row>
    <x:row r="13" ht="17">
      <x:c r="A13"/>
      <x:c r="B13" s="1" t="s">
        <x:v>207</x:v>
      </x:c>
      <x:c r="C13" s="1" t="s">
        <x:v>362</x:v>
      </x:c>
      <x:c r="D13" s="1" t="s">
        <x:v>363</x:v>
      </x:c>
      <x:c r="E13" s="1" t="s">
        <x:v>373</x:v>
      </x:c>
      <x:c r="F13" s="1" t="s">
        <x:v>365</x:v>
      </x:c>
      <x:c r="G13" s="1" t="s">
        <x:v>366</x:v>
      </x:c>
      <x:c r="H13"/>
      <x:c r="I13" s="1" t="s">
        <x:v>318</x:v>
      </x:c>
      <x:c r="J13" s="1" t="s">
        <x:v>373</x:v>
      </x:c>
      <x:c r="K13" s="1">
        <x:v>0</x:v>
      </x:c>
      <x:c r="L13" s="1">
        <x:v>10</x:v>
      </x:c>
      <x:c r="M13"/>
      <x:c r="N13" s="1" t="s">
        <x:v>25</x:v>
      </x:c>
      <x:c r="O13" s="1" t="s">
        <x:v>368</x:v>
      </x:c>
      <x:c r="P13" s="19" t="str">
        <x:v>{ascope}分数 {0}</x:v>
      </x:c>
      <x:c r="Q13"/>
      <x:c r="R13"/>
      <x:c r="S13" s="33" t="s">
        <x:v>52</x:v>
      </x:c>
      <x:c r="T13" s="33" t="s">
        <x:v>373</x:v>
      </x:c>
    </x:row>
    <x:row r="14">
      <x:c r="A14"/>
      <x:c r="B14" s="1" t="s">
        <x:v>208</x:v>
      </x:c>
      <x:c r="C14" s="1" t="s">
        <x:v>362</x:v>
      </x:c>
      <x:c r="D14" s="1" t="s">
        <x:v>363</x:v>
      </x:c>
      <x:c r="E14" s="1" t="s">
        <x:v>364</x:v>
      </x:c>
      <x:c r="F14" s="1" t="s">
        <x:v>365</x:v>
      </x:c>
      <x:c r="G14" s="1" t="s">
        <x:v>366</x:v>
      </x:c>
      <x:c r="H14"/>
      <x:c r="I14" s="1" t="s">
        <x:v>376</x:v>
      </x:c>
      <x:c r="J14" s="1" t="s">
        <x:v>377</x:v>
      </x:c>
      <x:c r="K14" s="1">
        <x:v>0</x:v>
      </x:c>
      <x:c r="L14" s="1">
        <x:v>6</x:v>
      </x:c>
      <x:c r="M14"/>
      <x:c r="N14" s="1" t="s">
        <x:v>25</x:v>
      </x:c>
      <x:c r="O14" s="1" t="s">
        <x:v>368</x:v>
      </x:c>
      <x:c r="P14" s="1" t="str">
        <x:v>欢乐蛋糕 {0} 层</x:v>
      </x:c>
      <x:c r="Q14" t="s">
        <x:v>378</x:v>
      </x:c>
      <x:c r="R14"/>
      <x:c r="S14" s="33" t="s">
        <x:v>52</x:v>
      </x:c>
      <x:c r="T14" s="33" t="s">
        <x:v>379</x:v>
      </x:c>
    </x:row>
    <x:row r="15" ht="17">
      <x:c r="A15"/>
      <x:c r="B15" s="1" t="s">
        <x:v>209</x:v>
      </x:c>
      <x:c r="C15" s="1" t="s">
        <x:v>362</x:v>
      </x:c>
      <x:c r="D15" s="1" t="s">
        <x:v>380</x:v>
      </x:c>
      <x:c r="E15" s="1" t="s">
        <x:v>369</x:v>
      </x:c>
      <x:c r="F15" s="1" t="s">
        <x:v>365</x:v>
      </x:c>
      <x:c r="G15" s="1" t="s">
        <x:v>375</x:v>
      </x:c>
      <x:c r="H15"/>
      <x:c r="I15" s="1" t="s">
        <x:v>376</x:v>
      </x:c>
      <x:c r="J15" s="1" t="s">
        <x:v>377</x:v>
      </x:c>
      <x:c r="K15" s="1">
        <x:v>0</x:v>
      </x:c>
      <x:c r="L15" s="1">
        <x:v>2</x:v>
      </x:c>
      <x:c r="M15"/>
      <x:c r="N15" s="1" t="s">
        <x:v>25</x:v>
      </x:c>
      <x:c r="O15" s="1" t="s">
        <x:v>368</x:v>
      </x:c>
      <x:c r="P15" s="19" t="str">
        <x:v>{cscope}每有 1 {unit}食物
欢乐蛋糕 {0} 层</x:v>
      </x:c>
      <x:c r="Q15" t="s">
        <x:v>378</x:v>
      </x:c>
      <x:c r="R15"/>
      <x:c r="S15" s="33" t="s">
        <x:v>56</x:v>
      </x:c>
      <x:c r="T15" s="33" t="s">
        <x:v>379</x:v>
      </x:c>
    </x:row>
    <x:row r="16">
      <x:c r="A16"/>
      <x:c r="B16" s="1" t="s">
        <x:v>211</x:v>
      </x:c>
      <x:c r="C16" s="1" t="s">
        <x:v>362</x:v>
      </x:c>
      <x:c r="D16" s="1" t="s">
        <x:v>363</x:v>
      </x:c>
      <x:c r="E16" s="1" t="s">
        <x:v>364</x:v>
      </x:c>
      <x:c r="F16" s="1" t="s">
        <x:v>365</x:v>
      </x:c>
      <x:c r="G16" s="1" t="s">
        <x:v>366</x:v>
      </x:c>
      <x:c r="H16"/>
      <x:c r="I16" s="1" t="s">
        <x:v>321</x:v>
      </x:c>
      <x:c r="J16" s="1" t="s">
        <x:v>371</x:v>
      </x:c>
      <x:c r="K16" s="1">
        <x:v>0</x:v>
      </x:c>
      <x:c r="L16" s="1">
        <x:v>0.4</x:v>
      </x:c>
      <x:c r="M16"/>
      <x:c r="N16" s="1" t="s">
        <x:v>25</x:v>
      </x:c>
      <x:c r="O16" s="1" t="s">
        <x:v>368</x:v>
      </x:c>
      <x:c r="P16" s="1" t="str">
        <x:v>{ascope}倍率 {0}</x:v>
      </x:c>
      <x:c r="Q16"/>
      <x:c r="R16"/>
      <x:c r="S16" s="33" t="s">
        <x:v>60</x:v>
      </x:c>
      <x:c r="T16" s="33" t="s">
        <x:v>371</x:v>
      </x:c>
    </x:row>
    <x:row r="17" ht="17">
      <x:c r="A17"/>
      <x:c r="B17" s="1" t="s">
        <x:v>212</x:v>
      </x:c>
      <x:c r="C17" s="1" t="s">
        <x:v>362</x:v>
      </x:c>
      <x:c r="D17" s="1" t="s">
        <x:v>363</x:v>
      </x:c>
      <x:c r="E17" s="1" t="s">
        <x:v>384</x:v>
      </x:c>
      <x:c r="F17" s="1" t="s">
        <x:v>365</x:v>
      </x:c>
      <x:c r="G17" s="1" t="s">
        <x:v>366</x:v>
      </x:c>
      <x:c r="H17"/>
      <x:c r="I17" s="1" t="s">
        <x:v>382</x:v>
      </x:c>
      <x:c r="J17" s="1" t="s">
        <x:v>384</x:v>
      </x:c>
      <x:c r="K17" s="1">
        <x:v>2</x:v>
      </x:c>
      <x:c r="L17" s="1">
        <x:v>0</x:v>
      </x:c>
      <x:c r="M17"/>
      <x:c r="N17" s="1" t="s">
        <x:v>25</x:v>
      </x:c>
      <x:c r="O17" s="1" t="s">
        <x:v>25</x:v>
      </x:c>
      <x:c r="P17" s="19" t="str">
        <x:v>甜蜜传递 {count} 个食物</x:v>
      </x:c>
      <x:c r="Q17" t="s">
        <x:v>383</x:v>
      </x:c>
      <x:c r="R17"/>
      <x:c r="S17" s="33" t="s">
        <x:v>60</x:v>
      </x:c>
      <x:c r="T17" s="33" t="s">
        <x:v>384</x:v>
      </x:c>
    </x:row>
    <x:row r="18" ht="17">
      <x:c r="A18"/>
      <x:c r="B18" s="1" t="s">
        <x:v>214</x:v>
      </x:c>
      <x:c r="C18" s="1" t="s">
        <x:v>362</x:v>
      </x:c>
      <x:c r="D18" s="1" t="s">
        <x:v>380</x:v>
      </x:c>
      <x:c r="E18" s="1" t="s">
        <x:v>373</x:v>
      </x:c>
      <x:c r="F18" s="1" t="s">
        <x:v>365</x:v>
      </x:c>
      <x:c r="G18" s="1" t="s">
        <x:v>375</x:v>
      </x:c>
      <x:c r="H18"/>
      <x:c r="I18" s="1" t="s">
        <x:v>318</x:v>
      </x:c>
      <x:c r="J18" s="1" t="s">
        <x:v>373</x:v>
      </x:c>
      <x:c r="K18" s="1">
        <x:v>0</x:v>
      </x:c>
      <x:c r="L18" s="1">
        <x:v>5</x:v>
      </x:c>
      <x:c r="M18"/>
      <x:c r="N18" s="1" t="s">
        <x:v>25</x:v>
      </x:c>
      <x:c r="O18" s="1" t="s">
        <x:v>368</x:v>
      </x:c>
      <x:c r="P18" s="19" t="str">
        <x:v>{cscope}每有 1 {unit}食物
分数 {0}</x:v>
      </x:c>
      <x:c r="Q18"/>
      <x:c r="R18"/>
      <x:c r="S18" s="33" t="s">
        <x:v>65</x:v>
      </x:c>
      <x:c r="T18" s="33" t="s">
        <x:v>373</x:v>
      </x:c>
    </x:row>
    <x:row r="19" ht="17">
      <x:c r="A19"/>
      <x:c r="B19" s="1" t="s">
        <x:v>215</x:v>
      </x:c>
      <x:c r="C19" s="1" t="s">
        <x:v>362</x:v>
      </x:c>
      <x:c r="D19" s="1" t="s">
        <x:v>363</x:v>
      </x:c>
      <x:c r="E19" s="1" t="s">
        <x:v>373</x:v>
      </x:c>
      <x:c r="F19" s="1" t="s">
        <x:v>365</x:v>
      </x:c>
      <x:c r="G19" s="1" t="s">
        <x:v>366</x:v>
      </x:c>
      <x:c r="H19"/>
      <x:c r="I19" s="1" t="s">
        <x:v>382</x:v>
      </x:c>
      <x:c r="J19" s="1" t="s">
        <x:v>373</x:v>
      </x:c>
      <x:c r="K19" s="1">
        <x:v>1</x:v>
      </x:c>
      <x:c r="L19" s="1">
        <x:v>0</x:v>
      </x:c>
      <x:c r="M19"/>
      <x:c r="N19" s="1" t="s">
        <x:v>25</x:v>
      </x:c>
      <x:c r="O19" s="1" t="s">
        <x:v>25</x:v>
      </x:c>
      <x:c r="P19" s="19" t="str">
        <x:v>甜蜜传递 {count} 个食物</x:v>
      </x:c>
      <x:c r="Q19" t="s">
        <x:v>383</x:v>
      </x:c>
      <x:c r="R19"/>
      <x:c r="S19" s="33" t="s">
        <x:v>65</x:v>
      </x:c>
      <x:c r="T19" s="33" t="s">
        <x:v>373</x:v>
      </x:c>
    </x:row>
    <x:row r="20">
      <x:c r="A20"/>
      <x:c r="B20" s="1" t="s">
        <x:v>216</x:v>
      </x:c>
      <x:c r="C20" s="1" t="s">
        <x:v>362</x:v>
      </x:c>
      <x:c r="D20" s="1" t="s">
        <x:v>380</x:v>
      </x:c>
      <x:c r="E20" s="1" t="s">
        <x:v>370</x:v>
      </x:c>
      <x:c r="F20" s="1" t="s">
        <x:v>365</x:v>
      </x:c>
      <x:c r="G20" s="1" t="s">
        <x:v>375</x:v>
      </x:c>
      <x:c r="H20" t="s">
        <x:v>385</x:v>
      </x:c>
      <x:c r="I20" s="1" t="s">
        <x:v>321</x:v>
      </x:c>
      <x:c r="J20" s="1" t="s">
        <x:v>370</x:v>
      </x:c>
      <x:c r="K20" s="1">
        <x:v>0</x:v>
      </x:c>
      <x:c r="L20" s="1">
        <x:v>0.8</x:v>
      </x:c>
      <x:c r="M20"/>
      <x:c r="N20" s="1" t="s">
        <x:v>25</x:v>
      </x:c>
      <x:c r="O20" s="1" t="s">
        <x:v>368</x:v>
      </x:c>
      <x:c r="P20" s="1" t="str">
        <x:v>{cscope}每有 2 {unit}食物
倍率 {0}</x:v>
      </x:c>
      <x:c r="Q20"/>
      <x:c r="R20"/>
      <x:c r="S20" s="33" t="s">
        <x:v>69</x:v>
      </x:c>
      <x:c r="T20" s="33" t="s">
        <x:v>370</x:v>
      </x:c>
    </x:row>
    <x:row r="21">
      <x:c r="A21"/>
      <x:c r="B21" s="1" t="s">
        <x:v>218</x:v>
      </x:c>
      <x:c r="C21" s="1" t="s">
        <x:v>362</x:v>
      </x:c>
      <x:c r="D21" s="1" t="s">
        <x:v>363</x:v>
      </x:c>
      <x:c r="E21" s="1" t="s">
        <x:v>386</x:v>
      </x:c>
      <x:c r="F21" s="1" t="s">
        <x:v>365</x:v>
      </x:c>
      <x:c r="G21" s="1" t="s">
        <x:v>366</x:v>
      </x:c>
      <x:c r="H21"/>
      <x:c r="I21" s="1" t="s">
        <x:v>321</x:v>
      </x:c>
      <x:c r="J21" s="1" t="s">
        <x:v>386</x:v>
      </x:c>
      <x:c r="K21" s="1">
        <x:v>0</x:v>
      </x:c>
      <x:c r="L21" s="1">
        <x:v>0.5</x:v>
      </x:c>
      <x:c r="M21"/>
      <x:c r="N21" s="1" t="s">
        <x:v>25</x:v>
      </x:c>
      <x:c r="O21" s="1" t="s">
        <x:v>368</x:v>
      </x:c>
      <x:c r="P21" s="1" t="str">
        <x:v>{ascope}食物倍率 {0}</x:v>
      </x:c>
      <x:c r="Q21"/>
      <x:c r="R21"/>
      <x:c r="S21" s="33" t="s">
        <x:v>72</x:v>
      </x:c>
      <x:c r="T21" s="33" t="s">
        <x:v>386</x:v>
      </x:c>
    </x:row>
    <x:row r="22">
      <x:c r="A22"/>
      <x:c r="B22" s="1" t="s">
        <x:v>219</x:v>
      </x:c>
      <x:c r="C22" s="1" t="s">
        <x:v>362</x:v>
      </x:c>
      <x:c r="D22" s="1" t="s">
        <x:v>363</x:v>
      </x:c>
      <x:c r="E22" s="1" t="s">
        <x:v>364</x:v>
      </x:c>
      <x:c r="F22" s="1" t="s">
        <x:v>365</x:v>
      </x:c>
      <x:c r="G22" s="1" t="s">
        <x:v>366</x:v>
      </x:c>
      <x:c r="H22"/>
      <x:c r="I22" s="1" t="s">
        <x:v>376</x:v>
      </x:c>
      <x:c r="J22" s="1" t="s">
        <x:v>377</x:v>
      </x:c>
      <x:c r="K22" s="1">
        <x:v>0</x:v>
      </x:c>
      <x:c r="L22" s="1">
        <x:v>5</x:v>
      </x:c>
      <x:c r="M22"/>
      <x:c r="N22" s="1" t="s">
        <x:v>25</x:v>
      </x:c>
      <x:c r="O22" s="1" t="s">
        <x:v>368</x:v>
      </x:c>
      <x:c r="P22" s="1" t="str">
        <x:v>欢乐蛋糕 {0} 层</x:v>
      </x:c>
      <x:c r="Q22" t="s">
        <x:v>378</x:v>
      </x:c>
      <x:c r="R22"/>
      <x:c r="S22" s="33" t="s">
        <x:v>72</x:v>
      </x:c>
      <x:c r="T22" s="33" t="s">
        <x:v>379</x:v>
      </x:c>
    </x:row>
    <x:row r="23" ht="17">
      <x:c r="A23"/>
      <x:c r="B23" s="1" t="s">
        <x:v>220</x:v>
      </x:c>
      <x:c r="C23" s="1" t="s">
        <x:v>362</x:v>
      </x:c>
      <x:c r="D23" s="1" t="s">
        <x:v>372</x:v>
      </x:c>
      <x:c r="E23" s="1" t="s">
        <x:v>387</x:v>
      </x:c>
      <x:c r="F23" s="1" t="s">
        <x:v>365</x:v>
      </x:c>
      <x:c r="G23" s="1" t="s">
        <x:v>366</x:v>
      </x:c>
      <x:c r="H23"/>
      <x:c r="I23" s="1" t="s">
        <x:v>318</x:v>
      </x:c>
      <x:c r="J23" s="1" t="s">
        <x:v>387</x:v>
      </x:c>
      <x:c r="K23" s="1">
        <x:v>0</x:v>
      </x:c>
      <x:c r="L23" s="1">
        <x:v>10</x:v>
      </x:c>
      <x:c r="M23"/>
      <x:c r="N23" s="1" t="s">
        <x:v>25</x:v>
      </x:c>
      <x:c r="O23" s="1" t="s">
        <x:v>368</x:v>
      </x:c>
      <x:c r="P23" s="19" t="str">
        <x:v>{cscope}没有空格时
{ascope}食物分数 {0}</x:v>
      </x:c>
      <x:c r="Q23"/>
      <x:c r="R23"/>
      <x:c r="S23" s="33" t="s">
        <x:v>75</x:v>
      </x:c>
      <x:c r="T23" s="33" t="s">
        <x:v>387</x:v>
      </x:c>
    </x:row>
    <x:row r="24">
      <x:c r="A24"/>
      <x:c r="B24" s="1" t="s">
        <x:v>221</x:v>
      </x:c>
      <x:c r="C24" s="1" t="s">
        <x:v>362</x:v>
      </x:c>
      <x:c r="D24" s="1" t="s">
        <x:v>380</x:v>
      </x:c>
      <x:c r="E24" s="1" t="s">
        <x:v>388</x:v>
      </x:c>
      <x:c r="F24" s="1" t="s">
        <x:v>365</x:v>
      </x:c>
      <x:c r="G24" s="1" t="s">
        <x:v>375</x:v>
      </x:c>
      <x:c r="H24"/>
      <x:c r="I24" s="1" t="s">
        <x:v>318</x:v>
      </x:c>
      <x:c r="J24" s="1" t="s">
        <x:v>388</x:v>
      </x:c>
      <x:c r="K24" s="1">
        <x:v>0</x:v>
      </x:c>
      <x:c r="L24" s="1">
        <x:v>10</x:v>
      </x:c>
      <x:c r="M24"/>
      <x:c r="N24" s="1" t="s">
        <x:v>25</x:v>
      </x:c>
      <x:c r="O24" s="1" t="s">
        <x:v>368</x:v>
      </x:c>
      <x:c r="P24" s="1" t="str">
        <x:v>{cscope}每有 1 {unit}食物
分数 {0}</x:v>
      </x:c>
      <x:c r="R24"/>
      <x:c r="S24" s="33" t="s">
        <x:v>80</x:v>
      </x:c>
      <x:c r="T24" s="33" t="s">
        <x:v>388</x:v>
      </x:c>
    </x:row>
    <x:row r="25" ht="17">
      <x:c r="A25"/>
      <x:c r="B25" s="1" t="s">
        <x:v>222</x:v>
      </x:c>
      <x:c r="C25" s="1" t="s">
        <x:v>362</x:v>
      </x:c>
      <x:c r="D25" s="1" t="s">
        <x:v>363</x:v>
      </x:c>
      <x:c r="E25" s="1" t="s">
        <x:v>373</x:v>
      </x:c>
      <x:c r="F25" s="1" t="s">
        <x:v>365</x:v>
      </x:c>
      <x:c r="G25" s="1" t="s">
        <x:v>366</x:v>
      </x:c>
      <x:c r="H25"/>
      <x:c r="I25" s="1" t="s">
        <x:v>389</x:v>
      </x:c>
      <x:c r="J25" s="1" t="s">
        <x:v>373</x:v>
      </x:c>
      <x:c r="K25" s="1">
        <x:v>0</x:v>
      </x:c>
      <x:c r="L25" s="1">
        <x:v>3</x:v>
      </x:c>
      <x:c r="M25"/>
      <x:c r="N25" s="1" t="s">
        <x:v>368</x:v>
      </x:c>
      <x:c r="O25" s="1" t="s">
        <x:v>368</x:v>
      </x:c>
      <x:c r="P25" s="19" t="str">
        <x:v>{ascope}额外视为 {value} 个食物</x:v>
      </x:c>
      <x:c r="Q25"/>
      <x:c r="R25"/>
      <x:c r="S25" s="33" t="s">
        <x:v>86</x:v>
      </x:c>
      <x:c r="T25" s="33" t="s">
        <x:v>373</x:v>
      </x:c>
    </x:row>
    <x:row r="26">
      <x:c r="A26"/>
      <x:c r="B26" s="1" t="s">
        <x:v>224</x:v>
      </x:c>
      <x:c r="C26" s="1" t="s">
        <x:v>362</x:v>
      </x:c>
      <x:c r="D26" s="1" t="s">
        <x:v>363</x:v>
      </x:c>
      <x:c r="E26" s="1" t="s">
        <x:v>364</x:v>
      </x:c>
      <x:c r="F26" s="1" t="s">
        <x:v>365</x:v>
      </x:c>
      <x:c r="G26" s="1" t="s">
        <x:v>366</x:v>
      </x:c>
      <x:c r="H26"/>
      <x:c r="I26" s="1" t="s">
        <x:v>321</x:v>
      </x:c>
      <x:c r="J26" s="1" t="s">
        <x:v>367</x:v>
      </x:c>
      <x:c r="K26" s="1">
        <x:v>0</x:v>
      </x:c>
      <x:c r="L26" s="1">
        <x:v>2</x:v>
      </x:c>
      <x:c r="M26"/>
      <x:c r="N26" s="1" t="s">
        <x:v>25</x:v>
      </x:c>
      <x:c r="O26" s="1" t="s">
        <x:v>368</x:v>
      </x:c>
      <x:c r="P26" s="1" t="str">
        <x:v>{ascope}倍率 {0}</x:v>
      </x:c>
      <x:c r="R26"/>
      <x:c r="S26" s="33" t="s">
        <x:v>91</x:v>
      </x:c>
      <x:c r="T26" s="33" t="s">
        <x:v>367</x:v>
      </x:c>
    </x:row>
    <x:row r="27" ht="17">
      <x:c r="A27"/>
      <x:c r="B27" s="1" t="s">
        <x:v>225</x:v>
      </x:c>
      <x:c r="C27" s="1" t="s">
        <x:v>362</x:v>
      </x:c>
      <x:c r="D27" s="1" t="s">
        <x:v>363</x:v>
      </x:c>
      <x:c r="E27" s="1" t="s">
        <x:v>381</x:v>
      </x:c>
      <x:c r="F27" s="1" t="s">
        <x:v>365</x:v>
      </x:c>
      <x:c r="G27" s="1" t="s">
        <x:v>366</x:v>
      </x:c>
      <x:c r="H27"/>
      <x:c r="I27" s="1" t="s">
        <x:v>382</x:v>
      </x:c>
      <x:c r="J27" s="1" t="s">
        <x:v>381</x:v>
      </x:c>
      <x:c r="K27" s="1">
        <x:v>1</x:v>
      </x:c>
      <x:c r="L27" s="1">
        <x:v>0</x:v>
      </x:c>
      <x:c r="M27"/>
      <x:c r="N27" s="1" t="s">
        <x:v>25</x:v>
      </x:c>
      <x:c r="O27" s="1" t="s">
        <x:v>25</x:v>
      </x:c>
      <x:c r="P27" s="19" t="str">
        <x:v>甜蜜传递 {count} 个食物</x:v>
      </x:c>
      <x:c r="Q27" t="s">
        <x:v>383</x:v>
      </x:c>
      <x:c r="R27"/>
      <x:c r="S27" s="33" t="s">
        <x:v>91</x:v>
      </x:c>
      <x:c r="T27" s="33" t="s">
        <x:v>381</x:v>
      </x:c>
    </x:row>
    <x:row r="28">
      <x:c r="A28"/>
      <x:c r="B28" s="1" t="s">
        <x:v>227</x:v>
      </x:c>
      <x:c r="C28" s="1" t="s">
        <x:v>362</x:v>
      </x:c>
      <x:c r="D28" s="1" t="s">
        <x:v>363</x:v>
      </x:c>
      <x:c r="E28" s="1" t="s">
        <x:v>390</x:v>
      </x:c>
      <x:c r="F28" s="1" t="s">
        <x:v>365</x:v>
      </x:c>
      <x:c r="G28" s="1" t="s">
        <x:v>366</x:v>
      </x:c>
      <x:c r="H28"/>
      <x:c r="I28" s="1" t="s">
        <x:v>321</x:v>
      </x:c>
      <x:c r="J28" s="1" t="s">
        <x:v>390</x:v>
      </x:c>
      <x:c r="K28" s="1">
        <x:v>0</x:v>
      </x:c>
      <x:c r="L28" s="1">
        <x:v>1.5</x:v>
      </x:c>
      <x:c r="M28" t="s">
        <x:v>391</x:v>
      </x:c>
      <x:c r="N28" s="1" t="s">
        <x:v>25</x:v>
      </x:c>
      <x:c r="O28" s="1" t="s">
        <x:v>368</x:v>
      </x:c>
      <x:c r="P28" s="1" t="str">
        <x:v>{cat}类食物倍率 {0}</x:v>
      </x:c>
      <x:c r="Q28"/>
      <x:c r="R28"/>
      <x:c r="S28" s="33" t="s">
        <x:v>96</x:v>
      </x:c>
      <x:c r="T28" s="33" t="s">
        <x:v>390</x:v>
      </x:c>
    </x:row>
    <x:row r="29">
      <x:c r="A29"/>
      <x:c r="B29" s="1" t="s">
        <x:v>228</x:v>
      </x:c>
      <x:c r="C29" s="1" t="s">
        <x:v>362</x:v>
      </x:c>
      <x:c r="D29" s="1" t="s">
        <x:v>363</x:v>
      </x:c>
      <x:c r="E29" s="1" t="s">
        <x:v>388</x:v>
      </x:c>
      <x:c r="F29" s="1" t="s">
        <x:v>365</x:v>
      </x:c>
      <x:c r="G29" s="1" t="s">
        <x:v>366</x:v>
      </x:c>
      <x:c r="H29"/>
      <x:c r="I29" s="1" t="s">
        <x:v>318</x:v>
      </x:c>
      <x:c r="J29" s="1" t="s">
        <x:v>388</x:v>
      </x:c>
      <x:c r="K29" s="1">
        <x:v>0</x:v>
      </x:c>
      <x:c r="L29" s="1">
        <x:v>30</x:v>
      </x:c>
      <x:c r="M29"/>
      <x:c r="N29" s="1" t="s">
        <x:v>25</x:v>
      </x:c>
      <x:c r="O29" s="1" t="s">
        <x:v>368</x:v>
      </x:c>
      <x:c r="P29" s="1" t="str">
        <x:v>{ascope}分数 {0}</x:v>
      </x:c>
      <x:c r="Q29"/>
      <x:c r="R29"/>
      <x:c r="S29" s="33" t="s">
        <x:v>96</x:v>
      </x:c>
      <x:c r="T29" s="33" t="s">
        <x:v>388</x:v>
      </x:c>
    </x:row>
    <x:row r="30">
      <x:c r="A30"/>
      <x:c r="B30" s="1" t="s">
        <x:v>230</x:v>
      </x:c>
      <x:c r="C30" s="1" t="s">
        <x:v>362</x:v>
      </x:c>
      <x:c r="D30" s="1" t="s">
        <x:v>363</x:v>
      </x:c>
      <x:c r="E30" s="1" t="s">
        <x:v>373</x:v>
      </x:c>
      <x:c r="F30" s="1" t="s">
        <x:v>365</x:v>
      </x:c>
      <x:c r="G30" s="1" t="s">
        <x:v>366</x:v>
      </x:c>
      <x:c r="H30"/>
      <x:c r="I30" s="1" t="s">
        <x:v>321</x:v>
      </x:c>
      <x:c r="J30" s="1" t="s">
        <x:v>373</x:v>
      </x:c>
      <x:c r="K30" s="1">
        <x:v>0</x:v>
      </x:c>
      <x:c r="L30" s="1">
        <x:v>1</x:v>
      </x:c>
      <x:c r="M30"/>
      <x:c r="N30" s="1" t="s">
        <x:v>25</x:v>
      </x:c>
      <x:c r="O30" s="1" t="s">
        <x:v>368</x:v>
      </x:c>
      <x:c r="P30" s="1" t="str">
        <x:v>{ascope}倍率 {0}</x:v>
      </x:c>
      <x:c r="Q30"/>
      <x:c r="R30"/>
      <x:c r="S30" s="33" t="s">
        <x:v>101</x:v>
      </x:c>
      <x:c r="T30" s="33" t="s">
        <x:v>373</x:v>
      </x:c>
    </x:row>
    <x:row r="31" ht="17">
      <x:c r="A31"/>
      <x:c r="B31" s="1" t="s">
        <x:v>231</x:v>
      </x:c>
      <x:c r="C31" s="1" t="s">
        <x:v>362</x:v>
      </x:c>
      <x:c r="D31" s="1" t="s">
        <x:v>363</x:v>
      </x:c>
      <x:c r="E31" s="1" t="s">
        <x:v>364</x:v>
      </x:c>
      <x:c r="F31" s="1" t="s">
        <x:v>365</x:v>
      </x:c>
      <x:c r="G31" s="1" t="s">
        <x:v>366</x:v>
      </x:c>
      <x:c r="H31"/>
      <x:c r="I31" s="1" t="s">
        <x:v>376</x:v>
      </x:c>
      <x:c r="J31" s="1" t="s">
        <x:v>377</x:v>
      </x:c>
      <x:c r="K31" s="1">
        <x:v>0</x:v>
      </x:c>
      <x:c r="L31" s="1">
        <x:v>15</x:v>
      </x:c>
      <x:c r="M31"/>
      <x:c r="N31" s="1" t="s">
        <x:v>25</x:v>
      </x:c>
      <x:c r="O31" s="1" t="s">
        <x:v>368</x:v>
      </x:c>
      <x:c r="P31" s="19" t="str">
        <x:v>欢乐蛋糕 {0} 层</x:v>
      </x:c>
      <x:c r="Q31" t="s">
        <x:v>378</x:v>
      </x:c>
      <x:c r="R31"/>
      <x:c r="S31" s="33" t="s">
        <x:v>101</x:v>
      </x:c>
      <x:c r="T31" s="33" t="s">
        <x:v>379</x:v>
      </x:c>
    </x:row>
    <x:row r="32">
      <x:c r="A32"/>
      <x:c r="B32" s="1" t="s">
        <x:v>232</x:v>
      </x:c>
      <x:c r="C32" s="1" t="s">
        <x:v>362</x:v>
      </x:c>
      <x:c r="D32" s="1" t="s">
        <x:v>380</x:v>
      </x:c>
      <x:c r="E32" s="1" t="s">
        <x:v>386</x:v>
      </x:c>
      <x:c r="F32" s="1" t="s">
        <x:v>365</x:v>
      </x:c>
      <x:c r="G32" s="1" t="s">
        <x:v>392</x:v>
      </x:c>
      <x:c r="H32" t="s">
        <x:v>393</x:v>
      </x:c>
      <x:c r="I32" s="1" t="s">
        <x:v>321</x:v>
      </x:c>
      <x:c r="J32" s="1" t="s">
        <x:v>386</x:v>
      </x:c>
      <x:c r="K32" s="1">
        <x:v>0</x:v>
      </x:c>
      <x:c r="L32" s="1">
        <x:v>0</x:v>
      </x:c>
      <x:c r="M32" t="s">
        <x:v>394</x:v>
      </x:c>
      <x:c r="N32" s="1" t="s">
        <x:v>25</x:v>
      </x:c>
      <x:c r="O32" s="1" t="s">
        <x:v>368</x:v>
      </x:c>
      <x:c r="P32" s="1" t="str">
        <x:v>{cscope}食物个数达 {tiers} 时
倍率 {tiervals}</x:v>
      </x:c>
      <x:c r="Q32"/>
      <x:c r="R32"/>
      <x:c r="S32" s="33" t="s">
        <x:v>106</x:v>
      </x:c>
      <x:c r="T32" s="33" t="s">
        <x:v>386</x:v>
      </x:c>
    </x:row>
    <x:row r="33" s="32" customFormat="1" ht="17">
      <x:c r="A33" s="8"/>
      <x:c r="B33" s="8" t="s">
        <x:v>233</x:v>
      </x:c>
      <x:c r="C33" s="1" t="s">
        <x:v>362</x:v>
      </x:c>
      <x:c r="D33" s="1" t="s">
        <x:v>363</x:v>
      </x:c>
      <x:c r="E33" s="1" t="s">
        <x:v>388</x:v>
      </x:c>
      <x:c r="F33" s="1" t="s">
        <x:v>365</x:v>
      </x:c>
      <x:c r="G33" s="1" t="s">
        <x:v>366</x:v>
      </x:c>
      <x:c r="H33" s="1"/>
      <x:c r="I33" s="1" t="s">
        <x:v>324</x:v>
      </x:c>
      <x:c r="J33" s="1" t="s">
        <x:v>388</x:v>
      </x:c>
      <x:c r="K33" s="1">
        <x:v>0</x:v>
      </x:c>
      <x:c r="L33" s="1">
        <x:v>1.5</x:v>
      </x:c>
      <x:c r="M33" s="1" t="s">
        <x:v>395</x:v>
      </x:c>
      <x:c r="N33" s="1" t="s">
        <x:v>25</x:v>
      </x:c>
      <x:c r="O33" s="1" t="s">
        <x:v>25</x:v>
      </x:c>
      <x:c r="P33" s="19" t="str">
        <x:v>{cscope}食物发动甜蜜传递时
倍率 ×{0}</x:v>
      </x:c>
      <x:c r="Q33"/>
      <x:c r="R33"/>
      <x:c r="S33" s="33" t="s">
        <x:v>112</x:v>
      </x:c>
      <x:c r="T33" s="33" t="s">
        <x:v>388</x:v>
      </x:c>
    </x:row>
    <x:row r="34">
      <x:c r="A34"/>
      <x:c r="B34" s="1" t="s">
        <x:v>235</x:v>
      </x:c>
      <x:c r="C34" s="1" t="s">
        <x:v>362</x:v>
      </x:c>
      <x:c r="D34" s="1" t="s">
        <x:v>363</x:v>
      </x:c>
      <x:c r="E34" s="1" t="s">
        <x:v>373</x:v>
      </x:c>
      <x:c r="F34" s="1" t="s">
        <x:v>365</x:v>
      </x:c>
      <x:c r="G34" s="1" t="s">
        <x:v>366</x:v>
      </x:c>
      <x:c r="H34"/>
      <x:c r="I34" s="1" t="s">
        <x:v>396</x:v>
      </x:c>
      <x:c r="J34" s="1" t="s">
        <x:v>373</x:v>
      </x:c>
      <x:c r="K34" s="1">
        <x:v>0</x:v>
      </x:c>
      <x:c r="L34" s="1">
        <x:v>15</x:v>
      </x:c>
      <x:c r="M34"/>
      <x:c r="N34" s="1" t="s">
        <x:v>25</x:v>
      </x:c>
      <x:c r="O34" s="1" t="s">
        <x:v>368</x:v>
      </x:c>
      <x:c r="P34" s="1" t="str">
        <x:v>{ascope}分数永久 {0}</x:v>
      </x:c>
      <x:c r="R34"/>
      <x:c r="S34" s="33" t="s">
        <x:v>115</x:v>
      </x:c>
      <x:c r="T34" s="33" t="s">
        <x:v>373</x:v>
      </x:c>
    </x:row>
    <x:row r="35" ht="17">
      <x:c r="A35"/>
      <x:c r="B35" s="1" t="s">
        <x:v>236</x:v>
      </x:c>
      <x:c r="C35" s="1" t="s">
        <x:v>362</x:v>
      </x:c>
      <x:c r="D35" s="1" t="s">
        <x:v>363</x:v>
      </x:c>
      <x:c r="E35" s="1" t="s">
        <x:v>373</x:v>
      </x:c>
      <x:c r="F35" s="1" t="s">
        <x:v>365</x:v>
      </x:c>
      <x:c r="G35" s="1" t="s">
        <x:v>366</x:v>
      </x:c>
      <x:c r="H35"/>
      <x:c r="I35" s="1" t="s">
        <x:v>382</x:v>
      </x:c>
      <x:c r="J35" s="1" t="s">
        <x:v>373</x:v>
      </x:c>
      <x:c r="K35" s="1">
        <x:v>1</x:v>
      </x:c>
      <x:c r="L35" s="1">
        <x:v>0</x:v>
      </x:c>
      <x:c r="M35"/>
      <x:c r="N35" s="1" t="s">
        <x:v>25</x:v>
      </x:c>
      <x:c r="O35" s="1" t="s">
        <x:v>25</x:v>
      </x:c>
      <x:c r="P35" s="19" t="str">
        <x:v>甜蜜传递 {count} 个食物</x:v>
      </x:c>
      <x:c r="Q35" t="s">
        <x:v>383</x:v>
      </x:c>
      <x:c r="R35"/>
      <x:c r="S35" s="33" t="s">
        <x:v>115</x:v>
      </x:c>
      <x:c r="T35" s="33" t="s">
        <x:v>373</x:v>
      </x:c>
    </x:row>
    <x:row r="36">
      <x:c r="A36"/>
      <x:c r="B36" s="1" t="s">
        <x:v>238</x:v>
      </x:c>
      <x:c r="C36" s="1" t="s">
        <x:v>362</x:v>
      </x:c>
      <x:c r="D36" s="1" t="s">
        <x:v>363</x:v>
      </x:c>
      <x:c r="E36" s="1" t="s">
        <x:v>364</x:v>
      </x:c>
      <x:c r="F36" s="1" t="s">
        <x:v>365</x:v>
      </x:c>
      <x:c r="G36" s="1" t="s">
        <x:v>366</x:v>
      </x:c>
      <x:c r="H36"/>
      <x:c r="I36" s="1" t="s">
        <x:v>376</x:v>
      </x:c>
      <x:c r="J36" s="1" t="s">
        <x:v>377</x:v>
      </x:c>
      <x:c r="K36" s="1">
        <x:v>0</x:v>
      </x:c>
      <x:c r="L36" s="1">
        <x:v>10</x:v>
      </x:c>
      <x:c r="M36"/>
      <x:c r="N36" s="1" t="s">
        <x:v>25</x:v>
      </x:c>
      <x:c r="O36" s="1" t="s">
        <x:v>368</x:v>
      </x:c>
      <x:c r="P36" s="1" t="str">
        <x:v>欢乐蛋糕 {0} 层</x:v>
      </x:c>
      <x:c r="Q36" t="s">
        <x:v>378</x:v>
      </x:c>
      <x:c r="R36"/>
      <x:c r="S36" s="33" t="s">
        <x:v>118</x:v>
      </x:c>
      <x:c r="T36" s="33" t="s">
        <x:v>379</x:v>
      </x:c>
    </x:row>
    <x:row r="37">
      <x:c r="A37"/>
      <x:c r="B37" s="1" t="s">
        <x:v>239</x:v>
      </x:c>
      <x:c r="C37" s="1" t="s">
        <x:v>362</x:v>
      </x:c>
      <x:c r="D37" s="1" t="s">
        <x:v>363</x:v>
      </x:c>
      <x:c r="E37" s="1" t="s">
        <x:v>390</x:v>
      </x:c>
      <x:c r="F37" s="1" t="s">
        <x:v>365</x:v>
      </x:c>
      <x:c r="G37" s="1" t="s">
        <x:v>366</x:v>
      </x:c>
      <x:c r="H37"/>
      <x:c r="I37" s="1" t="s">
        <x:v>397</x:v>
      </x:c>
      <x:c r="J37" s="1" t="s">
        <x:v>390</x:v>
      </x:c>
      <x:c r="K37" s="1">
        <x:v>0</x:v>
      </x:c>
      <x:c r="L37" s="1">
        <x:v>1</x:v>
      </x:c>
      <x:c r="M37" t="s">
        <x:v>391</x:v>
      </x:c>
      <x:c r="N37" s="1" t="s">
        <x:v>25</x:v>
      </x:c>
      <x:c r="O37" s="1" t="s">
        <x:v>25</x:v>
      </x:c>
      <x:c r="P37" s="1" t="str">
        <x:v>将自身分数加至{cat}类食物上</x:v>
      </x:c>
      <x:c r="Q37"/>
      <x:c r="R37"/>
      <x:c r="S37" s="33" t="s">
        <x:v>118</x:v>
      </x:c>
      <x:c r="T37" s="33" t="s">
        <x:v>390</x:v>
      </x:c>
    </x:row>
    <x:row r="38">
      <x:c r="A38"/>
      <x:c r="B38" s="1" t="s">
        <x:v>240</x:v>
      </x:c>
      <x:c r="C38" s="1" t="s">
        <x:v>362</x:v>
      </x:c>
      <x:c r="D38" s="1" t="s">
        <x:v>363</x:v>
      </x:c>
      <x:c r="E38" s="1" t="s">
        <x:v>364</x:v>
      </x:c>
      <x:c r="F38" s="1" t="s">
        <x:v>365</x:v>
      </x:c>
      <x:c r="G38" s="1" t="s">
        <x:v>366</x:v>
      </x:c>
      <x:c r="H38"/>
      <x:c r="I38" s="1" t="s">
        <x:v>324</x:v>
      </x:c>
      <x:c r="J38" s="1" t="s">
        <x:v>369</x:v>
      </x:c>
      <x:c r="K38" s="1">
        <x:v>0</x:v>
      </x:c>
      <x:c r="L38" s="1">
        <x:v>2</x:v>
      </x:c>
      <x:c r="M38"/>
      <x:c r="N38" s="1" t="s">
        <x:v>25</x:v>
      </x:c>
      <x:c r="O38" s="1" t="s">
        <x:v>25</x:v>
      </x:c>
      <x:c r="P38" s="1" t="str">
        <x:v>{ascope}倍率 ×{0}</x:v>
      </x:c>
      <x:c r="Q38"/>
      <x:c r="R38"/>
      <x:c r="S38" s="33" t="s">
        <x:v>121</x:v>
      </x:c>
      <x:c r="T38" s="33" t="s">
        <x:v>369</x:v>
      </x:c>
    </x:row>
    <x:row r="39">
      <x:c r="A39"/>
      <x:c r="B39" s="1" t="s">
        <x:v>241</x:v>
      </x:c>
      <x:c r="C39" s="1" t="s">
        <x:v>362</x:v>
      </x:c>
      <x:c r="D39" s="1" t="s">
        <x:v>363</x:v>
      </x:c>
      <x:c r="E39" s="1" t="s">
        <x:v>364</x:v>
      </x:c>
      <x:c r="F39" s="1" t="s">
        <x:v>365</x:v>
      </x:c>
      <x:c r="G39" s="1" t="s">
        <x:v>366</x:v>
      </x:c>
      <x:c r="H39"/>
      <x:c r="I39" s="1" t="s">
        <x:v>376</x:v>
      </x:c>
      <x:c r="J39" s="1" t="s">
        <x:v>377</x:v>
      </x:c>
      <x:c r="K39" s="1">
        <x:v>0</x:v>
      </x:c>
      <x:c r="L39" s="1">
        <x:v>1.5</x:v>
      </x:c>
      <x:c r="M39" t="s">
        <x:v>398</x:v>
      </x:c>
      <x:c r="N39" s="1" t="s">
        <x:v>25</x:v>
      </x:c>
      <x:c r="O39" s="1" t="s">
        <x:v>25</x:v>
      </x:c>
      <x:c r="P39" s="1" t="str">
        <x:v>欢乐蛋糕层数 ×{0}
至少 +{floor} 层</x:v>
      </x:c>
      <x:c r="Q39" t="s">
        <x:v>378</x:v>
      </x:c>
      <x:c r="R39"/>
      <x:c r="S39" s="33" t="s">
        <x:v>125</x:v>
      </x:c>
      <x:c r="T39" s="33" t="s">
        <x:v>379</x:v>
      </x:c>
    </x:row>
    <x:row r="40" ht="17">
      <x:c r="A40"/>
      <x:c r="B40" s="1" t="s">
        <x:v>242</x:v>
      </x:c>
      <x:c r="C40" s="1" t="s">
        <x:v>362</x:v>
      </x:c>
      <x:c r="D40" s="1" t="s">
        <x:v>363</x:v>
      </x:c>
      <x:c r="E40" s="1" t="s">
        <x:v>387</x:v>
      </x:c>
      <x:c r="F40" s="1" t="s">
        <x:v>365</x:v>
      </x:c>
      <x:c r="G40" s="1" t="s">
        <x:v>366</x:v>
      </x:c>
      <x:c r="H40"/>
      <x:c r="I40" s="1" t="s">
        <x:v>399</x:v>
      </x:c>
      <x:c r="J40" s="1" t="s">
        <x:v>387</x:v>
      </x:c>
      <x:c r="K40" s="1">
        <x:v>3</x:v>
      </x:c>
      <x:c r="L40" s="1">
        <x:v>0</x:v>
      </x:c>
      <x:c r="M40" t="s">
        <x:v>400</x:v>
      </x:c>
      <x:c r="N40" s="1" t="s">
        <x:v>25</x:v>
      </x:c>
      <x:c r="O40" s="1" t="s">
        <x:v>25</x:v>
      </x:c>
      <x:c r="P40" s="19" t="str">
        <x:v>使{ascope}带甜蜜传递的食物
额外结算 1 次甜蜜传递</x:v>
      </x:c>
      <x:c r="Q40" t="s">
        <x:v>383</x:v>
      </x:c>
      <x:c r="R40"/>
      <x:c r="S40" s="33" t="s">
        <x:v>128</x:v>
      </x:c>
      <x:c r="T40" s="33" t="s">
        <x:v>387</x:v>
      </x:c>
    </x:row>
    <x:row r="41">
      <x:c r="A41"/>
      <x:c r="B41" s="1" t="s">
        <x:v>243</x:v>
      </x:c>
      <x:c r="C41" s="1" t="s">
        <x:v>362</x:v>
      </x:c>
      <x:c r="D41" s="1" t="s">
        <x:v>380</x:v>
      </x:c>
      <x:c r="E41" s="1" t="s">
        <x:v>388</x:v>
      </x:c>
      <x:c r="F41" s="1" t="s">
        <x:v>365</x:v>
      </x:c>
      <x:c r="G41" s="1" t="s">
        <x:v>392</x:v>
      </x:c>
      <x:c r="H41" t="s">
        <x:v>401</x:v>
      </x:c>
      <x:c r="I41" s="1" t="s">
        <x:v>324</x:v>
      </x:c>
      <x:c r="J41" s="1" t="s">
        <x:v>388</x:v>
      </x:c>
      <x:c r="K41" s="1">
        <x:v>0</x:v>
      </x:c>
      <x:c r="L41" s="1">
        <x:v>0</x:v>
      </x:c>
      <x:c r="M41" t="s">
        <x:v>402</x:v>
      </x:c>
      <x:c r="N41" s="1" t="s">
        <x:v>25</x:v>
      </x:c>
      <x:c r="O41" s="1" t="s">
        <x:v>25</x:v>
      </x:c>
      <x:c r="P41" s="1" t="str">
        <x:v>{cscope}食物达 {tiers} 个时
倍率 ×{tiervals}</x:v>
      </x:c>
      <x:c r="Q41"/>
      <x:c r="R41"/>
      <x:c r="S41" s="33" t="s">
        <x:v>131</x:v>
      </x:c>
      <x:c r="T41" s="33" t="s">
        <x:v>388</x:v>
      </x:c>
    </x:row>
    <x:row r="42">
      <x:c r="A42"/>
      <x:c r="B42" s="1" t="s">
        <x:v>244</x:v>
      </x:c>
      <x:c r="C42" s="1" t="s">
        <x:v>362</x:v>
      </x:c>
      <x:c r="D42" s="1" t="s">
        <x:v>380</x:v>
      </x:c>
      <x:c r="E42" s="1" t="s">
        <x:v>386</x:v>
      </x:c>
      <x:c r="F42" s="1" t="s">
        <x:v>365</x:v>
      </x:c>
      <x:c r="G42" s="1" t="s">
        <x:v>375</x:v>
      </x:c>
      <x:c r="H42"/>
      <x:c r="I42" s="1" t="s">
        <x:v>321</x:v>
      </x:c>
      <x:c r="J42" s="1" t="s">
        <x:v>386</x:v>
      </x:c>
      <x:c r="K42" s="1">
        <x:v>0</x:v>
      </x:c>
      <x:c r="L42" s="1">
        <x:v>0.3</x:v>
      </x:c>
      <x:c r="M42"/>
      <x:c r="N42" s="1" t="s">
        <x:v>25</x:v>
      </x:c>
      <x:c r="O42" s="1" t="s">
        <x:v>368</x:v>
      </x:c>
      <x:c r="P42" s="1" t="str">
        <x:v>{cscope}每有 1 {unit}食物
倍率 {0}</x:v>
      </x:c>
      <x:c r="Q42"/>
      <x:c r="R42"/>
      <x:c r="S42" s="33" t="s">
        <x:v>134</x:v>
      </x:c>
      <x:c r="T42" s="33" t="s">
        <x:v>386</x:v>
      </x:c>
    </x:row>
    <x:row r="43" ht="17">
      <x:c r="A43"/>
      <x:c r="B43" s="1" t="s">
        <x:v>246</x:v>
      </x:c>
      <x:c r="C43" s="1" t="s">
        <x:v>362</x:v>
      </x:c>
      <x:c r="D43" s="1" t="s">
        <x:v>363</x:v>
      </x:c>
      <x:c r="E43" s="1" t="s">
        <x:v>364</x:v>
      </x:c>
      <x:c r="F43" s="1" t="s">
        <x:v>365</x:v>
      </x:c>
      <x:c r="G43" s="1" t="s">
        <x:v>366</x:v>
      </x:c>
      <x:c r="H43"/>
      <x:c r="I43" s="1" t="s">
        <x:v>376</x:v>
      </x:c>
      <x:c r="J43" s="1" t="s">
        <x:v>377</x:v>
      </x:c>
      <x:c r="K43" s="1">
        <x:v>0</x:v>
      </x:c>
      <x:c r="L43" s="1">
        <x:v>25</x:v>
      </x:c>
      <x:c r="M43"/>
      <x:c r="N43" s="1" t="s">
        <x:v>25</x:v>
      </x:c>
      <x:c r="O43" s="1" t="s">
        <x:v>368</x:v>
      </x:c>
      <x:c r="P43" s="19" t="str">
        <x:v>欢乐蛋糕 {0} 层</x:v>
      </x:c>
      <x:c r="Q43" t="s">
        <x:v>378</x:v>
      </x:c>
      <x:c r="R43"/>
      <x:c r="S43" s="33" t="s">
        <x:v>137</x:v>
      </x:c>
      <x:c r="T43" s="33" t="s">
        <x:v>379</x:v>
      </x:c>
    </x:row>
    <x:row r="44">
      <x:c r="A44"/>
      <x:c r="B44" s="1" t="s">
        <x:v>247</x:v>
      </x:c>
      <x:c r="C44" s="1" t="s">
        <x:v>362</x:v>
      </x:c>
      <x:c r="D44" s="1" t="s">
        <x:v>363</x:v>
      </x:c>
      <x:c r="E44" s="1" t="s">
        <x:v>386</x:v>
      </x:c>
      <x:c r="F44" s="1" t="s">
        <x:v>365</x:v>
      </x:c>
      <x:c r="G44" s="1" t="s">
        <x:v>366</x:v>
      </x:c>
      <x:c r="H44"/>
      <x:c r="I44" s="1" t="s">
        <x:v>318</x:v>
      </x:c>
      <x:c r="J44" s="1" t="s">
        <x:v>386</x:v>
      </x:c>
      <x:c r="K44" s="1">
        <x:v>0</x:v>
      </x:c>
      <x:c r="L44" s="1">
        <x:v>30</x:v>
      </x:c>
      <x:c r="M44" t="s">
        <x:v>391</x:v>
      </x:c>
      <x:c r="N44" s="1" t="s">
        <x:v>25</x:v>
      </x:c>
      <x:c r="O44" s="1" t="s">
        <x:v>368</x:v>
      </x:c>
      <x:c r="P44" s="1" t="str">
        <x:v>{ascope}{cat}类食物分数 {0}</x:v>
      </x:c>
      <x:c r="Q44"/>
      <x:c r="R44"/>
      <x:c r="S44" s="33" t="s">
        <x:v>137</x:v>
      </x:c>
      <x:c r="T44" s="33" t="s">
        <x:v>386</x:v>
      </x:c>
    </x:row>
    <x:row r="45" ht="17">
      <x:c r="A45"/>
      <x:c r="B45" s="1" t="s">
        <x:v>249</x:v>
      </x:c>
      <x:c r="C45" s="1" t="s">
        <x:v>362</x:v>
      </x:c>
      <x:c r="D45" s="1" t="s">
        <x:v>374</x:v>
      </x:c>
      <x:c r="E45" s="1" t="s">
        <x:v>364</x:v>
      </x:c>
      <x:c r="F45" s="1" t="s">
        <x:v>365</x:v>
      </x:c>
      <x:c r="G45" s="1" t="s">
        <x:v>375</x:v>
      </x:c>
      <x:c r="I45" s="1" t="s">
        <x:v>321</x:v>
      </x:c>
      <x:c r="J45" s="1" t="s">
        <x:v>364</x:v>
      </x:c>
      <x:c r="K45" s="1">
        <x:v>0</x:v>
      </x:c>
      <x:c r="L45" s="1">
        <x:v>3</x:v>
      </x:c>
      <x:c r="N45" s="1" t="s">
        <x:v>25</x:v>
      </x:c>
      <x:c r="O45" s="1" t="s">
        <x:v>368</x:v>
      </x:c>
      <x:c r="P45" s="19" t="str">
        <x:v>{cscope}每有 1 {unit}技能
倍率 {0}</x:v>
      </x:c>
      <x:c r="Q45"/>
      <x:c r="R45"/>
      <x:c r="S45" s="33" t="s">
        <x:v>140</x:v>
      </x:c>
      <x:c r="T45" s="33" t="s">
        <x:v>140</x:v>
      </x:c>
    </x:row>
    <x:row r="46">
      <x:c r="A46"/>
      <x:c r="B46" s="1" t="s">
        <x:v>250</x:v>
      </x:c>
      <x:c r="C46" s="1" t="s">
        <x:v>362</x:v>
      </x:c>
      <x:c r="D46" s="1" t="s">
        <x:v>363</x:v>
      </x:c>
      <x:c r="E46" s="1" t="s">
        <x:v>403</x:v>
      </x:c>
      <x:c r="F46" s="1" t="s">
        <x:v>365</x:v>
      </x:c>
      <x:c r="G46" s="1" t="s">
        <x:v>366</x:v>
      </x:c>
      <x:c r="H46"/>
      <x:c r="I46" s="1" t="s">
        <x:v>382</x:v>
      </x:c>
      <x:c r="J46" s="1" t="s">
        <x:v>403</x:v>
      </x:c>
      <x:c r="K46" s="1">
        <x:v>3</x:v>
      </x:c>
      <x:c r="L46" s="1">
        <x:v>0</x:v>
      </x:c>
      <x:c r="M46"/>
      <x:c r="N46" s="1" t="s">
        <x:v>25</x:v>
      </x:c>
      <x:c r="O46" s="1" t="s">
        <x:v>25</x:v>
      </x:c>
      <x:c r="P46" s="1" t="str">
        <x:v>甜蜜传递 {count} 个食物</x:v>
      </x:c>
      <x:c r="Q46" t="s">
        <x:v>383</x:v>
      </x:c>
      <x:c r="R46"/>
      <x:c r="S46" s="33" t="s">
        <x:v>140</x:v>
      </x:c>
      <x:c r="T46" s="33" t="s">
        <x:v>403</x:v>
      </x:c>
    </x:row>
    <x:row r="47">
      <x:c r="A47"/>
      <x:c r="B47" s="1" t="s">
        <x:v>252</x:v>
      </x:c>
      <x:c r="C47" s="1" t="s">
        <x:v>362</x:v>
      </x:c>
      <x:c r="D47" s="1" t="s">
        <x:v>363</x:v>
      </x:c>
      <x:c r="E47" s="1" t="s">
        <x:v>388</x:v>
      </x:c>
      <x:c r="F47" s="1" t="s">
        <x:v>365</x:v>
      </x:c>
      <x:c r="G47" s="1" t="s">
        <x:v>366</x:v>
      </x:c>
      <x:c r="H47"/>
      <x:c r="I47" s="1" t="s">
        <x:v>324</x:v>
      </x:c>
      <x:c r="J47" s="1" t="s">
        <x:v>388</x:v>
      </x:c>
      <x:c r="K47" s="1">
        <x:v>0</x:v>
      </x:c>
      <x:c r="L47" s="1">
        <x:v>2</x:v>
      </x:c>
      <x:c r="M47" t="s">
        <x:v>391</x:v>
      </x:c>
      <x:c r="N47" s="1" t="s">
        <x:v>25</x:v>
      </x:c>
      <x:c r="O47" s="1" t="s">
        <x:v>25</x:v>
      </x:c>
      <x:c r="P47" s="1" t="str">
        <x:v>{ascope}{cat}类食物倍率 ×{0}</x:v>
      </x:c>
      <x:c r="Q47"/>
      <x:c r="R47"/>
      <x:c r="S47" s="33" t="s">
        <x:v>143</x:v>
      </x:c>
      <x:c r="T47" s="33" t="s">
        <x:v>388</x:v>
      </x:c>
    </x:row>
    <x:row r="48" ht="17">
      <x:c r="A48"/>
      <x:c r="B48" s="1" t="s">
        <x:v>253</x:v>
      </x:c>
      <x:c r="C48" s="1" t="s">
        <x:v>362</x:v>
      </x:c>
      <x:c r="D48" s="1" t="s">
        <x:v>404</x:v>
      </x:c>
      <x:c r="E48" s="1" t="s">
        <x:v>387</x:v>
      </x:c>
      <x:c r="F48" s="1" t="s">
        <x:v>365</x:v>
      </x:c>
      <x:c r="G48" s="1" t="s">
        <x:v>392</x:v>
      </x:c>
      <x:c r="H48" t="s">
        <x:v>405</x:v>
      </x:c>
      <x:c r="I48" s="1" t="s">
        <x:v>376</x:v>
      </x:c>
      <x:c r="J48" s="1" t="s">
        <x:v>377</x:v>
      </x:c>
      <x:c r="K48" s="1">
        <x:v>0</x:v>
      </x:c>
      <x:c r="L48" s="1">
        <x:v>0</x:v>
      </x:c>
      <x:c r="M48" t="s">
        <x:v>406</x:v>
      </x:c>
      <x:c r="N48" s="1" t="s">
        <x:v>25</x:v>
      </x:c>
      <x:c r="O48" s="1" t="s">
        <x:v>368</x:v>
      </x:c>
      <x:c r="P48" s="19" t="str">
        <x:v>{cat}数量达 {tiers} 时
欢乐蛋糕 {tiervals} 层</x:v>
      </x:c>
      <x:c r="Q48" t="s">
        <x:v>378</x:v>
      </x:c>
      <x:c r="R48"/>
      <x:c r="S48" s="33" t="s">
        <x:v>143</x:v>
      </x:c>
      <x:c r="T48" s="33" t="s">
        <x:v>379</x:v>
      </x:c>
    </x:row>
    <x:row r="49" ht="17">
      <x:c r="A49"/>
      <x:c r="B49" s="1" t="s">
        <x:v>255</x:v>
      </x:c>
      <x:c r="C49" s="1" t="s">
        <x:v>362</x:v>
      </x:c>
      <x:c r="D49" s="1" t="s">
        <x:v>363</x:v>
      </x:c>
      <x:c r="E49" s="1" t="s">
        <x:v>364</x:v>
      </x:c>
      <x:c r="F49" s="1" t="s">
        <x:v>365</x:v>
      </x:c>
      <x:c r="G49" s="1" t="s">
        <x:v>366</x:v>
      </x:c>
      <x:c r="H49"/>
      <x:c r="I49" s="1" t="s">
        <x:v>324</x:v>
      </x:c>
      <x:c r="J49" s="1" t="s">
        <x:v>367</x:v>
      </x:c>
      <x:c r="K49" s="1">
        <x:v>0</x:v>
      </x:c>
      <x:c r="L49" s="1">
        <x:v>2.5</x:v>
      </x:c>
      <x:c r="M49"/>
      <x:c r="N49" s="1" t="s">
        <x:v>25</x:v>
      </x:c>
      <x:c r="O49" s="1" t="s">
        <x:v>25</x:v>
      </x:c>
      <x:c r="P49" s="19" t="str">
        <x:v>{ascope}倍率 ×{0}</x:v>
      </x:c>
      <x:c r="Q49"/>
      <x:c r="R49"/>
      <x:c r="S49" s="33" t="s">
        <x:v>146</x:v>
      </x:c>
      <x:c r="T49" s="33" t="s">
        <x:v>367</x:v>
      </x:c>
    </x:row>
    <x:row r="50" ht="17">
      <x:c r="A50"/>
      <x:c r="B50" s="1" t="s">
        <x:v>256</x:v>
      </x:c>
      <x:c r="C50" s="1" t="s">
        <x:v>362</x:v>
      </x:c>
      <x:c r="D50" s="1" t="s">
        <x:v>363</x:v>
      </x:c>
      <x:c r="E50" s="1" t="s">
        <x:v>381</x:v>
      </x:c>
      <x:c r="F50" s="1" t="s">
        <x:v>365</x:v>
      </x:c>
      <x:c r="G50" s="1" t="s">
        <x:v>366</x:v>
      </x:c>
      <x:c r="H50"/>
      <x:c r="I50" s="1" t="s">
        <x:v>382</x:v>
      </x:c>
      <x:c r="J50" s="1" t="s">
        <x:v>381</x:v>
      </x:c>
      <x:c r="K50" s="1">
        <x:v>1</x:v>
      </x:c>
      <x:c r="L50" s="1">
        <x:v>0</x:v>
      </x:c>
      <x:c r="M50"/>
      <x:c r="N50" s="1" t="s">
        <x:v>25</x:v>
      </x:c>
      <x:c r="O50" s="1" t="s">
        <x:v>25</x:v>
      </x:c>
      <x:c r="P50" s="19" t="str">
        <x:v>甜蜜传递 {count} 个食物</x:v>
      </x:c>
      <x:c r="Q50" t="s">
        <x:v>383</x:v>
      </x:c>
      <x:c r="R50"/>
      <x:c r="S50" s="33" t="s">
        <x:v>146</x:v>
      </x:c>
      <x:c r="T50" s="33" t="s">
        <x:v>381</x:v>
      </x:c>
    </x:row>
    <x:row r="51" ht="17">
      <x:c r="A51"/>
      <x:c r="B51" s="1" t="s">
        <x:v>257</x:v>
      </x:c>
      <x:c r="C51" s="1" t="s">
        <x:v>362</x:v>
      </x:c>
      <x:c r="D51" s="1" t="s">
        <x:v>380</x:v>
      </x:c>
      <x:c r="E51" s="1" t="s">
        <x:v>373</x:v>
      </x:c>
      <x:c r="F51" s="1" t="s">
        <x:v>365</x:v>
      </x:c>
      <x:c r="G51" s="1" t="s">
        <x:v>375</x:v>
      </x:c>
      <x:c r="H51"/>
      <x:c r="I51" s="1" t="s">
        <x:v>324</x:v>
      </x:c>
      <x:c r="J51" s="1" t="s">
        <x:v>373</x:v>
      </x:c>
      <x:c r="K51" s="1">
        <x:v>0</x:v>
      </x:c>
      <x:c r="L51" s="1">
        <x:v>1.1</x:v>
      </x:c>
      <x:c r="M51"/>
      <x:c r="N51" s="1" t="s">
        <x:v>25</x:v>
      </x:c>
      <x:c r="O51" s="1" t="s">
        <x:v>25</x:v>
      </x:c>
      <x:c r="P51" s="19" t="str">
        <x:v>{cscope}每有 1 {unit}食物
倍率 ×{0}</x:v>
      </x:c>
      <x:c r="Q51"/>
      <x:c r="R51"/>
      <x:c r="S51" s="33" t="s">
        <x:v>149</x:v>
      </x:c>
      <x:c r="T51" s="33" t="s">
        <x:v>373</x:v>
      </x:c>
    </x:row>
    <x:row r="52" ht="17">
      <x:c r="A52"/>
      <x:c r="B52" s="1" t="s">
        <x:v>259</x:v>
      </x:c>
      <x:c r="C52" s="1" t="s">
        <x:v>362</x:v>
      </x:c>
      <x:c r="D52" s="1" t="s">
        <x:v>363</x:v>
      </x:c>
      <x:c r="E52" s="1" t="s">
        <x:v>388</x:v>
      </x:c>
      <x:c r="F52" s="1" t="s">
        <x:v>365</x:v>
      </x:c>
      <x:c r="G52" s="1" t="s">
        <x:v>366</x:v>
      </x:c>
      <x:c r="H52"/>
      <x:c r="I52" s="1" t="s">
        <x:v>324</x:v>
      </x:c>
      <x:c r="J52" s="1" t="s">
        <x:v>388</x:v>
      </x:c>
      <x:c r="K52" s="1">
        <x:v>0</x:v>
      </x:c>
      <x:c r="L52" s="1">
        <x:v>2</x:v>
      </x:c>
      <x:c r="M52" t="s">
        <x:v>391</x:v>
      </x:c>
      <x:c r="N52" s="1" t="s">
        <x:v>25</x:v>
      </x:c>
      <x:c r="O52" s="1" t="s">
        <x:v>25</x:v>
      </x:c>
      <x:c r="P52" s="19" t="str">
        <x:v>{ascope}{cat}类食物倍率 ×{0}</x:v>
      </x:c>
      <x:c r="Q52"/>
      <x:c r="R52"/>
      <x:c r="S52" s="33" t="s">
        <x:v>152</x:v>
      </x:c>
      <x:c r="T52" s="33" t="s">
        <x:v>388</x:v>
      </x:c>
    </x:row>
    <x:row r="53" ht="17">
      <x:c r="A53"/>
      <x:c r="B53" s="1" t="s">
        <x:v>260</x:v>
      </x:c>
      <x:c r="C53" s="1" t="s">
        <x:v>362</x:v>
      </x:c>
      <x:c r="D53" s="1" t="s">
        <x:v>407</x:v>
      </x:c>
      <x:c r="E53" s="1" t="s">
        <x:v>387</x:v>
      </x:c>
      <x:c r="F53" s="1" t="s">
        <x:v>365</x:v>
      </x:c>
      <x:c r="G53" s="1" t="s">
        <x:v>375</x:v>
      </x:c>
      <x:c r="H53" t="s">
        <x:v>408</x:v>
      </x:c>
      <x:c r="I53" s="1" t="s">
        <x:v>376</x:v>
      </x:c>
      <x:c r="J53" s="1" t="s">
        <x:v>377</x:v>
      </x:c>
      <x:c r="K53" s="1">
        <x:v>0</x:v>
      </x:c>
      <x:c r="L53" s="1">
        <x:v>1</x:v>
      </x:c>
      <x:c r="N53" s="1" t="s">
        <x:v>25</x:v>
      </x:c>
      <x:c r="O53" s="1" t="s">
        <x:v>368</x:v>
      </x:c>
      <x:c r="P53" s="19" t="str">
        <x:v>将餐桌格子总数加至欢乐蛋糕层数</x:v>
      </x:c>
      <x:c r="Q53" t="s">
        <x:v>378</x:v>
      </x:c>
      <x:c r="R53"/>
      <x:c r="S53" s="33" t="s">
        <x:v>152</x:v>
      </x:c>
      <x:c r="T53" s="33" t="s">
        <x:v>379</x:v>
      </x:c>
    </x:row>
    <x:row r="54">
      <x:c r="A54"/>
      <x:c r="B54" s="1" t="s">
        <x:v>261</x:v>
      </x:c>
      <x:c r="C54" s="1" t="s">
        <x:v>362</x:v>
      </x:c>
      <x:c r="D54" s="1" t="s">
        <x:v>363</x:v>
      </x:c>
      <x:c r="E54" s="1" t="s">
        <x:v>364</x:v>
      </x:c>
      <x:c r="F54" s="1" t="s">
        <x:v>365</x:v>
      </x:c>
      <x:c r="G54" s="1" t="s">
        <x:v>366</x:v>
      </x:c>
      <x:c r="H54"/>
      <x:c r="I54" s="1" t="s">
        <x:v>389</x:v>
      </x:c>
      <x:c r="J54" s="1" t="s">
        <x:v>387</x:v>
      </x:c>
      <x:c r="K54" s="1">
        <x:v>0</x:v>
      </x:c>
      <x:c r="L54" s="1">
        <x:v>1</x:v>
      </x:c>
      <x:c r="M54" t="s">
        <x:v>409</x:v>
      </x:c>
      <x:c r="N54" s="1" t="s">
        <x:v>368</x:v>
      </x:c>
      <x:c r="O54" s="1" t="s">
        <x:v>368</x:v>
      </x:c>
      <x:c r="P54" s="1" t="str">
        <x:v>{ascope}食物额外视为 N 个食物
（N 为各自所占格子数）</x:v>
      </x:c>
      <x:c r="R54"/>
      <x:c r="S54" s="33" t="s">
        <x:v>155</x:v>
      </x:c>
      <x:c r="T54" s="33" t="s">
        <x:v>387</x:v>
      </x:c>
    </x:row>
    <x:row r="55" ht="17">
      <x:c r="A55"/>
      <x:c r="B55" s="1" t="s">
        <x:v>262</x:v>
      </x:c>
      <x:c r="C55" s="1" t="s">
        <x:v>362</x:v>
      </x:c>
      <x:c r="D55" s="1" t="s">
        <x:v>363</x:v>
      </x:c>
      <x:c r="E55" s="1" t="s">
        <x:v>410</x:v>
      </x:c>
      <x:c r="F55" s="1" t="s">
        <x:v>365</x:v>
      </x:c>
      <x:c r="G55" s="1" t="s">
        <x:v>366</x:v>
      </x:c>
      <x:c r="H55"/>
      <x:c r="I55" s="1" t="s">
        <x:v>399</x:v>
      </x:c>
      <x:c r="J55" s="1" t="s">
        <x:v>410</x:v>
      </x:c>
      <x:c r="K55" s="1">
        <x:v>0</x:v>
      </x:c>
      <x:c r="L55" s="1">
        <x:v>2</x:v>
      </x:c>
      <x:c r="M55" t="s">
        <x:v>411</x:v>
      </x:c>
      <x:c r="N55" s="1" t="s">
        <x:v>25</x:v>
      </x:c>
      <x:c r="O55" s="1" t="s">
        <x:v>25</x:v>
      </x:c>
      <x:c r="P55" s="19" t="str">
        <x:v>{ascope}食物发动甜蜜传递时
额外选择 {0} 个目标</x:v>
      </x:c>
      <x:c r="Q55" t="s">
        <x:v>383</x:v>
      </x:c>
      <x:c r="R55"/>
      <x:c r="S55" s="33" t="s">
        <x:v>158</x:v>
      </x:c>
      <x:c r="T55" s="33" t="s">
        <x:v>410</x:v>
      </x:c>
    </x:row>
    <x:row r="56">
      <x:c r="A56"/>
      <x:c r="B56" s="1" t="s">
        <x:v>264</x:v>
      </x:c>
      <x:c r="C56" s="1" t="s">
        <x:v>362</x:v>
      </x:c>
      <x:c r="D56" s="1" t="s">
        <x:v>374</x:v>
      </x:c>
      <x:c r="E56" s="1" t="s">
        <x:v>364</x:v>
      </x:c>
      <x:c r="F56" s="1" t="s">
        <x:v>365</x:v>
      </x:c>
      <x:c r="G56" s="1" t="s">
        <x:v>375</x:v>
      </x:c>
      <x:c r="H56"/>
      <x:c r="I56" s="1" t="s">
        <x:v>324</x:v>
      </x:c>
      <x:c r="J56" s="1" t="s">
        <x:v>364</x:v>
      </x:c>
      <x:c r="K56" s="1">
        <x:v>0</x:v>
      </x:c>
      <x:c r="L56" s="1">
        <x:v>2</x:v>
      </x:c>
      <x:c r="M56"/>
      <x:c r="N56" s="1" t="s">
        <x:v>25</x:v>
      </x:c>
      <x:c r="O56" s="1" t="s">
        <x:v>25</x:v>
      </x:c>
      <x:c r="P56" s="1" t="str">
        <x:v>{cscope}每有 1 {unit}技能
倍率 ×{0}</x:v>
      </x:c>
      <x:c r="Q56"/>
      <x:c r="R56"/>
      <x:c r="S56" s="33" t="s">
        <x:v>161</x:v>
      </x:c>
      <x:c r="T56" s="33" t="s">
        <x:v>161</x:v>
      </x:c>
    </x:row>
    <x:row r="57" ht="17">
      <x:c r="A57"/>
      <x:c r="B57" s="1" t="s">
        <x:v>265</x:v>
      </x:c>
      <x:c r="C57" s="1" t="s">
        <x:v>362</x:v>
      </x:c>
      <x:c r="D57" s="1" t="s">
        <x:v>363</x:v>
      </x:c>
      <x:c r="E57" s="1" t="s">
        <x:v>387</x:v>
      </x:c>
      <x:c r="F57" s="1" t="s">
        <x:v>365</x:v>
      </x:c>
      <x:c r="G57" s="1" t="s">
        <x:v>366</x:v>
      </x:c>
      <x:c r="H57"/>
      <x:c r="I57" s="1" t="s">
        <x:v>399</x:v>
      </x:c>
      <x:c r="J57" s="1" t="s">
        <x:v>387</x:v>
      </x:c>
      <x:c r="K57" s="1">
        <x:v>0</x:v>
      </x:c>
      <x:c r="L57" s="1">
        <x:v>0</x:v>
      </x:c>
      <x:c r="M57" t="s">
        <x:v>412</x:v>
      </x:c>
      <x:c r="N57" s="1" t="s">
        <x:v>25</x:v>
      </x:c>
      <x:c r="O57" s="1" t="s">
        <x:v>25</x:v>
      </x:c>
      <x:c r="P57" s="19" t="str">
        <x:v>甜蜜传递至同行列食物</x:v>
      </x:c>
      <x:c r="Q57" t="s">
        <x:v>383</x:v>
      </x:c>
      <x:c r="R57"/>
      <x:c r="S57" s="33" t="s">
        <x:v>161</x:v>
      </x:c>
      <x:c r="T57" s="33" t="s">
        <x:v>387</x:v>
      </x:c>
    </x:row>
    <x:row r="58">
      <x:c r="A58"/>
      <x:c r="B58" s="1" t="s">
        <x:v>266</x:v>
      </x:c>
      <x:c r="C58" s="1" t="s">
        <x:v>362</x:v>
      </x:c>
      <x:c r="D58" s="1" t="s">
        <x:v>380</x:v>
      </x:c>
      <x:c r="E58" s="1" t="s">
        <x:v>387</x:v>
      </x:c>
      <x:c r="F58" s="1" t="s">
        <x:v>365</x:v>
      </x:c>
      <x:c r="G58" s="1" t="s">
        <x:v>375</x:v>
      </x:c>
      <x:c r="H58"/>
      <x:c r="I58" s="1" t="s">
        <x:v>321</x:v>
      </x:c>
      <x:c r="J58" s="1" t="s">
        <x:v>387</x:v>
      </x:c>
      <x:c r="K58" s="1">
        <x:v>0</x:v>
      </x:c>
      <x:c r="L58" s="1">
        <x:v>1</x:v>
      </x:c>
      <x:c r="M58"/>
      <x:c r="N58" s="1" t="s">
        <x:v>25</x:v>
      </x:c>
      <x:c r="O58" s="1" t="s">
        <x:v>368</x:v>
      </x:c>
      <x:c r="P58" s="1" t="str">
        <x:v>{ascope}食物把食物个数加入倍率</x:v>
      </x:c>
      <x:c r="Q58"/>
      <x:c r="R58"/>
      <x:c r="S58" s="33" t="s">
        <x:v>164</x:v>
      </x:c>
      <x:c r="T58" s="33" t="s">
        <x:v>387</x:v>
      </x:c>
    </x:row>
    <x:row r="59">
      <x:c r="A59"/>
      <x:c r="B59" s="1" t="s">
        <x:v>267</x:v>
      </x:c>
      <x:c r="C59" s="1" t="s">
        <x:v>362</x:v>
      </x:c>
      <x:c r="D59" s="1" t="s">
        <x:v>363</x:v>
      </x:c>
      <x:c r="E59" s="1" t="s">
        <x:v>364</x:v>
      </x:c>
      <x:c r="F59" s="1" t="s">
        <x:v>365</x:v>
      </x:c>
      <x:c r="G59" s="1" t="s">
        <x:v>366</x:v>
      </x:c>
      <x:c r="H59"/>
      <x:c r="I59" s="1" t="s">
        <x:v>413</x:v>
      </x:c>
      <x:c r="J59" s="1" t="s">
        <x:v>364</x:v>
      </x:c>
      <x:c r="K59" s="1">
        <x:v>0</x:v>
      </x:c>
      <x:c r="L59" s="1">
        <x:v>3</x:v>
      </x:c>
      <x:c r="M59" t="s">
        <x:v>391</x:v>
      </x:c>
      <x:c r="N59" s="1" t="s">
        <x:v>25</x:v>
      </x:c>
      <x:c r="O59" s="1" t="s">
        <x:v>25</x:v>
      </x:c>
      <x:c r="P59" s="1" t="str">
        <x:v>{ascope}获得 {0} 种不同的{cat}技能</x:v>
      </x:c>
      <x:c r="Q59"/>
      <x:c r="R59"/>
      <x:c r="S59" s="33" t="s">
        <x:v>167</x:v>
      </x:c>
      <x:c r="T59" s="33" t="s">
        <x:v>167</x:v>
      </x:c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R61"/>
      <x:c r="S61"/>
      <x:c r="T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N68"/>
      <x:c r="O68"/>
      <x:c r="P68"/>
      <x:c r="Q68"/>
      <x:c r="R68"/>
      <x:c r="S68"/>
      <x:c r="T68"/>
    </x:row>
    <x:row r="69">
      <x:c r="A69"/>
      <x:c r="B69"/>
      <x:c r="C69"/>
      <x:c r="D69"/>
      <x:c r="E69"/>
      <x:c r="F69"/>
      <x:c r="G69"/>
      <x:c r="I69"/>
      <x:c r="J69"/>
      <x:c r="K69"/>
      <x:c r="L69"/>
      <x:c r="M69"/>
      <x:c r="N69"/>
      <x:c r="O69"/>
      <x:c r="P69"/>
      <x:c r="R69"/>
      <x:c r="S69"/>
      <x:c r="T69"/>
    </x:row>
    <x:row r="70">
      <x:c r="A70"/>
      <x:c r="B70"/>
      <x:c r="C70"/>
      <x:c r="D70"/>
      <x:c r="E70"/>
      <x:c r="F70"/>
      <x:c r="G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R71"/>
      <x:c r="S71"/>
      <x:c r="T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 ht="34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N73"/>
      <x:c r="O73"/>
      <x:c r="P73"/>
      <x:c r="Q73"/>
      <x:c r="R73"/>
      <x:c r="S73"/>
      <x:c r="T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>
      <x:c r="S75"/>
      <x:c r="T75"/>
    </x:row>
    <x:row r="76">
      <x:c r="P76"/>
      <x:c r="S76"/>
      <x:c r="T76"/>
    </x:row>
    <x:row r="77">
      <x:c r="P77"/>
      <x:c r="S77"/>
      <x:c r="T77"/>
    </x:row>
    <x:row r="78">
      <x:c r="S78"/>
      <x:c r="T78"/>
    </x:row>
    <x:row r="79">
      <x:c r="S79"/>
      <x:c r="T79"/>
    </x:row>
    <x:row r="80">
      <x:c r="M80"/>
      <x:c r="P80"/>
      <x:c r="S80"/>
      <x:c r="T8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9" max="9" width="11.923076629638672" customWidth="1"/>
    <x:col min="10" max="10" width="11.230769157409668" customWidth="1"/>
    <x:col min="11" max="11" width="12.769230842590332" customWidth="1"/>
    <x:col min="15" max="16" width="12.923076629638672" customWidth="0"/>
    <x:col min="17" max="17" width="13.923076629638672" customWidth="1"/>
  </x:cols>
  <x:sheetData>
    <x:row r="4" ht="17.600000381469727">
      <x:c r="C4" s="1"/>
      <x:c r="D4" s="10" t="s">
        <x:v>414</x:v>
      </x:c>
      <x:c r="E4" s="10" t="s">
        <x:v>415</x:v>
      </x:c>
      <x:c r="F4" s="10" t="s">
        <x:v>416</x:v>
      </x:c>
      <x:c r="G4" s="10" t="s">
        <x:v>417</x:v>
      </x:c>
      <x:c r="P4" t="s">
        <x:v>418</x:v>
      </x:c>
      <x:c r="Q4" t="s">
        <x:v>419</x:v>
      </x:c>
      <x:c r="R4" t="s">
        <x:v>420</x:v>
      </x:c>
      <x:c r="S4" t="s">
        <x:v>421</x:v>
      </x:c>
      <x:c r="T4" t="s">
        <x:v>422</x:v>
      </x:c>
    </x:row>
    <x:row r="5" ht="34">
      <x:c r="C5" s="23" t="s">
        <x:v>423</x:v>
      </x:c>
      <x:c r="D5" s="18" t="s">
        <x:v>24</x:v>
      </x:c>
      <x:c r="E5" s="18" t="s">
        <x:v>27</x:v>
      </x:c>
      <x:c r="F5" s="18">
        <x:v>20</x:v>
      </x:c>
      <x:c r="G5" s="18" t="s">
        <x:v>424</x:v>
      </x:c>
      <x:c r="P5">
        <x:v>2</x:v>
      </x:c>
      <x:c r="Q5">
        <x:v>2.25</x:v>
      </x:c>
    </x:row>
    <x:row r="6" ht="34">
      <x:c r="C6" s="23"/>
      <x:c r="D6" s="18" t="s">
        <x:v>29</x:v>
      </x:c>
      <x:c r="E6" s="8" t="s">
        <x:v>27</x:v>
      </x:c>
      <x:c r="F6" s="8">
        <x:v>20</x:v>
      </x:c>
      <x:c r="G6" s="20" t="s">
        <x:v>425</x:v>
      </x:c>
      <x:c r="P6">
        <x:v>2</x:v>
      </x:c>
      <x:c r="Q6">
        <x:v>2.25</x:v>
      </x:c>
      <x:c r="R6">
        <x:v>2</x:v>
      </x:c>
    </x:row>
    <x:row r="7" ht="34">
      <x:c r="C7" s="23"/>
      <x:c r="D7" s="18" t="s">
        <x:v>32</x:v>
      </x:c>
      <x:c r="E7" s="20" t="s">
        <x:v>34</x:v>
      </x:c>
      <x:c r="F7" s="20">
        <x:v>20</x:v>
      </x:c>
      <x:c r="G7" s="20" t="s">
        <x:v>426</x:v>
      </x:c>
      <x:c r="P7">
        <x:v>2</x:v>
      </x:c>
      <x:c r="Q7">
        <x:v>2.25</x:v>
      </x:c>
      <x:c r="R7">
        <x:v>2</x:v>
      </x:c>
    </x:row>
    <x:row r="8" ht="17">
      <x:c r="C8" s="23"/>
      <x:c r="E8" s="20" t="s">
        <x:v>34</x:v>
      </x:c>
      <x:c r="F8" s="20"/>
      <x:c r="G8" s="20"/>
    </x:row>
    <x:row r="9" ht="34">
      <x:c r="C9" s="23"/>
      <x:c r="D9" s="18" t="s">
        <x:v>36</x:v>
      </x:c>
      <x:c r="E9" s="20" t="s">
        <x:v>34</x:v>
      </x:c>
      <x:c r="F9" s="20">
        <x:v>20</x:v>
      </x:c>
      <x:c r="G9" s="20" t="s">
        <x:v>427</x:v>
      </x:c>
      <x:c r="P9">
        <x:v>2</x:v>
      </x:c>
      <x:c r="Q9">
        <x:v>2.25</x:v>
      </x:c>
      <x:c r="R9">
        <x:v>2</x:v>
      </x:c>
    </x:row>
    <x:row r="10">
      <x:c r="C10" s="23"/>
      <x:c r="E10" s="8" t="s">
        <x:v>34</x:v>
      </x:c>
      <x:c r="G10" s="20"/>
      <x:c r="I10" t="s">
        <x:v>428</x:v>
      </x:c>
      <x:c r="J10" t="s">
        <x:v>429</x:v>
      </x:c>
      <x:c r="K10" t="s">
        <x:v>430</x:v>
      </x:c>
    </x:row>
    <x:row r="11" ht="34">
      <x:c r="C11" s="24" t="s">
        <x:v>431</x:v>
      </x:c>
      <x:c r="D11" s="10" t="s">
        <x:v>39</x:v>
      </x:c>
      <x:c r="E11" s="8" t="s">
        <x:v>27</x:v>
      </x:c>
      <x:c r="F11" s="8">
        <x:v>20</x:v>
      </x:c>
      <x:c r="G11" s="17" t="s">
        <x:v>432</x:v>
      </x:c>
      <x:c r="I11" t="s">
        <x:v>433</x:v>
      </x:c>
      <x:c r="J11" t="s">
        <x:v>420</x:v>
      </x:c>
      <x:c r="K11" t="s">
        <x:v>434</x:v>
      </x:c>
      <x:c r="P11">
        <x:v>2</x:v>
      </x:c>
      <x:c r="Q11">
        <x:v>8</x:v>
      </x:c>
      <x:c r="R11">
        <x:v>5</x:v>
      </x:c>
    </x:row>
    <x:row r="12" ht="34">
      <x:c r="C12" s="24"/>
      <x:c r="D12" s="8" t="s">
        <x:v>42</x:v>
      </x:c>
      <x:c r="E12" s="8" t="s">
        <x:v>27</x:v>
      </x:c>
      <x:c r="F12" s="20">
        <x:v>20</x:v>
      </x:c>
      <x:c r="G12" s="20" t="s">
        <x:v>435</x:v>
      </x:c>
      <x:c r="I12" t="s">
        <x:v>436</x:v>
      </x:c>
      <x:c r="J12" t="s">
        <x:v>437</x:v>
      </x:c>
      <x:c r="P12">
        <x:v>2</x:v>
      </x:c>
      <x:c r="T12">
        <x:v>5</x:v>
      </x:c>
    </x:row>
    <x:row r="13" ht="34">
      <x:c r="C13" s="24"/>
      <x:c r="D13" s="8" t="s">
        <x:v>46</x:v>
      </x:c>
      <x:c r="E13" s="8" t="s">
        <x:v>27</x:v>
      </x:c>
      <x:c r="F13" s="8">
        <x:v>20</x:v>
      </x:c>
      <x:c r="G13" s="20" t="s">
        <x:v>438</x:v>
      </x:c>
      <x:c r="I13" t="s">
        <x:v>439</x:v>
      </x:c>
      <x:c r="J13" t="s">
        <x:v>420</x:v>
      </x:c>
      <x:c r="K13" t="s">
        <x:v>440</x:v>
      </x:c>
      <x:c r="P13">
        <x:v>2</x:v>
      </x:c>
      <x:c r="R13">
        <x:v>5</x:v>
      </x:c>
    </x:row>
    <x:row r="14" ht="51">
      <x:c r="C14" s="24"/>
      <x:c r="D14" s="8" t="s">
        <x:v>49</x:v>
      </x:c>
      <x:c r="E14" s="8" t="s">
        <x:v>27</x:v>
      </x:c>
      <x:c r="F14" s="20">
        <x:v>20</x:v>
      </x:c>
      <x:c r="G14" s="20" t="s">
        <x:v>441</x:v>
      </x:c>
      <x:c r="I14" t="s">
        <x:v>442</x:v>
      </x:c>
      <x:c r="J14" t="s">
        <x:v>443</x:v>
      </x:c>
      <x:c r="K14" t="s">
        <x:v>444</x:v>
      </x:c>
      <x:c r="P14">
        <x:v>2</x:v>
      </x:c>
    </x:row>
    <x:row r="15" ht="51">
      <x:c r="C15" s="24"/>
      <x:c r="D15" s="8" t="s">
        <x:v>52</x:v>
      </x:c>
      <x:c r="E15" s="8" t="s">
        <x:v>27</x:v>
      </x:c>
      <x:c r="F15" s="8">
        <x:v>20</x:v>
      </x:c>
      <x:c r="G15" s="20" t="s">
        <x:v>445</x:v>
      </x:c>
      <x:c r="I15" t="s">
        <x:v>446</x:v>
      </x:c>
      <x:c r="J15" t="s">
        <x:v>447</x:v>
      </x:c>
      <x:c r="K15" t="s">
        <x:v>434</x:v>
      </x:c>
      <x:c r="P15">
        <x:v>2</x:v>
      </x:c>
      <x:c r="Q15">
        <x:v>3</x:v>
      </x:c>
      <x:c r="T15">
        <x:v>3</x:v>
      </x:c>
    </x:row>
    <x:row r="16" ht="34">
      <x:c r="C16" s="24"/>
      <x:c r="D16" s="8" t="s">
        <x:v>56</x:v>
      </x:c>
      <x:c r="E16" s="8" t="s">
        <x:v>27</x:v>
      </x:c>
      <x:c r="F16" s="20">
        <x:v>20</x:v>
      </x:c>
      <x:c r="G16" s="20" t="s">
        <x:v>448</x:v>
      </x:c>
      <x:c r="I16" t="s">
        <x:v>449</x:v>
      </x:c>
      <x:c r="J16" t="s">
        <x:v>437</x:v>
      </x:c>
      <x:c r="K16" t="s">
        <x:v>440</x:v>
      </x:c>
      <x:c r="P16">
        <x:v>2</x:v>
      </x:c>
    </x:row>
    <x:row r="17" ht="51">
      <x:c r="C17" s="24"/>
      <x:c r="D17" s="8" t="s">
        <x:v>60</x:v>
      </x:c>
      <x:c r="E17" s="20" t="s">
        <x:v>34</x:v>
      </x:c>
      <x:c r="F17" s="8">
        <x:v>20</x:v>
      </x:c>
      <x:c r="G17" s="20" t="s">
        <x:v>450</x:v>
      </x:c>
      <x:c r="I17" t="s">
        <x:v>442</x:v>
      </x:c>
      <x:c r="J17" t="s">
        <x:v>420</x:v>
      </x:c>
      <x:c r="K17" t="s">
        <x:v>451</x:v>
      </x:c>
      <x:c r="P17">
        <x:v>2</x:v>
      </x:c>
      <x:c r="R17">
        <x:v>5</x:v>
      </x:c>
    </x:row>
    <x:row r="18" ht="17">
      <x:c r="C18" s="24"/>
      <x:c r="E18" s="20" t="s">
        <x:v>34</x:v>
      </x:c>
      <x:c r="F18" s="20"/>
      <x:c r="G18" s="20"/>
    </x:row>
    <x:row r="19" ht="51">
      <x:c r="C19" s="24"/>
      <x:c r="D19" s="8" t="s">
        <x:v>65</x:v>
      </x:c>
      <x:c r="E19" s="20" t="s">
        <x:v>34</x:v>
      </x:c>
      <x:c r="F19" s="8">
        <x:v>20</x:v>
      </x:c>
      <x:c r="G19" s="20" t="s">
        <x:v>452</x:v>
      </x:c>
      <x:c r="I19" t="s">
        <x:v>453</x:v>
      </x:c>
      <x:c r="J19" t="s">
        <x:v>443</x:v>
      </x:c>
      <x:c r="K19" t="s">
        <x:v>434</x:v>
      </x:c>
      <x:c r="P19">
        <x:v>2</x:v>
      </x:c>
    </x:row>
    <x:row r="20" ht="17">
      <x:c r="C20" s="24"/>
      <x:c r="E20" s="20" t="s">
        <x:v>34</x:v>
      </x:c>
      <x:c r="F20" s="20"/>
      <x:c r="G20" s="20"/>
      <x:c r="V20" s="8"/>
      <x:c r="W20" s="8"/>
    </x:row>
    <x:row r="21" ht="51">
      <x:c r="C21" s="24"/>
      <x:c r="D21" s="8" t="s">
        <x:v>69</x:v>
      </x:c>
      <x:c r="E21" s="20" t="s">
        <x:v>34</x:v>
      </x:c>
      <x:c r="F21" s="8">
        <x:v>20</x:v>
      </x:c>
      <x:c r="G21" s="20" t="s">
        <x:v>454</x:v>
      </x:c>
      <x:c r="I21" t="s">
        <x:v>439</x:v>
      </x:c>
      <x:c r="J21" t="s">
        <x:v>420</x:v>
      </x:c>
      <x:c r="K21" t="s">
        <x:v>455</x:v>
      </x:c>
      <x:c r="P21">
        <x:v>2</x:v>
      </x:c>
      <x:c r="V21" s="20"/>
      <x:c r="W21" s="20"/>
    </x:row>
    <x:row r="22" ht="17">
      <x:c r="C22" s="24"/>
      <x:c r="E22" s="20" t="s">
        <x:v>34</x:v>
      </x:c>
      <x:c r="F22" s="20"/>
      <x:c r="V22" s="8"/>
      <x:c r="W22" s="20"/>
    </x:row>
    <x:row r="23" ht="34">
      <x:c r="C23" s="24"/>
      <x:c r="D23" s="8" t="s">
        <x:v>72</x:v>
      </x:c>
      <x:c r="E23" s="20" t="s">
        <x:v>34</x:v>
      </x:c>
      <x:c r="F23" s="8">
        <x:v>20</x:v>
      </x:c>
      <x:c r="G23" s="20" t="s">
        <x:v>456</x:v>
      </x:c>
      <x:c r="I23" t="s">
        <x:v>446</x:v>
      </x:c>
      <x:c r="J23" t="s">
        <x:v>420</x:v>
      </x:c>
      <x:c r="K23" t="s">
        <x:v>457</x:v>
      </x:c>
      <x:c r="P23">
        <x:v>2</x:v>
      </x:c>
      <x:c r="R23">
        <x:v>2.5</x:v>
      </x:c>
      <x:c r="T23">
        <x:v>2.5</x:v>
      </x:c>
      <x:c r="V23" s="20"/>
      <x:c r="W23" s="20"/>
    </x:row>
    <x:row r="24" ht="17">
      <x:c r="C24" s="24"/>
      <x:c r="E24" s="20" t="s">
        <x:v>34</x:v>
      </x:c>
      <x:c r="F24" s="20"/>
      <x:c r="G24" s="20"/>
      <x:c r="V24" s="8"/>
      <x:c r="W24" s="19"/>
    </x:row>
    <x:row r="25" ht="34">
      <x:c r="C25" s="24"/>
      <x:c r="D25" s="8" t="s">
        <x:v>75</x:v>
      </x:c>
      <x:c r="E25" s="20" t="s">
        <x:v>34</x:v>
      </x:c>
      <x:c r="F25" s="8">
        <x:v>20</x:v>
      </x:c>
      <x:c r="G25" s="20" t="s">
        <x:v>458</x:v>
      </x:c>
      <x:c r="I25" t="s">
        <x:v>433</x:v>
      </x:c>
      <x:c r="J25" t="s">
        <x:v>443</x:v>
      </x:c>
      <x:c r="K25" t="s">
        <x:v>459</x:v>
      </x:c>
      <x:c r="P25">
        <x:v>2</x:v>
      </x:c>
      <x:c r="V25" s="8"/>
      <x:c r="W25" s="8"/>
    </x:row>
    <x:row r="26" ht="17">
      <x:c r="C26" s="24"/>
      <x:c r="E26" s="20" t="s">
        <x:v>34</x:v>
      </x:c>
      <x:c r="F26" s="20"/>
      <x:c r="G26" s="20"/>
      <x:c r="V26" s="20"/>
      <x:c r="W26" s="20"/>
    </x:row>
    <x:row r="27" ht="51">
      <x:c r="C27" s="27" t="s">
        <x:v>460</x:v>
      </x:c>
      <x:c r="D27" s="8" t="s">
        <x:v>80</x:v>
      </x:c>
      <x:c r="E27" s="20" t="s">
        <x:v>82</x:v>
      </x:c>
      <x:c r="G27" s="20" t="s">
        <x:v>461</x:v>
      </x:c>
      <x:c r="I27" t="s">
        <x:v>439</x:v>
      </x:c>
      <x:c r="J27" t="s">
        <x:v>443</x:v>
      </x:c>
      <x:c r="K27" t="s">
        <x:v>462</x:v>
      </x:c>
      <x:c r="P27">
        <x:v>3</x:v>
      </x:c>
      <x:c r="Q27">
        <x:v>16</x:v>
      </x:c>
      <x:c r="R27">
        <x:v>10</x:v>
      </x:c>
      <x:c r="S27">
        <x:v>6</x:v>
      </x:c>
      <x:c r="T27">
        <x:v>8</x:v>
      </x:c>
      <x:c r="V27" s="20"/>
      <x:c r="W27" s="20"/>
    </x:row>
    <x:row r="28" ht="34">
      <x:c r="C28" s="28"/>
      <x:c r="D28" s="8" t="s">
        <x:v>86</x:v>
      </x:c>
      <x:c r="E28" s="20" t="s">
        <x:v>82</x:v>
      </x:c>
      <x:c r="F28" s="20"/>
      <x:c r="G28" s="20" t="s">
        <x:v>463</x:v>
      </x:c>
      <x:c r="I28" t="s">
        <x:v>439</x:v>
      </x:c>
      <x:c r="K28" t="s">
        <x:v>434</x:v>
      </x:c>
      <x:c r="V28" s="8"/>
      <x:c r="W28" s="20"/>
    </x:row>
    <x:row r="29" ht="51">
      <x:c r="C29" s="28"/>
      <x:c r="D29" s="8" t="s">
        <x:v>91</x:v>
      </x:c>
      <x:c r="E29" s="8" t="s">
        <x:v>82</x:v>
      </x:c>
      <x:c r="G29" s="20" t="s">
        <x:v>464</x:v>
      </x:c>
      <x:c r="I29" t="s">
        <x:v>442</x:v>
      </x:c>
      <x:c r="J29" t="s">
        <x:v>420</x:v>
      </x:c>
      <x:c r="K29" t="s">
        <x:v>444</x:v>
      </x:c>
      <x:c r="V29" s="8"/>
      <x:c r="W29" s="20"/>
    </x:row>
    <x:row r="30" ht="34">
      <x:c r="C30" s="28"/>
      <x:c r="D30" s="8" t="s">
        <x:v>96</x:v>
      </x:c>
      <x:c r="E30" s="8" t="s">
        <x:v>82</x:v>
      </x:c>
      <x:c r="F30" s="20"/>
      <x:c r="G30" s="20" t="s">
        <x:v>465</x:v>
      </x:c>
      <x:c r="I30" t="s">
        <x:v>446</x:v>
      </x:c>
      <x:c r="J30" t="s">
        <x:v>443</x:v>
      </x:c>
      <x:c r="K30" t="s">
        <x:v>462</x:v>
      </x:c>
      <x:c r="V30" s="20"/>
      <x:c r="W30" s="8"/>
    </x:row>
    <x:row r="31" ht="51">
      <x:c r="C31" s="28"/>
      <x:c r="D31" s="8" t="s">
        <x:v>101</x:v>
      </x:c>
      <x:c r="E31" s="8" t="s">
        <x:v>82</x:v>
      </x:c>
      <x:c r="F31" s="20"/>
      <x:c r="G31" s="20" t="s">
        <x:v>466</x:v>
      </x:c>
      <x:c r="I31" t="s">
        <x:v>446</x:v>
      </x:c>
      <x:c r="J31" t="s">
        <x:v>420</x:v>
      </x:c>
      <x:c r="K31" t="s">
        <x:v>434</x:v>
      </x:c>
      <x:c r="V31" s="20"/>
      <x:c r="W31" s="19"/>
    </x:row>
    <x:row r="32" ht="51">
      <x:c r="C32" s="28"/>
      <x:c r="D32" s="8" t="s">
        <x:v>106</x:v>
      </x:c>
      <x:c r="E32" s="8" t="s">
        <x:v>34</x:v>
      </x:c>
      <x:c r="G32" s="20" t="s">
        <x:v>467</x:v>
      </x:c>
      <x:c r="I32" t="s">
        <x:v>439</x:v>
      </x:c>
      <x:c r="J32" t="s">
        <x:v>420</x:v>
      </x:c>
      <x:c r="K32" t="s">
        <x:v>457</x:v>
      </x:c>
    </x:row>
    <x:row r="33">
      <x:c r="C33" s="28"/>
      <x:c r="E33" s="8" t="s">
        <x:v>34</x:v>
      </x:c>
    </x:row>
    <x:row r="34">
      <x:c r="C34" s="28"/>
      <x:c r="E34" s="8" t="s">
        <x:v>34</x:v>
      </x:c>
      <x:c r="F34" s="20"/>
      <x:c r="G34" s="20"/>
    </x:row>
    <x:row r="35" ht="34">
      <x:c r="C35" s="28"/>
      <x:c r="D35" s="8" t="s">
        <x:v>112</x:v>
      </x:c>
      <x:c r="E35" s="8" t="s">
        <x:v>34</x:v>
      </x:c>
      <x:c r="G35" s="20" t="s">
        <x:v>468</x:v>
      </x:c>
      <x:c r="I35" t="s">
        <x:v>442</x:v>
      </x:c>
      <x:c r="J35" t="s">
        <x:v>421</x:v>
      </x:c>
      <x:c r="K35" t="s">
        <x:v>462</x:v>
      </x:c>
    </x:row>
    <x:row r="36">
      <x:c r="C36" s="28"/>
      <x:c r="E36" s="8" t="s">
        <x:v>34</x:v>
      </x:c>
    </x:row>
    <x:row r="37">
      <x:c r="C37" s="28"/>
      <x:c r="E37" s="8" t="s">
        <x:v>34</x:v>
      </x:c>
      <x:c r="F37" s="20"/>
      <x:c r="G37" s="20"/>
    </x:row>
    <x:row r="38" ht="51">
      <x:c r="C38" s="28"/>
      <x:c r="D38" s="8" t="s">
        <x:v>115</x:v>
      </x:c>
      <x:c r="E38" s="8" t="s">
        <x:v>34</x:v>
      </x:c>
      <x:c r="G38" s="20" t="s">
        <x:v>469</x:v>
      </x:c>
      <x:c r="I38" t="s">
        <x:v>442</x:v>
      </x:c>
      <x:c r="J38" t="s">
        <x:v>443</x:v>
      </x:c>
      <x:c r="K38" t="s">
        <x:v>434</x:v>
      </x:c>
    </x:row>
    <x:row r="39">
      <x:c r="C39" s="28"/>
      <x:c r="E39" s="8" t="s">
        <x:v>34</x:v>
      </x:c>
      <x:c r="F39" s="20"/>
      <x:c r="G39" s="20"/>
    </x:row>
    <x:row r="40" ht="17">
      <x:c r="C40" s="28"/>
      <x:c r="D40" s="20"/>
      <x:c r="E40" s="20" t="s">
        <x:v>34</x:v>
      </x:c>
    </x:row>
    <x:row r="41" ht="34">
      <x:c r="C41" s="28"/>
      <x:c r="D41" s="20" t="s">
        <x:v>118</x:v>
      </x:c>
      <x:c r="E41" s="20" t="s">
        <x:v>34</x:v>
      </x:c>
      <x:c r="F41" s="20"/>
      <x:c r="G41" s="20" t="s">
        <x:v>470</x:v>
      </x:c>
      <x:c r="I41" t="s">
        <x:v>446</x:v>
      </x:c>
      <x:c r="J41" t="s">
        <x:v>437</x:v>
      </x:c>
    </x:row>
    <x:row r="42">
      <x:c r="C42" s="28"/>
      <x:c r="E42" s="8" t="s">
        <x:v>34</x:v>
      </x:c>
    </x:row>
    <x:row r="43" ht="17">
      <x:c r="C43" s="28"/>
      <x:c r="D43" s="20"/>
      <x:c r="E43" s="20" t="s">
        <x:v>34</x:v>
      </x:c>
      <x:c r="F43" s="20"/>
      <x:c r="G43" s="20"/>
    </x:row>
    <x:row r="44" ht="34">
      <x:c r="C44" s="28"/>
      <x:c r="D44" s="8" t="s">
        <x:v>121</x:v>
      </x:c>
      <x:c r="E44" s="1" t="s">
        <x:v>123</x:v>
      </x:c>
      <x:c r="G44" s="20" t="s">
        <x:v>471</x:v>
      </x:c>
      <x:c r="I44" t="s">
        <x:v>433</x:v>
      </x:c>
      <x:c r="J44" t="s">
        <x:v>421</x:v>
      </x:c>
      <x:c r="K44" t="s">
        <x:v>440</x:v>
      </x:c>
    </x:row>
    <x:row r="45">
      <x:c r="C45" s="28"/>
      <x:c r="D45" s="20"/>
      <x:c r="E45" s="1" t="s">
        <x:v>27</x:v>
      </x:c>
      <x:c r="F45" s="20"/>
      <x:c r="G45" s="20"/>
    </x:row>
    <x:row r="46" ht="34">
      <x:c r="C46" s="29" t="s">
        <x:v>472</x:v>
      </x:c>
      <x:c r="D46" s="15" t="s">
        <x:v>125</x:v>
      </x:c>
      <x:c r="E46" s="8" t="s">
        <x:v>27</x:v>
      </x:c>
      <x:c r="F46" s="8">
        <x:v>40</x:v>
      </x:c>
      <x:c r="G46" s="20" t="s">
        <x:v>473</x:v>
      </x:c>
      <x:c r="I46" t="s">
        <x:v>446</x:v>
      </x:c>
      <x:c r="P46">
        <x:v>4</x:v>
      </x:c>
      <x:c r="Q46">
        <x:v>25</x:v>
      </x:c>
      <x:c r="R46">
        <x:v>16</x:v>
      </x:c>
      <x:c r="S46">
        <x:v>10</x:v>
      </x:c>
    </x:row>
    <x:row r="47">
      <x:c r="C47" s="29"/>
      <x:c r="E47" s="8" t="s">
        <x:v>27</x:v>
      </x:c>
    </x:row>
    <x:row r="48" ht="34">
      <x:c r="C48" s="29"/>
      <x:c r="D48" s="15" t="s">
        <x:v>128</x:v>
      </x:c>
      <x:c r="E48" s="8" t="s">
        <x:v>27</x:v>
      </x:c>
      <x:c r="F48" s="8">
        <x:v>40</x:v>
      </x:c>
      <x:c r="G48" s="20" t="s">
        <x:v>474</x:v>
      </x:c>
      <x:c r="I48" t="s">
        <x:v>442</x:v>
      </x:c>
    </x:row>
    <x:row r="49">
      <x:c r="C49" s="29"/>
      <x:c r="E49" s="8" t="s">
        <x:v>27</x:v>
      </x:c>
    </x:row>
    <x:row r="50" ht="51">
      <x:c r="C50" s="29"/>
      <x:c r="D50" s="15" t="s">
        <x:v>131</x:v>
      </x:c>
      <x:c r="E50" s="8" t="s">
        <x:v>27</x:v>
      </x:c>
      <x:c r="F50" s="8">
        <x:v>40</x:v>
      </x:c>
      <x:c r="G50" s="20" t="s">
        <x:v>475</x:v>
      </x:c>
      <x:c r="I50" t="s">
        <x:v>439</x:v>
      </x:c>
      <x:c r="J50" t="s">
        <x:v>421</x:v>
      </x:c>
      <x:c r="K50" t="s">
        <x:v>462</x:v>
      </x:c>
    </x:row>
    <x:row r="51">
      <x:c r="C51" s="29"/>
      <x:c r="E51" s="8" t="s">
        <x:v>27</x:v>
      </x:c>
    </x:row>
    <x:row r="52" ht="51">
      <x:c r="C52" s="29"/>
      <x:c r="D52" s="15" t="s">
        <x:v>134</x:v>
      </x:c>
      <x:c r="E52" s="8" t="s">
        <x:v>27</x:v>
      </x:c>
      <x:c r="F52" s="8">
        <x:v>40</x:v>
      </x:c>
      <x:c r="G52" s="20" t="s">
        <x:v>476</x:v>
      </x:c>
      <x:c r="I52" t="s">
        <x:v>439</x:v>
      </x:c>
      <x:c r="J52" t="s">
        <x:v>420</x:v>
      </x:c>
      <x:c r="K52" t="s">
        <x:v>457</x:v>
      </x:c>
    </x:row>
    <x:row r="53" ht="17.600000381469727">
      <x:c r="C53" s="29"/>
      <x:c r="D53" s="15"/>
      <x:c r="E53" s="8" t="s">
        <x:v>27</x:v>
      </x:c>
      <x:c r="G53" s="20"/>
    </x:row>
    <x:row r="54" ht="51">
      <x:c r="C54" s="29"/>
      <x:c r="D54" s="15" t="s">
        <x:v>137</x:v>
      </x:c>
      <x:c r="E54" s="8" t="s">
        <x:v>27</x:v>
      </x:c>
      <x:c r="F54" s="8">
        <x:v>40</x:v>
      </x:c>
      <x:c r="G54" s="20" t="s">
        <x:v>477</x:v>
      </x:c>
      <x:c r="I54" t="s">
        <x:v>446</x:v>
      </x:c>
      <x:c r="J54" t="s">
        <x:v>443</x:v>
      </x:c>
      <x:c r="K54" t="s">
        <x:v>451</x:v>
      </x:c>
    </x:row>
    <x:row r="55">
      <x:c r="C55" s="29"/>
      <x:c r="E55" s="8" t="s">
        <x:v>27</x:v>
      </x:c>
    </x:row>
    <x:row r="56" ht="51">
      <x:c r="C56" s="29"/>
      <x:c r="D56" s="30" t="s">
        <x:v>140</x:v>
      </x:c>
      <x:c r="E56" s="8" t="s">
        <x:v>27</x:v>
      </x:c>
      <x:c r="F56" s="8">
        <x:v>40</x:v>
      </x:c>
      <x:c r="G56" s="20" t="s">
        <x:v>478</x:v>
      </x:c>
      <x:c r="I56" t="s">
        <x:v>442</x:v>
      </x:c>
    </x:row>
    <x:row r="57">
      <x:c r="C57" s="29"/>
      <x:c r="E57" s="8" t="s">
        <x:v>123</x:v>
      </x:c>
    </x:row>
    <x:row r="58">
      <x:c r="C58" s="29"/>
      <x:c r="E58" s="8" t="s">
        <x:v>123</x:v>
      </x:c>
    </x:row>
    <x:row r="59" ht="68">
      <x:c r="C59" s="31" t="s">
        <x:v>479</x:v>
      </x:c>
      <x:c r="D59" s="10" t="s">
        <x:v>143</x:v>
      </x:c>
      <x:c r="E59" s="1" t="s">
        <x:v>82</x:v>
      </x:c>
      <x:c r="F59" s="8">
        <x:v>60</x:v>
      </x:c>
      <x:c r="G59" s="19" t="s">
        <x:v>480</x:v>
      </x:c>
      <x:c r="I59" t="s">
        <x:v>446</x:v>
      </x:c>
      <x:c r="J59" t="s">
        <x:v>421</x:v>
      </x:c>
      <x:c r="K59" t="s">
        <x:v>462</x:v>
      </x:c>
      <x:c r="P59">
        <x:v>4</x:v>
      </x:c>
      <x:c r="Q59">
        <x:v>50</x:v>
      </x:c>
      <x:c r="R59">
        <x:v>30</x:v>
      </x:c>
      <x:c r="S59">
        <x:v>15</x:v>
      </x:c>
    </x:row>
    <x:row r="60">
      <x:c r="C60" s="31"/>
      <x:c r="E60" s="1" t="s">
        <x:v>82</x:v>
      </x:c>
    </x:row>
    <x:row r="61" ht="51">
      <x:c r="C61" s="31"/>
      <x:c r="D61" s="30" t="s">
        <x:v>146</x:v>
      </x:c>
      <x:c r="E61" s="1" t="s">
        <x:v>82</x:v>
      </x:c>
      <x:c r="F61" s="8">
        <x:v>60</x:v>
      </x:c>
      <x:c r="G61" s="20" t="s">
        <x:v>481</x:v>
      </x:c>
      <x:c r="I61" t="s">
        <x:v>442</x:v>
      </x:c>
      <x:c r="J61" t="s">
        <x:v>421</x:v>
      </x:c>
      <x:c r="K61" t="s">
        <x:v>457</x:v>
      </x:c>
    </x:row>
    <x:row r="62">
      <x:c r="C62" s="31"/>
      <x:c r="E62" s="1" t="s">
        <x:v>82</x:v>
      </x:c>
    </x:row>
    <x:row r="63" ht="51">
      <x:c r="C63" s="31"/>
      <x:c r="D63" s="15" t="s">
        <x:v>149</x:v>
      </x:c>
      <x:c r="E63" s="1" t="s">
        <x:v>82</x:v>
      </x:c>
      <x:c r="G63" s="19" t="s">
        <x:v>482</x:v>
      </x:c>
      <x:c r="I63" t="s">
        <x:v>439</x:v>
      </x:c>
      <x:c r="J63" t="s">
        <x:v>421</x:v>
      </x:c>
      <x:c r="K63" t="s">
        <x:v>434</x:v>
      </x:c>
    </x:row>
    <x:row r="64">
      <x:c r="C64" s="31"/>
      <x:c r="E64" s="1" t="s">
        <x:v>82</x:v>
      </x:c>
      <x:c r="F64" s="20"/>
      <x:c r="G64" s="1"/>
    </x:row>
    <x:row r="65" ht="68">
      <x:c r="C65" s="31"/>
      <x:c r="D65" s="15" t="s">
        <x:v>152</x:v>
      </x:c>
      <x:c r="E65" s="1" t="s">
        <x:v>27</x:v>
      </x:c>
      <x:c r="G65" s="19" t="s">
        <x:v>483</x:v>
      </x:c>
      <x:c r="I65" t="s">
        <x:v>446</x:v>
      </x:c>
      <x:c r="J65" t="s">
        <x:v>421</x:v>
      </x:c>
      <x:c r="K65" t="s">
        <x:v>434</x:v>
      </x:c>
    </x:row>
    <x:row r="66">
      <x:c r="C66" s="31"/>
      <x:c r="E66" s="1" t="s">
        <x:v>27</x:v>
      </x:c>
      <x:c r="G66" s="1"/>
      <x:c r="K66" s="19"/>
    </x:row>
    <x:row r="67">
      <x:c r="C67" s="31"/>
      <x:c r="E67" s="1" t="s">
        <x:v>27</x:v>
      </x:c>
      <x:c r="F67" s="20"/>
      <x:c r="G67" s="1"/>
      <x:c r="K67" s="1"/>
    </x:row>
    <x:row r="68" ht="34">
      <x:c r="C68" s="31"/>
      <x:c r="D68" s="15" t="s">
        <x:v>155</x:v>
      </x:c>
      <x:c r="E68" s="1" t="s">
        <x:v>27</x:v>
      </x:c>
      <x:c r="G68" s="19" t="s">
        <x:v>484</x:v>
      </x:c>
      <x:c r="I68" t="s">
        <x:v>439</x:v>
      </x:c>
      <x:c r="K68" s="19"/>
    </x:row>
    <x:row r="69">
      <x:c r="C69" s="31"/>
      <x:c r="D69" s="1"/>
      <x:c r="E69" s="1" t="s">
        <x:v>27</x:v>
      </x:c>
      <x:c r="G69" s="1"/>
    </x:row>
    <x:row r="70">
      <x:c r="C70" s="31"/>
      <x:c r="D70" s="1"/>
      <x:c r="E70" s="1" t="s">
        <x:v>27</x:v>
      </x:c>
      <x:c r="F70" s="20"/>
      <x:c r="G70" s="19"/>
    </x:row>
    <x:row r="71" ht="34">
      <x:c r="C71" s="31"/>
      <x:c r="D71" s="8" t="s">
        <x:v>158</x:v>
      </x:c>
      <x:c r="E71" s="1" t="s">
        <x:v>27</x:v>
      </x:c>
      <x:c r="G71" s="19" t="s">
        <x:v>485</x:v>
      </x:c>
      <x:c r="I71" t="s">
        <x:v>442</x:v>
      </x:c>
    </x:row>
    <x:row r="72">
      <x:c r="C72" s="31"/>
      <x:c r="D72" s="1"/>
      <x:c r="E72" s="1" t="s">
        <x:v>27</x:v>
      </x:c>
      <x:c r="F72" s="20"/>
      <x:c r="G72" s="19"/>
    </x:row>
    <x:row r="73">
      <x:c r="C73" s="31"/>
      <x:c r="E73" s="1" t="s">
        <x:v>27</x:v>
      </x:c>
      <x:c r="G73" s="1"/>
    </x:row>
    <x:row r="74" ht="34">
      <x:c r="C74" s="20" t="s">
        <x:v>486</x:v>
      </x:c>
      <x:c r="D74" s="15" t="s">
        <x:v>161</x:v>
      </x:c>
      <x:c r="E74" s="1" t="s">
        <x:v>82</x:v>
      </x:c>
      <x:c r="F74" s="1">
        <x:v>110</x:v>
      </x:c>
      <x:c r="G74" s="19" t="s">
        <x:v>487</x:v>
      </x:c>
    </x:row>
    <x:row r="75">
      <x:c r="C75" s="20"/>
      <x:c r="E75" s="1" t="s">
        <x:v>82</x:v>
      </x:c>
      <x:c r="F75" s="1"/>
      <x:c r="G75" s="19"/>
    </x:row>
    <x:row r="76">
      <x:c r="C76" s="20"/>
      <x:c r="E76" s="1" t="s">
        <x:v>82</x:v>
      </x:c>
      <x:c r="F76" s="1"/>
      <x:c r="G76" s="1"/>
    </x:row>
    <x:row r="77" ht="34">
      <x:c r="C77" s="20"/>
      <x:c r="D77" s="15" t="s">
        <x:v>164</x:v>
      </x:c>
      <x:c r="E77" s="1" t="s">
        <x:v>82</x:v>
      </x:c>
      <x:c r="F77" s="1">
        <x:v>90</x:v>
      </x:c>
      <x:c r="G77" s="20" t="s">
        <x:v>488</x:v>
      </x:c>
    </x:row>
    <x:row r="78">
      <x:c r="C78" s="20"/>
      <x:c r="E78" s="1" t="s">
        <x:v>82</x:v>
      </x:c>
      <x:c r="F78" s="1"/>
      <x:c r="G78" s="1"/>
    </x:row>
    <x:row r="79">
      <x:c r="C79" s="20"/>
      <x:c r="E79" s="1" t="s">
        <x:v>82</x:v>
      </x:c>
      <x:c r="F79" s="1"/>
      <x:c r="G79" s="1"/>
    </x:row>
    <x:row r="80" ht="17.600000381469727">
      <x:c r="C80" s="20"/>
      <x:c r="D80" s="15" t="s">
        <x:v>167</x:v>
      </x:c>
      <x:c r="E80" s="1" t="s">
        <x:v>82</x:v>
      </x:c>
      <x:c r="F80" s="1">
        <x:v>120</x:v>
      </x:c>
      <x:c r="G80" s="1" t="s">
        <x:v>489</x:v>
      </x:c>
    </x:row>
    <x:row r="81">
      <x:c r="D81" s="1"/>
      <x:c r="E81" s="1" t="s">
        <x:v>82</x:v>
      </x:c>
      <x:c r="F81" s="1"/>
      <x:c r="G81" s="1"/>
    </x:row>
    <x:row r="82">
      <x:c r="C82" s="20"/>
      <x:c r="D82" s="1"/>
      <x:c r="E82" s="1" t="s">
        <x:v>82</x:v>
      </x:c>
      <x:c r="F82" s="1"/>
      <x:c r="G82" s="1"/>
    </x:row>
    <x:row r="83">
      <x:c r="D83" s="1"/>
      <x:c r="E83" s="1" t="s">
        <x:v>82</x:v>
      </x:c>
      <x:c r="F83" s="1"/>
      <x:c r="G83" s="1"/>
    </x:row>
    <x:row r="88" ht="51">
      <x:c r="G88" s="19" t="s">
        <x:v>490</x:v>
      </x:c>
    </x:row>
  </x:sheetData>
  <x:mergeCells>
    <x:mergeCell ref="C5:C10"/>
    <x:mergeCell ref="C11:C26"/>
    <x:mergeCell ref="C27:C45"/>
    <x:mergeCell ref="C46:C58"/>
    <x:mergeCell ref="C59:C73"/>
    <x:mergeCell ref="C74:C8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" width="56.88461685180664" style="1" customWidth="1"/>
    <x:col min="2" max="2" width="9.230769157409668" style="1" customWidth="0"/>
    <x:col min="3" max="3" width="9.230769157409668" style="1" customWidth="1"/>
    <x:col min="4" max="4" width="11.538461685180664" style="1" customWidth="1"/>
    <x:col min="5" max="5" width="22.759614944458008" style="1" customWidth="1"/>
    <x:col min="6" max="6" width="16.480770111083984" style="1" customWidth="1"/>
    <x:col min="7" max="7" width="28.846153259277344" style="1" customWidth="1"/>
    <x:col min="8" max="10" width="7.538461685180664" style="8" customWidth="1"/>
    <x:col min="11" max="11" width="21.30769157409668" style="8" customWidth="1"/>
    <x:col min="12" max="12" width="14.09615421295166" style="8" customWidth="1"/>
    <x:col min="13" max="13" width="28.846153259277344" style="8" customWidth="1"/>
    <x:col min="14" max="14" width="16.028846740722656" style="8" customWidth="1"/>
    <x:col min="15" max="16" width="28.846153259277344" style="8" customWidth="1"/>
    <x:col min="17" max="17" width="21.05769157409668" style="1" customWidth="1"/>
    <x:col min="18" max="18" width="19.06730842590332" style="1" customWidth="1"/>
    <x:col min="19" max="20" width="16.384614944458008" style="1" customWidth="1"/>
    <x:col min="21" max="21" width="46.471153259277344" style="1" customWidth="1"/>
    <x:col min="22" max="23" width="9.230769157409668" style="1" customWidth="1"/>
    <x:col min="24" max="24" width="11.461538314819336" style="1" customWidth="1"/>
    <x:col min="25" max="29" width="9.230769157409668" style="1" customWidth="1"/>
    <x:col min="30" max="30" width="20.990385055541992" style="1" customWidth="1"/>
    <x:col min="31" max="31" width="106.13461303710938" style="1" customWidth="1"/>
    <x:col min="32" max="16384" width="9.230769157409668" style="1" customWidth="1"/>
  </x:cols>
  <x:sheetData>
    <x:row r="1" ht="134" customHeight="1">
      <x:c r="A1" s="9"/>
    </x:row>
    <x:row r="4" ht="18" customHeight="1">
      <x:c r="C4" s="1" t="s">
        <x:v>1</x:v>
      </x:c>
      <x:c r="D4" s="10" t="s">
        <x:v>414</x:v>
      </x:c>
      <x:c r="E4" s="10" t="s">
        <x:v>415</x:v>
      </x:c>
      <x:c r="F4" s="10" t="s">
        <x:v>416</x:v>
      </x:c>
      <x:c r="G4" s="10" t="s">
        <x:v>417</x:v>
      </x:c>
      <x:c r="H4" s="15"/>
      <x:c r="I4" s="15"/>
      <x:c r="J4" s="1" t="s">
        <x:v>1</x:v>
      </x:c>
      <x:c r="K4" s="1"/>
      <x:c r="L4" s="10" t="s">
        <x:v>414</x:v>
      </x:c>
      <x:c r="M4" s="10" t="s">
        <x:v>415</x:v>
      </x:c>
      <x:c r="N4" s="10" t="s">
        <x:v>416</x:v>
      </x:c>
      <x:c r="O4" s="10" t="s">
        <x:v>417</x:v>
      </x:c>
      <x:c r="P4" s="15"/>
      <x:c r="Q4" s="10" t="s">
        <x:v>491</x:v>
      </x:c>
      <x:c r="R4" s="10" t="s">
        <x:v>492</x:v>
      </x:c>
      <x:c r="S4" s="10" t="s">
        <x:v>493</x:v>
      </x:c>
      <x:c r="T4" s="10" t="s">
        <x:v>494</x:v>
      </x:c>
      <x:c r="U4" s="10" t="s">
        <x:v>495</x:v>
      </x:c>
      <x:c r="V4" s="1" t="s">
        <x:v>496</x:v>
      </x:c>
    </x:row>
    <x:row r="5" ht="34">
      <x:c r="C5" s="1">
        <x:v>1</x:v>
      </x:c>
      <x:c r="D5" s="10" t="s">
        <x:v>497</x:v>
      </x:c>
      <x:c r="E5" s="1" t="s">
        <x:v>34</x:v>
      </x:c>
      <x:c r="F5" s="1">
        <x:v>10</x:v>
      </x:c>
      <x:c r="G5" s="17" t="s">
        <x:v>498</x:v>
      </x:c>
      <x:c r="H5" s="18"/>
      <x:c r="I5" s="18"/>
      <x:c r="J5" s="18"/>
      <x:c r="K5" s="23" t="s">
        <x:v>423</x:v>
      </x:c>
      <x:c r="L5" s="18" t="s">
        <x:v>24</x:v>
      </x:c>
      <x:c r="M5" s="18" t="s">
        <x:v>27</x:v>
      </x:c>
      <x:c r="N5" s="18">
        <x:v>20</x:v>
      </x:c>
      <x:c r="O5" s="18" t="s">
        <x:v>499</x:v>
      </x:c>
      <x:c r="P5" s="18"/>
      <x:c r="Q5" s="1" t="s">
        <x:v>420</x:v>
      </x:c>
      <x:c r="R5" s="1" t="s">
        <x:v>500</x:v>
      </x:c>
      <x:c r="S5" s="1" t="s">
        <x:v>501</x:v>
      </x:c>
      <x:c r="T5" s="1" t="s">
        <x:v>502</x:v>
      </x:c>
      <x:c r="U5" s="1" t="s">
        <x:v>503</x:v>
      </x:c>
      <x:c r="V5" s="1">
        <x:v>3</x:v>
      </x:c>
      <x:c r="W5" s="1" t="n">
        <x:f>V5*10</x:f>
        <x:v>30</x:v>
      </x:c>
    </x:row>
    <x:row r="6" ht="51">
      <x:c r="C6" s="1">
        <x:v>2</x:v>
      </x:c>
      <x:c r="D6" s="11" t="s">
        <x:v>504</x:v>
      </x:c>
      <x:c r="E6" s="1" t="s">
        <x:v>34</x:v>
      </x:c>
      <x:c r="F6" s="1">
        <x:v>10</x:v>
      </x:c>
      <x:c r="G6" s="19" t="s">
        <x:v>505</x:v>
      </x:c>
      <x:c r="H6" s="20"/>
      <x:c r="I6" s="20"/>
      <x:c r="J6" s="20"/>
      <x:c r="K6" s="23"/>
      <x:c r="L6" s="18" t="s">
        <x:v>29</x:v>
      </x:c>
      <x:c r="M6" s="8" t="s">
        <x:v>27</x:v>
      </x:c>
      <x:c r="N6" s="8">
        <x:v>20</x:v>
      </x:c>
      <x:c r="O6" s="20" t="s">
        <x:v>425</x:v>
      </x:c>
      <x:c r="P6" s="20"/>
      <x:c r="Q6" s="1" t="s">
        <x:v>443</x:v>
      </x:c>
      <x:c r="R6" s="1" t="s">
        <x:v>500</x:v>
      </x:c>
      <x:c r="S6" s="1" t="s">
        <x:v>442</x:v>
      </x:c>
      <x:c r="T6" s="1" t="s">
        <x:v>506</x:v>
      </x:c>
      <x:c r="U6" s="1" t="s">
        <x:v>507</x:v>
      </x:c>
      <x:c r="V6" s="1">
        <x:v>5</x:v>
      </x:c>
      <x:c r="W6" s="1" t="n">
        <x:f>V6*3*2</x:f>
        <x:v>30</x:v>
      </x:c>
    </x:row>
    <x:row r="7" ht="34">
      <x:c r="C7" s="1">
        <x:v>3</x:v>
      </x:c>
      <x:c r="D7" s="10" t="s">
        <x:v>508</x:v>
      </x:c>
      <x:c r="E7" s="1" t="s">
        <x:v>34</x:v>
      </x:c>
      <x:c r="F7" s="1">
        <x:v>40</x:v>
      </x:c>
      <x:c r="G7" s="19" t="s">
        <x:v>509</x:v>
      </x:c>
      <x:c r="H7" s="20"/>
      <x:c r="I7" s="20"/>
      <x:c r="J7" s="20"/>
      <x:c r="K7" s="23"/>
      <x:c r="L7" s="18" t="s">
        <x:v>32</x:v>
      </x:c>
      <x:c r="M7" s="20" t="s">
        <x:v>34</x:v>
      </x:c>
      <x:c r="N7" s="20">
        <x:v>20</x:v>
      </x:c>
      <x:c r="O7" s="20" t="s">
        <x:v>510</x:v>
      </x:c>
      <x:c r="P7" s="20"/>
      <x:c r="Q7" s="1" t="s">
        <x:v>443</x:v>
      </x:c>
      <x:c r="R7" s="1" t="s">
        <x:v>500</x:v>
      </x:c>
      <x:c r="S7" s="1" t="s">
        <x:v>501</x:v>
      </x:c>
      <x:c r="T7" s="1" t="s">
        <x:v>502</x:v>
      </x:c>
      <x:c r="U7" s="1" t="s">
        <x:v>511</x:v>
      </x:c>
      <x:c r="W7" s="1">
        <x:v>30</x:v>
      </x:c>
    </x:row>
    <x:row r="8" ht="34">
      <x:c r="C8" s="1">
        <x:v>4</x:v>
      </x:c>
      <x:c r="D8" s="12" t="s">
        <x:v>512</x:v>
      </x:c>
      <x:c r="E8" s="1" t="s">
        <x:v>34</x:v>
      </x:c>
      <x:c r="F8" s="1">
        <x:v>10</x:v>
      </x:c>
      <x:c r="G8" s="19" t="s">
        <x:v>513</x:v>
      </x:c>
      <x:c r="H8" s="20"/>
      <x:c r="I8" s="20"/>
      <x:c r="J8" s="20"/>
      <x:c r="K8" s="23"/>
      <x:c r="M8" s="20" t="s">
        <x:v>34</x:v>
      </x:c>
      <x:c r="N8" s="20"/>
      <x:c r="O8" s="20"/>
      <x:c r="P8" s="20"/>
      <x:c r="Q8" s="1" t="s">
        <x:v>437</x:v>
      </x:c>
      <x:c r="R8" s="1" t="s">
        <x:v>514</x:v>
      </x:c>
      <x:c r="S8" s="1" t="s">
        <x:v>515</x:v>
      </x:c>
      <x:c r="T8" s="1" t="s">
        <x:v>437</x:v>
      </x:c>
      <x:c r="U8" s="1" t="s">
        <x:v>516</x:v>
      </x:c>
      <x:c r="V8" s="1">
        <x:v>2</x:v>
      </x:c>
    </x:row>
    <x:row r="9" ht="34">
      <x:c r="C9" s="1">
        <x:v>5</x:v>
      </x:c>
      <x:c r="D9" s="10" t="s">
        <x:v>46</x:v>
      </x:c>
      <x:c r="E9" s="1" t="s">
        <x:v>34</x:v>
      </x:c>
      <x:c r="F9" s="1">
        <x:v>10</x:v>
      </x:c>
      <x:c r="G9" s="19" t="s">
        <x:v>517</x:v>
      </x:c>
      <x:c r="H9" s="20"/>
      <x:c r="I9" s="20"/>
      <x:c r="J9" s="20"/>
      <x:c r="K9" s="23"/>
      <x:c r="L9" s="18" t="s">
        <x:v>36</x:v>
      </x:c>
      <x:c r="M9" s="20" t="s">
        <x:v>34</x:v>
      </x:c>
      <x:c r="N9" s="20">
        <x:v>20</x:v>
      </x:c>
      <x:c r="O9" s="20" t="s">
        <x:v>427</x:v>
      </x:c>
      <x:c r="P9" s="20"/>
      <x:c r="Q9" s="1" t="s">
        <x:v>443</x:v>
      </x:c>
      <x:c r="R9" s="1" t="s">
        <x:v>500</x:v>
      </x:c>
      <x:c r="S9" s="1" t="s">
        <x:v>501</x:v>
      </x:c>
      <x:c r="T9" s="1" t="s">
        <x:v>502</x:v>
      </x:c>
      <x:c r="U9" s="1" t="s">
        <x:v>518</x:v>
      </x:c>
      <x:c r="V9" s="1">
        <x:v>8</x:v>
      </x:c>
      <x:c r="W9" s="1">
        <x:v>8</x:v>
      </x:c>
      <x:c r="X9" s="1" t="s">
        <x:v>519</x:v>
      </x:c>
    </x:row>
    <x:row r="10" ht="34">
      <x:c r="C10" s="1">
        <x:v>6</x:v>
      </x:c>
      <x:c r="D10" s="10" t="s">
        <x:v>69</x:v>
      </x:c>
      <x:c r="E10" s="1" t="s">
        <x:v>34</x:v>
      </x:c>
      <x:c r="F10" s="1">
        <x:v>10</x:v>
      </x:c>
      <x:c r="G10" s="19" t="s">
        <x:v>520</x:v>
      </x:c>
      <x:c r="H10" s="20"/>
      <x:c r="I10" s="20"/>
      <x:c r="J10" s="20"/>
      <x:c r="K10" s="23"/>
      <x:c r="M10" s="8" t="s">
        <x:v>34</x:v>
      </x:c>
      <x:c r="O10" s="20"/>
      <x:c r="P10" s="20"/>
      <x:c r="Q10" s="1" t="s">
        <x:v>420</x:v>
      </x:c>
      <x:c r="R10" s="1" t="s">
        <x:v>521</x:v>
      </x:c>
      <x:c r="S10" s="1" t="s">
        <x:v>501</x:v>
      </x:c>
      <x:c r="T10" s="1" t="s">
        <x:v>502</x:v>
      </x:c>
      <x:c r="U10" s="1" t="s">
        <x:v>522</x:v>
      </x:c>
      <x:c r="V10" s="1">
        <x:v>0.4</x:v>
      </x:c>
      <x:c r="W10" s="1">
        <x:v>20</x:v>
      </x:c>
    </x:row>
    <x:row r="11" ht="34">
      <x:c r="C11" s="1">
        <x:v>7</x:v>
      </x:c>
      <x:c r="D11" s="10" t="s">
        <x:v>523</x:v>
      </x:c>
      <x:c r="E11" s="1" t="s">
        <x:v>34</x:v>
      </x:c>
      <x:c r="F11" s="1">
        <x:v>10</x:v>
      </x:c>
      <x:c r="G11" s="19" t="s">
        <x:v>524</x:v>
      </x:c>
      <x:c r="H11" s="20"/>
      <x:c r="I11" s="20"/>
      <x:c r="J11" s="20"/>
      <x:c r="K11" s="24" t="s">
        <x:v>431</x:v>
      </x:c>
      <x:c r="L11" s="10" t="s">
        <x:v>39</x:v>
      </x:c>
      <x:c r="M11" s="8" t="s">
        <x:v>27</x:v>
      </x:c>
      <x:c r="N11" s="8">
        <x:v>20</x:v>
      </x:c>
      <x:c r="O11" s="17" t="s">
        <x:v>525</x:v>
      </x:c>
      <x:c r="P11" s="20"/>
      <x:c r="Q11" s="1" t="s">
        <x:v>443</x:v>
      </x:c>
      <x:c r="R11" s="1" t="s">
        <x:v>514</x:v>
      </x:c>
      <x:c r="S11" s="1" t="s">
        <x:v>501</x:v>
      </x:c>
      <x:c r="T11" s="1" t="s">
        <x:v>502</x:v>
      </x:c>
      <x:c r="U11" s="1" t="s">
        <x:v>526</x:v>
      </x:c>
      <x:c r="V11" s="1">
        <x:v>10</x:v>
      </x:c>
      <x:c r="W11" s="1">
        <x:v>30</x:v>
      </x:c>
    </x:row>
    <x:row r="12" ht="34">
      <x:c r="C12" s="1">
        <x:v>8</x:v>
      </x:c>
      <x:c r="D12" s="11" t="s">
        <x:v>527</x:v>
      </x:c>
      <x:c r="E12" s="1" t="s">
        <x:v>34</x:v>
      </x:c>
      <x:c r="F12" s="1">
        <x:v>10</x:v>
      </x:c>
      <x:c r="G12" s="19" t="s">
        <x:v>528</x:v>
      </x:c>
      <x:c r="H12" s="20"/>
      <x:c r="K12" s="24"/>
      <x:c r="L12" s="8" t="s">
        <x:v>42</x:v>
      </x:c>
      <x:c r="M12" s="8" t="s">
        <x:v>27</x:v>
      </x:c>
      <x:c r="N12" s="20">
        <x:v>20</x:v>
      </x:c>
      <x:c r="O12" s="20" t="s">
        <x:v>529</x:v>
      </x:c>
      <x:c r="P12" s="20"/>
      <x:c r="Q12" s="1" t="s">
        <x:v>530</x:v>
      </x:c>
      <x:c r="R12" s="1" t="s">
        <x:v>521</x:v>
      </x:c>
      <x:c r="S12" s="1" t="s">
        <x:v>442</x:v>
      </x:c>
      <x:c r="T12" s="1" t="s">
        <x:v>502</x:v>
      </x:c>
      <x:c r="U12" s="1" t="s">
        <x:v>531</x:v>
      </x:c>
      <x:c r="V12" s="1">
        <x:v>5</x:v>
      </x:c>
      <x:c r="W12" s="1">
        <x:v>5</x:v>
      </x:c>
      <x:c r="AD12" s="1" t="s">
        <x:v>532</x:v>
      </x:c>
    </x:row>
    <x:row r="13" ht="51">
      <x:c r="C13" s="1">
        <x:v>9</x:v>
      </x:c>
      <x:c r="D13" s="10" t="s">
        <x:v>39</x:v>
      </x:c>
      <x:c r="E13" s="1" t="s">
        <x:v>34</x:v>
      </x:c>
      <x:c r="F13" s="1">
        <x:v>10</x:v>
      </x:c>
      <x:c r="G13" s="19" t="s">
        <x:v>533</x:v>
      </x:c>
      <x:c r="I13" s="8">
        <x:v>4</x:v>
      </x:c>
      <x:c r="J13" s="8">
        <x:v>2</x:v>
      </x:c>
      <x:c r="K13" s="24"/>
      <x:c r="L13" s="8" t="s">
        <x:v>46</x:v>
      </x:c>
      <x:c r="M13" s="8" t="s">
        <x:v>27</x:v>
      </x:c>
      <x:c r="N13" s="8">
        <x:v>20</x:v>
      </x:c>
      <x:c r="O13" s="20" t="s">
        <x:v>534</x:v>
      </x:c>
      <x:c r="P13" s="20"/>
      <x:c r="Q13" s="1" t="s">
        <x:v>420</x:v>
      </x:c>
      <x:c r="R13" s="1" t="s">
        <x:v>500</x:v>
      </x:c>
      <x:c r="S13" s="1" t="s">
        <x:v>501</x:v>
      </x:c>
      <x:c r="T13" s="1" t="s">
        <x:v>535</x:v>
      </x:c>
      <x:c r="U13" s="1" t="s">
        <x:v>536</x:v>
      </x:c>
      <x:c r="V13" s="1">
        <x:v>0.15</x:v>
      </x:c>
      <x:c r="W13" s="1" t="n">
        <x:f>V13*3*5</x:f>
        <x:v>2.25</x:v>
      </x:c>
    </x:row>
    <x:row r="14" ht="51">
      <x:c r="C14" s="1">
        <x:v>10</x:v>
      </x:c>
      <x:c r="D14" s="12" t="s">
        <x:v>537</x:v>
      </x:c>
      <x:c r="E14" s="1" t="s">
        <x:v>34</x:v>
      </x:c>
      <x:c r="F14" s="1">
        <x:v>10</x:v>
      </x:c>
      <x:c r="G14" s="1" t="s">
        <x:v>538</x:v>
      </x:c>
      <x:c r="I14" s="8">
        <x:v>2</x:v>
      </x:c>
      <x:c r="J14" s="8">
        <x:v>2</x:v>
      </x:c>
      <x:c r="K14" s="24"/>
      <x:c r="L14" s="8" t="s">
        <x:v>49</x:v>
      </x:c>
      <x:c r="M14" s="8" t="s">
        <x:v>27</x:v>
      </x:c>
      <x:c r="N14" s="20">
        <x:v>20</x:v>
      </x:c>
      <x:c r="O14" s="20" t="s">
        <x:v>539</x:v>
      </x:c>
      <x:c r="Q14" s="1" t="s">
        <x:v>437</x:v>
      </x:c>
      <x:c r="R14" s="1" t="s">
        <x:v>500</x:v>
      </x:c>
      <x:c r="S14" s="1" t="s">
        <x:v>540</x:v>
      </x:c>
      <x:c r="T14" s="1" t="s">
        <x:v>437</x:v>
      </x:c>
      <x:c r="U14" s="1" t="s">
        <x:v>541</x:v>
      </x:c>
      <x:c r="V14" s="1">
        <x:v>8</x:v>
      </x:c>
      <x:c r="AC14" s="1" t="s">
        <x:v>542</x:v>
      </x:c>
      <x:c r="AD14" s="1" t="s">
        <x:v>543</x:v>
      </x:c>
      <x:c r="AE14" s="1" t="s">
        <x:v>544</x:v>
      </x:c>
    </x:row>
    <x:row r="15" ht="51">
      <x:c r="C15" s="1">
        <x:v>11</x:v>
      </x:c>
      <x:c r="D15" s="11" t="s">
        <x:v>49</x:v>
      </x:c>
      <x:c r="E15" s="1" t="s">
        <x:v>34</x:v>
      </x:c>
      <x:c r="F15" s="1">
        <x:v>10</x:v>
      </x:c>
      <x:c r="G15" s="21" t="s">
        <x:v>545</x:v>
      </x:c>
      <x:c r="H15" s="20"/>
      <x:c r="I15" s="20">
        <x:v>1</x:v>
      </x:c>
      <x:c r="J15" s="20">
        <x:v>3</x:v>
      </x:c>
      <x:c r="K15" s="24"/>
      <x:c r="L15" s="8" t="s">
        <x:v>96</x:v>
      </x:c>
      <x:c r="M15" s="8" t="s">
        <x:v>27</x:v>
      </x:c>
      <x:c r="N15" s="8">
        <x:v>20</x:v>
      </x:c>
      <x:c r="O15" s="20" t="s">
        <x:v>546</x:v>
      </x:c>
      <x:c r="P15" s="20"/>
      <x:c r="Q15" s="1" t="s">
        <x:v>420</x:v>
      </x:c>
      <x:c r="R15" s="1" t="s">
        <x:v>514</x:v>
      </x:c>
      <x:c r="S15" s="1" t="s">
        <x:v>442</x:v>
      </x:c>
      <x:c r="T15" s="1" t="s">
        <x:v>506</x:v>
      </x:c>
      <x:c r="U15" s="1" t="s">
        <x:v>547</x:v>
      </x:c>
      <x:c r="V15" s="1">
        <x:v>0.2</x:v>
      </x:c>
      <x:c r="W15" s="1" t="n">
        <x:f>2*5*0.2</x:f>
        <x:v>2</x:v>
      </x:c>
      <x:c r="AC15" s="1" t="s">
        <x:v>548</x:v>
      </x:c>
      <x:c r="AD15" s="1" t="s">
        <x:v>549</x:v>
      </x:c>
      <x:c r="AE15" s="1" t="s">
        <x:v>550</x:v>
      </x:c>
    </x:row>
    <x:row r="16" ht="34">
      <x:c r="C16" s="1">
        <x:v>12</x:v>
      </x:c>
      <x:c r="D16" s="1" t="s">
        <x:v>551</x:v>
      </x:c>
      <x:c r="E16" s="1" t="s">
        <x:v>34</x:v>
      </x:c>
      <x:c r="F16" s="1">
        <x:v>10</x:v>
      </x:c>
      <x:c r="G16" s="19" t="s">
        <x:v>552</x:v>
      </x:c>
      <x:c r="H16" s="20"/>
      <x:c r="I16" s="20"/>
      <x:c r="J16" s="20"/>
      <x:c r="K16" s="24"/>
      <x:c r="L16" s="8" t="s">
        <x:v>56</x:v>
      </x:c>
      <x:c r="M16" s="8" t="s">
        <x:v>27</x:v>
      </x:c>
      <x:c r="N16" s="20">
        <x:v>20</x:v>
      </x:c>
      <x:c r="O16" s="20" t="s">
        <x:v>553</x:v>
      </x:c>
      <x:c r="P16" s="20"/>
      <x:c r="Q16" s="1" t="s">
        <x:v>554</x:v>
      </x:c>
      <x:c r="R16" s="1" t="s">
        <x:v>521</x:v>
      </x:c>
      <x:c r="S16" s="1" t="s">
        <x:v>433</x:v>
      </x:c>
      <x:c r="T16" s="1" t="s">
        <x:v>554</x:v>
      </x:c>
      <x:c r="U16" s="1" t="s">
        <x:v>555</x:v>
      </x:c>
      <x:c r="Y16" s="1" t="s">
        <x:v>443</x:v>
      </x:c>
      <x:c r="Z16" s="1" t="s">
        <x:v>420</x:v>
      </x:c>
      <x:c r="AA16" s="1" t="s">
        <x:v>421</x:v>
      </x:c>
      <x:c r="AD16" s="1" t="s">
        <x:v>556</x:v>
      </x:c>
      <x:c r="AE16" s="1" t="s">
        <x:v>557</x:v>
      </x:c>
    </x:row>
    <x:row r="17" ht="51">
      <x:c r="C17" s="1">
        <x:v>13</x:v>
      </x:c>
      <x:c r="D17" s="13" t="s">
        <x:v>558</x:v>
      </x:c>
      <x:c r="E17" s="1" t="s">
        <x:v>34</x:v>
      </x:c>
      <x:c r="F17" s="1">
        <x:v>10</x:v>
      </x:c>
      <x:c r="G17" s="19" t="s">
        <x:v>559</x:v>
      </x:c>
      <x:c r="H17" s="20"/>
      <x:c r="I17" s="20"/>
      <x:c r="J17" s="20"/>
      <x:c r="K17" s="24"/>
      <x:c r="L17" s="8" t="s">
        <x:v>60</x:v>
      </x:c>
      <x:c r="M17" s="20" t="s">
        <x:v>34</x:v>
      </x:c>
      <x:c r="N17" s="8">
        <x:v>20</x:v>
      </x:c>
      <x:c r="O17" s="20" t="s">
        <x:v>560</x:v>
      </x:c>
      <x:c r="P17" s="20"/>
      <x:c r="Q17" s="1" t="s">
        <x:v>437</x:v>
      </x:c>
      <x:c r="R17" s="1" t="s">
        <x:v>521</x:v>
      </x:c>
      <x:c r="S17" s="1" t="s">
        <x:v>540</x:v>
      </x:c>
      <x:c r="T17" s="1" t="s">
        <x:v>437</x:v>
      </x:c>
      <x:c r="U17" s="1" t="s">
        <x:v>561</x:v>
      </x:c>
      <x:c r="X17" s="1" t="s">
        <x:v>562</x:v>
      </x:c>
      <x:c r="Y17" s="1">
        <x:v>30</x:v>
      </x:c>
      <x:c r="Z17" s="1">
        <x:v>2</x:v>
      </x:c>
      <x:c r="AD17" s="1" t="s">
        <x:v>563</x:v>
      </x:c>
      <x:c r="AE17" s="1" t="s">
        <x:v>564</x:v>
      </x:c>
    </x:row>
    <x:row r="18" ht="51">
      <x:c r="C18" s="1">
        <x:v>14</x:v>
      </x:c>
      <x:c r="D18" s="10" t="s">
        <x:v>565</x:v>
      </x:c>
      <x:c r="E18" s="1" t="s">
        <x:v>27</x:v>
      </x:c>
      <x:c r="F18" s="1">
        <x:v>20</x:v>
      </x:c>
      <x:c r="G18" s="19" t="s">
        <x:v>566</x:v>
      </x:c>
      <x:c r="H18" s="20"/>
      <x:c r="I18" s="20"/>
      <x:c r="J18" s="20"/>
      <x:c r="K18" s="24"/>
      <x:c r="M18" s="20" t="s">
        <x:v>34</x:v>
      </x:c>
      <x:c r="N18" s="20"/>
      <x:c r="O18" s="20"/>
      <x:c r="P18" s="20"/>
      <x:c r="Q18" s="1" t="s">
        <x:v>420</x:v>
      </x:c>
      <x:c r="R18" s="1" t="s">
        <x:v>567</x:v>
      </x:c>
      <x:c r="S18" s="1" t="s">
        <x:v>501</x:v>
      </x:c>
      <x:c r="T18" s="1" t="s">
        <x:v>502</x:v>
      </x:c>
      <x:c r="U18" s="1" t="s">
        <x:v>568</x:v>
      </x:c>
      <x:c r="V18" s="1">
        <x:v>1</x:v>
      </x:c>
      <x:c r="W18" s="1" t="n">
        <x:f>6*V18</x:f>
        <x:v>6</x:v>
      </x:c>
      <x:c r="X18" s="1" t="s">
        <x:v>569</x:v>
      </x:c>
      <x:c r="Y18" s="1">
        <x:v>90</x:v>
      </x:c>
      <x:c r="Z18" s="1">
        <x:v>6</x:v>
      </x:c>
      <x:c r="AA18" s="1">
        <x:v>2</x:v>
      </x:c>
      <x:c r="AC18" s="1" t="s">
        <x:v>570</x:v>
      </x:c>
      <x:c r="AD18" s="1" t="s">
        <x:v>571</x:v>
      </x:c>
      <x:c r="AE18" s="1" t="s">
        <x:v>572</x:v>
      </x:c>
    </x:row>
    <x:row r="19" ht="51">
      <x:c r="C19" s="1">
        <x:v>15</x:v>
      </x:c>
      <x:c r="D19" s="12" t="s">
        <x:v>573</x:v>
      </x:c>
      <x:c r="E19" s="1" t="s">
        <x:v>34</x:v>
      </x:c>
      <x:c r="F19" s="1">
        <x:v>20</x:v>
      </x:c>
      <x:c r="G19" s="22" t="s">
        <x:v>574</x:v>
      </x:c>
      <x:c r="H19" s="20"/>
      <x:c r="I19" s="20"/>
      <x:c r="J19" s="20"/>
      <x:c r="K19" s="24"/>
      <x:c r="L19" s="8" t="s">
        <x:v>65</x:v>
      </x:c>
      <x:c r="M19" s="20" t="s">
        <x:v>34</x:v>
      </x:c>
      <x:c r="N19" s="8">
        <x:v>20</x:v>
      </x:c>
      <x:c r="O19" s="20" t="s">
        <x:v>575</x:v>
      </x:c>
      <x:c r="P19" s="20"/>
      <x:c r="Q19" s="1" t="s">
        <x:v>437</x:v>
      </x:c>
      <x:c r="R19" s="1" t="s">
        <x:v>567</x:v>
      </x:c>
      <x:c r="S19" s="1" t="s">
        <x:v>515</x:v>
      </x:c>
      <x:c r="T19" s="1" t="s">
        <x:v>437</x:v>
      </x:c>
      <x:c r="U19" s="1" t="s">
        <x:v>576</x:v>
      </x:c>
      <x:c r="X19" s="1" t="s">
        <x:v>577</x:v>
      </x:c>
      <x:c r="Y19" s="1">
        <x:v>150</x:v>
      </x:c>
      <x:c r="Z19" s="1">
        <x:v>12</x:v>
      </x:c>
      <x:c r="AA19" s="1">
        <x:v>4</x:v>
      </x:c>
      <x:c r="AD19" s="1" t="s">
        <x:v>578</x:v>
      </x:c>
      <x:c r="AE19" s="1" t="s">
        <x:v>579</x:v>
      </x:c>
    </x:row>
    <x:row r="20" ht="17">
      <x:c r="E20" s="1" t="s">
        <x:v>34</x:v>
      </x:c>
      <x:c r="K20" s="24"/>
      <x:c r="M20" s="20" t="s">
        <x:v>34</x:v>
      </x:c>
      <x:c r="N20" s="20"/>
      <x:c r="O20" s="20"/>
      <x:c r="X20" s="1" t="s">
        <x:v>580</x:v>
      </x:c>
      <x:c r="Y20" s="1">
        <x:v>240</x:v>
      </x:c>
      <x:c r="Z20" s="1">
        <x:v>18</x:v>
      </x:c>
      <x:c r="AA20" s="1">
        <x:v>7</x:v>
      </x:c>
      <x:c r="AD20" s="1" t="s">
        <x:v>581</x:v>
      </x:c>
      <x:c r="AE20" s="1" t="s">
        <x:v>582</x:v>
      </x:c>
    </x:row>
    <x:row r="21" ht="51">
      <x:c r="C21" s="1">
        <x:v>16</x:v>
      </x:c>
      <x:c r="D21" s="11" t="s">
        <x:v>583</x:v>
      </x:c>
      <x:c r="E21" s="1" t="s">
        <x:v>27</x:v>
      </x:c>
      <x:c r="F21" s="1">
        <x:v>20</x:v>
      </x:c>
      <x:c r="G21" s="19" t="s">
        <x:v>584</x:v>
      </x:c>
      <x:c r="H21" s="20"/>
      <x:c r="I21" s="20"/>
      <x:c r="J21" s="20"/>
      <x:c r="K21" s="24"/>
      <x:c r="L21" s="8" t="s">
        <x:v>69</x:v>
      </x:c>
      <x:c r="M21" s="20" t="s">
        <x:v>34</x:v>
      </x:c>
      <x:c r="N21" s="8">
        <x:v>20</x:v>
      </x:c>
      <x:c r="O21" s="20" t="s">
        <x:v>585</x:v>
      </x:c>
      <x:c r="P21" s="20"/>
      <x:c r="Q21" s="1" t="s">
        <x:v>421</x:v>
      </x:c>
      <x:c r="R21" s="1" t="s">
        <x:v>567</x:v>
      </x:c>
      <x:c r="S21" s="1" t="s">
        <x:v>586</x:v>
      </x:c>
      <x:c r="T21" s="1" t="s">
        <x:v>587</x:v>
      </x:c>
      <x:c r="U21" s="1" t="s">
        <x:v>588</x:v>
      </x:c>
      <x:c r="V21" s="1">
        <x:v>1.5</x:v>
      </x:c>
      <x:c r="W21" s="1" t="n">
        <x:f>3*V21*0.6</x:f>
        <x:v>2.6999999999999997</x:v>
      </x:c>
      <x:c r="AD21" s="1" t="s">
        <x:v>589</x:v>
      </x:c>
      <x:c r="AE21" s="1" t="s">
        <x:v>590</x:v>
      </x:c>
    </x:row>
    <x:row r="22" ht="34">
      <x:c r="C22" s="1">
        <x:v>17</x:v>
      </x:c>
      <x:c r="D22" s="11" t="s">
        <x:v>112</x:v>
      </x:c>
      <x:c r="E22" s="1" t="s">
        <x:v>27</x:v>
      </x:c>
      <x:c r="F22" s="1">
        <x:v>20</x:v>
      </x:c>
      <x:c r="G22" s="20" t="s">
        <x:v>591</x:v>
      </x:c>
      <x:c r="H22" s="20"/>
      <x:c r="I22" s="20"/>
      <x:c r="J22" s="20"/>
      <x:c r="K22" s="24"/>
      <x:c r="M22" s="20" t="s">
        <x:v>34</x:v>
      </x:c>
      <x:c r="N22" s="20"/>
      <x:c r="P22" s="20"/>
      <x:c r="Q22" s="1" t="s">
        <x:v>592</x:v>
      </x:c>
      <x:c r="R22" s="1" t="s">
        <x:v>593</x:v>
      </x:c>
      <x:c r="S22" s="1" t="s">
        <x:v>442</x:v>
      </x:c>
      <x:c r="T22" s="1" t="s">
        <x:v>594</x:v>
      </x:c>
      <x:c r="V22" s="1">
        <x:v>10</x:v>
      </x:c>
      <x:c r="W22" s="1" t="n">
        <x:f>V22*2*5</x:f>
        <x:v>100</x:v>
      </x:c>
      <x:c r="AC22" s="1" t="s">
        <x:v>595</x:v>
      </x:c>
      <x:c r="AD22" s="1" t="s">
        <x:v>596</x:v>
      </x:c>
      <x:c r="AE22" s="1" t="s">
        <x:v>597</x:v>
      </x:c>
    </x:row>
    <x:row r="23" ht="51">
      <x:c r="C23" s="1">
        <x:v>18</x:v>
      </x:c>
      <x:c r="D23" s="14" t="s">
        <x:v>42</x:v>
      </x:c>
      <x:c r="E23" s="1" t="s">
        <x:v>27</x:v>
      </x:c>
      <x:c r="F23" s="1">
        <x:v>20</x:v>
      </x:c>
      <x:c r="G23" s="20" t="s">
        <x:v>598</x:v>
      </x:c>
      <x:c r="H23" s="20"/>
      <x:c r="I23" s="20"/>
      <x:c r="J23" s="20"/>
      <x:c r="K23" s="24"/>
      <x:c r="L23" s="8" t="s">
        <x:v>72</x:v>
      </x:c>
      <x:c r="M23" s="20" t="s">
        <x:v>34</x:v>
      </x:c>
      <x:c r="N23" s="8">
        <x:v>20</x:v>
      </x:c>
      <x:c r="O23" s="20" t="s">
        <x:v>456</x:v>
      </x:c>
      <x:c r="P23" s="20"/>
      <x:c r="Q23" s="1" t="s">
        <x:v>599</x:v>
      </x:c>
      <x:c r="R23" s="1" t="s">
        <x:v>593</x:v>
      </x:c>
      <x:c r="S23" s="1" t="s">
        <x:v>540</x:v>
      </x:c>
      <x:c r="T23" s="1" t="s">
        <x:v>437</x:v>
      </x:c>
      <x:c r="U23" s="1" t="s">
        <x:v>600</x:v>
      </x:c>
      <x:c r="AD23" s="1" t="s">
        <x:v>601</x:v>
      </x:c>
      <x:c r="AE23" s="1" t="s">
        <x:v>602</x:v>
      </x:c>
    </x:row>
    <x:row r="24" ht="51">
      <x:c r="C24" s="1">
        <x:v>19</x:v>
      </x:c>
      <x:c r="D24" s="12" t="s">
        <x:v>56</x:v>
      </x:c>
      <x:c r="E24" s="1" t="s">
        <x:v>34</x:v>
      </x:c>
      <x:c r="F24" s="1">
        <x:v>20</x:v>
      </x:c>
      <x:c r="G24" s="20" t="s">
        <x:v>603</x:v>
      </x:c>
      <x:c r="H24" s="20"/>
      <x:c r="I24" s="20"/>
      <x:c r="J24" s="20"/>
      <x:c r="K24" s="24"/>
      <x:c r="M24" s="20" t="s">
        <x:v>34</x:v>
      </x:c>
      <x:c r="N24" s="20"/>
      <x:c r="O24" s="20"/>
      <x:c r="P24" s="20"/>
      <x:c r="Q24" s="1" t="s">
        <x:v>421</x:v>
      </x:c>
      <x:c r="R24" s="1" t="s">
        <x:v>593</x:v>
      </x:c>
      <x:c r="S24" s="1" t="s">
        <x:v>540</x:v>
      </x:c>
      <x:c r="T24" s="1" t="s">
        <x:v>446</x:v>
      </x:c>
      <x:c r="U24" s="1" t="s">
        <x:v>604</x:v>
      </x:c>
      <x:c r="V24" s="1">
        <x:v>1.2</x:v>
      </x:c>
      <x:c r="W24" s="1" t="n">
        <x:f>V24*3*30*0.2</x:f>
        <x:v>21.599999999999998</x:v>
      </x:c>
      <x:c r="AD24" s="1" t="s">
        <x:v>605</x:v>
      </x:c>
      <x:c r="AE24" s="1" t="s">
        <x:v>606</x:v>
      </x:c>
    </x:row>
    <x:row r="25" ht="34">
      <x:c r="E25" s="1" t="s">
        <x:v>34</x:v>
      </x:c>
      <x:c r="G25" s="8"/>
      <x:c r="K25" s="24"/>
      <x:c r="L25" s="8" t="s">
        <x:v>75</x:v>
      </x:c>
      <x:c r="M25" s="20" t="s">
        <x:v>34</x:v>
      </x:c>
      <x:c r="N25" s="8">
        <x:v>20</x:v>
      </x:c>
      <x:c r="O25" s="20" t="s">
        <x:v>607</x:v>
      </x:c>
      <x:c r="AC25" s="1" t="s">
        <x:v>608</x:v>
      </x:c>
      <x:c r="AD25" s="1" t="s">
        <x:v>609</x:v>
      </x:c>
      <x:c r="AE25" s="1" t="s">
        <x:v>610</x:v>
      </x:c>
    </x:row>
    <x:row r="26" ht="34">
      <x:c r="C26" s="1">
        <x:v>20</x:v>
      </x:c>
      <x:c r="D26" s="11" t="s">
        <x:v>611</x:v>
      </x:c>
      <x:c r="E26" s="1" t="s">
        <x:v>34</x:v>
      </x:c>
      <x:c r="F26" s="1">
        <x:v>20</x:v>
      </x:c>
      <x:c r="G26" s="20" t="s">
        <x:v>612</x:v>
      </x:c>
      <x:c r="H26" s="20"/>
      <x:c r="I26" s="20"/>
      <x:c r="J26" s="20"/>
      <x:c r="K26" s="24"/>
      <x:c r="M26" s="20" t="s">
        <x:v>34</x:v>
      </x:c>
      <x:c r="N26" s="20"/>
      <x:c r="O26" s="20"/>
      <x:c r="P26" s="20"/>
      <x:c r="Q26" s="1" t="s">
        <x:v>530</x:v>
      </x:c>
      <x:c r="R26" s="1" t="s">
        <x:v>567</x:v>
      </x:c>
      <x:c r="S26" s="1" t="s">
        <x:v>442</x:v>
      </x:c>
      <x:c r="T26" s="1" t="s">
        <x:v>587</x:v>
      </x:c>
      <x:c r="U26" s="1" t="s">
        <x:v>613</x:v>
      </x:c>
      <x:c r="V26" s="1">
        <x:v>10</x:v>
      </x:c>
      <x:c r="W26" s="1" t="n">
        <x:f>V26*3</x:f>
        <x:v>30</x:v>
      </x:c>
      <x:c r="AC26" s="1" t="s">
        <x:v>415</x:v>
      </x:c>
      <x:c r="AD26" s="1" t="s">
        <x:v>614</x:v>
      </x:c>
      <x:c r="AE26" s="1" t="s">
        <x:v>615</x:v>
      </x:c>
    </x:row>
    <x:row r="27">
      <x:c r="E27" s="1" t="s">
        <x:v>34</x:v>
      </x:c>
      <x:c r="G27" s="8"/>
      <x:c r="M27" s="20"/>
      <x:c r="AD27" s="1" t="s">
        <x:v>614</x:v>
      </x:c>
      <x:c r="AE27" s="1" t="s">
        <x:v>616</x:v>
      </x:c>
    </x:row>
    <x:row r="28" ht="34">
      <x:c r="C28" s="1">
        <x:v>21</x:v>
      </x:c>
      <x:c r="D28" s="11" t="s">
        <x:v>617</x:v>
      </x:c>
      <x:c r="E28" s="1" t="s">
        <x:v>34</x:v>
      </x:c>
      <x:c r="F28" s="1">
        <x:v>20</x:v>
      </x:c>
      <x:c r="G28" s="20" t="s">
        <x:v>618</x:v>
      </x:c>
      <x:c r="H28" s="20"/>
      <x:c r="I28" s="20"/>
      <x:c r="J28" s="20"/>
      <x:c r="K28" s="20"/>
      <x:c r="M28" s="20"/>
      <x:c r="N28" s="20"/>
      <x:c r="O28" s="20"/>
      <x:c r="P28" s="20"/>
      <x:c r="Q28" s="1" t="s">
        <x:v>619</x:v>
      </x:c>
      <x:c r="R28" s="1" t="s">
        <x:v>567</x:v>
      </x:c>
      <x:c r="S28" s="1" t="s">
        <x:v>442</x:v>
      </x:c>
      <x:c r="T28" s="1" t="s">
        <x:v>535</x:v>
      </x:c>
      <x:c r="U28" s="1" t="s">
        <x:v>620</x:v>
      </x:c>
      <x:c r="V28" s="1">
        <x:v>10</x:v>
      </x:c>
      <x:c r="W28" s="1" t="n">
        <x:f>V28*5*3</x:f>
        <x:v>150</x:v>
      </x:c>
      <x:c r="AC28" s="1" t="s">
        <x:v>621</x:v>
      </x:c>
      <x:c r="AD28" s="1" t="s">
        <x:v>622</x:v>
      </x:c>
      <x:c r="AE28" s="1" t="s">
        <x:v>623</x:v>
      </x:c>
    </x:row>
    <x:row r="29">
      <x:c r="E29" s="1" t="s">
        <x:v>34</x:v>
      </x:c>
      <x:c r="G29" s="8"/>
      <x:c r="L29" s="8">
        <x:v>1</x:v>
      </x:c>
      <x:c r="M29" s="8" t="s">
        <x:v>82</x:v>
      </x:c>
      <x:c r="AD29" s="1" t="s">
        <x:v>624</x:v>
      </x:c>
      <x:c r="AE29" s="1" t="s">
        <x:v>625</x:v>
      </x:c>
    </x:row>
    <x:row r="30" ht="52" customHeight="1">
      <x:c r="C30" s="1">
        <x:v>22</x:v>
      </x:c>
      <x:c r="D30" s="10" t="s">
        <x:v>80</x:v>
      </x:c>
      <x:c r="E30" s="1" t="s">
        <x:v>82</x:v>
      </x:c>
      <x:c r="F30" s="1">
        <x:v>30</x:v>
      </x:c>
      <x:c r="G30" s="20" t="s">
        <x:v>626</x:v>
      </x:c>
      <x:c r="H30" s="20"/>
      <x:c r="I30" s="20">
        <x:v>1</x:v>
      </x:c>
      <x:c r="J30" s="20"/>
      <x:c r="K30" s="20"/>
      <x:c r="L30" s="20">
        <x:v>2</x:v>
      </x:c>
      <x:c r="M30" s="20" t="s">
        <x:v>34</x:v>
      </x:c>
      <x:c r="N30" s="20"/>
      <x:c r="O30" s="20"/>
      <x:c r="P30" s="20"/>
      <x:c r="Q30" s="1" t="s">
        <x:v>420</x:v>
      </x:c>
      <x:c r="R30" s="1" t="s">
        <x:v>567</x:v>
      </x:c>
      <x:c r="S30" s="1" t="s">
        <x:v>501</x:v>
      </x:c>
      <x:c r="T30" s="1" t="s">
        <x:v>502</x:v>
      </x:c>
      <x:c r="U30" s="1" t="s">
        <x:v>627</x:v>
      </x:c>
      <x:c r="V30" s="1">
        <x:v>0.2</x:v>
      </x:c>
      <x:c r="W30" s="1" t="n">
        <x:f>V30*F30</x:f>
        <x:v>6</x:v>
      </x:c>
      <x:c r="AC30" s="1" t="s">
        <x:v>628</x:v>
      </x:c>
      <x:c r="AD30" s="1" t="s">
        <x:v>629</x:v>
      </x:c>
      <x:c r="AE30" s="1" t="s">
        <x:v>630</x:v>
      </x:c>
    </x:row>
    <x:row r="31" ht="34">
      <x:c r="C31" s="1">
        <x:v>23</x:v>
      </x:c>
      <x:c r="D31" s="11" t="s">
        <x:v>65</x:v>
      </x:c>
      <x:c r="E31" s="1" t="s">
        <x:v>82</x:v>
      </x:c>
      <x:c r="F31" s="1">
        <x:v>30</x:v>
      </x:c>
      <x:c r="G31" s="20" t="s">
        <x:v>631</x:v>
      </x:c>
      <x:c r="H31" s="20"/>
      <x:c r="I31" s="20"/>
      <x:c r="J31" s="20"/>
      <x:c r="K31" s="20"/>
      <x:c r="M31" s="20" t="s">
        <x:v>34</x:v>
      </x:c>
      <x:c r="N31" s="20"/>
      <x:c r="O31" s="20"/>
      <x:c r="P31" s="20"/>
      <x:c r="Q31" s="1" t="s">
        <x:v>632</x:v>
      </x:c>
      <x:c r="R31" s="1" t="s">
        <x:v>567</x:v>
      </x:c>
      <x:c r="S31" s="1" t="s">
        <x:v>442</x:v>
      </x:c>
      <x:c r="T31" s="1" t="s">
        <x:v>535</x:v>
      </x:c>
      <x:c r="U31" s="1" t="s">
        <x:v>633</x:v>
      </x:c>
      <x:c r="V31" s="1">
        <x:v>1.5</x:v>
      </x:c>
      <x:c r="W31" s="1" t="n">
        <x:f>V31*2*4</x:f>
        <x:v>12</x:v>
      </x:c>
      <x:c r="AD31" s="1" t="s">
        <x:v>634</x:v>
      </x:c>
      <x:c r="AE31" s="1" t="s">
        <x:v>635</x:v>
      </x:c>
    </x:row>
    <x:row r="32" ht="51">
      <x:c r="C32" s="1">
        <x:v>24</x:v>
      </x:c>
      <x:c r="D32" s="12" t="s">
        <x:v>106</x:v>
      </x:c>
      <x:c r="E32" s="1" t="s">
        <x:v>34</x:v>
      </x:c>
      <x:c r="F32" s="1">
        <x:v>30</x:v>
      </x:c>
      <x:c r="G32" s="20" t="s">
        <x:v>636</x:v>
      </x:c>
      <x:c r="H32" s="20"/>
      <x:c r="I32" s="20"/>
      <x:c r="J32" s="20"/>
      <x:c r="K32" s="20"/>
      <x:c r="L32" s="20"/>
      <x:c r="M32" s="20" t="s">
        <x:v>34</x:v>
      </x:c>
      <x:c r="N32" s="20"/>
      <x:c r="O32" s="20"/>
      <x:c r="P32" s="20"/>
      <x:c r="Q32" s="1" t="s">
        <x:v>619</x:v>
      </x:c>
      <x:c r="R32" s="1" t="s">
        <x:v>567</x:v>
      </x:c>
      <x:c r="S32" s="1" t="s">
        <x:v>540</x:v>
      </x:c>
      <x:c r="T32" s="1" t="s">
        <x:v>594</x:v>
      </x:c>
      <x:c r="U32" s="1" t="s">
        <x:v>637</x:v>
      </x:c>
      <x:c r="V32" s="1">
        <x:v>0.8</x:v>
      </x:c>
      <x:c r="W32" s="1" t="n">
        <x:f>V32*5*5</x:f>
        <x:v>20</x:v>
      </x:c>
      <x:c r="AC32" s="1" t="s">
        <x:v>442</x:v>
      </x:c>
      <x:c r="AD32" s="1" t="s">
        <x:v>638</x:v>
      </x:c>
      <x:c r="AE32" s="1" t="s">
        <x:v>639</x:v>
      </x:c>
    </x:row>
    <x:row r="33" ht="17">
      <x:c r="E33" s="1" t="s">
        <x:v>34</x:v>
      </x:c>
      <x:c r="G33" s="8"/>
      <x:c r="L33" s="8">
        <x:v>1</x:v>
      </x:c>
      <x:c r="M33" s="19" t="s">
        <x:v>27</x:v>
      </x:c>
      <x:c r="AD33" s="1" t="s">
        <x:v>638</x:v>
      </x:c>
      <x:c r="AE33" s="1" t="s">
        <x:v>640</x:v>
      </x:c>
    </x:row>
    <x:row r="34">
      <x:c r="E34" s="1" t="s">
        <x:v>34</x:v>
      </x:c>
      <x:c r="G34" s="8"/>
      <x:c r="M34" s="8" t="s">
        <x:v>123</x:v>
      </x:c>
      <x:c r="AD34" s="1" t="s">
        <x:v>641</x:v>
      </x:c>
      <x:c r="AE34" s="25" t="s">
        <x:v>642</x:v>
      </x:c>
    </x:row>
    <x:row r="35" ht="51">
      <x:c r="C35" s="1">
        <x:v>25</x:v>
      </x:c>
      <x:c r="D35" s="11" t="s">
        <x:v>91</x:v>
      </x:c>
      <x:c r="E35" s="1" t="s">
        <x:v>34</x:v>
      </x:c>
      <x:c r="F35" s="1">
        <x:v>30</x:v>
      </x:c>
      <x:c r="G35" s="20" t="s">
        <x:v>643</x:v>
      </x:c>
      <x:c r="H35" s="20"/>
      <x:c r="I35" s="20"/>
      <x:c r="J35" s="20"/>
      <x:c r="K35" s="20"/>
      <x:c r="L35" s="20">
        <x:v>2</x:v>
      </x:c>
      <x:c r="M35" s="20" t="s">
        <x:v>27</x:v>
      </x:c>
      <x:c r="N35" s="20"/>
      <x:c r="O35" s="20"/>
      <x:c r="P35" s="20"/>
      <x:c r="Q35" s="1" t="s">
        <x:v>420</x:v>
      </x:c>
      <x:c r="R35" s="1" t="s">
        <x:v>567</x:v>
      </x:c>
      <x:c r="S35" s="1" t="s">
        <x:v>442</x:v>
      </x:c>
      <x:c r="T35" s="1" t="s">
        <x:v>644</x:v>
      </x:c>
      <x:c r="U35" s="1" t="s">
        <x:v>645</x:v>
      </x:c>
      <x:c r="V35" s="1">
        <x:v>1</x:v>
      </x:c>
      <x:c r="W35" s="1" t="n">
        <x:f>V35*4*3</x:f>
        <x:v>12</x:v>
      </x:c>
      <x:c r="AC35" s="1" t="s">
        <x:v>446</x:v>
      </x:c>
      <x:c r="AD35" s="1" t="s">
        <x:v>646</x:v>
      </x:c>
      <x:c r="AE35" s="25" t="s">
        <x:v>647</x:v>
      </x:c>
    </x:row>
    <x:row r="36" ht="17">
      <x:c r="E36" s="1" t="s">
        <x:v>34</x:v>
      </x:c>
      <x:c r="G36" s="8"/>
      <x:c r="L36" s="20"/>
      <x:c r="M36" s="20" t="s">
        <x:v>648</x:v>
      </x:c>
      <x:c r="AC36" s="1" t="s">
        <x:v>649</x:v>
      </x:c>
      <x:c r="AD36" s="1" t="s">
        <x:v>650</x:v>
      </x:c>
      <x:c r="AE36" s="25" t="s">
        <x:v>651</x:v>
      </x:c>
    </x:row>
    <x:row r="37" ht="17">
      <x:c r="E37" s="1" t="s">
        <x:v>34</x:v>
      </x:c>
      <x:c r="G37" s="8"/>
      <x:c r="L37" s="8">
        <x:v>3</x:v>
      </x:c>
      <x:c r="M37" s="20" t="s">
        <x:v>648</x:v>
      </x:c>
    </x:row>
    <x:row r="38" ht="34">
      <x:c r="C38" s="1">
        <x:v>26</x:v>
      </x:c>
      <x:c r="D38" s="12" t="s">
        <x:v>652</x:v>
      </x:c>
      <x:c r="E38" s="1" t="s">
        <x:v>27</x:v>
      </x:c>
      <x:c r="F38" s="1">
        <x:v>40</x:v>
      </x:c>
      <x:c r="G38" s="20" t="s">
        <x:v>653</x:v>
      </x:c>
      <x:c r="H38" s="20"/>
      <x:c r="I38" s="20"/>
      <x:c r="J38" s="20"/>
      <x:c r="K38" s="20"/>
      <x:c r="M38" s="20" t="s">
        <x:v>27</x:v>
      </x:c>
      <x:c r="N38" s="20"/>
      <x:c r="O38" s="20"/>
      <x:c r="P38" s="20"/>
      <x:c r="Q38" s="1" t="s">
        <x:v>437</x:v>
      </x:c>
      <x:c r="R38" s="1" t="s">
        <x:v>567</x:v>
      </x:c>
      <x:c r="S38" s="1" t="s">
        <x:v>540</x:v>
      </x:c>
      <x:c r="T38" s="1" t="s">
        <x:v>437</x:v>
      </x:c>
      <x:c r="U38" s="1" t="s">
        <x:v>437</x:v>
      </x:c>
    </x:row>
    <x:row r="39">
      <x:c r="E39" s="1" t="s">
        <x:v>27</x:v>
      </x:c>
      <x:c r="G39" s="8"/>
      <x:c r="L39" s="20">
        <x:v>4</x:v>
      </x:c>
      <x:c r="M39" s="8" t="s">
        <x:v>123</x:v>
      </x:c>
      <x:c r="AD39" s="1" t="s">
        <x:v>542</x:v>
      </x:c>
      <x:c r="AE39" s="1" t="s">
        <x:v>544</x:v>
      </x:c>
    </x:row>
    <x:row r="40" ht="34">
      <x:c r="C40" s="1">
        <x:v>27</x:v>
      </x:c>
      <x:c r="D40" s="15" t="s">
        <x:v>128</x:v>
      </x:c>
      <x:c r="E40" s="1" t="s">
        <x:v>27</x:v>
      </x:c>
      <x:c r="F40" s="1">
        <x:v>40</x:v>
      </x:c>
      <x:c r="G40" s="20" t="s">
        <x:v>654</x:v>
      </x:c>
      <x:c r="H40" s="20"/>
      <x:c r="I40" s="20"/>
      <x:c r="J40" s="20"/>
      <x:c r="K40" s="20"/>
      <x:c r="L40" s="20"/>
      <x:c r="M40" s="19" t="s">
        <x:v>27</x:v>
      </x:c>
      <x:c r="N40" s="20"/>
      <x:c r="O40" s="20"/>
      <x:c r="P40" s="20"/>
      <x:c r="Q40" s="1" t="s">
        <x:v>421</x:v>
      </x:c>
      <x:c r="R40" s="1" t="s">
        <x:v>593</x:v>
      </x:c>
      <x:c r="S40" s="1" t="s">
        <x:v>501</x:v>
      </x:c>
      <x:c r="T40" s="1" t="s">
        <x:v>594</x:v>
      </x:c>
      <x:c r="U40" s="1" t="s">
        <x:v>655</x:v>
      </x:c>
      <x:c r="W40" s="1" t="n">
        <x:f>4</x:f>
        <x:v>4</x:v>
      </x:c>
      <x:c r="AD40" s="1" t="s">
        <x:v>656</x:v>
      </x:c>
      <x:c r="AE40" s="1" t="s">
        <x:v>657</x:v>
      </x:c>
    </x:row>
    <x:row r="41">
      <x:c r="E41" s="1" t="s">
        <x:v>27</x:v>
      </x:c>
      <x:c r="G41" s="8"/>
      <x:c r="L41" s="20"/>
      <x:c r="M41" s="20"/>
      <x:c r="AD41" s="1" t="s">
        <x:v>658</x:v>
      </x:c>
      <x:c r="AE41" s="1" t="s">
        <x:v>659</x:v>
      </x:c>
    </x:row>
    <x:row r="42" ht="51">
      <x:c r="C42" s="1">
        <x:v>27</x:v>
      </x:c>
      <x:c r="D42" s="10" t="s">
        <x:v>131</x:v>
      </x:c>
      <x:c r="E42" s="1" t="s">
        <x:v>27</x:v>
      </x:c>
      <x:c r="F42" s="1">
        <x:v>40</x:v>
      </x:c>
      <x:c r="G42" s="20" t="s">
        <x:v>660</x:v>
      </x:c>
      <x:c r="H42" s="20"/>
      <x:c r="I42" s="20"/>
      <x:c r="J42" s="20"/>
      <x:c r="K42" s="20"/>
      <x:c r="L42" s="20"/>
      <x:c r="M42" s="20"/>
      <x:c r="N42" s="20"/>
      <x:c r="O42" s="20"/>
      <x:c r="P42" s="20"/>
      <x:c r="Q42" s="1" t="s">
        <x:v>421</x:v>
      </x:c>
      <x:c r="R42" s="1" t="s">
        <x:v>593</x:v>
      </x:c>
      <x:c r="S42" s="1" t="s">
        <x:v>501</x:v>
      </x:c>
      <x:c r="T42" s="1" t="s">
        <x:v>535</x:v>
      </x:c>
      <x:c r="U42" s="1" t="s">
        <x:v>661</x:v>
      </x:c>
      <x:c r="W42" s="1" t="n">
        <x:f>2*5</x:f>
        <x:v>10</x:v>
      </x:c>
      <x:c r="AD42" s="1" t="s">
        <x:v>662</x:v>
      </x:c>
      <x:c r="AE42" s="1" t="s">
        <x:v>663</x:v>
      </x:c>
    </x:row>
    <x:row r="43" ht="17.600000381469727" customHeight="1">
      <x:c r="E43" s="1" t="s">
        <x:v>27</x:v>
      </x:c>
      <x:c r="G43" s="8"/>
      <x:c r="AD43" s="1" t="s">
        <x:v>664</x:v>
      </x:c>
      <x:c r="AE43" s="1" t="s">
        <x:v>665</x:v>
      </x:c>
    </x:row>
    <x:row r="44" ht="34">
      <x:c r="C44" s="1">
        <x:v>28</x:v>
      </x:c>
      <x:c r="D44" s="10" t="s">
        <x:v>666</x:v>
      </x:c>
      <x:c r="E44" s="1" t="s">
        <x:v>27</x:v>
      </x:c>
      <x:c r="F44" s="1">
        <x:v>40</x:v>
      </x:c>
      <x:c r="G44" s="20" t="s">
        <x:v>667</x:v>
      </x:c>
      <x:c r="H44" s="20"/>
      <x:c r="I44" s="20"/>
      <x:c r="J44" s="20"/>
      <x:c r="K44" s="20"/>
      <x:c r="L44" s="20"/>
      <x:c r="M44" s="20"/>
      <x:c r="N44" s="20"/>
      <x:c r="O44" s="20"/>
      <x:c r="P44" s="20"/>
      <x:c r="Q44" s="1" t="s">
        <x:v>420</x:v>
      </x:c>
      <x:c r="R44" s="1" t="s">
        <x:v>593</x:v>
      </x:c>
      <x:c r="S44" s="1" t="s">
        <x:v>501</x:v>
      </x:c>
      <x:c r="T44" s="1" t="s">
        <x:v>535</x:v>
      </x:c>
      <x:c r="U44" s="1" t="s">
        <x:v>668</x:v>
      </x:c>
    </x:row>
    <x:row r="45">
      <x:c r="E45" s="1" t="s">
        <x:v>27</x:v>
      </x:c>
      <x:c r="G45" s="8"/>
      <x:c r="AD45" s="1" t="s">
        <x:v>669</x:v>
      </x:c>
      <x:c r="AE45" s="1" t="s">
        <x:v>670</x:v>
      </x:c>
    </x:row>
    <x:row r="46" ht="51">
      <x:c r="C46" s="1">
        <x:v>29</x:v>
      </x:c>
      <x:c r="D46" s="10" t="s">
        <x:v>134</x:v>
      </x:c>
      <x:c r="E46" s="1" t="s">
        <x:v>27</x:v>
      </x:c>
      <x:c r="F46" s="1">
        <x:v>40</x:v>
      </x:c>
      <x:c r="G46" s="20" t="s">
        <x:v>671</x:v>
      </x:c>
      <x:c r="H46" s="20"/>
      <x:c r="I46" s="20"/>
      <x:c r="J46" s="20"/>
      <x:c r="K46" s="20"/>
      <x:c r="L46" s="20"/>
      <x:c r="M46" s="20"/>
      <x:c r="N46" s="20"/>
      <x:c r="O46" s="20"/>
      <x:c r="P46" s="20"/>
      <x:c r="Q46" s="1" t="s">
        <x:v>592</x:v>
      </x:c>
      <x:c r="R46" s="1" t="s">
        <x:v>593</x:v>
      </x:c>
      <x:c r="S46" s="1" t="s">
        <x:v>501</x:v>
      </x:c>
      <x:c r="T46" s="1" t="s">
        <x:v>644</x:v>
      </x:c>
      <x:c r="AD46" s="1" t="s">
        <x:v>672</x:v>
      </x:c>
      <x:c r="AE46" s="1" t="s">
        <x:v>673</x:v>
      </x:c>
    </x:row>
    <x:row r="47">
      <x:c r="E47" s="1" t="s">
        <x:v>27</x:v>
      </x:c>
      <x:c r="AD47" s="1" t="s">
        <x:v>674</x:v>
      </x:c>
      <x:c r="AE47" s="1" t="s">
        <x:v>675</x:v>
      </x:c>
    </x:row>
    <x:row r="48" ht="51">
      <x:c r="C48" s="1">
        <x:v>30</x:v>
      </x:c>
      <x:c r="D48" s="10" t="s">
        <x:v>676</x:v>
      </x:c>
      <x:c r="E48" s="1" t="s">
        <x:v>27</x:v>
      </x:c>
      <x:c r="F48" s="1">
        <x:v>40</x:v>
      </x:c>
      <x:c r="G48" s="19" t="s">
        <x:v>677</x:v>
      </x:c>
      <x:c r="H48" s="20"/>
      <x:c r="I48" s="20"/>
      <x:c r="J48" s="20"/>
      <x:c r="K48" s="20"/>
      <x:c r="L48" s="20"/>
      <x:c r="M48" s="20"/>
      <x:c r="N48" s="20"/>
      <x:c r="O48" s="20"/>
      <x:c r="P48" s="20"/>
      <x:c r="Q48" s="1" t="s">
        <x:v>592</x:v>
      </x:c>
      <x:c r="R48" s="1" t="s">
        <x:v>593</x:v>
      </x:c>
      <x:c r="S48" s="1" t="s">
        <x:v>540</x:v>
      </x:c>
      <x:c r="T48" s="1" t="s">
        <x:v>446</x:v>
      </x:c>
      <x:c r="AD48" s="1" t="s">
        <x:v>678</x:v>
      </x:c>
      <x:c r="AE48" s="1" t="s">
        <x:v>679</x:v>
      </x:c>
    </x:row>
    <x:row r="49">
      <x:c r="E49" s="1" t="s">
        <x:v>27</x:v>
      </x:c>
      <x:c r="AD49" s="1" t="s">
        <x:v>680</x:v>
      </x:c>
      <x:c r="AE49" s="1" t="s">
        <x:v>681</x:v>
      </x:c>
    </x:row>
    <x:row r="50" ht="34">
      <x:c r="C50" s="1">
        <x:v>31</x:v>
      </x:c>
      <x:c r="D50" s="12" t="s">
        <x:v>137</x:v>
      </x:c>
      <x:c r="E50" s="1" t="s">
        <x:v>27</x:v>
      </x:c>
      <x:c r="F50" s="1">
        <x:v>40</x:v>
      </x:c>
      <x:c r="G50" s="19" t="s">
        <x:v>682</x:v>
      </x:c>
      <x:c r="Q50" s="1" t="s">
        <x:v>437</x:v>
      </x:c>
      <x:c r="R50" s="1" t="s">
        <x:v>593</x:v>
      </x:c>
      <x:c r="S50" s="1" t="s">
        <x:v>540</x:v>
      </x:c>
      <x:c r="T50" s="1" t="s">
        <x:v>446</x:v>
      </x:c>
      <x:c r="AD50" s="1" t="s">
        <x:v>683</x:v>
      </x:c>
      <x:c r="AE50" s="1" t="s">
        <x:v>684</x:v>
      </x:c>
    </x:row>
    <x:row r="51">
      <x:c r="E51" s="1" t="s">
        <x:v>27</x:v>
      </x:c>
      <x:c r="AD51" s="1" t="s">
        <x:v>685</x:v>
      </x:c>
      <x:c r="AE51" s="1" t="s">
        <x:v>686</x:v>
      </x:c>
    </x:row>
    <x:row r="52" ht="17.600000381469727">
      <x:c r="C52" s="1">
        <x:v>32</x:v>
      </x:c>
      <x:c r="D52" s="12" t="s">
        <x:v>687</x:v>
      </x:c>
      <x:c r="E52" s="1" t="s">
        <x:v>27</x:v>
      </x:c>
      <x:c r="F52" s="1">
        <x:v>40</x:v>
      </x:c>
      <x:c r="G52" s="1" t="s">
        <x:v>688</x:v>
      </x:c>
      <x:c r="H52" s="20"/>
      <x:c r="I52" s="20"/>
      <x:c r="J52" s="20"/>
      <x:c r="K52" s="20"/>
      <x:c r="L52" s="20"/>
      <x:c r="M52" s="20"/>
      <x:c r="N52" s="20"/>
      <x:c r="O52" s="20"/>
      <x:c r="P52" s="20"/>
      <x:c r="Q52" s="1" t="s">
        <x:v>420</x:v>
      </x:c>
      <x:c r="R52" s="1" t="s">
        <x:v>567</x:v>
      </x:c>
      <x:c r="S52" s="1" t="s">
        <x:v>442</x:v>
      </x:c>
      <x:c r="T52" s="1" t="s">
        <x:v>689</x:v>
      </x:c>
      <x:c r="W52" s="1" t="n">
        <x:f>4*6</x:f>
        <x:v>24</x:v>
      </x:c>
      <x:c r="AD52" s="1" t="s">
        <x:v>690</x:v>
      </x:c>
      <x:c r="AE52" s="1" t="s">
        <x:v>691</x:v>
      </x:c>
    </x:row>
    <x:row r="53">
      <x:c r="E53" s="1" t="s">
        <x:v>27</x:v>
      </x:c>
      <x:c r="AD53" s="1" t="s">
        <x:v>692</x:v>
      </x:c>
      <x:c r="AE53" s="1" t="s">
        <x:v>693</x:v>
      </x:c>
    </x:row>
    <x:row r="54" ht="51">
      <x:c r="C54" s="1">
        <x:v>33</x:v>
      </x:c>
      <x:c r="D54" s="16" t="s">
        <x:v>694</x:v>
      </x:c>
      <x:c r="E54" s="1" t="s">
        <x:v>27</x:v>
      </x:c>
      <x:c r="F54" s="1">
        <x:v>40</x:v>
      </x:c>
      <x:c r="G54" s="19" t="s">
        <x:v>695</x:v>
      </x:c>
      <x:c r="H54" s="20"/>
      <x:c r="I54" s="20"/>
      <x:c r="J54" s="20"/>
      <x:c r="K54" s="20"/>
      <x:c r="L54" s="20"/>
      <x:c r="M54" s="20"/>
      <x:c r="N54" s="20"/>
      <x:c r="O54" s="20"/>
      <x:c r="P54" s="20"/>
      <x:c r="Q54" s="1" t="s">
        <x:v>421</x:v>
      </x:c>
      <x:c r="R54" s="1" t="s">
        <x:v>696</x:v>
      </x:c>
      <x:c r="S54" s="1" t="s">
        <x:v>501</x:v>
      </x:c>
      <x:c r="AD54" s="1" t="s">
        <x:v>697</x:v>
      </x:c>
      <x:c r="AE54" s="1" t="s">
        <x:v>698</x:v>
      </x:c>
    </x:row>
    <x:row r="55">
      <x:c r="E55" s="1" t="s">
        <x:v>27</x:v>
      </x:c>
      <x:c r="AD55" s="1" t="s">
        <x:v>699</x:v>
      </x:c>
      <x:c r="AE55" s="1" t="s">
        <x:v>700</x:v>
      </x:c>
    </x:row>
    <x:row r="56" ht="51">
      <x:c r="C56" s="1">
        <x:v>34</x:v>
      </x:c>
      <x:c r="D56" s="10" t="s">
        <x:v>155</x:v>
      </x:c>
      <x:c r="E56" s="1" t="s">
        <x:v>82</x:v>
      </x:c>
      <x:c r="F56" s="1">
        <x:v>60</x:v>
      </x:c>
      <x:c r="G56" s="19" t="s">
        <x:v>701</x:v>
      </x:c>
      <x:c r="H56" s="20"/>
      <x:c r="I56" s="20"/>
      <x:c r="J56" s="20"/>
      <x:c r="K56" s="20"/>
      <x:c r="L56" s="20"/>
      <x:c r="M56" s="20"/>
      <x:c r="N56" s="20"/>
      <x:c r="O56" s="20"/>
      <x:c r="P56" s="20"/>
      <x:c r="Q56" s="1" t="s">
        <x:v>421</x:v>
      </x:c>
      <x:c r="R56" s="1" t="s">
        <x:v>696</x:v>
      </x:c>
      <x:c r="S56" s="1" t="s">
        <x:v>501</x:v>
      </x:c>
    </x:row>
    <x:row r="57">
      <x:c r="E57" s="1" t="s">
        <x:v>82</x:v>
      </x:c>
    </x:row>
    <x:row r="58" ht="51">
      <x:c r="C58" s="1">
        <x:v>35</x:v>
      </x:c>
      <x:c r="D58" s="10" t="s">
        <x:v>702</x:v>
      </x:c>
      <x:c r="E58" s="1" t="s">
        <x:v>27</x:v>
      </x:c>
      <x:c r="F58" s="1">
        <x:v>60</x:v>
      </x:c>
      <x:c r="G58" s="19" t="s">
        <x:v>703</x:v>
      </x:c>
    </x:row>
    <x:row r="59">
      <x:c r="E59" s="1" t="s">
        <x:v>27</x:v>
      </x:c>
      <x:c r="H59" s="20"/>
      <x:c r="I59" s="20"/>
      <x:c r="J59" s="20"/>
      <x:c r="K59" s="20"/>
      <x:c r="L59" s="20"/>
      <x:c r="M59" s="20"/>
      <x:c r="N59" s="20"/>
      <x:c r="O59" s="20"/>
      <x:c r="P59" s="20"/>
      <x:c r="Q59" s="1" t="s">
        <x:v>420</x:v>
      </x:c>
      <x:c r="R59" s="1" t="s">
        <x:v>567</x:v>
      </x:c>
      <x:c r="S59" s="1" t="s">
        <x:v>540</x:v>
      </x:c>
    </x:row>
    <x:row r="60">
      <x:c r="E60" s="1" t="s">
        <x:v>27</x:v>
      </x:c>
    </x:row>
    <x:row r="61" ht="34">
      <x:c r="C61" s="1">
        <x:v>36</x:v>
      </x:c>
      <x:c r="D61" s="12" t="s">
        <x:v>704</x:v>
      </x:c>
      <x:c r="E61" s="1" t="s">
        <x:v>27</x:v>
      </x:c>
      <x:c r="F61" s="1">
        <x:v>60</x:v>
      </x:c>
      <x:c r="G61" s="19" t="s">
        <x:v>705</x:v>
      </x:c>
    </x:row>
    <x:row r="62">
      <x:c r="E62" s="1" t="s">
        <x:v>27</x:v>
      </x:c>
      <x:c r="H62" s="20"/>
      <x:c r="I62" s="20"/>
      <x:c r="J62" s="20"/>
      <x:c r="K62" s="20"/>
      <x:c r="L62" s="20"/>
      <x:c r="M62" s="20"/>
      <x:c r="N62" s="20"/>
      <x:c r="O62" s="20"/>
      <x:c r="P62" s="20"/>
      <x:c r="Q62" s="1" t="s">
        <x:v>417</x:v>
      </x:c>
      <x:c r="R62" s="1" t="s">
        <x:v>593</x:v>
      </x:c>
      <x:c r="S62" s="1" t="s">
        <x:v>501</x:v>
      </x:c>
    </x:row>
    <x:row r="63">
      <x:c r="E63" s="1" t="s">
        <x:v>27</x:v>
      </x:c>
    </x:row>
    <x:row r="64" ht="51">
      <x:c r="C64" s="1">
        <x:v>37</x:v>
      </x:c>
      <x:c r="D64" s="10" t="s">
        <x:v>149</x:v>
      </x:c>
      <x:c r="E64" s="1" t="s">
        <x:v>82</x:v>
      </x:c>
      <x:c r="F64" s="1">
        <x:v>60</x:v>
      </x:c>
      <x:c r="G64" s="19" t="s">
        <x:v>706</x:v>
      </x:c>
      <x:c r="H64" s="20"/>
      <x:c r="I64" s="20"/>
      <x:c r="J64" s="20"/>
      <x:c r="K64" s="20"/>
      <x:c r="L64" s="20"/>
      <x:c r="M64" s="20"/>
      <x:c r="N64" s="20"/>
      <x:c r="O64" s="20"/>
      <x:c r="P64" s="20"/>
      <x:c r="Q64" s="1" t="s">
        <x:v>420</x:v>
      </x:c>
      <x:c r="R64" s="1" t="s">
        <x:v>593</x:v>
      </x:c>
      <x:c r="S64" s="1" t="s">
        <x:v>540</x:v>
      </x:c>
    </x:row>
    <x:row r="65">
      <x:c r="E65" s="1" t="s">
        <x:v>82</x:v>
      </x:c>
    </x:row>
    <x:row r="66" ht="34">
      <x:c r="C66" s="1">
        <x:v>38</x:v>
      </x:c>
      <x:c r="D66" s="12" t="s">
        <x:v>125</x:v>
      </x:c>
      <x:c r="E66" s="1" t="s">
        <x:v>82</x:v>
      </x:c>
      <x:c r="F66" s="1">
        <x:v>60</x:v>
      </x:c>
      <x:c r="G66" s="19" t="s">
        <x:v>707</x:v>
      </x:c>
      <x:c r="H66" s="20"/>
      <x:c r="I66" s="20"/>
      <x:c r="J66" s="20"/>
      <x:c r="K66" s="20"/>
      <x:c r="L66" s="20"/>
      <x:c r="M66" s="20"/>
      <x:c r="N66" s="20"/>
      <x:c r="O66" s="20"/>
      <x:c r="P66" s="20"/>
      <x:c r="Q66" s="1" t="s">
        <x:v>420</x:v>
      </x:c>
      <x:c r="R66" s="1" t="s">
        <x:v>567</x:v>
      </x:c>
      <x:c r="S66" s="1" t="s">
        <x:v>501</x:v>
      </x:c>
    </x:row>
    <x:row r="67">
      <x:c r="E67" s="1" t="s">
        <x:v>82</x:v>
      </x:c>
    </x:row>
    <x:row r="68" ht="34">
      <x:c r="C68" s="1">
        <x:v>39</x:v>
      </x:c>
      <x:c r="D68" s="10" t="s">
        <x:v>164</x:v>
      </x:c>
      <x:c r="E68" s="1" t="s">
        <x:v>27</x:v>
      </x:c>
      <x:c r="F68" s="1">
        <x:v>60</x:v>
      </x:c>
      <x:c r="G68" s="19" t="s">
        <x:v>708</x:v>
      </x:c>
    </x:row>
    <x:row r="69">
      <x:c r="E69" s="1" t="s">
        <x:v>27</x:v>
      </x:c>
      <x:c r="H69" s="20"/>
      <x:c r="I69" s="20"/>
      <x:c r="J69" s="20"/>
      <x:c r="K69" s="20"/>
      <x:c r="L69" s="20"/>
      <x:c r="M69" s="20"/>
      <x:c r="N69" s="20"/>
      <x:c r="O69" s="20"/>
      <x:c r="P69" s="20"/>
      <x:c r="Q69" s="1" t="s">
        <x:v>437</x:v>
      </x:c>
      <x:c r="R69" s="1" t="s">
        <x:v>567</x:v>
      </x:c>
      <x:c r="S69" s="1" t="s">
        <x:v>540</x:v>
      </x:c>
    </x:row>
    <x:row r="70">
      <x:c r="E70" s="1" t="s">
        <x:v>27</x:v>
      </x:c>
    </x:row>
    <x:row r="71" ht="51">
      <x:c r="C71" s="1">
        <x:v>40</x:v>
      </x:c>
      <x:c r="D71" s="12" t="s">
        <x:v>152</x:v>
      </x:c>
      <x:c r="E71" s="1" t="s">
        <x:v>27</x:v>
      </x:c>
      <x:c r="F71" s="1">
        <x:v>60</x:v>
      </x:c>
      <x:c r="G71" s="19" t="s">
        <x:v>709</x:v>
      </x:c>
    </x:row>
    <x:row r="72">
      <x:c r="E72" s="1" t="s">
        <x:v>27</x:v>
      </x:c>
      <x:c r="H72" s="20"/>
      <x:c r="I72" s="20"/>
      <x:c r="J72" s="20"/>
      <x:c r="K72" s="20"/>
      <x:c r="L72" s="20"/>
      <x:c r="M72" s="20"/>
      <x:c r="N72" s="20"/>
      <x:c r="O72" s="20"/>
      <x:c r="P72" s="20"/>
      <x:c r="Q72" s="1" t="s">
        <x:v>421</x:v>
      </x:c>
      <x:c r="R72" s="1" t="s">
        <x:v>593</x:v>
      </x:c>
      <x:c r="S72" s="1" t="s">
        <x:v>442</x:v>
      </x:c>
    </x:row>
    <x:row r="73">
      <x:c r="E73" s="1" t="s">
        <x:v>27</x:v>
      </x:c>
    </x:row>
    <x:row r="74" ht="34">
      <x:c r="C74" s="1">
        <x:v>41</x:v>
      </x:c>
      <x:c r="D74" s="16" t="s">
        <x:v>710</x:v>
      </x:c>
      <x:c r="E74" s="1" t="s">
        <x:v>82</x:v>
      </x:c>
      <x:c r="F74" s="1">
        <x:v>60</x:v>
      </x:c>
      <x:c r="G74" s="19" t="s">
        <x:v>711</x:v>
      </x:c>
      <x:c r="H74" s="20"/>
      <x:c r="I74" s="20"/>
      <x:c r="J74" s="20"/>
      <x:c r="K74" s="20"/>
      <x:c r="L74" s="20"/>
      <x:c r="M74" s="20"/>
      <x:c r="N74" s="20"/>
      <x:c r="O74" s="20"/>
      <x:c r="P74" s="20"/>
      <x:c r="Q74" s="1" t="s">
        <x:v>437</x:v>
      </x:c>
      <x:c r="R74" s="1" t="s">
        <x:v>567</x:v>
      </x:c>
      <x:c r="S74" s="1" t="s">
        <x:v>540</x:v>
      </x:c>
    </x:row>
    <x:row r="75">
      <x:c r="E75" s="1" t="s">
        <x:v>82</x:v>
      </x:c>
    </x:row>
    <x:row r="76" ht="34">
      <x:c r="C76" s="1">
        <x:v>42</x:v>
      </x:c>
      <x:c r="D76" s="12" t="s">
        <x:v>712</x:v>
      </x:c>
      <x:c r="E76" s="1" t="s">
        <x:v>27</x:v>
      </x:c>
      <x:c r="F76" s="1">
        <x:v>30</x:v>
      </x:c>
      <x:c r="G76" s="19" t="s">
        <x:v>713</x:v>
      </x:c>
      <x:c r="H76" s="20"/>
      <x:c r="I76" s="20"/>
      <x:c r="J76" s="20"/>
      <x:c r="K76" s="20"/>
      <x:c r="L76" s="20"/>
      <x:c r="M76" s="20"/>
      <x:c r="N76" s="20"/>
      <x:c r="O76" s="20"/>
      <x:c r="P76" s="20"/>
      <x:c r="Q76" s="1" t="s">
        <x:v>421</x:v>
      </x:c>
      <x:c r="R76" s="1" t="s">
        <x:v>567</x:v>
      </x:c>
      <x:c r="S76" s="1" t="s">
        <x:v>501</x:v>
      </x:c>
    </x:row>
    <x:row r="77">
      <x:c r="E77" s="1" t="s">
        <x:v>648</x:v>
      </x:c>
    </x:row>
    <x:row r="78" ht="68">
      <x:c r="C78" s="1">
        <x:v>43</x:v>
      </x:c>
      <x:c r="D78" s="10" t="s">
        <x:v>121</x:v>
      </x:c>
      <x:c r="E78" s="1" t="s">
        <x:v>123</x:v>
      </x:c>
      <x:c r="F78" s="1">
        <x:v>30</x:v>
      </x:c>
      <x:c r="G78" s="21" t="s">
        <x:v>714</x:v>
      </x:c>
      <x:c r="H78" s="20"/>
      <x:c r="I78" s="20"/>
      <x:c r="J78" s="20"/>
      <x:c r="K78" s="20"/>
      <x:c r="L78" s="20"/>
      <x:c r="M78" s="20"/>
      <x:c r="N78" s="20"/>
      <x:c r="O78" s="20"/>
      <x:c r="P78" s="20"/>
      <x:c r="Q78" s="1" t="s">
        <x:v>421</x:v>
      </x:c>
      <x:c r="R78" s="1" t="s">
        <x:v>593</x:v>
      </x:c>
      <x:c r="S78" s="1" t="s">
        <x:v>442</x:v>
      </x:c>
      <x:c r="U78" s="10"/>
      <x:c r="V78" s="26"/>
      <x:c r="W78" s="26"/>
      <x:c r="X78" s="26"/>
      <x:c r="Y78" s="26"/>
      <x:c r="Z78" s="26"/>
      <x:c r="AA78" s="26"/>
      <x:c r="AB78" s="26"/>
    </x:row>
    <x:row r="79" ht="17.600000381469727" customHeight="1">
      <x:c r="E79" s="1" t="s">
        <x:v>27</x:v>
      </x:c>
      <x:c r="V79" s="26"/>
    </x:row>
    <x:row r="80" ht="34">
      <x:c r="C80" s="1">
        <x:v>44</x:v>
      </x:c>
      <x:c r="D80" s="11" t="s">
        <x:v>140</x:v>
      </x:c>
      <x:c r="E80" s="1" t="s">
        <x:v>27</x:v>
      </x:c>
      <x:c r="F80" s="1">
        <x:v>40</x:v>
      </x:c>
      <x:c r="G80" s="19" t="s">
        <x:v>715</x:v>
      </x:c>
      <x:c r="V80" s="26"/>
      <x:c r="W80" s="26"/>
      <x:c r="X80" s="26"/>
      <x:c r="Y80" s="26"/>
      <x:c r="Z80" s="26"/>
      <x:c r="AA80" s="26"/>
      <x:c r="AB80" s="26"/>
    </x:row>
    <x:row r="81">
      <x:c r="E81" s="1" t="s">
        <x:v>648</x:v>
      </x:c>
      <x:c r="H81" s="20"/>
      <x:c r="I81" s="20"/>
      <x:c r="J81" s="20"/>
      <x:c r="K81" s="20"/>
      <x:c r="L81" s="20"/>
      <x:c r="M81" s="20"/>
      <x:c r="N81" s="20"/>
      <x:c r="O81" s="20"/>
      <x:c r="P81" s="20"/>
      <x:c r="Q81" s="1" t="s">
        <x:v>417</x:v>
      </x:c>
      <x:c r="R81" s="1" t="s">
        <x:v>696</x:v>
      </x:c>
      <x:c r="S81" s="1" t="s">
        <x:v>442</x:v>
      </x:c>
    </x:row>
    <x:row r="82">
      <x:c r="E82" s="1" t="s">
        <x:v>648</x:v>
      </x:c>
    </x:row>
    <x:row r="83" ht="34">
      <x:c r="C83" s="1">
        <x:v>45</x:v>
      </x:c>
      <x:c r="D83" s="11" t="s">
        <x:v>161</x:v>
      </x:c>
      <x:c r="E83" s="1" t="s">
        <x:v>82</x:v>
      </x:c>
      <x:c r="F83" s="1">
        <x:v>110</x:v>
      </x:c>
      <x:c r="G83" s="19" t="s">
        <x:v>487</x:v>
      </x:c>
      <x:c r="V83" s="26"/>
    </x:row>
    <x:row r="84" ht="17.600000381469727" customHeight="1">
      <x:c r="E84" s="1" t="s">
        <x:v>82</x:v>
      </x:c>
      <x:c r="U84" s="26"/>
      <x:c r="V84" s="26"/>
      <x:c r="W84" s="26"/>
      <x:c r="X84" s="26"/>
      <x:c r="Y84" s="26"/>
      <x:c r="Z84" s="26"/>
      <x:c r="AA84" s="26"/>
      <x:c r="AB84" s="26"/>
    </x:row>
    <x:row r="85" ht="17.600000381469727" customHeight="1">
      <x:c r="E85" s="1" t="s">
        <x:v>82</x:v>
      </x:c>
      <x:c r="U85" s="26"/>
      <x:c r="V85" s="26"/>
      <x:c r="W85" s="26"/>
      <x:c r="X85" s="26"/>
      <x:c r="Y85" s="26"/>
      <x:c r="Z85" s="26"/>
      <x:c r="AA85" s="26"/>
      <x:c r="AB85" s="26"/>
    </x:row>
    <x:row r="86" ht="17.600000381469727">
      <x:c r="E86" s="1" t="s">
        <x:v>716</x:v>
      </x:c>
      <x:c r="H86" s="20"/>
      <x:c r="I86" s="20"/>
      <x:c r="J86" s="20"/>
      <x:c r="K86" s="20"/>
      <x:c r="L86" s="20"/>
      <x:c r="M86" s="20"/>
      <x:c r="N86" s="20"/>
      <x:c r="O86" s="20"/>
      <x:c r="P86" s="20"/>
      <x:c r="Q86" s="1" t="s">
        <x:v>421</x:v>
      </x:c>
      <x:c r="R86" s="1" t="s">
        <x:v>696</x:v>
      </x:c>
      <x:c r="S86" s="1" t="s">
        <x:v>501</x:v>
      </x:c>
      <x:c r="U86" s="26"/>
      <x:c r="V86" s="26"/>
      <x:c r="W86" s="26"/>
      <x:c r="X86" s="26"/>
      <x:c r="Y86" s="26"/>
      <x:c r="Z86" s="26"/>
      <x:c r="AA86" s="26"/>
      <x:c r="AB86" s="26"/>
    </x:row>
    <x:row r="87" ht="17.600000381469727" customHeight="1">
      <x:c r="E87" s="1" t="s">
        <x:v>716</x:v>
      </x:c>
      <x:c r="U87" s="26"/>
      <x:c r="V87" s="26"/>
      <x:c r="W87" s="26"/>
      <x:c r="X87" s="26"/>
      <x:c r="Y87" s="26"/>
      <x:c r="Z87" s="26"/>
      <x:c r="AA87" s="26"/>
      <x:c r="AB87" s="26"/>
    </x:row>
    <x:row r="88" ht="51">
      <x:c r="C88" s="1">
        <x:v>46</x:v>
      </x:c>
      <x:c r="D88" s="11" t="s">
        <x:v>158</x:v>
      </x:c>
      <x:c r="E88" s="1" t="s">
        <x:v>82</x:v>
      </x:c>
      <x:c r="F88" s="1">
        <x:v>90</x:v>
      </x:c>
      <x:c r="G88" s="19" t="s">
        <x:v>490</x:v>
      </x:c>
      <x:c r="U88" s="26"/>
      <x:c r="V88" s="26"/>
      <x:c r="W88" s="26"/>
      <x:c r="X88" s="26"/>
      <x:c r="Y88" s="26"/>
      <x:c r="Z88" s="26"/>
      <x:c r="AA88" s="26"/>
      <x:c r="AB88" s="26"/>
    </x:row>
    <x:row r="89" ht="17.600000381469727">
      <x:c r="E89" s="1" t="s">
        <x:v>82</x:v>
      </x:c>
      <x:c r="Q89" s="1" t="s">
        <x:v>417</x:v>
      </x:c>
      <x:c r="R89" s="1" t="s">
        <x:v>696</x:v>
      </x:c>
      <x:c r="S89" s="1" t="s">
        <x:v>540</x:v>
      </x:c>
      <x:c r="V89" s="26"/>
      <x:c r="W89" s="26"/>
      <x:c r="X89" s="26"/>
      <x:c r="Y89" s="26"/>
      <x:c r="Z89" s="26"/>
      <x:c r="AA89" s="26"/>
      <x:c r="AB89" s="26"/>
    </x:row>
    <x:row r="90">
      <x:c r="E90" s="1" t="s">
        <x:v>82</x:v>
      </x:c>
    </x:row>
    <x:row r="91" ht="30" customHeight="1">
      <x:c r="C91" s="1">
        <x:v>47</x:v>
      </x:c>
      <x:c r="D91" s="12" t="s">
        <x:v>167</x:v>
      </x:c>
      <x:c r="E91" s="1" t="s">
        <x:v>717</x:v>
      </x:c>
      <x:c r="F91" s="1">
        <x:v>160</x:v>
      </x:c>
      <x:c r="G91" s="1" t="s">
        <x:v>718</x:v>
      </x:c>
    </x:row>
    <x:row r="92">
      <x:c r="E92" s="1" t="s">
        <x:v>717</x:v>
      </x:c>
    </x:row>
    <x:row r="93">
      <x:c r="E93" s="1" t="s">
        <x:v>719</x:v>
      </x:c>
    </x:row>
    <x:row r="94">
      <x:c r="E94" s="1" t="s">
        <x:v>719</x:v>
      </x:c>
    </x:row>
  </x:sheetData>
  <x:mergeCells>
    <x:mergeCell ref="K5:K10"/>
    <x:mergeCell ref="K11:K2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720</x:v>
      </x:c>
      <x:c r="N4" s="3" t="s">
        <x:v>720</x:v>
      </x:c>
      <x:c r="O4" s="3" t="s">
        <x:v>720</x:v>
      </x:c>
      <x:c r="P4" s="3" t="s">
        <x:v>720</x:v>
      </x:c>
      <x:c r="Q4" s="3"/>
      <x:c r="R4" s="3"/>
      <x:c r="V4" s="2"/>
      <x:c r="W4" s="2"/>
      <x:c r="X4" s="3"/>
      <x:c r="Y4" s="3"/>
      <x:c r="Z4" s="3"/>
      <x:c r="AA4" s="3" t="s">
        <x:v>721</x:v>
      </x:c>
      <x:c r="AB4" s="3" t="s">
        <x:v>721</x:v>
      </x:c>
      <x:c r="AC4" s="3" t="s">
        <x:v>721</x:v>
      </x:c>
      <x:c r="AD4" s="3" t="s">
        <x:v>721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720</x:v>
      </x:c>
      <x:c r="N5" s="3" t="s">
        <x:v>720</x:v>
      </x:c>
      <x:c r="O5" s="3" t="s">
        <x:v>720</x:v>
      </x:c>
      <x:c r="P5" s="3" t="s">
        <x:v>722</x:v>
      </x:c>
      <x:c r="Q5" s="3"/>
      <x:c r="R5" s="3"/>
      <x:c r="V5" s="2"/>
      <x:c r="W5" s="2"/>
      <x:c r="X5" s="3"/>
      <x:c r="Y5" s="3"/>
      <x:c r="Z5" s="3"/>
      <x:c r="AA5" s="3" t="s">
        <x:v>721</x:v>
      </x:c>
      <x:c r="AB5" s="3" t="s">
        <x:v>721</x:v>
      </x:c>
      <x:c r="AC5" s="3" t="s">
        <x:v>721</x:v>
      </x:c>
      <x:c r="AD5" s="3" t="s">
        <x:v>721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723</x:v>
      </x:c>
      <x:c r="K6" s="3" t="s">
        <x:v>723</x:v>
      </x:c>
      <x:c r="L6" s="3" t="s">
        <x:v>723</x:v>
      </x:c>
      <x:c r="M6" s="4" t="s">
        <x:v>724</x:v>
      </x:c>
      <x:c r="N6" s="5"/>
      <x:c r="O6" s="5"/>
      <x:c r="P6" s="5"/>
      <x:c r="Q6" s="3" t="s">
        <x:v>725</x:v>
      </x:c>
      <x:c r="R6" s="3" t="s">
        <x:v>723</x:v>
      </x:c>
      <x:c r="V6" s="2"/>
      <x:c r="W6" s="2"/>
      <x:c r="X6" s="3" t="s">
        <x:v>726</x:v>
      </x:c>
      <x:c r="Y6" s="3" t="s">
        <x:v>726</x:v>
      </x:c>
      <x:c r="Z6" s="3" t="s">
        <x:v>726</x:v>
      </x:c>
      <x:c r="AA6" s="3" t="s">
        <x:v>727</x:v>
      </x:c>
      <x:c r="AB6" s="3" t="s">
        <x:v>727</x:v>
      </x:c>
      <x:c r="AC6" s="3" t="s">
        <x:v>727</x:v>
      </x:c>
      <x:c r="AD6" s="5"/>
      <x:c r="AE6" s="3" t="s">
        <x:v>728</x:v>
      </x:c>
      <x:c r="AF6" s="3" t="s">
        <x:v>728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723</x:v>
      </x:c>
      <x:c r="K7" s="3" t="s">
        <x:v>723</x:v>
      </x:c>
      <x:c r="L7" s="3" t="s">
        <x:v>723</x:v>
      </x:c>
      <x:c r="M7" s="4" t="s">
        <x:v>729</x:v>
      </x:c>
      <x:c r="N7" s="5"/>
      <x:c r="O7" s="4" t="s">
        <x:v>729</x:v>
      </x:c>
      <x:c r="P7" s="5"/>
      <x:c r="Q7" s="3" t="s">
        <x:v>725</x:v>
      </x:c>
      <x:c r="R7" s="3" t="s">
        <x:v>723</x:v>
      </x:c>
      <x:c r="V7" s="2"/>
      <x:c r="W7" s="2"/>
      <x:c r="X7" s="3" t="s">
        <x:v>726</x:v>
      </x:c>
      <x:c r="Y7" s="3" t="s">
        <x:v>726</x:v>
      </x:c>
      <x:c r="Z7" s="3" t="s">
        <x:v>726</x:v>
      </x:c>
      <x:c r="AA7" s="3" t="s">
        <x:v>727</x:v>
      </x:c>
      <x:c r="AB7" s="5"/>
      <x:c r="AC7" s="3" t="s">
        <x:v>721</x:v>
      </x:c>
      <x:c r="AD7" s="5"/>
      <x:c r="AE7" s="3" t="s">
        <x:v>728</x:v>
      </x:c>
      <x:c r="AF7" s="3" t="s">
        <x:v>728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723</x:v>
      </x:c>
      <x:c r="I8" s="3" t="s">
        <x:v>723</x:v>
      </x:c>
      <x:c r="J8" s="3" t="s">
        <x:v>723</x:v>
      </x:c>
      <x:c r="K8" s="3" t="s">
        <x:v>723</x:v>
      </x:c>
      <x:c r="L8" s="3" t="s">
        <x:v>725</x:v>
      </x:c>
      <x:c r="M8" s="5"/>
      <x:c r="N8" s="5"/>
      <x:c r="O8" s="5"/>
      <x:c r="P8" s="5"/>
      <x:c r="Q8" s="3" t="s">
        <x:v>725</x:v>
      </x:c>
      <x:c r="R8" s="3" t="s">
        <x:v>723</x:v>
      </x:c>
      <x:c r="V8" s="3" t="s">
        <x:v>726</x:v>
      </x:c>
      <x:c r="W8" s="3" t="s">
        <x:v>726</x:v>
      </x:c>
      <x:c r="X8" s="3" t="s">
        <x:v>726</x:v>
      </x:c>
      <x:c r="Y8" s="3" t="s">
        <x:v>726</x:v>
      </x:c>
      <x:c r="Z8" s="3" t="s">
        <x:v>726</x:v>
      </x:c>
      <x:c r="AA8" s="5"/>
      <x:c r="AB8" s="5"/>
      <x:c r="AC8" s="5"/>
      <x:c r="AD8" s="5"/>
      <x:c r="AE8" s="3" t="s">
        <x:v>728</x:v>
      </x:c>
      <x:c r="AF8" s="3" t="s">
        <x:v>728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722</x:v>
      </x:c>
      <x:c r="N9" s="3" t="s">
        <x:v>722</x:v>
      </x:c>
      <x:c r="O9" s="3" t="s">
        <x:v>722</x:v>
      </x:c>
      <x:c r="P9" s="3" t="s">
        <x:v>722</x:v>
      </x:c>
      <x:c r="Q9" s="3"/>
      <x:c r="R9" s="3"/>
      <x:c r="V9" s="3"/>
      <x:c r="W9" s="3"/>
      <x:c r="X9" s="3"/>
      <x:c r="Y9" s="3"/>
      <x:c r="Z9" s="3"/>
      <x:c r="AA9" s="3" t="s">
        <x:v>730</x:v>
      </x:c>
      <x:c r="AB9" s="3" t="s">
        <x:v>730</x:v>
      </x:c>
      <x:c r="AC9" s="3" t="s">
        <x:v>730</x:v>
      </x:c>
      <x:c r="AD9" s="3" t="s">
        <x:v>730</x:v>
      </x:c>
      <x:c r="AE9" s="3"/>
      <x:c r="AF9" s="3"/>
      <x:c r="AG9" s="6"/>
      <x:c r="AH9" s="6"/>
      <x:c r="AI9" s="6"/>
      <x:c r="AJ9" s="2" t="s">
        <x:v>731</x:v>
      </x:c>
      <x:c r="AK9" s="2" t="s">
        <x:v>731</x:v>
      </x:c>
      <x:c r="AL9" s="2" t="s">
        <x:v>731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720</x:v>
      </x:c>
      <x:c r="N10" s="3" t="s">
        <x:v>720</x:v>
      </x:c>
      <x:c r="O10" s="3" t="s">
        <x:v>720</x:v>
      </x:c>
      <x:c r="P10" s="3" t="s">
        <x:v>720</x:v>
      </x:c>
      <x:c r="Q10" s="3"/>
      <x:c r="R10" s="3"/>
      <x:c r="V10" s="3"/>
      <x:c r="W10" s="3"/>
      <x:c r="X10" s="3"/>
      <x:c r="Y10" s="3"/>
      <x:c r="Z10" s="3"/>
      <x:c r="AA10" s="3" t="s">
        <x:v>730</x:v>
      </x:c>
      <x:c r="AB10" s="3" t="s">
        <x:v>730</x:v>
      </x:c>
      <x:c r="AC10" s="3" t="s">
        <x:v>730</x:v>
      </x:c>
      <x:c r="AD10" s="3" t="s">
        <x:v>730</x:v>
      </x:c>
      <x:c r="AE10" s="3"/>
      <x:c r="AF10" s="3"/>
      <x:c r="AG10" s="6"/>
      <x:c r="AH10" s="6"/>
      <x:c r="AI10" s="6"/>
      <x:c r="AJ10" s="2" t="s">
        <x:v>732</x:v>
      </x:c>
      <x:c r="AK10" s="2" t="s">
        <x:v>732</x:v>
      </x:c>
      <x:c r="AL10" s="2" t="s">
        <x:v>732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720</x:v>
      </x:c>
      <x:c r="N11" s="3" t="s">
        <x:v>720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730</x:v>
      </x:c>
      <x:c r="AB11" s="3" t="s">
        <x:v>730</x:v>
      </x:c>
      <x:c r="AC11" s="2"/>
      <x:c r="AD11" s="2"/>
      <x:c r="AE11" s="2"/>
      <x:c r="AF11" s="2"/>
      <x:c r="AG11" s="6"/>
      <x:c r="AH11" s="6"/>
      <x:c r="AI11" s="6"/>
      <x:c r="AJ11" s="2" t="s">
        <x:v>732</x:v>
      </x:c>
      <x:c r="AK11" s="2" t="s">
        <x:v>732</x:v>
      </x:c>
      <x:c r="AL11" s="2" t="s">
        <x:v>732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720</x:v>
      </x:c>
      <x:c r="N12" s="3" t="s">
        <x:v>720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730</x:v>
      </x:c>
      <x:c r="AB12" s="3" t="s">
        <x:v>730</x:v>
      </x:c>
      <x:c r="AC12" s="2"/>
      <x:c r="AD12" s="2"/>
      <x:c r="AE12" s="2"/>
      <x:c r="AF12" s="2"/>
    </x:row>
    <x:row r="14">
      <x:c r="M14" s="1" t="s">
        <x:v>733</x:v>
      </x:c>
    </x:row>
  </x:sheetData>
  <x:pageMargins left="0.7" right="0.7" top="0.75" bottom="0.75" header="0.3" footer="0.3"/>
</x:worksheet>
</file>