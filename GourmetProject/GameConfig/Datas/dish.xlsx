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<sst xmlns="http://schemas.openxmlformats.org/spreadsheetml/2006/main" count="3026" uniqueCount="677">
  <si>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</si>
  <si>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</si>
  <si>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</si>
  <si>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</si>
  <si>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</si>
  <si>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</si>
  <si>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</si>
  <si>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</si>
  <si>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</si>
  <si>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</si>
  <si>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</si>
  <si>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</si>
  <si>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</si>
  <si>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</si>
  <si>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</si>
  <si>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</si>
  <si>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</si>
  <si>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</si>
  <si>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</si>
  <si>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</si>
  <si>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</si>
  <si>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</si>
  <si>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</si>
  <si>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</si>
  <si>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</si>
  <si>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</si>
  <si>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</si>
  <si>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</si>
  <si>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</si>
  <si>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</si>
  <si>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</si>
  <si>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</si>
  <si>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</si>
  <si>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</si>
  <si>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</si>
  <si>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</si>
  <si>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</si>
  <si>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</si>
  <si>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</si>
  <si>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</si>
  <si>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</si>
  <si>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</si>
  <si>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</si>
  <si>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</si>
  <si>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</si>
  <si>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</si>
  <si>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</si>
  <si>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</si>
  <si>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</si>
  <si>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</si>
  <si>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</si>
  <si>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</si>
  <si>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</si>
  <si>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</si>
  <si>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</si>
  <si>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</si>
  <si>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</si>
  <si>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</si>
  <si>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</si>
  <si>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</si>
  <si>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</si>
  <si>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</si>
  <si>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</si>
  <si>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</si>
  <si>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</si>
  <si>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</si>
  <si>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</si>
  <si>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</si>
  <si>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</si>
  <si>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</si>
  <si>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</si>
  <si>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</si>
  <si>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</si>
  <si>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</si>
  <si>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</si>
  <si>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</si>
  <si>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</si>
  <si>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</si>
  <si>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</si>
  <si>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</si>
  <si>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</si>
  <si>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</si>
  <si>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</si>
  <si>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</si>
  <si>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</si>
  <si>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</si>
  <si>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</si>
  <si>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</si>
  <si>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</si>
  <si>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</si>
  <si>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</si>
  <si>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</si>
  <si>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</si>
  <si>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</si>
  <si>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</si>
  <si>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</si>
  <si>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</si>
  <si>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</si>
  <si>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</si>
  <si>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</si>
  <si>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</si>
  <si>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</si>
  <si>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</si>
  <si>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</si>
  <si>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</si>
  <si>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</si>
  <si>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</si>
  <si>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</si>
  <si>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</si>
  <si>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</si>
  <si>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</si>
  <si>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</si>
  <si>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</si>
  <si>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</si>
  <si>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</si>
  <si>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</si>
  <si>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</si>
  <si>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</si>
  <si>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</si>
  <si>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</si>
  <si>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</si>
  <si>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</si>
  <si>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</si>
  <si>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</si>
  <si>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</si>
  <si>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</si>
  <si>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</si>
  <si>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</si>
  <si>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</si>
  <si>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</si>
  <si>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</si>
  <si>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</si>
  <si>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</si>
  <si>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</si>
  <si>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</si>
  <si>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</si>
  <si>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</si>
  <si>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</si>
  <si>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</si>
  <si>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</si>
  <si>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</si>
  <si>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</si>
  <si>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</si>
  <si>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</si>
  <si>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</si>
  <si>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</si>
  <si>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</si>
  <si>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</si>
  <si>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</si>
  <si>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</si>
  <si>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</si>
  <si>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</si>
  <si>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</si>
  <si>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</si>
  <si>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</si>
  <si>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</si>
  <si>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</si>
  <si>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</si>
  <si>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</si>
  <si>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</si>
  <si>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</si>
  <si>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</si>
  <si>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</si>
  <si>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</si>
  <si>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</si>
  <si>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</si>
  <si>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</si>
  <si>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</si>
  <si>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</si>
  <si>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</si>
  <si>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</si>
  <si>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</si>
  <si>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</si>
  <si>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</si>
  <si>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</si>
  <si>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</si>
  <si>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</si>
  <si>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</si>
  <si>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</si>
  <si>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</si>
  <si>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</si>
  <si>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</si>
  <si>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</si>
  <si>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</si>
  <si>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</si>
  <si>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</si>
  <si>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</si>
  <si>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</si>
  <si>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</si>
  <si>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</si>
  <si>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</si>
  <si>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</si>
  <si>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</si>
  <si>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</si>
  <si>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</si>
  <si>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</si>
  <si>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</si>
  <si>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</si>
  <si>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</si>
  <si>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</si>
  <si>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</si>
  <si>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</si>
  <si>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</si>
  <si>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</si>
  <si>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</si>
  <si>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</si>
  <si>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</si>
  <si>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</si>
  <si>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</si>
  <si>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</si>
  <si>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</si>
  <si>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</si>
  <si>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</si>
  <si>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</si>
  <si>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</si>
  <si>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</si>
  <si>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</si>
  <si>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</si>
  <si>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</si>
  <si>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</si>
  <si>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</si>
  <si>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</si>
  <si>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</si>
  <si>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</si>
  <si>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</si>
  <si>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</si>
  <si>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</si>
  <si>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</si>
  <si>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</si>
  <si>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</si>
  <si>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</si>
  <si>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</si>
  <si>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</si>
  <si>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</si>
  <si>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</si>
  <si>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</si>
  <si>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</si>
  <si>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</si>
  <si>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</si>
  <si>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</si>
  <si>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</si>
  <si>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</si>
  <si>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</si>
  <si>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</si>
  <si>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</si>
  <si>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</si>
  <si>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</si>
  <si>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</si>
  <si>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</si>
  <si>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</si>
  <si>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</si>
  <si>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</si>
  <si>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</si>
  <si>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</si>
  <si>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</si>
  <si>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</si>
  <si>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</si>
  <si>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</si>
  <si>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</si>
  <si>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</si>
  <si>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</si>
  <si>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</si>
  <si>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</si>
  <si>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</si>
  <si>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</si>
  <si>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</si>
  <si>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</si>
  <si>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</si>
  <si>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</si>
  <si>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</si>
  <si>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</si>
  <si>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</si>
  <si>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</si>
  <si>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</si>
  <si>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</si>
  <si>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</si>
  <si>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</si>
  <si>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</si>
  <si>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</si>
  <si>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</si>
  <si>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</si>
  <si>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</si>
  <si>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</si>
  <si>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</si>
  <si>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</si>
  <si>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</si>
  <si>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</si>
  <si>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</si>
  <si>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</si>
  <si>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</si>
  <si>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</si>
  <si>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</si>
  <si>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</si>
  <si>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</si>
  <si>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</si>
  <si>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</si>
  <si>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</si>
  <si>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</si>
  <si>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</si>
  <si>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</si>
  <si>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</si>
  <si>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</si>
  <si>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</si>
  <si>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</si>
  <si>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</si>
  <si>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</si>
  <si>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</si>
  <si>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</si>
  <si>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</si>
  <si>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</si>
  <si>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</si>
  <si>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</si>
  <si>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</si>
  <si>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</si>
  <si>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</si>
  <si>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</si>
  <si>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</si>
  <si>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</si>
  <si>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</si>
  <si>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</si>
  <si>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</si>
  <si>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</si>
  <si>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</si>
  <si>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</si>
  <si>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</si>
  <si>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</si>
  <si>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</si>
  <si>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</si>
  <si>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</si>
  <si>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</si>
  <si>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</si>
  <si>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</si>
  <si>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</si>
  <si>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</si>
  <si>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</si>
  <si>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</si>
  <si>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</si>
  <si>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</si>
  <si>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</si>
  <si>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</si>
  <si>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</si>
  <si>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</si>
  <si>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</si>
  <si>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</si>
  <si>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</si>
  <si>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</si>
  <si>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</si>
  <si>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</si>
  <si>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</si>
  <si>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</si>
  <si>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</si>
  <si>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</si>
  <si>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</si>
  <si>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</si>
  <si>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</si>
  <si>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</si>
  <si>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</si>
  <si>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</si>
  <si>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</si>
  <si>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</si>
  <si>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</si>
  <si>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</si>
  <si>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</si>
  <si>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</si>
  <si>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</si>
  <si>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</si>
  <si>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</si>
  <si>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</si>
  <si>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</si>
  <si>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</si>
  <si>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</si>
  <si>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</si>
  <si>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</si>
  <si>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</si>
  <si>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</si>
  <si>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</si>
  <si>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</si>
  <si>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</si>
  <si>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</si>
  <si>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</si>
  <si>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</si>
  <si>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</si>
  <si>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</si>
  <si>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</si>
  <si>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</si>
  <si>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</si>
  <si>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</si>
  <si>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</si>
  <si>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</si>
  <si>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</si>
  <si>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</si>
  <si>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</si>
  <si>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</si>
  <si>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</si>
  <si>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</si>
  <si>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</si>
  <si>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</si>
  <si>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</si>
  <si>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</si>
  <si>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</si>
  <si>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</si>
  <si>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</si>
  <si>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</si>
  <si>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</si>
  <si>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</si>
  <si>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</si>
  <si>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</si>
  <si>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</si>
  <si>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</si>
  <si>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</si>
  <si>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</si>
  <si>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</si>
  <si>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</si>
  <si>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</si>
  <si>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</si>
  <si>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</si>
  <si>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</si>
  <si>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</si>
  <si>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</si>
  <si>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</si>
  <si>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</si>
  <si>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</si>
  <si>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</si>
  <si>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</si>
  <si>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</si>
  <si>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</si>
  <si>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</si>
  <si>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</si>
  <si>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</si>
  <si>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</si>
  <si>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</si>
  <si>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</si>
  <si>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</si>
  <si>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</si>
  <si>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</si>
  <si>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</si>
  <si>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</si>
  <si>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</si>
  <si>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</si>
  <si>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</si>
  <si>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</si>
  <si>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</si>
  <si>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</si>
  <si>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</si>
  <si>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</si>
  <si>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</si>
  <si>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</si>
  <si>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</si>
  <si>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</si>
  <si>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</si>
  <si>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</si>
  <si>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</si>
  <si>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</si>
  <si>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</si>
  <si>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</si>
  <si>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</si>
  <si>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</si>
  <si>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</si>
  <si>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</si>
  <si>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</si>
  <si>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</si>
  <si>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</si>
  <si>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</si>
  <si>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</si>
  <si>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</si>
  <si>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</si>
  <si>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</si>
  <si>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</si>
  <si>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</si>
  <si>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</si>
  <si>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</si>
  <si>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</si>
  <si>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</si>
  <si>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</si>
  <si>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</si>
  <si>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</si>
  <si>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</si>
  <si>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</si>
  <si>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若{cscope}被填满
{ascope}额外视为 {0} 个食物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</si>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</sst>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workbookViewId="0">
      <selection activeCell="D31" sqref="D31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8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8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6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6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4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6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8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10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8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14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16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15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40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20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30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20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25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20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20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50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30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50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40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30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20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30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50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40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30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20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100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80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140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H5" sqref="H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9"/>
  <sheetViews>
    <sheetView tabSelected="1" zoomScale="55" zoomScaleNormal="55" topLeftCell="A8" workbookViewId="0">
      <selection activeCell="K32" sqref="K32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22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413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1</v>
      </c>
      <c r="N19" s="1" t="s">
        <v>25</v>
      </c>
      <c r="O19" s="1" t="s">
        <v>415</v>
      </c>
      <c r="P19" s="20" t="s">
        <v>436</v>
      </c>
      <c r="S19" s="22" t="str">
        <f>IFERROR(VLOOKUP(B19,skill!$G$4:$K$50,5,FALSE),"")</f>
        <v>圣代</v>
      </c>
      <c r="T19" s="22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22" t="str">
        <f>IFERROR(VLOOKUP(B20,skill!$G$4:$K$50,5,FALSE),"")</f>
        <v/>
      </c>
      <c r="T20" s="22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1.5</v>
      </c>
      <c r="N23" s="1" t="s">
        <v>25</v>
      </c>
      <c r="O23" s="1" t="s">
        <v>25</v>
      </c>
      <c r="P23" s="20" t="s">
        <v>459</v>
      </c>
      <c r="S23" s="1" t="str">
        <f>IFERROR(VLOOKUP(B23,skill!$G$4:$K$50,5,FALSE),"")</f>
        <v>棒棒糖</v>
      </c>
      <c r="T23" s="1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1" t="str">
        <f>IFERROR(VLOOKUP(B24,skill!$G$4:$K$50,5,FALSE),"")</f>
        <v/>
      </c>
      <c r="T24" s="1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1" t="s">
        <v>466</v>
      </c>
      <c r="S30" s="22" t="str">
        <f>IFERROR(VLOOKUP(B30,skill!$G$4:$K$50,5,FALSE),"")</f>
        <v>太妃糖</v>
      </c>
      <c r="T30" s="22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22" t="str">
        <f>IFERROR(VLOOKUP(B31,skill!$G$4:$K$50,5,FALSE),"")</f>
        <v/>
      </c>
      <c r="T31" s="22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10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22" t="str">
        <f>IFERROR(VLOOKUP(B36,skill!$G$4:$K$50,5,FALSE),"")</f>
        <v>闪电泡芙</v>
      </c>
      <c r="T36" s="22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5</v>
      </c>
      <c r="N37" s="1" t="s">
        <v>25</v>
      </c>
      <c r="O37" s="1" t="s">
        <v>415</v>
      </c>
      <c r="P37" s="1" t="s">
        <v>468</v>
      </c>
      <c r="R37" s="1" t="s">
        <v>440</v>
      </c>
      <c r="S37" s="22" t="str">
        <f>IFERROR(VLOOKUP(B37,skill!$G$4:$K$50,5,FALSE),"")</f>
        <v/>
      </c>
      <c r="T37" s="22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spans="2:20">
      <c r="B43" s="1" t="s">
        <v>271</v>
      </c>
      <c r="C43" s="1" t="s">
        <v>410</v>
      </c>
      <c r="D43" s="1" t="s">
        <v>422</v>
      </c>
      <c r="E43" s="1" t="s">
        <v>412</v>
      </c>
      <c r="F43" s="1" t="s">
        <v>413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3</v>
      </c>
      <c r="N43" s="1" t="s">
        <v>25</v>
      </c>
      <c r="O43" s="1" t="s">
        <v>25</v>
      </c>
      <c r="P43" s="1" t="s">
        <v>465</v>
      </c>
      <c r="S43" s="1" t="str">
        <f>IFERROR(VLOOKUP(B43,skill!$G$4:$K$50,5,FALSE),"")</f>
        <v>华夫饼</v>
      </c>
      <c r="T43" s="1" t="str">
        <f>IFERROR(VLOOKUP(B43,skill!$H$4:$K$50,4,FALSE),"")</f>
        <v/>
      </c>
    </row>
    <row r="44" ht="34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1" t="str">
        <f>IFERROR(VLOOKUP(B44,skill!$G$4:$K$50,5,FALSE),"")</f>
        <v/>
      </c>
      <c r="T44" s="1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479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480</v>
      </c>
      <c r="K47" s="1">
        <v>0</v>
      </c>
      <c r="L47" s="1">
        <v>10</v>
      </c>
      <c r="M47" s="1" t="s">
        <v>481</v>
      </c>
      <c r="N47" s="1" t="s">
        <v>25</v>
      </c>
      <c r="O47" s="1" t="s">
        <v>415</v>
      </c>
      <c r="P47" s="20" t="s">
        <v>482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483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480</v>
      </c>
      <c r="K57" s="1">
        <v>0</v>
      </c>
      <c r="L57" s="1">
        <v>5</v>
      </c>
      <c r="M57" s="1" t="s">
        <v>481</v>
      </c>
      <c r="N57" s="1" t="s">
        <v>25</v>
      </c>
      <c r="O57" s="1" t="s">
        <v>415</v>
      </c>
      <c r="P57" s="1" t="s">
        <v>484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485</v>
      </c>
      <c r="E60" s="1" t="s">
        <v>467</v>
      </c>
      <c r="F60" s="1" t="s">
        <v>413</v>
      </c>
      <c r="G60" s="1" t="s">
        <v>474</v>
      </c>
      <c r="H60" s="1" t="s">
        <v>486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487</v>
      </c>
      <c r="N60" s="1" t="s">
        <v>25</v>
      </c>
      <c r="O60" s="1" t="s">
        <v>25</v>
      </c>
      <c r="P60" s="20" t="s">
        <v>488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489</v>
      </c>
      <c r="E61" s="1" t="s">
        <v>467</v>
      </c>
      <c r="F61" s="1" t="s">
        <v>419</v>
      </c>
      <c r="G61" s="1" t="s">
        <v>474</v>
      </c>
      <c r="H61" s="1" t="s">
        <v>490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491</v>
      </c>
      <c r="N61" s="1" t="s">
        <v>25</v>
      </c>
      <c r="O61" s="1" t="s">
        <v>25</v>
      </c>
      <c r="P61" s="20" t="s">
        <v>492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1.5</v>
      </c>
      <c r="N63" s="1" t="s">
        <v>25</v>
      </c>
      <c r="O63" s="1" t="s">
        <v>25</v>
      </c>
      <c r="P63" s="1" t="s">
        <v>465</v>
      </c>
      <c r="S63" s="1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305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372</v>
      </c>
      <c r="J64" s="1" t="s">
        <v>435</v>
      </c>
      <c r="K64" s="1">
        <v>0</v>
      </c>
      <c r="L64" s="1">
        <v>1.4</v>
      </c>
      <c r="N64" s="1" t="s">
        <v>25</v>
      </c>
      <c r="O64" s="1" t="s">
        <v>25</v>
      </c>
      <c r="P64" s="1" t="s">
        <v>465</v>
      </c>
      <c r="S64" s="1" t="str">
        <f>IFERROR(VLOOKUP(B64,skill!$G$4:$K$50,5,FALSE),"")</f>
        <v>拐杖糖</v>
      </c>
      <c r="T64" s="1" t="str">
        <f>IFERROR(VLOOKUP(B64,skill!$H$4:$K$50,4,FALSE),"")</f>
        <v/>
      </c>
    </row>
    <row r="65" spans="2:20">
      <c r="B65" s="1" t="s">
        <v>306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423</v>
      </c>
      <c r="J65" s="1" t="s">
        <v>418</v>
      </c>
      <c r="K65" s="1">
        <v>0</v>
      </c>
      <c r="L65" s="1">
        <v>0</v>
      </c>
      <c r="N65" s="1" t="s">
        <v>25</v>
      </c>
      <c r="O65" s="1" t="s">
        <v>25</v>
      </c>
      <c r="P65" s="1" t="s">
        <v>425</v>
      </c>
      <c r="Q65" s="1" t="s">
        <v>426</v>
      </c>
      <c r="S65" s="1" t="str">
        <f>IFERROR(VLOOKUP(B65,skill!$G$4:$K$50,5,FALSE),"")</f>
        <v/>
      </c>
      <c r="T65" s="1" t="str">
        <f>IFERROR(VLOOKUP(B65,skill!$H$4:$K$50,4,FALSE),"")</f>
        <v>拐杖糖</v>
      </c>
    </row>
    <row r="66" ht="34" spans="2:20">
      <c r="B66" s="1" t="s">
        <v>307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493</v>
      </c>
      <c r="J66" s="1" t="s">
        <v>467</v>
      </c>
      <c r="K66" s="1">
        <v>0</v>
      </c>
      <c r="L66" s="1">
        <v>0</v>
      </c>
      <c r="M66" s="1" t="s">
        <v>494</v>
      </c>
      <c r="N66" s="1" t="s">
        <v>25</v>
      </c>
      <c r="O66" s="1" t="s">
        <v>25</v>
      </c>
      <c r="P66" s="20" t="s">
        <v>495</v>
      </c>
      <c r="Q66" s="1" t="s">
        <v>426</v>
      </c>
      <c r="S66" s="1" t="str">
        <f>IFERROR(VLOOKUP(B66,skill!$G$4:$K$50,5,FALSE),"")</f>
        <v>大棒棒糖</v>
      </c>
      <c r="T66" s="1" t="str">
        <f>IFERROR(VLOOKUP(B66,skill!$H$4:$K$50,4,FALSE),"")</f>
        <v/>
      </c>
    </row>
    <row r="67" ht="34" spans="2:20">
      <c r="B67" s="1" t="s">
        <v>309</v>
      </c>
      <c r="C67" s="1" t="s">
        <v>410</v>
      </c>
      <c r="D67" s="1" t="s">
        <v>438</v>
      </c>
      <c r="E67" s="1" t="s">
        <v>412</v>
      </c>
      <c r="F67" s="1" t="s">
        <v>413</v>
      </c>
      <c r="G67" s="1" t="s">
        <v>420</v>
      </c>
      <c r="I67" s="1" t="s">
        <v>372</v>
      </c>
      <c r="J67" s="1" t="s">
        <v>412</v>
      </c>
      <c r="K67" s="1">
        <v>0</v>
      </c>
      <c r="L67" s="1">
        <v>1.5</v>
      </c>
      <c r="N67" s="1" t="s">
        <v>25</v>
      </c>
      <c r="O67" s="1" t="s">
        <v>25</v>
      </c>
      <c r="P67" s="20" t="s">
        <v>496</v>
      </c>
      <c r="S67" s="1" t="str">
        <f>IFERROR(VLOOKUP(B67,skill!$G$4:$K$50,5,FALSE),"")</f>
        <v>棉花糖</v>
      </c>
      <c r="T67" s="1" t="str">
        <f>IFERROR(VLOOKUP(B67,skill!$H$4:$K$50,4,FALSE),"")</f>
        <v/>
      </c>
    </row>
    <row r="68" spans="2:20">
      <c r="B68" s="1" t="s">
        <v>310</v>
      </c>
      <c r="C68" s="1" t="s">
        <v>410</v>
      </c>
      <c r="D68" s="1" t="s">
        <v>422</v>
      </c>
      <c r="E68" s="1" t="s">
        <v>412</v>
      </c>
      <c r="F68" s="1" t="s">
        <v>413</v>
      </c>
      <c r="G68" s="1" t="s">
        <v>420</v>
      </c>
      <c r="I68" s="1" t="s">
        <v>423</v>
      </c>
      <c r="J68" s="1" t="s">
        <v>424</v>
      </c>
      <c r="K68" s="1">
        <v>0</v>
      </c>
      <c r="L68" s="1">
        <v>0</v>
      </c>
      <c r="N68" s="1" t="s">
        <v>25</v>
      </c>
      <c r="O68" s="1" t="s">
        <v>25</v>
      </c>
      <c r="P68" s="1" t="s">
        <v>425</v>
      </c>
      <c r="Q68" s="1" t="s">
        <v>426</v>
      </c>
      <c r="S68" s="1" t="str">
        <f>IFERROR(VLOOKUP(B68,skill!$G$4:$K$50,5,FALSE),"")</f>
        <v/>
      </c>
      <c r="T68" s="1" t="str">
        <f>IFERROR(VLOOKUP(B68,skill!$H$4:$K$50,4,FALSE),"")</f>
        <v>棉花糖</v>
      </c>
    </row>
    <row r="69" spans="2:20">
      <c r="B69" s="1" t="s">
        <v>311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462</v>
      </c>
      <c r="J69" s="1" t="s">
        <v>412</v>
      </c>
      <c r="K69" s="1">
        <v>0</v>
      </c>
      <c r="L69" s="1">
        <v>3</v>
      </c>
      <c r="M69" s="1" t="s">
        <v>481</v>
      </c>
      <c r="N69" s="1" t="s">
        <v>25</v>
      </c>
      <c r="O69" s="1" t="s">
        <v>25</v>
      </c>
      <c r="P69" s="1" t="s">
        <v>497</v>
      </c>
      <c r="T69" s="1" t="str">
        <f>IFERROR(VLOOKUP(B69,skill!$H$4:$K$50,4,FALSE),"")</f>
        <v/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498</v>
      </c>
      <c r="C2" s="9" t="s">
        <v>499</v>
      </c>
      <c r="D2" s="9" t="s">
        <v>500</v>
      </c>
      <c r="E2" s="9" t="s">
        <v>501</v>
      </c>
      <c r="F2" s="9" t="s">
        <v>502</v>
      </c>
      <c r="G2" s="9" t="s">
        <v>503</v>
      </c>
      <c r="H2" s="9" t="s">
        <v>504</v>
      </c>
      <c r="I2" s="9" t="s">
        <v>505</v>
      </c>
      <c r="J2" s="9" t="s">
        <v>506</v>
      </c>
      <c r="M2" t="s">
        <v>507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8" t="s">
        <v>513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8" t="s">
        <v>538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8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8" t="s">
        <v>550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8" t="s">
        <v>553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8" t="s">
        <v>558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8" t="s">
        <v>561</v>
      </c>
    </row>
    <row r="18" spans="3:15">
      <c r="C18" s="1" t="s">
        <v>28</v>
      </c>
      <c r="N18" s="1" t="s">
        <v>562</v>
      </c>
      <c r="O18" s="8" t="s">
        <v>563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8" t="s">
        <v>566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8" t="s">
        <v>570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8" t="s">
        <v>574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8" t="s">
        <v>577</v>
      </c>
    </row>
    <row r="23" spans="3:15">
      <c r="C23" s="1" t="s">
        <v>28</v>
      </c>
      <c r="M23" s="1" t="s">
        <v>578</v>
      </c>
      <c r="N23" s="1" t="s">
        <v>579</v>
      </c>
      <c r="O23" s="8" t="s">
        <v>580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8" t="s">
        <v>584</v>
      </c>
    </row>
    <row r="25" spans="3:15">
      <c r="C25" s="1" t="s">
        <v>28</v>
      </c>
      <c r="N25" s="1" t="s">
        <v>583</v>
      </c>
      <c r="O25" s="8" t="s">
        <v>585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8" t="s">
        <v>589</v>
      </c>
    </row>
    <row r="27" spans="3:15">
      <c r="C27" s="1" t="s">
        <v>28</v>
      </c>
      <c r="N27" s="1" t="s">
        <v>590</v>
      </c>
      <c r="O27" s="8" t="s">
        <v>591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8" t="s">
        <v>595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8" t="s">
        <v>599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8" t="s">
        <v>602</v>
      </c>
    </row>
    <row r="31" spans="3:15">
      <c r="C31" s="1" t="s">
        <v>28</v>
      </c>
      <c r="N31" s="1" t="s">
        <v>601</v>
      </c>
      <c r="O31" s="8" t="s">
        <v>603</v>
      </c>
    </row>
    <row r="32" spans="3:15">
      <c r="C32" s="1" t="s">
        <v>28</v>
      </c>
      <c r="N32" s="1" t="s">
        <v>604</v>
      </c>
      <c r="O32" s="15" t="s">
        <v>605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5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5" t="s">
        <v>612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8" t="s">
        <v>538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8" t="s">
        <v>616</v>
      </c>
    </row>
    <row r="39" spans="3:15">
      <c r="C39" s="1" t="s">
        <v>73</v>
      </c>
      <c r="N39" s="1" t="s">
        <v>617</v>
      </c>
      <c r="O39" s="8" t="s">
        <v>618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8" t="s">
        <v>621</v>
      </c>
    </row>
    <row r="41" ht="17.6" customHeight="1" spans="3:15">
      <c r="C41" s="1" t="s">
        <v>73</v>
      </c>
      <c r="N41" s="1" t="s">
        <v>622</v>
      </c>
      <c r="O41" s="8" t="s">
        <v>623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8" t="s">
        <v>626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8" t="s">
        <v>629</v>
      </c>
    </row>
    <row r="45" spans="3:15">
      <c r="C45" s="1" t="s">
        <v>73</v>
      </c>
      <c r="N45" s="1" t="s">
        <v>630</v>
      </c>
      <c r="O45" s="8" t="s">
        <v>631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8" t="s">
        <v>634</v>
      </c>
    </row>
    <row r="47" spans="3:15">
      <c r="C47" s="1" t="s">
        <v>73</v>
      </c>
      <c r="N47" s="1" t="s">
        <v>635</v>
      </c>
      <c r="O47" s="8" t="s">
        <v>636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8" t="s">
        <v>639</v>
      </c>
    </row>
    <row r="49" spans="3:15">
      <c r="C49" s="1" t="s">
        <v>73</v>
      </c>
      <c r="N49" s="1" t="s">
        <v>640</v>
      </c>
      <c r="O49" s="8" t="s">
        <v>641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8" t="s">
        <v>644</v>
      </c>
    </row>
    <row r="51" spans="3:15">
      <c r="C51" s="1" t="s">
        <v>73</v>
      </c>
      <c r="N51" s="1" t="s">
        <v>645</v>
      </c>
      <c r="O51" s="8" t="s">
        <v>646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8" t="s">
        <v>650</v>
      </c>
    </row>
    <row r="53" spans="3:15">
      <c r="C53" s="1" t="s">
        <v>110</v>
      </c>
      <c r="N53" s="1" t="s">
        <v>651</v>
      </c>
      <c r="O53" s="8" t="s">
        <v>652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  <c r="V9" s="6"/>
      <c r="W9" s="6"/>
      <c r="X9" s="6"/>
      <c r="Y9" s="6" t="s">
        <v>674</v>
      </c>
      <c r="Z9" s="6" t="s">
        <v>674</v>
      </c>
      <c r="AA9" s="6" t="s">
        <v>674</v>
      </c>
      <c r="AB9" s="6"/>
      <c r="AC9" s="6"/>
      <c r="AD9" s="6"/>
      <c r="AG9" s="6"/>
      <c r="AH9" s="6"/>
      <c r="AI9" s="6"/>
      <c r="AJ9" s="2" t="s">
        <v>675</v>
      </c>
      <c r="AK9" s="2" t="s">
        <v>675</v>
      </c>
      <c r="AL9" s="2" t="s">
        <v>675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676</v>
      </c>
      <c r="AK10" s="2" t="s">
        <v>676</v>
      </c>
      <c r="AL10" s="2" t="s">
        <v>676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676</v>
      </c>
      <c r="AK11" s="2" t="s">
        <v>676</v>
      </c>
      <c r="AL11" s="2" t="s">
        <v>676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2026-07-01T23:56:00Z</dcterms:created>
  <dcterms:modified xsi:type="dcterms:W3CDTF">2026-07-20T14:52:52Z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</Properties>
</file>