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200" activeTab="5"/>
  </bookViews>
  <sheets>
    <sheet name="dish_base" sheetId="1" r:id="rId1"/>
    <sheet name="dish_variant" sheetId="2" r:id="rId2"/>
    <sheet name="skill" sheetId="3" r:id="rId3"/>
    <sheet name="flavor" sheetId="4" r:id="rId4"/>
    <sheet name="cake_layer_buff" sheetId="7" r:id="rId5"/>
    <sheet name="sub_skill" sheetId="8" r:id="rId6"/>
    <sheet name="食物设计" sheetId="5" r:id="rId7"/>
    <sheet name="定义" sheetId="6" r:id="rId8"/>
  </sheets>
  <definedNames>
    <definedName name="_xlnm._FilterDatabase" localSheetId="5" hidden="1">sub_skill!$C$1:$C$69</definedName>
  </definedNames>
  <calcPr calcId="144525"/>
</workbook>
</file>

<file path=xl/sharedStrings.xml><?xml version="1.0" encoding="utf-8"?>
<sst xmlns="http://schemas.openxmlformats.org/spreadsheetml/2006/main" count="2277" uniqueCount="647">
  <si>
    <t>##var</t>
  </si>
  <si>
    <t>id</t>
  </si>
  <si>
    <t>name</t>
  </si>
  <si>
    <t>deliciousness</t>
  </si>
  <si>
    <t>allowRotate</t>
  </si>
  <si>
    <t>skills</t>
  </si>
  <si>
    <t>category</t>
  </si>
  <si>
    <t>countAs</t>
  </si>
  <si>
    <t>*shapeRows</t>
  </si>
  <si>
    <t>##comment</t>
  </si>
  <si>
    <t>菜品基础ID</t>
  </si>
  <si>
    <t>菜品名称</t>
  </si>
  <si>
    <t>基础美味度</t>
  </si>
  <si>
    <t>是否允许旋转摆放</t>
  </si>
  <si>
    <t>技能ID列表(| 分隔)</t>
  </si>
  <si>
    <t>菜品分类(如cake;空=无)</t>
  </si>
  <si>
    <t>视为食物数(默认1)</t>
  </si>
  <si>
    <t>菜品形状行列表</t>
  </si>
  <si>
    <t>策划备注</t>
  </si>
  <si>
    <t>##type</t>
  </si>
  <si>
    <t>string</t>
  </si>
  <si>
    <t>int</t>
  </si>
  <si>
    <t>bool</t>
  </si>
  <si>
    <t>list,string</t>
  </si>
  <si>
    <t>对应子技能</t>
  </si>
  <si>
    <t>cookie</t>
  </si>
  <si>
    <t>曲奇</t>
  </si>
  <si>
    <t>false</t>
  </si>
  <si>
    <t>sk_cookie</t>
  </si>
  <si>
    <t/>
  </si>
  <si>
    <t>X</t>
  </si>
  <si>
    <t>ss_edge_multflat_v3</t>
  </si>
  <si>
    <t>macaron</t>
  </si>
  <si>
    <t>马卡龙</t>
  </si>
  <si>
    <t>sk_macaron</t>
  </si>
  <si>
    <t>ss_flat_per_dish_adj_v8</t>
  </si>
  <si>
    <t>ss_transfer_row_n1</t>
  </si>
  <si>
    <t>pudding</t>
  </si>
  <si>
    <t>布丁</t>
  </si>
  <si>
    <t>sk_pudding</t>
  </si>
  <si>
    <t>ss_flat_per_empty_adj_vm2</t>
  </si>
  <si>
    <t>puff</t>
  </si>
  <si>
    <t>泡芙</t>
  </si>
  <si>
    <t>sk_puff</t>
  </si>
  <si>
    <t>ss_layer_per_dish_adj_v2</t>
  </si>
  <si>
    <t>eggtart</t>
  </si>
  <si>
    <t>蛋挞</t>
  </si>
  <si>
    <t>sk_eggtart</t>
  </si>
  <si>
    <t>ss_flat_per_run_v6</t>
  </si>
  <si>
    <t>mochi</t>
  </si>
  <si>
    <t>麻薯</t>
  </si>
  <si>
    <t>sk_mochi</t>
  </si>
  <si>
    <t>ss_multflat_per_dish_col_v1</t>
  </si>
  <si>
    <t>daifuku</t>
  </si>
  <si>
    <t>大福</t>
  </si>
  <si>
    <t>sk_daifuku</t>
  </si>
  <si>
    <t>ss_flat_per_dish_row_v10</t>
  </si>
  <si>
    <t>choco_candy</t>
  </si>
  <si>
    <t>巧克力糖</t>
  </si>
  <si>
    <t>sk_choco_candy</t>
  </si>
  <si>
    <t>ss_permflat_per_tag_v5</t>
  </si>
  <si>
    <t>jelly</t>
  </si>
  <si>
    <t>果冻</t>
  </si>
  <si>
    <t>sk_jelly</t>
  </si>
  <si>
    <t>ss_multflat_per_dish_all_adj_v0p2</t>
  </si>
  <si>
    <t>cream_cell</t>
  </si>
  <si>
    <t>奶油小格</t>
  </si>
  <si>
    <t>sk_cream_cell</t>
  </si>
  <si>
    <t>ss_layer_add_v5</t>
  </si>
  <si>
    <t>sugarbean</t>
  </si>
  <si>
    <t>糖豆</t>
  </si>
  <si>
    <t>sk_sugarbean</t>
  </si>
  <si>
    <t>ss_extra_settle_v1</t>
  </si>
  <si>
    <t>ss_transfer_all_n1</t>
  </si>
  <si>
    <t>gold_choco</t>
  </si>
  <si>
    <t>金巧克力</t>
  </si>
  <si>
    <t>sk_gold_choco</t>
  </si>
  <si>
    <t>ss_grant_gold_filled_adj_v30</t>
  </si>
  <si>
    <t>milk_slice</t>
  </si>
  <si>
    <t>奶片</t>
  </si>
  <si>
    <t>sk_milk_slice</t>
  </si>
  <si>
    <t>ss_layer_filled_row_v10</t>
  </si>
  <si>
    <t>sundae</t>
  </si>
  <si>
    <t>圣代</t>
  </si>
  <si>
    <t>sk_sundae</t>
  </si>
  <si>
    <t>XX</t>
  </si>
  <si>
    <t>ss_multflat_per_dish_row_v2</t>
  </si>
  <si>
    <t>ss_count_as_base_v1</t>
  </si>
  <si>
    <t>cone</t>
  </si>
  <si>
    <t>甜筒</t>
  </si>
  <si>
    <t>sk_cone</t>
  </si>
  <si>
    <t>ss_layer_add_v10</t>
  </si>
  <si>
    <t>ss_temp_copy_v1</t>
  </si>
  <si>
    <t>lollipop</t>
  </si>
  <si>
    <t>棒棒糖</t>
  </si>
  <si>
    <t>sk_lollipop</t>
  </si>
  <si>
    <t>ss_shape_mult_adj_v1p5</t>
  </si>
  <si>
    <t>ss_transfer_col_n2</t>
  </si>
  <si>
    <t>gummy</t>
  </si>
  <si>
    <t>软糖</t>
  </si>
  <si>
    <t>sk_gummy</t>
  </si>
  <si>
    <t>ss_mult_per_dish_adj_v1p2</t>
  </si>
  <si>
    <t>ss_transfer_adj_n2</t>
  </si>
  <si>
    <t>cupcake</t>
  </si>
  <si>
    <t>杯子蛋糕</t>
  </si>
  <si>
    <t>sk_cupcake</t>
  </si>
  <si>
    <t>cake</t>
  </si>
  <si>
    <t>ss_copy_skill_adj_v1</t>
  </si>
  <si>
    <t>ss_layer_per_tag_v6</t>
  </si>
  <si>
    <t>mousse</t>
  </si>
  <si>
    <t>慕斯蛋糕</t>
  </si>
  <si>
    <t>sk_mousse</t>
  </si>
  <si>
    <t>ss_mult_v1p5</t>
  </si>
  <si>
    <t>toffee</t>
  </si>
  <si>
    <t>太妃糖</t>
  </si>
  <si>
    <t>sk_toffee</t>
  </si>
  <si>
    <t>ss_perm_flat_v10</t>
  </si>
  <si>
    <t>ss_transfer_all_n2</t>
  </si>
  <si>
    <t>nougat</t>
  </si>
  <si>
    <t>牛轧糖</t>
  </si>
  <si>
    <t>sk_nougat</t>
  </si>
  <si>
    <t>eggroll</t>
  </si>
  <si>
    <t>蛋卷</t>
  </si>
  <si>
    <t>sk_eggroll</t>
  </si>
  <si>
    <t>XXX</t>
  </si>
  <si>
    <t>ss_multflat_per_dish_all_v0p2</t>
  </si>
  <si>
    <t>ss_count_as_base_v3</t>
  </si>
  <si>
    <t>choco_bar</t>
  </si>
  <si>
    <t>巧克力棒</t>
  </si>
  <si>
    <t>sk_choco_bar</t>
  </si>
  <si>
    <t>ss_multflat_adj_v5</t>
  </si>
  <si>
    <t>ss_transfer_all_n3</t>
  </si>
  <si>
    <t>eclair</t>
  </si>
  <si>
    <t>闪电泡芙</t>
  </si>
  <si>
    <t>sk_eclair</t>
  </si>
  <si>
    <t>ss_consume_layer_v10</t>
  </si>
  <si>
    <t>ss_multflat_v5</t>
  </si>
  <si>
    <t>tanghulu</t>
  </si>
  <si>
    <t>糖葫芦</t>
  </si>
  <si>
    <t>sk_tanghulu</t>
  </si>
  <si>
    <t>ss_multflat_col_v3</t>
  </si>
  <si>
    <t>ss_transfer_row_n3</t>
  </si>
  <si>
    <t>souffle</t>
  </si>
  <si>
    <t>舒芙蕾</t>
  </si>
  <si>
    <t>sk_souffle</t>
  </si>
  <si>
    <t>ss_layer_mult_v1p5</t>
  </si>
  <si>
    <t>taosu</t>
  </si>
  <si>
    <t>桃酥</t>
  </si>
  <si>
    <t>sk_taosu</t>
  </si>
  <si>
    <t>ss_mult_tier_dishcount_row_row</t>
  </si>
  <si>
    <t>mooncake</t>
  </si>
  <si>
    <t>月饼</t>
  </si>
  <si>
    <t>sk_mooncake</t>
  </si>
  <si>
    <t>ss_count_as_base_v4</t>
  </si>
  <si>
    <t>waffle</t>
  </si>
  <si>
    <t>华夫饼</t>
  </si>
  <si>
    <t>sk_waffle</t>
  </si>
  <si>
    <t>ss_mult_v3</t>
  </si>
  <si>
    <t>ss_count_as_filled_row_v9</t>
  </si>
  <si>
    <t>dorayaki</t>
  </si>
  <si>
    <t>铜锣烧</t>
  </si>
  <si>
    <t>sk_dorayaki</t>
  </si>
  <si>
    <t>ss_count_as_col_v2</t>
  </si>
  <si>
    <t>ss_multflat_v4</t>
  </si>
  <si>
    <t>cream_cake</t>
  </si>
  <si>
    <t>奶油蛋糕</t>
  </si>
  <si>
    <t>sk_cream_cake</t>
  </si>
  <si>
    <t>ss_flat_category_cat_v10</t>
  </si>
  <si>
    <t>donut</t>
  </si>
  <si>
    <t>甜甜圈</t>
  </si>
  <si>
    <t>sk_donut</t>
  </si>
  <si>
    <t>ss_layer_add_v15</t>
  </si>
  <si>
    <t>pengtang</t>
  </si>
  <si>
    <t>椪糖</t>
  </si>
  <si>
    <t>sk_pengtang</t>
  </si>
  <si>
    <t>ss_multflat_per_tag_v5</t>
  </si>
  <si>
    <t>ss_transfer_col</t>
  </si>
  <si>
    <t>parfait</t>
  </si>
  <si>
    <t>芭菲</t>
  </si>
  <si>
    <t>sk_parfait</t>
  </si>
  <si>
    <t>ss_count_as_base_v9</t>
  </si>
  <si>
    <t>sundae_big</t>
  </si>
  <si>
    <t>sk_sundae_big</t>
  </si>
  <si>
    <t>ss_mult_col_v2</t>
  </si>
  <si>
    <t>swiss_roll</t>
  </si>
  <si>
    <t>瑞士卷</t>
  </si>
  <si>
    <t>sk_swiss_roll</t>
  </si>
  <si>
    <t>ss_layer_add_v20</t>
  </si>
  <si>
    <t>ss_multflat_all_v0p5</t>
  </si>
  <si>
    <t>mango_sago</t>
  </si>
  <si>
    <t>杨枝甘露</t>
  </si>
  <si>
    <t>sk_mango_sago</t>
  </si>
  <si>
    <t>ss_copy_skill_adj_v2</t>
  </si>
  <si>
    <t>ss_count_as_base_v7</t>
  </si>
  <si>
    <t>chiffon</t>
  </si>
  <si>
    <t>戚风蛋糕</t>
  </si>
  <si>
    <t>sk_chiffon</t>
  </si>
  <si>
    <t>ss_multflat_category_cat_v5</t>
  </si>
  <si>
    <t>apple_pie</t>
  </si>
  <si>
    <t>苹果派</t>
  </si>
  <si>
    <t>sk_apple_pie</t>
  </si>
  <si>
    <t>ss_multflat_per_dish_row_adj_v0p3</t>
  </si>
  <si>
    <t>fruit_cake</t>
  </si>
  <si>
    <t>水果蛋糕</t>
  </si>
  <si>
    <t>sk_fruit_cake</t>
  </si>
  <si>
    <t>ss_mult_v2</t>
  </si>
  <si>
    <t>ss_layer_tier_all</t>
  </si>
  <si>
    <t>chocolate</t>
  </si>
  <si>
    <t>巧克力</t>
  </si>
  <si>
    <t>sk_chocolate</t>
  </si>
  <si>
    <t>ss_mult_tier_skilltype_all_all</t>
  </si>
  <si>
    <t>croissant</t>
  </si>
  <si>
    <t>牛角包</t>
  </si>
  <si>
    <t>sk_croissant</t>
  </si>
  <si>
    <t>ss_layer_per_dish_adj_v2_2</t>
  </si>
  <si>
    <t>X.</t>
  </si>
  <si>
    <t>palmier</t>
  </si>
  <si>
    <t>蝴蝶酥</t>
  </si>
  <si>
    <t>sk_palmier</t>
  </si>
  <si>
    <t>.X</t>
  </si>
  <si>
    <t>ss_mult_adj_v1p5</t>
  </si>
  <si>
    <t>candycane</t>
  </si>
  <si>
    <t>拐杖糖</t>
  </si>
  <si>
    <t>sk_candycane</t>
  </si>
  <si>
    <t>ss_mult_col_v1p4</t>
  </si>
  <si>
    <t>ss_transfer_adj</t>
  </si>
  <si>
    <t>big_lollipop</t>
  </si>
  <si>
    <t>大棒棒糖</t>
  </si>
  <si>
    <t>sk_big_lollipop</t>
  </si>
  <si>
    <t>ss_trigger_transfer_all</t>
  </si>
  <si>
    <t>.X.</t>
  </si>
  <si>
    <t>marshmallow</t>
  </si>
  <si>
    <t>棉花糖</t>
  </si>
  <si>
    <t>sk_marshmallow</t>
  </si>
  <si>
    <t>ss_mult_per_tag_v1p5</t>
  </si>
  <si>
    <t>ss_transfer_row</t>
  </si>
  <si>
    <t>double_cake</t>
  </si>
  <si>
    <t>双层蛋糕</t>
  </si>
  <si>
    <t>sk_double_cake</t>
  </si>
  <si>
    <t>.XXX.</t>
  </si>
  <si>
    <t>ss_copy_cat_skill_v3</t>
  </si>
  <si>
    <t>XXXXX</t>
  </si>
  <si>
    <t>baseId</t>
  </si>
  <si>
    <t>flavorId</t>
  </si>
  <si>
    <t>baseWeight</t>
  </si>
  <si>
    <t>price</t>
  </si>
  <si>
    <t>hiddenRange</t>
  </si>
  <si>
    <t>rotation</t>
  </si>
  <si>
    <t>菜品变体ID</t>
  </si>
  <si>
    <t>引用的菜品基础ID</t>
  </si>
  <si>
    <t>风味标签ID(可空,单槽)</t>
  </si>
  <si>
    <t>随机基础权重</t>
  </si>
  <si>
    <t>商店价格</t>
  </si>
  <si>
    <t>出现隐藏分区间(单元格: min,max)</t>
  </si>
  <si>
    <t>固定旋转朝向(整格四向)</t>
  </si>
  <si>
    <t>float</t>
  </si>
  <si>
    <t>HiddenRange</t>
  </si>
  <si>
    <t>DishRotation</t>
  </si>
  <si>
    <t>5,15</t>
  </si>
  <si>
    <t>Deg0</t>
  </si>
  <si>
    <t>4,12</t>
  </si>
  <si>
    <t>15,45</t>
  </si>
  <si>
    <t>3,9</t>
  </si>
  <si>
    <t>2,7</t>
  </si>
  <si>
    <t>10,30</t>
  </si>
  <si>
    <t>7,21</t>
  </si>
  <si>
    <t>8,24</t>
  </si>
  <si>
    <t>7,22</t>
  </si>
  <si>
    <t>20,60</t>
  </si>
  <si>
    <t>12,37</t>
  </si>
  <si>
    <t>25,75</t>
  </si>
  <si>
    <t>50,150</t>
  </si>
  <si>
    <t>40,120</t>
  </si>
  <si>
    <t>70,210</t>
  </si>
  <si>
    <t>termId</t>
  </si>
  <si>
    <t>subSkills</t>
  </si>
  <si>
    <t>技能ID</t>
  </si>
  <si>
    <t>关联术语ID(可空)</t>
  </si>
  <si>
    <t>有序引用的子技能ID列表(| 分隔)</t>
  </si>
  <si>
    <t>term_sweet_transfer</t>
  </si>
  <si>
    <t>ss_flat_per_dish_adj_v8|ss_transfer_row_n1</t>
  </si>
  <si>
    <t>ss_extra_settle_v1|ss_transfer_all_n1</t>
  </si>
  <si>
    <t>ss_multflat_per_dish_row_v2|ss_count_as_base_v1</t>
  </si>
  <si>
    <t>ss_layer_add_v10|ss_temp_copy_v1</t>
  </si>
  <si>
    <t>ss_shape_mult_adj_v1p5|ss_transfer_col_n2</t>
  </si>
  <si>
    <t>ss_mult_per_dish_adj_v1p2|ss_transfer_adj_n2</t>
  </si>
  <si>
    <t>ss_copy_skill_adj_v1|ss_layer_per_tag_v6</t>
  </si>
  <si>
    <t>ss_mult_v1p5|ss_extra_settle_v1</t>
  </si>
  <si>
    <t>ss_perm_flat_v10|ss_transfer_all_n2</t>
  </si>
  <si>
    <t>ss_extra_settle_v1|ss_transfer_adj_n2</t>
  </si>
  <si>
    <t>ss_multflat_per_dish_all_v0p2|ss_count_as_base_v3</t>
  </si>
  <si>
    <t>ss_multflat_adj_v5|ss_transfer_all_n3</t>
  </si>
  <si>
    <t>ss_consume_layer_v10|ss_multflat_v5</t>
  </si>
  <si>
    <t>ss_multflat_col_v3|ss_transfer_row_n3</t>
  </si>
  <si>
    <t>ss_copy_skill_adj_v1|ss_count_as_base_v4</t>
  </si>
  <si>
    <t>ss_mult_v3|ss_count_as_filled_row_v9</t>
  </si>
  <si>
    <t>ss_count_as_col_v2|ss_multflat_v4</t>
  </si>
  <si>
    <t>ss_perm_flat_v10|ss_flat_category_cat_v10</t>
  </si>
  <si>
    <t>ss_layer_add_v15|ss_multflat_v5</t>
  </si>
  <si>
    <t>ss_multflat_per_tag_v5|ss_transfer_col</t>
  </si>
  <si>
    <t>ss_mult_per_dish_adj_v1p2|ss_count_as_base_v9</t>
  </si>
  <si>
    <t>ss_mult_col_v2|ss_count_as_base_v4</t>
  </si>
  <si>
    <t>ss_layer_add_v20|ss_multflat_all_v0p5</t>
  </si>
  <si>
    <t>ss_copy_skill_adj_v2|ss_count_as_base_v7</t>
  </si>
  <si>
    <t>ss_multflat_v5|ss_multflat_category_cat_v5</t>
  </si>
  <si>
    <t>ss_mult_v2|ss_layer_tier_all</t>
  </si>
  <si>
    <t>ss_mult_adj_v1p5|ss_count_as_base_v3</t>
  </si>
  <si>
    <t>ss_mult_col_v1p4|ss_transfer_adj</t>
  </si>
  <si>
    <t>ss_mult_per_tag_v1p5|ss_transfer_row</t>
  </si>
  <si>
    <t>desc</t>
  </si>
  <si>
    <t>effectType</t>
  </si>
  <si>
    <t>effectValue</t>
  </si>
  <si>
    <t>effectParam</t>
  </si>
  <si>
    <t>标签ID</t>
  </si>
  <si>
    <t>标签名称</t>
  </si>
  <si>
    <t>标签描述</t>
  </si>
  <si>
    <t>效果类型</t>
  </si>
  <si>
    <t>效果数值</t>
  </si>
  <si>
    <t>效果参数</t>
  </si>
  <si>
    <t>关联术语ID</t>
  </si>
  <si>
    <t>TagEffectType</t>
  </si>
  <si>
    <t>list,float</t>
  </si>
  <si>
    <t>t_feast</t>
  </si>
  <si>
    <t>盛宴</t>
  </si>
  <si>
    <t>棋盘上每有一道菜，本菜品分数 ×1.1。</t>
  </si>
  <si>
    <t>PerDishOnBoard</t>
  </si>
  <si>
    <t>0.1</t>
  </si>
  <si>
    <t>t_golden</t>
  </si>
  <si>
    <t>黄金</t>
  </si>
  <si>
    <t>本菜品贡献的分数 ×{0}。</t>
  </si>
  <si>
    <t>AddMult</t>
  </si>
  <si>
    <t>2</t>
  </si>
  <si>
    <t>order</t>
  </si>
  <si>
    <t>threshold</t>
  </si>
  <si>
    <t>valuePerLayer</t>
  </si>
  <si>
    <t>档位ID</t>
  </si>
  <si>
    <t>执行顺序</t>
  </si>
  <si>
    <t>层数阈值(&gt;=生效)</t>
  </si>
  <si>
    <t>作用分类</t>
  </si>
  <si>
    <t>效果类型(SkillActionType)</t>
  </si>
  <si>
    <t>每层系数</t>
  </si>
  <si>
    <t>描述</t>
  </si>
  <si>
    <t>SkillActionType</t>
  </si>
  <si>
    <t>clb_flat</t>
  </si>
  <si>
    <t>AddFlat</t>
  </si>
  <si>
    <t>欢乐蛋糕≥1层：所有蛋糕基础分 +5×层数。</t>
  </si>
  <si>
    <t>clb_multflat</t>
  </si>
  <si>
    <t>AddMultFlat</t>
  </si>
  <si>
    <t>欢乐蛋糕≥50层：所有蛋糕倍率 +0.1×层数。</t>
  </si>
  <si>
    <t>clb_mult</t>
  </si>
  <si>
    <t>欢乐蛋糕≥100层：所有蛋糕倍率 ×(0.02×层数)。</t>
  </si>
  <si>
    <t>trigger</t>
  </si>
  <si>
    <t>condType</t>
  </si>
  <si>
    <t>condScope</t>
  </si>
  <si>
    <t>condUnit</t>
  </si>
  <si>
    <t>condMode</t>
  </si>
  <si>
    <t>condParam</t>
  </si>
  <si>
    <t>actionType</t>
  </si>
  <si>
    <t>actionScope</t>
  </si>
  <si>
    <t>actionCount</t>
  </si>
  <si>
    <t>actionValue</t>
  </si>
  <si>
    <t>actionParam</t>
  </si>
  <si>
    <t>isPassive</t>
  </si>
  <si>
    <t>signed</t>
  </si>
  <si>
    <t>descTemplate</t>
  </si>
  <si>
    <t>子技能ID(主键)</t>
  </si>
  <si>
    <t>触发时机</t>
  </si>
  <si>
    <t>前提类型</t>
  </si>
  <si>
    <t>前提作用域</t>
  </si>
  <si>
    <t>计数单位</t>
  </si>
  <si>
    <t>计数模式</t>
  </si>
  <si>
    <t>前提附加参数</t>
  </si>
  <si>
    <t>行为类型</t>
  </si>
  <si>
    <t>行为作用域</t>
  </si>
  <si>
    <t>随机目标数(0=全部)</t>
  </si>
  <si>
    <t>行为数值</t>
  </si>
  <si>
    <t>行为参数</t>
  </si>
  <si>
    <t>是否被动</t>
  </si>
  <si>
    <t>数值正负号</t>
  </si>
  <si>
    <t>占位符描述模板</t>
  </si>
  <si>
    <t>SkillTrigger</t>
  </si>
  <si>
    <t>SkillConditionType</t>
  </si>
  <si>
    <t>SkillScope</t>
  </si>
  <si>
    <t>CountUnit</t>
  </si>
  <si>
    <t>CountMode</t>
  </si>
  <si>
    <t>OnSettle</t>
  </si>
  <si>
    <t>Edge</t>
  </si>
  <si>
    <t>Self</t>
  </si>
  <si>
    <t>Instances</t>
  </si>
  <si>
    <t>Gate</t>
  </si>
  <si>
    <t>true</t>
  </si>
  <si>
    <t>处在棋盘边缘时，{ascopes}倍率 {0}。</t>
  </si>
  <si>
    <t>DishCount</t>
  </si>
  <si>
    <t>Round</t>
  </si>
  <si>
    <t>Kinds</t>
  </si>
  <si>
    <t>Per</t>
  </si>
  <si>
    <t>{cscope}每有 1 {unit}食物，{ascopes}分数 {0}。</t>
  </si>
  <si>
    <t>None</t>
  </si>
  <si>
    <t>TransferSkills</t>
  </si>
  <si>
    <t>Row</t>
  </si>
  <si>
    <t>甜蜜传递至{ascopes}食物</t>
  </si>
  <si>
    <t>EmptyCell</t>
  </si>
  <si>
    <t>{cscope}每有 1 个空格，{ascopes}分数 {0}。</t>
  </si>
  <si>
    <t>AddLayer</t>
  </si>
  <si>
    <t>Cake</t>
  </si>
  <si>
    <t>{cscope}每有 1 {unit}食物，欢乐蛋糕 {0} 层。</t>
  </si>
  <si>
    <t>SameKindInRun</t>
  </si>
  <si>
    <t>PermanentAddFlat</t>
  </si>
  <si>
    <t>结算时，{ascopes}分数永久 {0}。</t>
  </si>
  <si>
    <t>ColumnAndSelf</t>
  </si>
  <si>
    <t>{cscope}每有 1 {unit}食物，{ascopes}倍率 {0}。</t>
  </si>
  <si>
    <t>RowAndSelf</t>
  </si>
  <si>
    <t>TagCount</t>
  </si>
  <si>
    <t>结算每有1个技能，{ascopes}分数永久 {0}。</t>
  </si>
  <si>
    <t>RoundAndSelf</t>
  </si>
  <si>
    <t>欢乐蛋糕 {0} 层。</t>
  </si>
  <si>
    <t>ExtraSettlement</t>
  </si>
  <si>
    <t>技能额外结算 {0} 次。</t>
  </si>
  <si>
    <t>设计比较危险</t>
  </si>
  <si>
    <t>Other</t>
  </si>
  <si>
    <t>PositionFilled</t>
  </si>
  <si>
    <t>GrantGold</t>
  </si>
  <si>
    <t>若{cscope}被填满，获得 {0} 金币。</t>
  </si>
  <si>
    <t>运营向的比较少</t>
  </si>
  <si>
    <t>若{cscope}被填满，欢乐蛋糕 {0} 层。</t>
  </si>
  <si>
    <t>AddCountAs</t>
  </si>
  <si>
    <t>{ascopes}视为 {countas} 个食物。</t>
  </si>
  <si>
    <t>OnServe</t>
  </si>
  <si>
    <t>TempCopyDish</t>
  </si>
  <si>
    <t>复制本菜品至空格中。</t>
  </si>
  <si>
    <t>需要立即结算</t>
  </si>
  <si>
    <t>ShapeMatch</t>
  </si>
  <si>
    <t>1x1</t>
  </si>
  <si>
    <t>{cscope}有占 1 格的食物时，{ascopes}倍率 ×{0}。</t>
  </si>
  <si>
    <t>Column</t>
  </si>
  <si>
    <t>{cscope}每有 1 {unit}食物，{ascopes}倍率 ×{0}。</t>
  </si>
  <si>
    <t>CopySkill</t>
  </si>
  <si>
    <t>复制{ascope}食物的 {0} 个技能。</t>
  </si>
  <si>
    <t>每有 1 个技能，欢乐蛋糕 {0} 层。</t>
  </si>
  <si>
    <t>{ascopes}倍率 ×{0}。</t>
  </si>
  <si>
    <t>{ascopes}分数永久 {0}。</t>
  </si>
  <si>
    <t>All</t>
  </si>
  <si>
    <t>{ascopes}倍率 {0}。</t>
  </si>
  <si>
    <t>ConsumeLayer</t>
  </si>
  <si>
    <t>消耗 {0} 层欢乐蛋糕。</t>
  </si>
  <si>
    <t>multfloor:5</t>
  </si>
  <si>
    <t>欢乐蛋糕 ×{0} 层，至少 +{floor} 层。</t>
  </si>
  <si>
    <t>Reach</t>
  </si>
  <si>
    <t>tiers:5|15|25</t>
  </si>
  <si>
    <t>tiervals:1.5|2.5|5</t>
  </si>
  <si>
    <t>{cscope}食物达 {tiers} 个时，{ascopes}倍率 ×{tiervals}。</t>
  </si>
  <si>
    <t>若{cscope}被填满，{ascopes}额外视为 {0} 个食物。</t>
  </si>
  <si>
    <t>{ascopes}额外视为 {0} 个食物。</t>
  </si>
  <si>
    <t>Category</t>
  </si>
  <si>
    <t>cat:cake</t>
  </si>
  <si>
    <t>将分数加到所有{cat}上（每个{cat} {0} 分）。</t>
  </si>
  <si>
    <t>{cscope}每有 1 个技能，{ascopes}倍率 {0}。</t>
  </si>
  <si>
    <t>将倍率 {0} 加到所有{cat}上。</t>
  </si>
  <si>
    <t>CategoryCount</t>
  </si>
  <si>
    <t>cake;tiers:3|5|8</t>
  </si>
  <si>
    <t>tiervals:10|20|40</t>
  </si>
  <si>
    <t>蛋糕数量达 {tiers} 时，欢乐蛋糕 +{tiervals} 层。</t>
  </si>
  <si>
    <t>SkillTypeCount</t>
  </si>
  <si>
    <t>TransferSkills;tiers:3|5|8</t>
  </si>
  <si>
    <t>tiervals:1.5|2.5|5;skilltype:TransferSkills</t>
  </si>
  <si>
    <t>带甜蜜传递的食物达 {tiers} 种时，此类食物倍率 ×{tiervals}。</t>
  </si>
  <si>
    <t>TriggerSweetTransfer</t>
  </si>
  <si>
    <t>axis:rowcol;skilltype:TransferSkills</t>
  </si>
  <si>
    <t>同行同列带甜蜜传递的食物，各执行一次它们的甜蜜传递。</t>
  </si>
  <si>
    <t>{cscope}每有 1 个技能，{ascopes}倍率 ×{0}。</t>
  </si>
  <si>
    <t>{ascopes}获得 {0} 种不同的{cat}技能。</t>
  </si>
  <si>
    <t>除需要严格刨除自身时，才刨除</t>
  </si>
  <si>
    <t>菜品</t>
  </si>
  <si>
    <t>形状</t>
  </si>
  <si>
    <t>美味度</t>
  </si>
  <si>
    <t>技能</t>
  </si>
  <si>
    <t>作用范围</t>
  </si>
  <si>
    <t>作用乘区</t>
  </si>
  <si>
    <t>（前期/中期/后期）</t>
  </si>
  <si>
    <t>所属build</t>
  </si>
  <si>
    <t>备注</t>
  </si>
  <si>
    <t>技能列举</t>
  </si>
  <si>
    <t>处在边缘时，倍率+3</t>
  </si>
  <si>
    <t>加倍率</t>
  </si>
  <si>
    <t>前</t>
  </si>
  <si>
    <t>小而多</t>
  </si>
  <si>
    <t>行为</t>
  </si>
  <si>
    <t>甜蜜传递：使目标食物获得并结算此技能</t>
  </si>
  <si>
    <t>周围每有一种食物，分数+8。甜蜜传递至同行1个食物</t>
  </si>
  <si>
    <t>分数</t>
  </si>
  <si>
    <t>传递</t>
  </si>
  <si>
    <t>前提+行为</t>
  </si>
  <si>
    <t>周围每有1个空格，分数-2</t>
  </si>
  <si>
    <t>本食物默认不写</t>
  </si>
  <si>
    <t>行为+行为</t>
  </si>
  <si>
    <t>周围每有1个食物，蛋糕+2层</t>
  </si>
  <si>
    <t>buff</t>
  </si>
  <si>
    <t>多辅一</t>
  </si>
  <si>
    <t>前提+行为+行为</t>
  </si>
  <si>
    <t>结算时，分数永久+6</t>
  </si>
  <si>
    <t>行为+行为+行为</t>
  </si>
  <si>
    <t>同列每有1个食物，倍率+1</t>
  </si>
  <si>
    <t>乘倍率</t>
  </si>
  <si>
    <t>前中</t>
  </si>
  <si>
    <t>同行每有一个食物，分数+10</t>
  </si>
  <si>
    <t>每有1个技能，分数永久+5</t>
  </si>
  <si>
    <t>永久加分数</t>
  </si>
  <si>
    <t>前提</t>
  </si>
  <si>
    <t>同列每有1种食物，周围食物倍率+0.2</t>
  </si>
  <si>
    <t>蛋糕+5层</t>
  </si>
  <si>
    <t>类别</t>
  </si>
  <si>
    <t>技能机制</t>
  </si>
  <si>
    <t>技能详情</t>
  </si>
  <si>
    <t>技能额外结算1次。甜蜜传递至1个食物</t>
  </si>
  <si>
    <t>结算</t>
  </si>
  <si>
    <t>前中后</t>
  </si>
  <si>
    <t>空间</t>
  </si>
  <si>
    <t>位置检测</t>
  </si>
  <si>
    <t>如果（同行/同列/周围/全部）被填满</t>
  </si>
  <si>
    <t>如果周围被填满，获得30个金币</t>
  </si>
  <si>
    <t>金币</t>
  </si>
  <si>
    <t>通用</t>
  </si>
  <si>
    <t>空格检测</t>
  </si>
  <si>
    <t>（周围/同列/同行/空）每有1个空格</t>
  </si>
  <si>
    <t>如果同行被填满，蛋糕+10层</t>
  </si>
  <si>
    <t>边缘检测</t>
  </si>
  <si>
    <t>若本食物处在边缘</t>
  </si>
  <si>
    <t>视为2个食物，同行每有1个食物，倍率+2</t>
  </si>
  <si>
    <t>中</t>
  </si>
  <si>
    <t>数量</t>
  </si>
  <si>
    <t>检测数量</t>
  </si>
  <si>
    <t>（周围/同列/同行/空）每有1（种/个）食物</t>
  </si>
  <si>
    <t>蛋糕+10层，临时复制本菜品至空格中</t>
  </si>
  <si>
    <t>阶梯数量</t>
  </si>
  <si>
    <t>（周围/同列/同行/空）食物数量达到[2/5/10]时</t>
  </si>
  <si>
    <t>大小检测</t>
  </si>
  <si>
    <t>（周围/同列/同行/空）每有1（种/个）（大于等于/小于等于）3格的食物</t>
  </si>
  <si>
    <t>周围占1格的食物时，倍率x1.5。甜蜜传递至同列2个食物</t>
  </si>
  <si>
    <t>顺序检测</t>
  </si>
  <si>
    <t>（前面/后面）每有1个食物</t>
  </si>
  <si>
    <t>周围每有1个食物，倍率x1.2。甜蜜传递至周围2个食物</t>
  </si>
  <si>
    <t>种类</t>
  </si>
  <si>
    <t>空间相同检测</t>
  </si>
  <si>
    <t>（周围/同列/同行/空）每有1（种/个）相同的食物</t>
  </si>
  <si>
    <t>获得周围食物的1个技能。自身每有1个技能，使蛋糕+6层</t>
  </si>
  <si>
    <t>中后</t>
  </si>
  <si>
    <t>大局相同检测</t>
  </si>
  <si>
    <t>本局每结算过一次本种菜品</t>
  </si>
  <si>
    <t>倍率x1.5。技能额外结算1次</t>
  </si>
  <si>
    <t>小局相同检测</t>
  </si>
  <si>
    <t>本次美食品鉴，每（结算过一次/有一个）本种菜品</t>
  </si>
  <si>
    <t>标签</t>
  </si>
  <si>
    <t>标签检测</t>
  </si>
  <si>
    <t>本食物每有1（种/个）技能</t>
  </si>
  <si>
    <t>分数永久+10。甜蜜传递至2个食物</t>
  </si>
  <si>
    <t>永久乘分数</t>
  </si>
  <si>
    <t>形状检测</t>
  </si>
  <si>
    <t>（周围/同列/同行/空）每有1（种/个）1*1的食物</t>
  </si>
  <si>
    <t>若（周围/全部）存在xx形状的空格</t>
  </si>
  <si>
    <t>技能额外结算1次。甜蜜传递至2个周围食物</t>
  </si>
  <si>
    <t>上菜</t>
  </si>
  <si>
    <t>上菜时检测</t>
  </si>
  <si>
    <t>上菜时，（同行/同列/周围/全部）每有1（种/个）食物</t>
  </si>
  <si>
    <t>上菜检测</t>
  </si>
  <si>
    <t>上菜时</t>
  </si>
  <si>
    <t>视为4个食物，每有1个食物，倍率+0.2</t>
  </si>
  <si>
    <t>菜谱</t>
  </si>
  <si>
    <t>菜谱检测</t>
  </si>
  <si>
    <t>菜谱中食物（大于等于/小于等于）3（种/个）时</t>
  </si>
  <si>
    <t>周围食物倍率+5。甜蜜传递至3个食物</t>
  </si>
  <si>
    <t>倍率</t>
  </si>
  <si>
    <t>特定种类检测</t>
  </si>
  <si>
    <t>带有“蛋糕”的食物数量达到4（种/个）时</t>
  </si>
  <si>
    <t>消耗10层欢乐蛋糕，倍率+5</t>
  </si>
  <si>
    <t>传递检测</t>
  </si>
  <si>
    <t>本食物每有1个被传递的技能</t>
  </si>
  <si>
    <t>本食物有被传递的技能时</t>
  </si>
  <si>
    <t>传递次数检测</t>
  </si>
  <si>
    <t>本局传递次数达到10次时</t>
  </si>
  <si>
    <t>同列食物倍率+3。甜蜜传递至同行3个食物</t>
  </si>
  <si>
    <t>蛋糕</t>
  </si>
  <si>
    <t>层数检测</t>
  </si>
  <si>
    <t>欢乐蛋糕层数小于等于10层时</t>
  </si>
  <si>
    <t>状态</t>
  </si>
  <si>
    <t>特殊状态检测</t>
  </si>
  <si>
    <t>（周围/同列/同行/空）有n个（失效/消耗）的食物时</t>
  </si>
  <si>
    <t>蛋糕x1.5层，至少+5层</t>
  </si>
  <si>
    <t>同行食物达「5/15/25」个时，同行食物倍率x「1.5/2.5/5」</t>
  </si>
  <si>
    <t>层数消耗</t>
  </si>
  <si>
    <t>消耗（5层/所有）欢乐蛋糕层数</t>
  </si>
  <si>
    <t>层数转化分数</t>
  </si>
  <si>
    <t>每10层使（周围/同列/同行/空/下一个结算）（全部/随机两个）食物分数（x1.5/+10）</t>
  </si>
  <si>
    <t>视为5个食物，复制周围食物的1个技能</t>
  </si>
  <si>
    <t>层数转化结算</t>
  </si>
  <si>
    <t>每10层使（周围/同列/同行/空/下一个结算）（全部/随机两个）食物额外结算1次</t>
  </si>
  <si>
    <t>层数增加</t>
  </si>
  <si>
    <t>欢乐蛋糕层数（x1.5/+10）</t>
  </si>
  <si>
    <t>倍率x3。同行被填满时，视为10个食物</t>
  </si>
  <si>
    <t>多次结算</t>
  </si>
  <si>
    <t>（周围/同列/同行/全部/本/下一个结算）（随机2个/空）食物，（周围/同列/同行/全部/本）（随机2个/空）额外结算1次</t>
  </si>
  <si>
    <t>同列食物额外被视为2个食物，倍率+4</t>
  </si>
  <si>
    <t>分数增加</t>
  </si>
  <si>
    <t>（周围/同列/同行/空/下一个结算）（全部/随机两个）食物分数（x1.5/+10）</t>
  </si>
  <si>
    <t>分数传递</t>
  </si>
  <si>
    <t>将（所有/1个）（周围/同列/同行/任意/下一个结算）食物分数（的1/3），加至（本/n个/所有）（同列/周围/同行/任意/下一个结算）食物上</t>
  </si>
  <si>
    <t>分数永久+10，将分数加到所有蛋糕上</t>
  </si>
  <si>
    <t>经济运营</t>
  </si>
  <si>
    <t>获得5个金币</t>
  </si>
  <si>
    <t>临时复制</t>
  </si>
  <si>
    <t>临时复制（周围/同列/同行/空/下一个结算）（全部/随机两个）食物的到空格中</t>
  </si>
  <si>
    <t>蛋糕层数+15，倍率+5</t>
  </si>
  <si>
    <t>分数永久增长</t>
  </si>
  <si>
    <t>（周围/同列/同行/空/下一个结算）（全部/随机两个）食物的分数永久（x1.5/+10）分</t>
  </si>
  <si>
    <t>消耗食物</t>
  </si>
  <si>
    <t>消耗（周围/同列/同行/全部/本/下一个结算）（随机2个/空）食物</t>
  </si>
  <si>
    <t>每有1个技能，倍率+5。甜蜜传递至同列食物</t>
  </si>
  <si>
    <t>技能复制</t>
  </si>
  <si>
    <t>复制（周围/同列/同行/全部/本/下一个结算）（随机2个/空）食物的任意一个技能</t>
  </si>
  <si>
    <t>技能获得</t>
  </si>
  <si>
    <t>（周围/同列/同行/全部/本/下一个结算）（随机2个/空）食物获得技能</t>
  </si>
  <si>
    <t>视为10个食物，周围每有1个食物，倍率x1.2</t>
  </si>
  <si>
    <t>后</t>
  </si>
  <si>
    <t>失效食物</t>
  </si>
  <si>
    <t>使（周围/同列/同行/全部/本/下一个结算）（随机2个/空）食物技能在本局失效</t>
  </si>
  <si>
    <t>多数菜</t>
  </si>
  <si>
    <t>本菜视为2种菜</t>
  </si>
  <si>
    <t>视为5个食物，同列食物倍率x2</t>
  </si>
  <si>
    <t>蛋糕层数+20，所有食物倍率+0.5</t>
  </si>
  <si>
    <t>视为8个食物，复制周围的两个技能</t>
  </si>
  <si>
    <t>倍率+5，将倍率加到所有蛋糕上</t>
  </si>
  <si>
    <t>同行每有1个食物，周围食物倍率+0.3</t>
  </si>
  <si>
    <t>倍率x2。蛋糕数量达3/5/8时，蛋糕层数+10/20/40</t>
  </si>
  <si>
    <t>带有甜蜜传递的食物达「3/5/8」种，此类食物倍率x「1.5/2.5/5」</t>
  </si>
  <si>
    <t>周围每有1种食物，蛋糕层数+2层</t>
  </si>
  <si>
    <t>视为4个食物，周围食物倍率x1.5</t>
  </si>
  <si>
    <t>同列食物倍率x1.4。甜蜜传递至周围食物</t>
  </si>
  <si>
    <t>同行同列带有甜蜜传递的食物，执行一次它们的甜蜜传递</t>
  </si>
  <si>
    <t>每有1个技能，倍率x1.5。甜蜜传递至同行食物</t>
  </si>
  <si>
    <t>获得3种不同的蛋糕技能</t>
  </si>
  <si>
    <t>同列</t>
  </si>
  <si>
    <t>周围/同列</t>
  </si>
  <si>
    <t>周围</t>
  </si>
  <si>
    <t>同行</t>
  </si>
  <si>
    <t>同行/同列</t>
  </si>
  <si>
    <t>周围/同行/同列</t>
  </si>
  <si>
    <t>周围/同行</t>
  </si>
  <si>
    <t>同行/周围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</si>
</sst>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-简"/>
      <charset val="134"/>
    </font>
    <font>
      <sz val="12"/>
      <color rgb="FF101418"/>
      <name val="宋体"/>
      <charset val="134"/>
      <scheme val="minor"/>
    </font>
    <font>
      <sz val="12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9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10" borderId="5">
      <alignment vertical="center"/>
    </xf>
    <xf numFmtId="0" fontId="13" fillId="11" borderId="6">
      <alignment vertical="center"/>
    </xf>
    <xf numFmtId="0" fontId="14" fillId="11" borderId="5">
      <alignment vertical="center"/>
    </xf>
    <xf numFmtId="0" fontId="15" fillId="12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  <xf numFmtId="0" fontId="21" fillId="36" borderId="0">
      <alignment vertical="center"/>
    </xf>
    <xf numFmtId="0" fontId="22" fillId="37" borderId="0">
      <alignment vertical="center"/>
    </xf>
    <xf numFmtId="0" fontId="22" fillId="38" borderId="0">
      <alignment vertical="center"/>
    </xf>
    <xf numFmtId="0" fontId="21" fillId="39" borderId="0">
      <alignment vertical="center"/>
    </xf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1" fillId="6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8" borderId="0" xfId="0" applyFill="1"/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1"/>
  <sheetViews>
    <sheetView topLeftCell="G1" workbookViewId="0">
      <selection activeCell="O4" sqref="O4:P88"/>
    </sheetView>
  </sheetViews>
  <sheetFormatPr defaultColWidth="9" defaultRowHeight="16.8"/>
  <cols>
    <col min="1" max="1" width="13.0769230769231" style="1" customWidth="1"/>
    <col min="2" max="2" width="14.1538461538462" style="1" customWidth="1"/>
    <col min="3" max="3" width="10.3076923076923" style="1" customWidth="1"/>
    <col min="4" max="4" width="13.4615384615385" style="1" customWidth="1"/>
    <col min="5" max="5" width="20" style="1" customWidth="1"/>
    <col min="6" max="6" width="21.1538461538462" style="1" customWidth="1"/>
    <col min="7" max="7" width="25.5384615384615" style="1" customWidth="1"/>
    <col min="8" max="8" width="20.0769230769231" style="1" customWidth="1"/>
    <col min="9" max="9" width="17.6153846153846" style="1" customWidth="1"/>
    <col min="10" max="11" width="9" style="1" customWidth="1"/>
    <col min="12" max="12" width="11.6923076923077" style="1" customWidth="1"/>
    <col min="13" max="14" width="6.89423076923077" style="1" customWidth="1"/>
    <col min="15" max="15" width="73.3076923076923" style="1" customWidth="1"/>
    <col min="16" max="16" width="84.6153846153846" style="1" customWidth="1"/>
    <col min="17" max="16383" width="9" style="1" customWidth="1"/>
    <col min="16384" max="16384" width="9" style="1"/>
  </cols>
  <sheetData>
    <row r="1" spans="1:1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K1" s="1" t="str">
        <f>""</f>
        <v/>
      </c>
    </row>
    <row r="2" spans="1:12">
      <c r="A2" s="18" t="s">
        <v>9</v>
      </c>
      <c r="B2" s="18" t="s">
        <v>10</v>
      </c>
      <c r="C2" s="18" t="s">
        <v>11</v>
      </c>
      <c r="D2" s="18" t="s">
        <v>12</v>
      </c>
      <c r="E2" s="18" t="s">
        <v>13</v>
      </c>
      <c r="F2" s="18" t="s">
        <v>14</v>
      </c>
      <c r="G2" s="18" t="s">
        <v>15</v>
      </c>
      <c r="H2" s="18" t="s">
        <v>16</v>
      </c>
      <c r="I2" s="18" t="s">
        <v>17</v>
      </c>
      <c r="K2" s="1" t="str">
        <f t="shared" ref="K2:K11" si="0">""</f>
        <v/>
      </c>
      <c r="L2" s="1" t="s">
        <v>18</v>
      </c>
    </row>
    <row r="3" spans="1:12">
      <c r="A3" s="18" t="s">
        <v>19</v>
      </c>
      <c r="B3" s="18" t="s">
        <v>20</v>
      </c>
      <c r="C3" s="18" t="s">
        <v>20</v>
      </c>
      <c r="D3" s="18" t="s">
        <v>21</v>
      </c>
      <c r="E3" s="18" t="s">
        <v>22</v>
      </c>
      <c r="F3" s="18" t="s">
        <v>20</v>
      </c>
      <c r="G3" s="18" t="s">
        <v>20</v>
      </c>
      <c r="H3" s="18" t="s">
        <v>21</v>
      </c>
      <c r="I3" s="18" t="s">
        <v>23</v>
      </c>
      <c r="K3" s="1" t="str">
        <f t="shared" si="0"/>
        <v/>
      </c>
      <c r="L3" s="1" t="s">
        <v>24</v>
      </c>
    </row>
    <row r="4" spans="2:16">
      <c r="B4" s="18" t="s">
        <v>25</v>
      </c>
      <c r="C4" s="18" t="s">
        <v>26</v>
      </c>
      <c r="D4" s="18">
        <v>10</v>
      </c>
      <c r="E4" s="18" t="s">
        <v>27</v>
      </c>
      <c r="F4" s="18" t="s">
        <v>28</v>
      </c>
      <c r="G4" s="18" t="s">
        <v>29</v>
      </c>
      <c r="H4" s="18">
        <v>1</v>
      </c>
      <c r="I4" s="18" t="s">
        <v>30</v>
      </c>
      <c r="K4" s="1" t="str">
        <f t="shared" si="0"/>
        <v/>
      </c>
      <c r="L4" s="1" t="str">
        <f>IFERROR(VLOOKUP(F4,skill!$B$4:$D$50,3,FALSE),"")</f>
        <v>ss_edge_multflat_v3</v>
      </c>
      <c r="M4" s="1" t="s">
        <v>31</v>
      </c>
      <c r="O4" s="1" t="str">
        <f>IFERROR(VLOOKUP(M4,sub_skill!$B:$R,15,FALSE),"")</f>
        <v>处在棋盘边缘时，{ascopes}倍率 {0}。</v>
      </c>
      <c r="P4" s="1" t="str">
        <f>IFERROR(VLOOKUP(N4,sub_skill!$B:$R,15,FALSE),"")</f>
        <v/>
      </c>
    </row>
    <row r="5" spans="2:16">
      <c r="B5" s="18" t="s">
        <v>32</v>
      </c>
      <c r="C5" s="18" t="s">
        <v>33</v>
      </c>
      <c r="D5" s="18">
        <v>8</v>
      </c>
      <c r="E5" s="18" t="s">
        <v>27</v>
      </c>
      <c r="F5" s="18" t="s">
        <v>34</v>
      </c>
      <c r="G5" s="18" t="s">
        <v>29</v>
      </c>
      <c r="H5" s="18">
        <v>1</v>
      </c>
      <c r="I5" s="18" t="s">
        <v>30</v>
      </c>
      <c r="K5" s="1" t="str">
        <f t="shared" si="0"/>
        <v/>
      </c>
      <c r="L5" s="1" t="str">
        <f>IFERROR(VLOOKUP(F5,skill!$B$4:$D$50,3,FALSE),"")</f>
        <v>ss_flat_per_dish_adj_v8|ss_transfer_row_n1</v>
      </c>
      <c r="M5" s="1" t="s">
        <v>35</v>
      </c>
      <c r="N5" s="1" t="s">
        <v>36</v>
      </c>
      <c r="O5" s="1" t="str">
        <f>IFERROR(VLOOKUP(M5,sub_skill!$B:$R,15,FALSE),"")</f>
        <v>{cscope}每有 1 {unit}食物，{ascopes}分数 {0}。</v>
      </c>
      <c r="P5" s="1" t="str">
        <f>IFERROR(VLOOKUP(N5,sub_skill!$B:$R,15,FALSE),"")</f>
        <v>甜蜜传递至{ascopes}食物</v>
      </c>
    </row>
    <row r="6" spans="2:16">
      <c r="B6" s="18" t="s">
        <v>37</v>
      </c>
      <c r="C6" s="18" t="s">
        <v>38</v>
      </c>
      <c r="D6" s="18">
        <v>30</v>
      </c>
      <c r="E6" s="18" t="s">
        <v>27</v>
      </c>
      <c r="F6" s="18" t="s">
        <v>39</v>
      </c>
      <c r="G6" s="18" t="s">
        <v>29</v>
      </c>
      <c r="H6" s="18">
        <v>1</v>
      </c>
      <c r="I6" s="18" t="s">
        <v>30</v>
      </c>
      <c r="K6" s="1" t="str">
        <f t="shared" si="0"/>
        <v/>
      </c>
      <c r="L6" s="1" t="str">
        <f>IFERROR(VLOOKUP(F6,skill!$B$4:$D$50,3,FALSE),"")</f>
        <v>ss_flat_per_empty_adj_vm2</v>
      </c>
      <c r="M6" s="1" t="s">
        <v>40</v>
      </c>
      <c r="O6" s="1" t="str">
        <f>IFERROR(VLOOKUP(M6,sub_skill!$B:$R,15,FALSE),"")</f>
        <v>{cscope}每有 1 个空格，{ascopes}分数 {0}。</v>
      </c>
      <c r="P6" s="1" t="str">
        <f>IFERROR(VLOOKUP(N6,sub_skill!$B:$R,15,FALSE),"")</f>
        <v/>
      </c>
    </row>
    <row r="7" spans="2:16">
      <c r="B7" s="18" t="s">
        <v>41</v>
      </c>
      <c r="C7" s="18" t="s">
        <v>42</v>
      </c>
      <c r="D7" s="18">
        <v>8</v>
      </c>
      <c r="E7" s="18" t="s">
        <v>27</v>
      </c>
      <c r="F7" s="18" t="s">
        <v>43</v>
      </c>
      <c r="G7" s="18" t="s">
        <v>29</v>
      </c>
      <c r="H7" s="18">
        <v>1</v>
      </c>
      <c r="I7" s="18" t="s">
        <v>30</v>
      </c>
      <c r="K7" s="1" t="str">
        <f t="shared" si="0"/>
        <v/>
      </c>
      <c r="L7" s="1" t="str">
        <f>IFERROR(VLOOKUP(F7,skill!$B$4:$D$50,3,FALSE),"")</f>
        <v>ss_layer_per_dish_adj_v2</v>
      </c>
      <c r="M7" s="1" t="s">
        <v>44</v>
      </c>
      <c r="O7" s="1" t="str">
        <f>IFERROR(VLOOKUP(M7,sub_skill!$B:$R,15,FALSE),"")</f>
        <v>{cscope}每有 1 {unit}食物，欢乐蛋糕 {0} 层。</v>
      </c>
      <c r="P7" s="1" t="str">
        <f>IFERROR(VLOOKUP(N7,sub_skill!$B:$R,15,FALSE),"")</f>
        <v/>
      </c>
    </row>
    <row r="8" spans="2:16">
      <c r="B8" s="18" t="s">
        <v>45</v>
      </c>
      <c r="C8" s="18" t="s">
        <v>46</v>
      </c>
      <c r="D8" s="18">
        <v>6</v>
      </c>
      <c r="E8" s="18" t="s">
        <v>27</v>
      </c>
      <c r="F8" s="18" t="s">
        <v>47</v>
      </c>
      <c r="G8" s="18"/>
      <c r="H8" s="18">
        <v>1</v>
      </c>
      <c r="I8" s="18" t="s">
        <v>30</v>
      </c>
      <c r="K8" s="1" t="str">
        <f t="shared" si="0"/>
        <v/>
      </c>
      <c r="L8" s="1" t="str">
        <f>IFERROR(VLOOKUP(F8,skill!$B$4:$D$50,3,FALSE),"")</f>
        <v>ss_flat_per_run_v6</v>
      </c>
      <c r="M8" s="1" t="s">
        <v>48</v>
      </c>
      <c r="O8" s="1" t="str">
        <f>IFERROR(VLOOKUP(M8,sub_skill!$B:$R,15,FALSE),"")</f>
        <v>结算时，{ascopes}分数永久 {0}。</v>
      </c>
      <c r="P8" s="1" t="str">
        <f>IFERROR(VLOOKUP(N8,sub_skill!$B:$R,15,FALSE),"")</f>
        <v/>
      </c>
    </row>
    <row r="9" spans="2:16">
      <c r="B9" s="18" t="s">
        <v>49</v>
      </c>
      <c r="C9" s="18" t="s">
        <v>50</v>
      </c>
      <c r="D9" s="18">
        <v>10</v>
      </c>
      <c r="E9" s="18" t="s">
        <v>27</v>
      </c>
      <c r="F9" s="18" t="s">
        <v>51</v>
      </c>
      <c r="G9" s="18"/>
      <c r="H9" s="18">
        <v>1</v>
      </c>
      <c r="I9" s="18" t="s">
        <v>30</v>
      </c>
      <c r="K9" s="1" t="str">
        <f t="shared" si="0"/>
        <v/>
      </c>
      <c r="L9" s="1" t="str">
        <f>IFERROR(VLOOKUP(F9,skill!$B$4:$D$50,3,FALSE),"")</f>
        <v>ss_multflat_per_dish_col_v1</v>
      </c>
      <c r="M9" s="1" t="s">
        <v>52</v>
      </c>
      <c r="O9" s="1" t="str">
        <f>IFERROR(VLOOKUP(M9,sub_skill!$B:$R,15,FALSE),"")</f>
        <v>{cscope}每有 1 {unit}食物，{ascopes}倍率 {0}。</v>
      </c>
      <c r="P9" s="1" t="str">
        <f>IFERROR(VLOOKUP(N9,sub_skill!$B:$R,15,FALSE),"")</f>
        <v/>
      </c>
    </row>
    <row r="10" spans="2:16">
      <c r="B10" s="18" t="s">
        <v>53</v>
      </c>
      <c r="C10" s="18" t="s">
        <v>54</v>
      </c>
      <c r="D10" s="18">
        <v>6</v>
      </c>
      <c r="E10" s="18" t="s">
        <v>27</v>
      </c>
      <c r="F10" s="18" t="s">
        <v>55</v>
      </c>
      <c r="G10" s="18"/>
      <c r="H10" s="18">
        <v>1</v>
      </c>
      <c r="I10" s="18" t="s">
        <v>30</v>
      </c>
      <c r="K10" s="1" t="str">
        <f t="shared" si="0"/>
        <v/>
      </c>
      <c r="L10" s="1" t="str">
        <f>IFERROR(VLOOKUP(F10,skill!$B$4:$D$50,3,FALSE),"")</f>
        <v>ss_flat_per_dish_row_v10</v>
      </c>
      <c r="M10" s="1" t="s">
        <v>56</v>
      </c>
      <c r="O10" s="1" t="str">
        <f>IFERROR(VLOOKUP(M10,sub_skill!$B:$R,15,FALSE),"")</f>
        <v>{cscope}每有 1 {unit}食物，{ascopes}分数 {0}。</v>
      </c>
      <c r="P10" s="1" t="str">
        <f>IFERROR(VLOOKUP(N10,sub_skill!$B:$R,15,FALSE),"")</f>
        <v/>
      </c>
    </row>
    <row r="11" spans="2:16">
      <c r="B11" s="18" t="s">
        <v>57</v>
      </c>
      <c r="C11" s="18" t="s">
        <v>58</v>
      </c>
      <c r="D11" s="18">
        <v>10</v>
      </c>
      <c r="E11" s="18" t="s">
        <v>27</v>
      </c>
      <c r="F11" s="18" t="s">
        <v>59</v>
      </c>
      <c r="G11" s="18"/>
      <c r="H11" s="18">
        <v>1</v>
      </c>
      <c r="I11" s="18" t="s">
        <v>30</v>
      </c>
      <c r="K11" s="1" t="str">
        <f t="shared" si="0"/>
        <v/>
      </c>
      <c r="L11" s="1" t="str">
        <f>IFERROR(VLOOKUP(F11,skill!$B$4:$D$50,3,FALSE),"")</f>
        <v>ss_permflat_per_tag_v5</v>
      </c>
      <c r="M11" s="1" t="s">
        <v>60</v>
      </c>
      <c r="O11" s="1" t="str">
        <f>IFERROR(VLOOKUP(M11,sub_skill!$B:$R,15,FALSE),"")</f>
        <v>结算每有1个技能，{ascopes}分数永久 {0}。</v>
      </c>
      <c r="P11" s="1" t="str">
        <f>IFERROR(VLOOKUP(N11,sub_skill!$B:$R,15,FALSE),"")</f>
        <v/>
      </c>
    </row>
    <row r="12" spans="2:16">
      <c r="B12" s="18" t="s">
        <v>61</v>
      </c>
      <c r="C12" s="18" t="s">
        <v>62</v>
      </c>
      <c r="D12" s="18">
        <v>4</v>
      </c>
      <c r="E12" s="18" t="s">
        <v>27</v>
      </c>
      <c r="F12" s="18" t="s">
        <v>63</v>
      </c>
      <c r="G12" s="18"/>
      <c r="H12" s="18">
        <v>1</v>
      </c>
      <c r="I12" s="18" t="s">
        <v>30</v>
      </c>
      <c r="K12" s="1" t="str">
        <f t="shared" ref="K12:K21" si="1">""</f>
        <v/>
      </c>
      <c r="L12" s="1" t="str">
        <f>IFERROR(VLOOKUP(F12,skill!$B$4:$D$50,3,FALSE),"")</f>
        <v>ss_multflat_per_dish_all_adj_v0p2</v>
      </c>
      <c r="M12" s="1" t="s">
        <v>64</v>
      </c>
      <c r="O12" s="1" t="str">
        <f>IFERROR(VLOOKUP(M12,sub_skill!$B:$R,15,FALSE),"")</f>
        <v>{cscope}每有 1 {unit}食物，{ascopes}倍率 {0}。</v>
      </c>
      <c r="P12" s="1" t="str">
        <f>IFERROR(VLOOKUP(N12,sub_skill!$B:$R,15,FALSE),"")</f>
        <v/>
      </c>
    </row>
    <row r="13" spans="2:16">
      <c r="B13" s="18" t="s">
        <v>65</v>
      </c>
      <c r="C13" s="18" t="s">
        <v>66</v>
      </c>
      <c r="D13" s="18">
        <v>10</v>
      </c>
      <c r="E13" s="18" t="s">
        <v>27</v>
      </c>
      <c r="F13" s="18" t="s">
        <v>67</v>
      </c>
      <c r="G13" s="18"/>
      <c r="H13" s="18">
        <v>1</v>
      </c>
      <c r="I13" s="18" t="s">
        <v>30</v>
      </c>
      <c r="K13" s="1" t="str">
        <f t="shared" si="1"/>
        <v/>
      </c>
      <c r="L13" s="1" t="str">
        <f>IFERROR(VLOOKUP(F13,skill!$B$4:$D$50,3,FALSE),"")</f>
        <v>ss_layer_add_v5</v>
      </c>
      <c r="M13" s="1" t="s">
        <v>68</v>
      </c>
      <c r="O13" s="1" t="str">
        <f>IFERROR(VLOOKUP(M13,sub_skill!$B:$R,15,FALSE),"")</f>
        <v>欢乐蛋糕 {0} 层。</v>
      </c>
      <c r="P13" s="1" t="str">
        <f>IFERROR(VLOOKUP(N13,sub_skill!$B:$R,15,FALSE),"")</f>
        <v/>
      </c>
    </row>
    <row r="14" spans="2:16">
      <c r="B14" s="18" t="s">
        <v>69</v>
      </c>
      <c r="C14" s="18" t="s">
        <v>70</v>
      </c>
      <c r="D14" s="18">
        <v>10</v>
      </c>
      <c r="E14" s="18" t="s">
        <v>27</v>
      </c>
      <c r="F14" s="18" t="s">
        <v>71</v>
      </c>
      <c r="G14" s="18"/>
      <c r="H14" s="18">
        <v>1</v>
      </c>
      <c r="I14" s="18" t="s">
        <v>30</v>
      </c>
      <c r="K14" s="1" t="str">
        <f t="shared" si="1"/>
        <v/>
      </c>
      <c r="L14" s="1" t="str">
        <f>IFERROR(VLOOKUP(F14,skill!$B$4:$D$50,3,FALSE),"")</f>
        <v>ss_extra_settle_v1|ss_transfer_all_n1</v>
      </c>
      <c r="M14" s="1" t="s">
        <v>72</v>
      </c>
      <c r="N14" s="1" t="s">
        <v>73</v>
      </c>
      <c r="O14" s="1" t="str">
        <f>IFERROR(VLOOKUP(M14,sub_skill!$B:$R,15,FALSE),"")</f>
        <v>技能额外结算 {0} 次。</v>
      </c>
      <c r="P14" s="1" t="str">
        <f>IFERROR(VLOOKUP(N14,sub_skill!$B:$R,15,FALSE),"")</f>
        <v>甜蜜传递至{ascopes}食物</v>
      </c>
    </row>
    <row r="15" spans="2:16">
      <c r="B15" s="18" t="s">
        <v>74</v>
      </c>
      <c r="C15" s="18" t="s">
        <v>75</v>
      </c>
      <c r="D15" s="18">
        <v>6</v>
      </c>
      <c r="E15" s="18" t="s">
        <v>27</v>
      </c>
      <c r="F15" s="18" t="s">
        <v>76</v>
      </c>
      <c r="G15" s="18"/>
      <c r="H15" s="18">
        <v>1</v>
      </c>
      <c r="I15" s="18" t="s">
        <v>30</v>
      </c>
      <c r="K15" s="1" t="str">
        <f t="shared" si="1"/>
        <v/>
      </c>
      <c r="L15" s="1" t="str">
        <f>IFERROR(VLOOKUP(F15,skill!$B$4:$D$50,3,FALSE),"")</f>
        <v>ss_grant_gold_filled_adj_v30</v>
      </c>
      <c r="M15" s="1" t="s">
        <v>77</v>
      </c>
      <c r="O15" s="1" t="str">
        <f>IFERROR(VLOOKUP(M15,sub_skill!$B:$R,15,FALSE),"")</f>
        <v>若{cscope}被填满，获得 {0} 金币。</v>
      </c>
      <c r="P15" s="1" t="str">
        <f>IFERROR(VLOOKUP(N15,sub_skill!$B:$R,15,FALSE),"")</f>
        <v/>
      </c>
    </row>
    <row r="16" spans="2:16">
      <c r="B16" s="18" t="s">
        <v>78</v>
      </c>
      <c r="C16" s="18" t="s">
        <v>79</v>
      </c>
      <c r="D16" s="18">
        <v>8</v>
      </c>
      <c r="E16" s="18" t="s">
        <v>27</v>
      </c>
      <c r="F16" s="18" t="s">
        <v>80</v>
      </c>
      <c r="G16" s="18"/>
      <c r="H16" s="18">
        <v>1</v>
      </c>
      <c r="I16" s="18" t="s">
        <v>30</v>
      </c>
      <c r="K16" s="1" t="str">
        <f t="shared" si="1"/>
        <v/>
      </c>
      <c r="L16" s="1" t="str">
        <f>IFERROR(VLOOKUP(F16,skill!$B$4:$D$50,3,FALSE),"")</f>
        <v>ss_layer_filled_row_v10</v>
      </c>
      <c r="M16" s="1" t="s">
        <v>81</v>
      </c>
      <c r="O16" s="1" t="str">
        <f>IFERROR(VLOOKUP(M16,sub_skill!$B:$R,15,FALSE),"")</f>
        <v>若{cscope}被填满，欢乐蛋糕 {0} 层。</v>
      </c>
      <c r="P16" s="1" t="str">
        <f>IFERROR(VLOOKUP(N16,sub_skill!$B:$R,15,FALSE),"")</f>
        <v/>
      </c>
    </row>
    <row r="17" spans="2:16">
      <c r="B17" s="18" t="s">
        <v>82</v>
      </c>
      <c r="C17" s="18" t="s">
        <v>83</v>
      </c>
      <c r="D17" s="18">
        <v>20</v>
      </c>
      <c r="E17" s="18" t="s">
        <v>27</v>
      </c>
      <c r="F17" s="18" t="s">
        <v>84</v>
      </c>
      <c r="G17" s="18"/>
      <c r="H17" s="18">
        <v>1</v>
      </c>
      <c r="I17" s="18" t="s">
        <v>85</v>
      </c>
      <c r="K17" s="1" t="str">
        <f t="shared" si="1"/>
        <v/>
      </c>
      <c r="L17" s="1" t="str">
        <f>IFERROR(VLOOKUP(F17,skill!$B$4:$D$50,3,FALSE),"")</f>
        <v>ss_multflat_per_dish_row_v2|ss_count_as_base_v1</v>
      </c>
      <c r="M17" s="1" t="s">
        <v>86</v>
      </c>
      <c r="N17" s="1" t="s">
        <v>87</v>
      </c>
      <c r="O17" s="1" t="str">
        <f>IFERROR(VLOOKUP(M17,sub_skill!$B:$R,15,FALSE),"")</f>
        <v>{cscope}每有 1 {unit}食物，{ascopes}倍率 {0}。</v>
      </c>
      <c r="P17" s="1" t="str">
        <f>IFERROR(VLOOKUP(N17,sub_skill!$B:$R,15,FALSE),"")</f>
        <v>{ascopes}视为 {countas} 个食物。</v>
      </c>
    </row>
    <row r="18" spans="2:16">
      <c r="B18" s="18" t="s">
        <v>88</v>
      </c>
      <c r="C18" s="18" t="s">
        <v>89</v>
      </c>
      <c r="D18" s="18">
        <v>20</v>
      </c>
      <c r="E18" s="18" t="s">
        <v>27</v>
      </c>
      <c r="F18" s="18" t="s">
        <v>90</v>
      </c>
      <c r="G18" s="18"/>
      <c r="H18" s="18">
        <v>1</v>
      </c>
      <c r="I18" s="18" t="s">
        <v>30</v>
      </c>
      <c r="K18" s="1" t="str">
        <f t="shared" si="1"/>
        <v/>
      </c>
      <c r="L18" s="1" t="str">
        <f>IFERROR(VLOOKUP(F18,skill!$B$4:$D$50,3,FALSE),"")</f>
        <v>ss_layer_add_v10|ss_temp_copy_v1</v>
      </c>
      <c r="M18" s="1" t="s">
        <v>91</v>
      </c>
      <c r="N18" s="1" t="s">
        <v>92</v>
      </c>
      <c r="O18" s="1" t="str">
        <f>IFERROR(VLOOKUP(M18,sub_skill!$B:$R,15,FALSE),"")</f>
        <v>欢乐蛋糕 {0} 层。</v>
      </c>
      <c r="P18" s="1" t="str">
        <f>IFERROR(VLOOKUP(N18,sub_skill!$B:$R,15,FALSE),"")</f>
        <v>复制本菜品至空格中。</v>
      </c>
    </row>
    <row r="19" spans="9:16">
      <c r="I19" s="18" t="s">
        <v>30</v>
      </c>
      <c r="K19" s="1" t="str">
        <f t="shared" si="1"/>
        <v/>
      </c>
      <c r="L19" s="1" t="str">
        <f>IFERROR(VLOOKUP(F19,skill!$B$4:$D$50,3,FALSE),"")</f>
        <v/>
      </c>
      <c r="O19" s="1" t="str">
        <f>IFERROR(VLOOKUP(M19,sub_skill!$B:$R,15,FALSE),"")</f>
        <v/>
      </c>
      <c r="P19" s="1" t="str">
        <f>IFERROR(VLOOKUP(N19,sub_skill!$B:$R,15,FALSE),"")</f>
        <v/>
      </c>
    </row>
    <row r="20" spans="2:16">
      <c r="B20" s="18" t="s">
        <v>93</v>
      </c>
      <c r="C20" s="18" t="s">
        <v>94</v>
      </c>
      <c r="D20" s="18">
        <v>10</v>
      </c>
      <c r="E20" s="18" t="s">
        <v>27</v>
      </c>
      <c r="F20" s="18" t="s">
        <v>95</v>
      </c>
      <c r="G20" s="18" t="s">
        <v>29</v>
      </c>
      <c r="H20" s="18">
        <v>1</v>
      </c>
      <c r="I20" s="18" t="s">
        <v>85</v>
      </c>
      <c r="K20" s="1" t="str">
        <f t="shared" si="1"/>
        <v/>
      </c>
      <c r="L20" s="1" t="str">
        <f>IFERROR(VLOOKUP(F20,skill!$B$4:$D$50,3,FALSE),"")</f>
        <v>ss_shape_mult_adj_v1p5|ss_transfer_col_n2</v>
      </c>
      <c r="M20" s="1" t="s">
        <v>96</v>
      </c>
      <c r="N20" s="1" t="s">
        <v>97</v>
      </c>
      <c r="O20" s="1" t="str">
        <f>IFERROR(VLOOKUP(M20,sub_skill!$B:$R,15,FALSE),"")</f>
        <v>{cscope}有占 1 格的食物时，{ascopes}倍率 ×{0}。</v>
      </c>
      <c r="P20" s="1" t="str">
        <f>IFERROR(VLOOKUP(N20,sub_skill!$B:$R,15,FALSE),"")</f>
        <v>甜蜜传递至{ascopes}食物</v>
      </c>
    </row>
    <row r="21" spans="2:16">
      <c r="B21" s="18" t="s">
        <v>98</v>
      </c>
      <c r="C21" s="18" t="s">
        <v>99</v>
      </c>
      <c r="D21" s="18">
        <v>8</v>
      </c>
      <c r="E21" s="18" t="s">
        <v>27</v>
      </c>
      <c r="F21" s="18" t="s">
        <v>100</v>
      </c>
      <c r="G21" s="18" t="s">
        <v>29</v>
      </c>
      <c r="H21" s="18">
        <v>1</v>
      </c>
      <c r="I21" s="18" t="s">
        <v>85</v>
      </c>
      <c r="K21" s="1" t="str">
        <f t="shared" si="1"/>
        <v/>
      </c>
      <c r="L21" s="1" t="str">
        <f>IFERROR(VLOOKUP(F21,skill!$B$4:$D$50,3,FALSE),"")</f>
        <v>ss_mult_per_dish_adj_v1p2|ss_transfer_adj_n2</v>
      </c>
      <c r="M21" s="1" t="s">
        <v>101</v>
      </c>
      <c r="N21" s="1" t="s">
        <v>102</v>
      </c>
      <c r="O21" s="1" t="str">
        <f>IFERROR(VLOOKUP(M21,sub_skill!$B:$R,15,FALSE),"")</f>
        <v>{cscope}每有 1 {unit}食物，{ascopes}倍率 ×{0}。</v>
      </c>
      <c r="P21" s="1" t="str">
        <f>IFERROR(VLOOKUP(N21,sub_skill!$B:$R,15,FALSE),"")</f>
        <v>甜蜜传递至{ascopes}食物</v>
      </c>
    </row>
    <row r="22" spans="2:16">
      <c r="B22" s="18" t="s">
        <v>103</v>
      </c>
      <c r="C22" s="18" t="s">
        <v>104</v>
      </c>
      <c r="D22" s="18">
        <v>14</v>
      </c>
      <c r="E22" s="18" t="s">
        <v>27</v>
      </c>
      <c r="F22" s="18" t="s">
        <v>105</v>
      </c>
      <c r="G22" s="18" t="s">
        <v>106</v>
      </c>
      <c r="H22" s="18">
        <v>1</v>
      </c>
      <c r="I22" s="18" t="s">
        <v>85</v>
      </c>
      <c r="K22" s="1" t="str">
        <f t="shared" ref="K22:K31" si="2">""</f>
        <v/>
      </c>
      <c r="L22" s="1" t="str">
        <f>IFERROR(VLOOKUP(F22,skill!$B$4:$D$50,3,FALSE),"")</f>
        <v>ss_copy_skill_adj_v1|ss_layer_per_tag_v6</v>
      </c>
      <c r="M22" s="1" t="s">
        <v>107</v>
      </c>
      <c r="N22" s="1" t="s">
        <v>108</v>
      </c>
      <c r="O22" s="1" t="str">
        <f>IFERROR(VLOOKUP(M22,sub_skill!$B:$R,15,FALSE),"")</f>
        <v>复制{ascope}食物的 {0} 个技能。</v>
      </c>
      <c r="P22" s="1" t="str">
        <f>IFERROR(VLOOKUP(N22,sub_skill!$B:$R,15,FALSE),"")</f>
        <v>每有 1 个技能，欢乐蛋糕 {0} 层。</v>
      </c>
    </row>
    <row r="23" spans="2:16">
      <c r="B23" s="18" t="s">
        <v>109</v>
      </c>
      <c r="C23" s="18" t="s">
        <v>110</v>
      </c>
      <c r="D23" s="18">
        <v>16</v>
      </c>
      <c r="E23" s="18" t="s">
        <v>27</v>
      </c>
      <c r="F23" s="18" t="s">
        <v>111</v>
      </c>
      <c r="G23" s="18" t="s">
        <v>106</v>
      </c>
      <c r="H23" s="18">
        <v>1</v>
      </c>
      <c r="I23" s="18" t="s">
        <v>30</v>
      </c>
      <c r="K23" s="1" t="str">
        <f t="shared" si="2"/>
        <v/>
      </c>
      <c r="L23" s="1" t="str">
        <f>IFERROR(VLOOKUP(F23,skill!$B$4:$D$50,3,FALSE),"")</f>
        <v>ss_mult_v1p5|ss_extra_settle_v1</v>
      </c>
      <c r="M23" s="1" t="s">
        <v>112</v>
      </c>
      <c r="N23" s="1" t="s">
        <v>72</v>
      </c>
      <c r="O23" s="1" t="str">
        <f>IFERROR(VLOOKUP(M23,sub_skill!$B:$R,15,FALSE),"")</f>
        <v>{ascopes}倍率 ×{0}。</v>
      </c>
      <c r="P23" s="1" t="str">
        <f>IFERROR(VLOOKUP(N23,sub_skill!$B:$R,15,FALSE),"")</f>
        <v>技能额外结算 {0} 次。</v>
      </c>
    </row>
    <row r="24" spans="9:16">
      <c r="I24" s="18" t="s">
        <v>30</v>
      </c>
      <c r="K24" s="1" t="str">
        <f t="shared" si="2"/>
        <v/>
      </c>
      <c r="L24" s="1" t="str">
        <f>IFERROR(VLOOKUP(F24,skill!$B$4:$D$50,3,FALSE),"")</f>
        <v/>
      </c>
      <c r="O24" s="1" t="str">
        <f>IFERROR(VLOOKUP(M24,sub_skill!$B:$R,15,FALSE),"")</f>
        <v/>
      </c>
      <c r="P24" s="1" t="str">
        <f>IFERROR(VLOOKUP(N24,sub_skill!$B:$R,15,FALSE),"")</f>
        <v/>
      </c>
    </row>
    <row r="25" spans="2:16">
      <c r="B25" s="18" t="s">
        <v>113</v>
      </c>
      <c r="C25" s="18" t="s">
        <v>114</v>
      </c>
      <c r="D25" s="18">
        <v>15</v>
      </c>
      <c r="E25" s="18" t="s">
        <v>27</v>
      </c>
      <c r="F25" s="18" t="s">
        <v>115</v>
      </c>
      <c r="G25" s="18" t="s">
        <v>29</v>
      </c>
      <c r="H25" s="18">
        <v>1</v>
      </c>
      <c r="I25" s="18" t="s">
        <v>30</v>
      </c>
      <c r="K25" s="1" t="str">
        <f t="shared" si="2"/>
        <v/>
      </c>
      <c r="L25" s="1" t="str">
        <f>IFERROR(VLOOKUP(F25,skill!$B$4:$D$50,3,FALSE),"")</f>
        <v>ss_perm_flat_v10|ss_transfer_all_n2</v>
      </c>
      <c r="M25" s="1" t="s">
        <v>116</v>
      </c>
      <c r="N25" s="1" t="s">
        <v>117</v>
      </c>
      <c r="O25" s="1" t="str">
        <f>IFERROR(VLOOKUP(M25,sub_skill!$B:$R,15,FALSE),"")</f>
        <v>{ascopes}分数永久 {0}。</v>
      </c>
      <c r="P25" s="1" t="str">
        <f>IFERROR(VLOOKUP(N25,sub_skill!$B:$R,15,FALSE),"")</f>
        <v>甜蜜传递至{ascopes}食物</v>
      </c>
    </row>
    <row r="26" spans="9:16">
      <c r="I26" s="18" t="s">
        <v>30</v>
      </c>
      <c r="K26" s="1" t="str">
        <f t="shared" si="2"/>
        <v/>
      </c>
      <c r="L26" s="1" t="str">
        <f>IFERROR(VLOOKUP(F26,skill!$B$4:$D$50,3,FALSE),"")</f>
        <v/>
      </c>
      <c r="O26" s="1" t="str">
        <f>IFERROR(VLOOKUP(M26,sub_skill!$B:$R,15,FALSE),"")</f>
        <v/>
      </c>
      <c r="P26" s="1" t="str">
        <f>IFERROR(VLOOKUP(N26,sub_skill!$B:$R,15,FALSE),"")</f>
        <v/>
      </c>
    </row>
    <row r="27" spans="2:16">
      <c r="B27" s="18" t="s">
        <v>118</v>
      </c>
      <c r="C27" s="18" t="s">
        <v>119</v>
      </c>
      <c r="D27" s="18">
        <v>20</v>
      </c>
      <c r="E27" s="18" t="s">
        <v>27</v>
      </c>
      <c r="F27" s="18" t="s">
        <v>120</v>
      </c>
      <c r="G27" s="18" t="s">
        <v>29</v>
      </c>
      <c r="H27" s="18">
        <v>1</v>
      </c>
      <c r="I27" s="18" t="s">
        <v>30</v>
      </c>
      <c r="K27" s="1" t="str">
        <f t="shared" si="2"/>
        <v/>
      </c>
      <c r="L27" s="1" t="str">
        <f>IFERROR(VLOOKUP(F27,skill!$B$4:$D$50,3,FALSE),"")</f>
        <v>ss_extra_settle_v1|ss_transfer_adj_n2</v>
      </c>
      <c r="M27" s="1" t="s">
        <v>72</v>
      </c>
      <c r="N27" s="1" t="s">
        <v>102</v>
      </c>
      <c r="O27" s="1" t="str">
        <f>IFERROR(VLOOKUP(M27,sub_skill!$B:$R,15,FALSE),"")</f>
        <v>技能额外结算 {0} 次。</v>
      </c>
      <c r="P27" s="1" t="str">
        <f>IFERROR(VLOOKUP(N27,sub_skill!$B:$R,15,FALSE),"")</f>
        <v>甜蜜传递至{ascopes}食物</v>
      </c>
    </row>
    <row r="28" spans="9:16">
      <c r="I28" s="18" t="s">
        <v>30</v>
      </c>
      <c r="K28" s="1" t="str">
        <f t="shared" si="2"/>
        <v/>
      </c>
      <c r="L28" s="1" t="str">
        <f>IFERROR(VLOOKUP(F28,skill!$B$4:$D$50,3,FALSE),"")</f>
        <v/>
      </c>
      <c r="O28" s="1" t="str">
        <f>IFERROR(VLOOKUP(M28,sub_skill!$B:$R,15,FALSE),"")</f>
        <v/>
      </c>
      <c r="P28" s="1" t="str">
        <f>IFERROR(VLOOKUP(N28,sub_skill!$B:$R,15,FALSE),"")</f>
        <v/>
      </c>
    </row>
    <row r="29" spans="2:16">
      <c r="B29" s="18" t="s">
        <v>121</v>
      </c>
      <c r="C29" s="18" t="s">
        <v>122</v>
      </c>
      <c r="D29" s="18">
        <v>30</v>
      </c>
      <c r="E29" s="18" t="s">
        <v>27</v>
      </c>
      <c r="F29" s="18" t="s">
        <v>123</v>
      </c>
      <c r="G29" s="18"/>
      <c r="H29" s="18">
        <v>1</v>
      </c>
      <c r="I29" s="18" t="s">
        <v>124</v>
      </c>
      <c r="K29" s="1" t="str">
        <f t="shared" si="2"/>
        <v/>
      </c>
      <c r="L29" s="1" t="str">
        <f>IFERROR(VLOOKUP(F29,skill!$B$4:$D$50,3,FALSE),"")</f>
        <v>ss_multflat_per_dish_all_v0p2|ss_count_as_base_v3</v>
      </c>
      <c r="M29" s="1" t="s">
        <v>125</v>
      </c>
      <c r="N29" s="1" t="s">
        <v>126</v>
      </c>
      <c r="O29" s="1" t="str">
        <f>IFERROR(VLOOKUP(M29,sub_skill!$B:$R,15,FALSE),"")</f>
        <v>{cscope}每有 1 {unit}食物，{ascopes}倍率 {0}。</v>
      </c>
      <c r="P29" s="1" t="str">
        <f>IFERROR(VLOOKUP(N29,sub_skill!$B:$R,15,FALSE),"")</f>
        <v>{ascopes}视为 {countas} 个食物。</v>
      </c>
    </row>
    <row r="30" spans="2:16">
      <c r="B30" s="18" t="s">
        <v>127</v>
      </c>
      <c r="C30" s="18" t="s">
        <v>128</v>
      </c>
      <c r="D30" s="18">
        <v>40</v>
      </c>
      <c r="E30" s="18" t="s">
        <v>27</v>
      </c>
      <c r="F30" s="18" t="s">
        <v>129</v>
      </c>
      <c r="G30" s="18"/>
      <c r="H30" s="18">
        <v>1</v>
      </c>
      <c r="I30" s="18" t="s">
        <v>124</v>
      </c>
      <c r="K30" s="1" t="str">
        <f t="shared" si="2"/>
        <v/>
      </c>
      <c r="L30" s="1" t="str">
        <f>IFERROR(VLOOKUP(F30,skill!$B$4:$D$50,3,FALSE),"")</f>
        <v>ss_multflat_adj_v5|ss_transfer_all_n3</v>
      </c>
      <c r="M30" s="1" t="s">
        <v>130</v>
      </c>
      <c r="N30" s="1" t="s">
        <v>131</v>
      </c>
      <c r="O30" s="1" t="str">
        <f>IFERROR(VLOOKUP(M30,sub_skill!$B:$R,15,FALSE),"")</f>
        <v>{ascopes}倍率 {0}。</v>
      </c>
      <c r="P30" s="1" t="str">
        <f>IFERROR(VLOOKUP(N30,sub_skill!$B:$R,15,FALSE),"")</f>
        <v>甜蜜传递至{ascopes}食物</v>
      </c>
    </row>
    <row r="31" spans="2:16">
      <c r="B31" s="18" t="s">
        <v>132</v>
      </c>
      <c r="C31" s="18" t="s">
        <v>133</v>
      </c>
      <c r="D31" s="18">
        <v>30</v>
      </c>
      <c r="E31" s="18" t="s">
        <v>27</v>
      </c>
      <c r="F31" s="18" t="s">
        <v>134</v>
      </c>
      <c r="G31" s="18"/>
      <c r="H31" s="18">
        <v>1</v>
      </c>
      <c r="I31" s="18" t="s">
        <v>30</v>
      </c>
      <c r="K31" s="1" t="str">
        <f t="shared" si="2"/>
        <v/>
      </c>
      <c r="L31" s="1" t="str">
        <f>IFERROR(VLOOKUP(F31,skill!$B$4:$D$50,3,FALSE),"")</f>
        <v>ss_consume_layer_v10|ss_multflat_v5</v>
      </c>
      <c r="M31" s="1" t="s">
        <v>135</v>
      </c>
      <c r="N31" s="1" t="s">
        <v>136</v>
      </c>
      <c r="O31" s="1" t="str">
        <f>IFERROR(VLOOKUP(M31,sub_skill!$B:$R,15,FALSE),"")</f>
        <v>消耗 {0} 层欢乐蛋糕。</v>
      </c>
      <c r="P31" s="1" t="str">
        <f>IFERROR(VLOOKUP(N31,sub_skill!$B:$R,15,FALSE),"")</f>
        <v>{ascopes}倍率 {0}。</v>
      </c>
    </row>
    <row r="32" spans="9:16">
      <c r="I32" s="18" t="s">
        <v>30</v>
      </c>
      <c r="K32" s="1" t="str">
        <f t="shared" ref="K32:K41" si="3">""</f>
        <v/>
      </c>
      <c r="L32" s="1" t="str">
        <f>IFERROR(VLOOKUP(F32,skill!$B$4:$D$50,3,FALSE),"")</f>
        <v/>
      </c>
      <c r="O32" s="1" t="str">
        <f>IFERROR(VLOOKUP(M32,sub_skill!$B:$R,15,FALSE),"")</f>
        <v/>
      </c>
      <c r="P32" s="1" t="str">
        <f>IFERROR(VLOOKUP(N32,sub_skill!$B:$R,15,FALSE),"")</f>
        <v/>
      </c>
    </row>
    <row r="33" spans="9:16">
      <c r="I33" s="18" t="s">
        <v>30</v>
      </c>
      <c r="K33" s="1" t="str">
        <f t="shared" si="3"/>
        <v/>
      </c>
      <c r="L33" s="1" t="str">
        <f>IFERROR(VLOOKUP(F33,skill!$B$4:$D$50,3,FALSE),"")</f>
        <v/>
      </c>
      <c r="O33" s="1" t="str">
        <f>IFERROR(VLOOKUP(M33,sub_skill!$B:$R,15,FALSE),"")</f>
        <v/>
      </c>
      <c r="P33" s="1" t="str">
        <f>IFERROR(VLOOKUP(N33,sub_skill!$B:$R,15,FALSE),"")</f>
        <v/>
      </c>
    </row>
    <row r="34" spans="2:16">
      <c r="B34" s="18" t="s">
        <v>137</v>
      </c>
      <c r="C34" s="18" t="s">
        <v>138</v>
      </c>
      <c r="D34" s="18">
        <v>20</v>
      </c>
      <c r="E34" s="18" t="s">
        <v>27</v>
      </c>
      <c r="F34" s="18" t="s">
        <v>139</v>
      </c>
      <c r="G34" s="18" t="s">
        <v>29</v>
      </c>
      <c r="H34" s="18">
        <v>1</v>
      </c>
      <c r="I34" s="18" t="s">
        <v>30</v>
      </c>
      <c r="K34" s="1" t="str">
        <f t="shared" si="3"/>
        <v/>
      </c>
      <c r="L34" s="1" t="str">
        <f>IFERROR(VLOOKUP(F34,skill!$B$4:$D$50,3,FALSE),"")</f>
        <v>ss_multflat_col_v3|ss_transfer_row_n3</v>
      </c>
      <c r="M34" s="1" t="s">
        <v>140</v>
      </c>
      <c r="N34" s="1" t="s">
        <v>141</v>
      </c>
      <c r="O34" s="1" t="str">
        <f>IFERROR(VLOOKUP(M34,sub_skill!$B:$R,15,FALSE),"")</f>
        <v>{ascopes}倍率 {0}。</v>
      </c>
      <c r="P34" s="1" t="str">
        <f>IFERROR(VLOOKUP(N34,sub_skill!$B:$R,15,FALSE),"")</f>
        <v>甜蜜传递至{ascopes}食物</v>
      </c>
    </row>
    <row r="35" spans="9:16">
      <c r="I35" s="18" t="s">
        <v>30</v>
      </c>
      <c r="K35" s="1" t="str">
        <f t="shared" si="3"/>
        <v/>
      </c>
      <c r="L35" s="1" t="str">
        <f>IFERROR(VLOOKUP(F35,skill!$B$4:$D$50,3,FALSE),"")</f>
        <v/>
      </c>
      <c r="O35" s="1" t="str">
        <f>IFERROR(VLOOKUP(M35,sub_skill!$B:$R,15,FALSE),"")</f>
        <v/>
      </c>
      <c r="P35" s="1" t="str">
        <f>IFERROR(VLOOKUP(N35,sub_skill!$B:$R,15,FALSE),"")</f>
        <v/>
      </c>
    </row>
    <row r="36" spans="9:16">
      <c r="I36" s="18" t="s">
        <v>30</v>
      </c>
      <c r="K36" s="1" t="str">
        <f t="shared" si="3"/>
        <v/>
      </c>
      <c r="L36" s="1" t="str">
        <f>IFERROR(VLOOKUP(F36,skill!$B$4:$D$50,3,FALSE),"")</f>
        <v/>
      </c>
      <c r="O36" s="1" t="str">
        <f>IFERROR(VLOOKUP(M36,sub_skill!$B:$R,15,FALSE),"")</f>
        <v/>
      </c>
      <c r="P36" s="1" t="str">
        <f>IFERROR(VLOOKUP(N36,sub_skill!$B:$R,15,FALSE),"")</f>
        <v/>
      </c>
    </row>
    <row r="37" spans="2:16">
      <c r="B37" s="18" t="s">
        <v>142</v>
      </c>
      <c r="C37" s="18" t="s">
        <v>143</v>
      </c>
      <c r="D37" s="18">
        <v>30</v>
      </c>
      <c r="E37" s="18" t="s">
        <v>27</v>
      </c>
      <c r="F37" s="18" t="s">
        <v>144</v>
      </c>
      <c r="G37" s="18"/>
      <c r="H37" s="18">
        <v>1</v>
      </c>
      <c r="I37" s="18" t="s">
        <v>85</v>
      </c>
      <c r="K37" s="1" t="str">
        <f t="shared" si="3"/>
        <v/>
      </c>
      <c r="L37" s="1" t="str">
        <f>IFERROR(VLOOKUP(F37,skill!$B$4:$D$50,3,FALSE),"")</f>
        <v>ss_layer_mult_v1p5</v>
      </c>
      <c r="M37" s="1" t="s">
        <v>145</v>
      </c>
      <c r="O37" s="1" t="str">
        <f>IFERROR(VLOOKUP(M37,sub_skill!$B:$R,15,FALSE),"")</f>
        <v>欢乐蛋糕 ×{0} 层，至少 +{floor} 层。</v>
      </c>
      <c r="P37" s="1" t="str">
        <f>IFERROR(VLOOKUP(N37,sub_skill!$B:$R,15,FALSE),"")</f>
        <v/>
      </c>
    </row>
    <row r="38" spans="9:16">
      <c r="I38" s="18" t="s">
        <v>85</v>
      </c>
      <c r="K38" s="1" t="str">
        <f t="shared" si="3"/>
        <v/>
      </c>
      <c r="L38" s="1" t="str">
        <f>IFERROR(VLOOKUP(F38,skill!$B$4:$D$50,3,FALSE),"")</f>
        <v/>
      </c>
      <c r="O38" s="1" t="str">
        <f>IFERROR(VLOOKUP(M38,sub_skill!$B:$R,15,FALSE),"")</f>
        <v/>
      </c>
      <c r="P38" s="1" t="str">
        <f>IFERROR(VLOOKUP(N38,sub_skill!$B:$R,15,FALSE),"")</f>
        <v/>
      </c>
    </row>
    <row r="39" spans="2:16">
      <c r="B39" s="18" t="s">
        <v>146</v>
      </c>
      <c r="C39" s="18" t="s">
        <v>147</v>
      </c>
      <c r="D39" s="18">
        <v>20</v>
      </c>
      <c r="E39" s="18" t="s">
        <v>27</v>
      </c>
      <c r="F39" s="18" t="s">
        <v>148</v>
      </c>
      <c r="G39" s="18" t="s">
        <v>29</v>
      </c>
      <c r="H39" s="18">
        <v>1</v>
      </c>
      <c r="I39" s="18" t="s">
        <v>85</v>
      </c>
      <c r="K39" s="1" t="str">
        <f t="shared" si="3"/>
        <v/>
      </c>
      <c r="L39" s="1" t="str">
        <f>IFERROR(VLOOKUP(F39,skill!$B$4:$D$50,3,FALSE),"")</f>
        <v>ss_mult_tier_dishcount_row_row</v>
      </c>
      <c r="M39" s="1" t="s">
        <v>149</v>
      </c>
      <c r="O39" s="1" t="str">
        <f>IFERROR(VLOOKUP(M39,sub_skill!$B:$R,15,FALSE),"")</f>
        <v>{cscope}食物达 {tiers} 个时，{ascopes}倍率 ×{tiervals}。</v>
      </c>
      <c r="P39" s="1" t="str">
        <f>IFERROR(VLOOKUP(N39,sub_skill!$B:$R,15,FALSE),"")</f>
        <v/>
      </c>
    </row>
    <row r="40" spans="9:16">
      <c r="I40" s="18" t="s">
        <v>85</v>
      </c>
      <c r="K40" s="1" t="str">
        <f t="shared" si="3"/>
        <v/>
      </c>
      <c r="L40" s="1" t="str">
        <f>IFERROR(VLOOKUP(F40,skill!$B$4:$D$50,3,FALSE),"")</f>
        <v/>
      </c>
      <c r="O40" s="1" t="str">
        <f>IFERROR(VLOOKUP(M40,sub_skill!$B:$R,15,FALSE),"")</f>
        <v/>
      </c>
      <c r="P40" s="1" t="str">
        <f>IFERROR(VLOOKUP(N40,sub_skill!$B:$R,15,FALSE),"")</f>
        <v/>
      </c>
    </row>
    <row r="41" spans="2:16">
      <c r="B41" s="18" t="s">
        <v>150</v>
      </c>
      <c r="C41" s="18" t="s">
        <v>151</v>
      </c>
      <c r="D41" s="18">
        <v>25</v>
      </c>
      <c r="E41" s="18" t="s">
        <v>27</v>
      </c>
      <c r="F41" s="18" t="s">
        <v>152</v>
      </c>
      <c r="G41" s="18" t="s">
        <v>29</v>
      </c>
      <c r="H41" s="18">
        <v>1</v>
      </c>
      <c r="I41" s="18" t="s">
        <v>85</v>
      </c>
      <c r="K41" s="1" t="str">
        <f t="shared" si="3"/>
        <v/>
      </c>
      <c r="L41" s="1" t="str">
        <f>IFERROR(VLOOKUP(F41,skill!$B$4:$D$50,3,FALSE),"")</f>
        <v>ss_copy_skill_adj_v1|ss_count_as_base_v4</v>
      </c>
      <c r="M41" s="1" t="s">
        <v>107</v>
      </c>
      <c r="N41" s="1" t="s">
        <v>153</v>
      </c>
      <c r="O41" s="1" t="str">
        <f>IFERROR(VLOOKUP(M41,sub_skill!$B:$R,15,FALSE),"")</f>
        <v>复制{ascope}食物的 {0} 个技能。</v>
      </c>
      <c r="P41" s="1" t="str">
        <f>IFERROR(VLOOKUP(N41,sub_skill!$B:$R,15,FALSE),"")</f>
        <v>{ascopes}视为 {countas} 个食物。</v>
      </c>
    </row>
    <row r="42" spans="9:16">
      <c r="I42" s="18" t="s">
        <v>85</v>
      </c>
      <c r="K42" s="1" t="str">
        <f t="shared" ref="K42:K51" si="4">""</f>
        <v/>
      </c>
      <c r="L42" s="1" t="str">
        <f>IFERROR(VLOOKUP(F42,skill!$B$4:$D$50,3,FALSE),"")</f>
        <v/>
      </c>
      <c r="O42" s="1" t="str">
        <f>IFERROR(VLOOKUP(M42,sub_skill!$B:$R,15,FALSE),"")</f>
        <v/>
      </c>
      <c r="P42" s="1" t="str">
        <f>IFERROR(VLOOKUP(N42,sub_skill!$B:$R,15,FALSE),"")</f>
        <v/>
      </c>
    </row>
    <row r="43" spans="2:16">
      <c r="B43" s="18" t="s">
        <v>154</v>
      </c>
      <c r="C43" s="18" t="s">
        <v>155</v>
      </c>
      <c r="D43" s="18">
        <v>20</v>
      </c>
      <c r="E43" s="18" t="s">
        <v>27</v>
      </c>
      <c r="F43" s="18" t="s">
        <v>156</v>
      </c>
      <c r="G43" s="18" t="s">
        <v>29</v>
      </c>
      <c r="H43" s="18">
        <v>1</v>
      </c>
      <c r="I43" s="18" t="s">
        <v>85</v>
      </c>
      <c r="K43" s="1" t="str">
        <f t="shared" si="4"/>
        <v/>
      </c>
      <c r="L43" s="1" t="str">
        <f>IFERROR(VLOOKUP(F43,skill!$B$4:$D$50,3,FALSE),"")</f>
        <v>ss_mult_v3|ss_count_as_filled_row_v9</v>
      </c>
      <c r="M43" s="1" t="s">
        <v>157</v>
      </c>
      <c r="N43" s="1" t="s">
        <v>158</v>
      </c>
      <c r="O43" s="1" t="str">
        <f>IFERROR(VLOOKUP(M43,sub_skill!$B:$R,15,FALSE),"")</f>
        <v>{ascopes}倍率 ×{0}。</v>
      </c>
      <c r="P43" s="1" t="str">
        <f>IFERROR(VLOOKUP(N43,sub_skill!$B:$R,15,FALSE),"")</f>
        <v>若{cscope}被填满，{ascopes}额外视为 {0} 个食物。</v>
      </c>
    </row>
    <row r="44" spans="9:16">
      <c r="I44" s="18" t="s">
        <v>85</v>
      </c>
      <c r="K44" s="1" t="str">
        <f t="shared" si="4"/>
        <v/>
      </c>
      <c r="L44" s="1" t="str">
        <f>IFERROR(VLOOKUP(F44,skill!$B$4:$D$50,3,FALSE),"")</f>
        <v/>
      </c>
      <c r="O44" s="1" t="str">
        <f>IFERROR(VLOOKUP(M44,sub_skill!$B:$R,15,FALSE),"")</f>
        <v/>
      </c>
      <c r="P44" s="1" t="str">
        <f>IFERROR(VLOOKUP(N44,sub_skill!$B:$R,15,FALSE),"")</f>
        <v/>
      </c>
    </row>
    <row r="45" spans="2:16">
      <c r="B45" s="18" t="s">
        <v>159</v>
      </c>
      <c r="C45" s="18" t="s">
        <v>160</v>
      </c>
      <c r="D45" s="18">
        <v>20</v>
      </c>
      <c r="E45" s="18" t="s">
        <v>27</v>
      </c>
      <c r="F45" s="18" t="s">
        <v>161</v>
      </c>
      <c r="G45" s="18" t="s">
        <v>29</v>
      </c>
      <c r="H45" s="18">
        <v>1</v>
      </c>
      <c r="I45" s="18" t="s">
        <v>85</v>
      </c>
      <c r="K45" s="1" t="str">
        <f t="shared" si="4"/>
        <v/>
      </c>
      <c r="L45" s="1" t="str">
        <f>IFERROR(VLOOKUP(F45,skill!$B$4:$D$50,3,FALSE),"")</f>
        <v>ss_count_as_col_v2|ss_multflat_v4</v>
      </c>
      <c r="M45" s="1" t="s">
        <v>162</v>
      </c>
      <c r="N45" s="1" t="s">
        <v>163</v>
      </c>
      <c r="O45" s="1" t="str">
        <f>IFERROR(VLOOKUP(M45,sub_skill!$B:$R,15,FALSE),"")</f>
        <v>{ascopes}额外视为 {0} 个食物。</v>
      </c>
      <c r="P45" s="1" t="str">
        <f>IFERROR(VLOOKUP(N45,sub_skill!$B:$R,15,FALSE),"")</f>
        <v>{ascopes}倍率 {0}。</v>
      </c>
    </row>
    <row r="46" spans="9:16">
      <c r="I46" s="18" t="s">
        <v>85</v>
      </c>
      <c r="K46" s="1" t="str">
        <f t="shared" si="4"/>
        <v/>
      </c>
      <c r="L46" s="1" t="str">
        <f>IFERROR(VLOOKUP(F46,skill!$B$4:$D$50,3,FALSE),"")</f>
        <v/>
      </c>
      <c r="O46" s="1" t="str">
        <f>IFERROR(VLOOKUP(M46,sub_skill!$B:$R,15,FALSE),"")</f>
        <v/>
      </c>
      <c r="P46" s="1" t="str">
        <f>IFERROR(VLOOKUP(N46,sub_skill!$B:$R,15,FALSE),"")</f>
        <v/>
      </c>
    </row>
    <row r="47" spans="2:16">
      <c r="B47" s="18" t="s">
        <v>164</v>
      </c>
      <c r="C47" s="18" t="s">
        <v>165</v>
      </c>
      <c r="D47" s="18">
        <v>50</v>
      </c>
      <c r="E47" s="18" t="s">
        <v>27</v>
      </c>
      <c r="F47" s="18" t="s">
        <v>166</v>
      </c>
      <c r="G47" s="18" t="s">
        <v>106</v>
      </c>
      <c r="H47" s="18">
        <v>1</v>
      </c>
      <c r="I47" s="18" t="s">
        <v>85</v>
      </c>
      <c r="K47" s="1" t="str">
        <f t="shared" si="4"/>
        <v/>
      </c>
      <c r="L47" s="1" t="str">
        <f>IFERROR(VLOOKUP(F47,skill!$B$4:$D$50,3,FALSE),"")</f>
        <v>ss_perm_flat_v10|ss_flat_category_cat_v10</v>
      </c>
      <c r="M47" s="1" t="s">
        <v>116</v>
      </c>
      <c r="N47" s="1" t="s">
        <v>167</v>
      </c>
      <c r="O47" s="1" t="str">
        <f>IFERROR(VLOOKUP(M47,sub_skill!$B:$R,15,FALSE),"")</f>
        <v>{ascopes}分数永久 {0}。</v>
      </c>
      <c r="P47" s="1" t="str">
        <f>IFERROR(VLOOKUP(N47,sub_skill!$B:$R,15,FALSE),"")</f>
        <v>将分数加到所有{cat}上（每个{cat} {0} 分）。</v>
      </c>
    </row>
    <row r="48" spans="9:16">
      <c r="I48" s="18" t="s">
        <v>85</v>
      </c>
      <c r="K48" s="1" t="str">
        <f t="shared" si="4"/>
        <v/>
      </c>
      <c r="L48" s="1" t="str">
        <f>IFERROR(VLOOKUP(F48,skill!$B$4:$D$50,3,FALSE),"")</f>
        <v/>
      </c>
      <c r="O48" s="1" t="str">
        <f>IFERROR(VLOOKUP(M48,sub_skill!$B:$R,15,FALSE),"")</f>
        <v/>
      </c>
      <c r="P48" s="1" t="str">
        <f>IFERROR(VLOOKUP(N48,sub_skill!$B:$R,15,FALSE),"")</f>
        <v/>
      </c>
    </row>
    <row r="49" spans="2:16">
      <c r="B49" s="18" t="s">
        <v>168</v>
      </c>
      <c r="C49" s="18" t="s">
        <v>169</v>
      </c>
      <c r="D49" s="18">
        <v>40</v>
      </c>
      <c r="E49" s="18" t="s">
        <v>27</v>
      </c>
      <c r="F49" s="18" t="s">
        <v>170</v>
      </c>
      <c r="G49" s="18"/>
      <c r="H49" s="18">
        <v>1</v>
      </c>
      <c r="I49" s="18" t="s">
        <v>85</v>
      </c>
      <c r="K49" s="1" t="str">
        <f t="shared" si="4"/>
        <v/>
      </c>
      <c r="L49" s="1" t="str">
        <f>IFERROR(VLOOKUP(F49,skill!$B$4:$D$50,3,FALSE),"")</f>
        <v>ss_layer_add_v15|ss_multflat_v5</v>
      </c>
      <c r="M49" s="1" t="s">
        <v>171</v>
      </c>
      <c r="N49" s="1" t="s">
        <v>136</v>
      </c>
      <c r="O49" s="1" t="str">
        <f>IFERROR(VLOOKUP(M49,sub_skill!$B:$R,15,FALSE),"")</f>
        <v>欢乐蛋糕 {0} 层。</v>
      </c>
      <c r="P49" s="1" t="str">
        <f>IFERROR(VLOOKUP(N49,sub_skill!$B:$R,15,FALSE),"")</f>
        <v>{ascopes}倍率 {0}。</v>
      </c>
    </row>
    <row r="50" spans="9:16">
      <c r="I50" s="18" t="s">
        <v>85</v>
      </c>
      <c r="K50" s="1" t="str">
        <f t="shared" si="4"/>
        <v/>
      </c>
      <c r="L50" s="1" t="str">
        <f>IFERROR(VLOOKUP(F50,skill!$B$4:$D$50,3,FALSE),"")</f>
        <v/>
      </c>
      <c r="O50" s="1" t="str">
        <f>IFERROR(VLOOKUP(M50,sub_skill!$B:$R,15,FALSE),"")</f>
        <v/>
      </c>
      <c r="P50" s="1" t="str">
        <f>IFERROR(VLOOKUP(N50,sub_skill!$B:$R,15,FALSE),"")</f>
        <v/>
      </c>
    </row>
    <row r="51" spans="2:16">
      <c r="B51" s="18" t="s">
        <v>172</v>
      </c>
      <c r="C51" s="18" t="s">
        <v>173</v>
      </c>
      <c r="D51" s="18">
        <v>30</v>
      </c>
      <c r="E51" s="18" t="s">
        <v>27</v>
      </c>
      <c r="F51" s="18" t="s">
        <v>174</v>
      </c>
      <c r="G51" s="18" t="s">
        <v>29</v>
      </c>
      <c r="H51" s="18">
        <v>1</v>
      </c>
      <c r="I51" s="18" t="s">
        <v>85</v>
      </c>
      <c r="K51" s="1" t="str">
        <f t="shared" si="4"/>
        <v/>
      </c>
      <c r="L51" s="1" t="str">
        <f>IFERROR(VLOOKUP(F51,skill!$B$4:$D$50,3,FALSE),"")</f>
        <v>ss_multflat_per_tag_v5|ss_transfer_col</v>
      </c>
      <c r="M51" s="1" t="s">
        <v>175</v>
      </c>
      <c r="N51" s="1" t="s">
        <v>176</v>
      </c>
      <c r="O51" s="1" t="str">
        <f>IFERROR(VLOOKUP(M51,sub_skill!$B:$R,15,FALSE),"")</f>
        <v>{cscope}每有 1 个技能，{ascopes}倍率 {0}。</v>
      </c>
      <c r="P51" s="1" t="str">
        <f>IFERROR(VLOOKUP(N51,sub_skill!$B:$R,15,FALSE),"")</f>
        <v>甜蜜传递至{ascopes}食物</v>
      </c>
    </row>
    <row r="52" spans="9:16">
      <c r="I52" s="18" t="s">
        <v>85</v>
      </c>
      <c r="K52" s="1" t="str">
        <f t="shared" ref="K52:K61" si="5">""</f>
        <v/>
      </c>
      <c r="L52" s="1" t="str">
        <f>IFERROR(VLOOKUP(F52,skill!$B$4:$D$50,3,FALSE),"")</f>
        <v/>
      </c>
      <c r="O52" s="1" t="str">
        <f>IFERROR(VLOOKUP(M52,sub_skill!$B:$R,15,FALSE),"")</f>
        <v/>
      </c>
      <c r="P52" s="1" t="str">
        <f>IFERROR(VLOOKUP(N52,sub_skill!$B:$R,15,FALSE),"")</f>
        <v/>
      </c>
    </row>
    <row r="53" spans="2:16">
      <c r="B53" s="18" t="s">
        <v>177</v>
      </c>
      <c r="C53" s="18" t="s">
        <v>178</v>
      </c>
      <c r="D53" s="18">
        <v>50</v>
      </c>
      <c r="E53" s="18" t="s">
        <v>27</v>
      </c>
      <c r="F53" s="18" t="s">
        <v>179</v>
      </c>
      <c r="G53" s="18" t="s">
        <v>29</v>
      </c>
      <c r="H53" s="18">
        <v>1</v>
      </c>
      <c r="I53" s="18" t="s">
        <v>124</v>
      </c>
      <c r="K53" s="1" t="str">
        <f t="shared" si="5"/>
        <v/>
      </c>
      <c r="L53" s="1" t="str">
        <f>IFERROR(VLOOKUP(F53,skill!$B$4:$D$50,3,FALSE),"")</f>
        <v>ss_mult_per_dish_adj_v1p2|ss_count_as_base_v9</v>
      </c>
      <c r="M53" s="1" t="s">
        <v>101</v>
      </c>
      <c r="N53" s="1" t="s">
        <v>180</v>
      </c>
      <c r="O53" s="1" t="str">
        <f>IFERROR(VLOOKUP(M53,sub_skill!$B:$R,15,FALSE),"")</f>
        <v>{cscope}每有 1 {unit}食物，{ascopes}倍率 ×{0}。</v>
      </c>
      <c r="P53" s="1" t="str">
        <f>IFERROR(VLOOKUP(N53,sub_skill!$B:$R,15,FALSE),"")</f>
        <v>{ascopes}视为 {countas} 个食物。</v>
      </c>
    </row>
    <row r="54" spans="9:16">
      <c r="I54" s="18" t="s">
        <v>124</v>
      </c>
      <c r="K54" s="1" t="str">
        <f t="shared" si="5"/>
        <v/>
      </c>
      <c r="L54" s="1" t="str">
        <f>IFERROR(VLOOKUP(F54,skill!$B$4:$D$50,3,FALSE),"")</f>
        <v/>
      </c>
      <c r="O54" s="1" t="str">
        <f>IFERROR(VLOOKUP(M54,sub_skill!$B:$R,15,FALSE),"")</f>
        <v/>
      </c>
      <c r="P54" s="1" t="str">
        <f>IFERROR(VLOOKUP(N54,sub_skill!$B:$R,15,FALSE),"")</f>
        <v/>
      </c>
    </row>
    <row r="55" spans="2:16">
      <c r="B55" s="18" t="s">
        <v>181</v>
      </c>
      <c r="C55" s="18" t="s">
        <v>83</v>
      </c>
      <c r="D55" s="18">
        <v>40</v>
      </c>
      <c r="E55" s="18" t="s">
        <v>27</v>
      </c>
      <c r="F55" s="18" t="s">
        <v>182</v>
      </c>
      <c r="G55" s="18" t="s">
        <v>29</v>
      </c>
      <c r="H55" s="18">
        <v>1</v>
      </c>
      <c r="I55" s="18" t="s">
        <v>85</v>
      </c>
      <c r="K55" s="1" t="str">
        <f t="shared" si="5"/>
        <v/>
      </c>
      <c r="L55" s="1" t="str">
        <f>IFERROR(VLOOKUP(F55,skill!$B$4:$D$50,3,FALSE),"")</f>
        <v>ss_mult_col_v2|ss_count_as_base_v4</v>
      </c>
      <c r="M55" s="1" t="s">
        <v>183</v>
      </c>
      <c r="N55" s="1" t="s">
        <v>153</v>
      </c>
      <c r="O55" s="1" t="str">
        <f>IFERROR(VLOOKUP(M55,sub_skill!$B:$R,15,FALSE),"")</f>
        <v>{ascopes}倍率 ×{0}。</v>
      </c>
      <c r="P55" s="1" t="str">
        <f>IFERROR(VLOOKUP(N55,sub_skill!$B:$R,15,FALSE),"")</f>
        <v>{ascopes}视为 {countas} 个食物。</v>
      </c>
    </row>
    <row r="56" spans="9:16">
      <c r="I56" s="18" t="s">
        <v>85</v>
      </c>
      <c r="K56" s="1" t="str">
        <f t="shared" si="5"/>
        <v/>
      </c>
      <c r="L56" s="1" t="str">
        <f>IFERROR(VLOOKUP(F56,skill!$B$4:$D$50,3,FALSE),"")</f>
        <v/>
      </c>
      <c r="O56" s="1" t="str">
        <f>IFERROR(VLOOKUP(M56,sub_skill!$B:$R,15,FALSE),"")</f>
        <v/>
      </c>
      <c r="P56" s="1" t="str">
        <f>IFERROR(VLOOKUP(N56,sub_skill!$B:$R,15,FALSE),"")</f>
        <v/>
      </c>
    </row>
    <row r="57" spans="9:16">
      <c r="I57" s="18" t="s">
        <v>85</v>
      </c>
      <c r="K57" s="1" t="str">
        <f t="shared" si="5"/>
        <v/>
      </c>
      <c r="L57" s="1" t="str">
        <f>IFERROR(VLOOKUP(F57,skill!$B$4:$D$50,3,FALSE),"")</f>
        <v/>
      </c>
      <c r="O57" s="1" t="str">
        <f>IFERROR(VLOOKUP(M57,sub_skill!$B:$R,15,FALSE),"")</f>
        <v/>
      </c>
      <c r="P57" s="1" t="str">
        <f>IFERROR(VLOOKUP(N57,sub_skill!$B:$R,15,FALSE),"")</f>
        <v/>
      </c>
    </row>
    <row r="58" spans="2:16">
      <c r="B58" s="18" t="s">
        <v>184</v>
      </c>
      <c r="C58" s="18" t="s">
        <v>185</v>
      </c>
      <c r="D58" s="18">
        <v>30</v>
      </c>
      <c r="E58" s="18" t="s">
        <v>27</v>
      </c>
      <c r="F58" s="18" t="s">
        <v>186</v>
      </c>
      <c r="G58" s="18"/>
      <c r="H58" s="18">
        <v>1</v>
      </c>
      <c r="I58" s="18" t="s">
        <v>85</v>
      </c>
      <c r="K58" s="1" t="str">
        <f t="shared" si="5"/>
        <v/>
      </c>
      <c r="L58" s="1" t="str">
        <f>IFERROR(VLOOKUP(F58,skill!$B$4:$D$50,3,FALSE),"")</f>
        <v>ss_layer_add_v20|ss_multflat_all_v0p5</v>
      </c>
      <c r="M58" s="1" t="s">
        <v>187</v>
      </c>
      <c r="N58" s="1" t="s">
        <v>188</v>
      </c>
      <c r="O58" s="1" t="str">
        <f>IFERROR(VLOOKUP(M58,sub_skill!$B:$R,15,FALSE),"")</f>
        <v>欢乐蛋糕 {0} 层。</v>
      </c>
      <c r="P58" s="1" t="str">
        <f>IFERROR(VLOOKUP(N58,sub_skill!$B:$R,15,FALSE),"")</f>
        <v>{ascopes}倍率 {0}。</v>
      </c>
    </row>
    <row r="59" spans="9:16">
      <c r="I59" s="18" t="s">
        <v>85</v>
      </c>
      <c r="K59" s="1" t="str">
        <f t="shared" si="5"/>
        <v/>
      </c>
      <c r="L59" s="1" t="str">
        <f>IFERROR(VLOOKUP(F59,skill!$B$4:$D$50,3,FALSE),"")</f>
        <v/>
      </c>
      <c r="O59" s="1" t="str">
        <f>IFERROR(VLOOKUP(M59,sub_skill!$B:$R,15,FALSE),"")</f>
        <v/>
      </c>
      <c r="P59" s="1" t="str">
        <f>IFERROR(VLOOKUP(N59,sub_skill!$B:$R,15,FALSE),"")</f>
        <v/>
      </c>
    </row>
    <row r="60" spans="9:16">
      <c r="I60" s="18" t="s">
        <v>85</v>
      </c>
      <c r="K60" s="1" t="str">
        <f t="shared" si="5"/>
        <v/>
      </c>
      <c r="L60" s="1" t="str">
        <f>IFERROR(VLOOKUP(F60,skill!$B$4:$D$50,3,FALSE),"")</f>
        <v/>
      </c>
      <c r="O60" s="1" t="str">
        <f>IFERROR(VLOOKUP(M60,sub_skill!$B:$R,15,FALSE),"")</f>
        <v/>
      </c>
      <c r="P60" s="1" t="str">
        <f>IFERROR(VLOOKUP(N60,sub_skill!$B:$R,15,FALSE),"")</f>
        <v/>
      </c>
    </row>
    <row r="61" spans="2:16">
      <c r="B61" s="18" t="s">
        <v>189</v>
      </c>
      <c r="C61" s="18" t="s">
        <v>190</v>
      </c>
      <c r="D61" s="18">
        <v>20</v>
      </c>
      <c r="E61" s="18" t="s">
        <v>27</v>
      </c>
      <c r="F61" s="18" t="s">
        <v>191</v>
      </c>
      <c r="G61" s="18" t="s">
        <v>29</v>
      </c>
      <c r="H61" s="18">
        <v>1</v>
      </c>
      <c r="I61" s="18" t="s">
        <v>124</v>
      </c>
      <c r="K61" s="1" t="str">
        <f t="shared" si="5"/>
        <v/>
      </c>
      <c r="L61" s="1" t="str">
        <f>IFERROR(VLOOKUP(F61,skill!$B$4:$D$50,3,FALSE),"")</f>
        <v>ss_copy_skill_adj_v2|ss_count_as_base_v7</v>
      </c>
      <c r="M61" s="1" t="s">
        <v>192</v>
      </c>
      <c r="N61" s="1" t="s">
        <v>193</v>
      </c>
      <c r="O61" s="1" t="str">
        <f>IFERROR(VLOOKUP(M61,sub_skill!$B:$R,15,FALSE),"")</f>
        <v>复制{ascope}食物的 {0} 个技能。</v>
      </c>
      <c r="P61" s="1" t="str">
        <f>IFERROR(VLOOKUP(N61,sub_skill!$B:$R,15,FALSE),"")</f>
        <v>{ascopes}视为 {countas} 个食物。</v>
      </c>
    </row>
    <row r="62" spans="9:16">
      <c r="I62" s="18" t="s">
        <v>124</v>
      </c>
      <c r="K62" s="1" t="str">
        <f t="shared" ref="K62:K71" si="6">""</f>
        <v/>
      </c>
      <c r="L62" s="1" t="str">
        <f>IFERROR(VLOOKUP(F62,skill!$B$4:$D$50,3,FALSE),"")</f>
        <v/>
      </c>
      <c r="O62" s="1" t="str">
        <f>IFERROR(VLOOKUP(M62,sub_skill!$B:$R,15,FALSE),"")</f>
        <v/>
      </c>
      <c r="P62" s="1" t="str">
        <f>IFERROR(VLOOKUP(N62,sub_skill!$B:$R,15,FALSE),"")</f>
        <v/>
      </c>
    </row>
    <row r="63" spans="2:16">
      <c r="B63" s="18" t="s">
        <v>194</v>
      </c>
      <c r="C63" s="18" t="s">
        <v>195</v>
      </c>
      <c r="D63" s="18">
        <v>30</v>
      </c>
      <c r="E63" s="18" t="s">
        <v>27</v>
      </c>
      <c r="F63" s="18" t="s">
        <v>196</v>
      </c>
      <c r="G63" s="18" t="s">
        <v>106</v>
      </c>
      <c r="H63" s="18">
        <v>1</v>
      </c>
      <c r="I63" s="18" t="s">
        <v>124</v>
      </c>
      <c r="K63" s="1" t="str">
        <f t="shared" si="6"/>
        <v/>
      </c>
      <c r="L63" s="1" t="str">
        <f>IFERROR(VLOOKUP(F63,skill!$B$4:$D$50,3,FALSE),"")</f>
        <v>ss_multflat_v5|ss_multflat_category_cat_v5</v>
      </c>
      <c r="M63" s="1" t="s">
        <v>136</v>
      </c>
      <c r="N63" s="1" t="s">
        <v>197</v>
      </c>
      <c r="O63" s="1" t="str">
        <f>IFERROR(VLOOKUP(M63,sub_skill!$B:$R,15,FALSE),"")</f>
        <v>{ascopes}倍率 {0}。</v>
      </c>
      <c r="P63" s="1" t="str">
        <f>IFERROR(VLOOKUP(N63,sub_skill!$B:$R,15,FALSE),"")</f>
        <v>将倍率 {0} 加到所有{cat}上。</v>
      </c>
    </row>
    <row r="64" spans="9:16">
      <c r="I64" s="18" t="s">
        <v>124</v>
      </c>
      <c r="K64" s="1" t="str">
        <f t="shared" si="6"/>
        <v/>
      </c>
      <c r="L64" s="1" t="str">
        <f>IFERROR(VLOOKUP(F64,skill!$B$4:$D$50,3,FALSE),"")</f>
        <v/>
      </c>
      <c r="O64" s="1" t="str">
        <f>IFERROR(VLOOKUP(M64,sub_skill!$B:$R,15,FALSE),"")</f>
        <v/>
      </c>
      <c r="P64" s="1" t="str">
        <f>IFERROR(VLOOKUP(N64,sub_skill!$B:$R,15,FALSE),"")</f>
        <v/>
      </c>
    </row>
    <row r="65" spans="2:16">
      <c r="B65" s="18" t="s">
        <v>198</v>
      </c>
      <c r="C65" s="18" t="s">
        <v>199</v>
      </c>
      <c r="D65" s="18">
        <v>50</v>
      </c>
      <c r="E65" s="18" t="s">
        <v>27</v>
      </c>
      <c r="F65" s="18" t="s">
        <v>200</v>
      </c>
      <c r="G65" s="18" t="s">
        <v>29</v>
      </c>
      <c r="H65" s="18">
        <v>1</v>
      </c>
      <c r="I65" s="18" t="s">
        <v>85</v>
      </c>
      <c r="K65" s="1" t="str">
        <f t="shared" si="6"/>
        <v/>
      </c>
      <c r="L65" s="1" t="str">
        <f>IFERROR(VLOOKUP(F65,skill!$B$4:$D$50,3,FALSE),"")</f>
        <v>ss_multflat_per_dish_row_adj_v0p3</v>
      </c>
      <c r="M65" s="1" t="s">
        <v>201</v>
      </c>
      <c r="O65" s="1" t="str">
        <f>IFERROR(VLOOKUP(M65,sub_skill!$B:$R,15,FALSE),"")</f>
        <v>{cscope}每有 1 {unit}食物，{ascopes}倍率 {0}。</v>
      </c>
      <c r="P65" s="1" t="str">
        <f>IFERROR(VLOOKUP(N65,sub_skill!$B:$R,15,FALSE),"")</f>
        <v/>
      </c>
    </row>
    <row r="66" spans="9:16">
      <c r="I66" s="18" t="s">
        <v>85</v>
      </c>
      <c r="K66" s="1" t="str">
        <f t="shared" si="6"/>
        <v/>
      </c>
      <c r="L66" s="1" t="str">
        <f>IFERROR(VLOOKUP(F66,skill!$B$4:$D$50,3,FALSE),"")</f>
        <v/>
      </c>
      <c r="O66" s="1" t="str">
        <f>IFERROR(VLOOKUP(M66,sub_skill!$B:$R,15,FALSE),"")</f>
        <v/>
      </c>
      <c r="P66" s="1" t="str">
        <f>IFERROR(VLOOKUP(N66,sub_skill!$B:$R,15,FALSE),"")</f>
        <v/>
      </c>
    </row>
    <row r="67" spans="9:16">
      <c r="I67" s="18" t="s">
        <v>85</v>
      </c>
      <c r="K67" s="1" t="str">
        <f t="shared" si="6"/>
        <v/>
      </c>
      <c r="L67" s="1" t="str">
        <f>IFERROR(VLOOKUP(F67,skill!$B$4:$D$50,3,FALSE),"")</f>
        <v/>
      </c>
      <c r="O67" s="1" t="str">
        <f>IFERROR(VLOOKUP(M67,sub_skill!$B:$R,15,FALSE),"")</f>
        <v/>
      </c>
      <c r="P67" s="1" t="str">
        <f>IFERROR(VLOOKUP(N67,sub_skill!$B:$R,15,FALSE),"")</f>
        <v/>
      </c>
    </row>
    <row r="68" spans="2:16">
      <c r="B68" s="18" t="s">
        <v>202</v>
      </c>
      <c r="C68" s="18" t="s">
        <v>203</v>
      </c>
      <c r="D68" s="18">
        <v>40</v>
      </c>
      <c r="E68" s="18" t="s">
        <v>27</v>
      </c>
      <c r="F68" s="18" t="s">
        <v>204</v>
      </c>
      <c r="G68" s="18" t="s">
        <v>106</v>
      </c>
      <c r="H68" s="18">
        <v>1</v>
      </c>
      <c r="I68" s="18" t="s">
        <v>85</v>
      </c>
      <c r="K68" s="1" t="str">
        <f t="shared" si="6"/>
        <v/>
      </c>
      <c r="L68" s="1" t="str">
        <f>IFERROR(VLOOKUP(F68,skill!$B$4:$D$50,3,FALSE),"")</f>
        <v>ss_mult_v2|ss_layer_tier_all</v>
      </c>
      <c r="M68" s="1" t="s">
        <v>205</v>
      </c>
      <c r="N68" s="1" t="s">
        <v>206</v>
      </c>
      <c r="O68" s="1" t="str">
        <f>IFERROR(VLOOKUP(M68,sub_skill!$B:$R,15,FALSE),"")</f>
        <v>{ascopes}倍率 ×{0}。</v>
      </c>
      <c r="P68" s="1" t="str">
        <f>IFERROR(VLOOKUP(N68,sub_skill!$B:$R,15,FALSE),"")</f>
        <v>蛋糕数量达 {tiers} 时，欢乐蛋糕 +{tiervals} 层。</v>
      </c>
    </row>
    <row r="69" spans="9:16">
      <c r="I69" s="18" t="s">
        <v>85</v>
      </c>
      <c r="K69" s="1" t="str">
        <f t="shared" si="6"/>
        <v/>
      </c>
      <c r="L69" s="1" t="str">
        <f>IFERROR(VLOOKUP(F69,skill!$B$4:$D$50,3,FALSE),"")</f>
        <v/>
      </c>
      <c r="O69" s="1" t="str">
        <f>IFERROR(VLOOKUP(M69,sub_skill!$B:$R,15,FALSE),"")</f>
        <v/>
      </c>
      <c r="P69" s="1" t="str">
        <f>IFERROR(VLOOKUP(N69,sub_skill!$B:$R,15,FALSE),"")</f>
        <v/>
      </c>
    </row>
    <row r="70" spans="9:16">
      <c r="I70" s="18" t="s">
        <v>85</v>
      </c>
      <c r="K70" s="1" t="str">
        <f t="shared" si="6"/>
        <v/>
      </c>
      <c r="L70" s="1" t="str">
        <f>IFERROR(VLOOKUP(F70,skill!$B$4:$D$50,3,FALSE),"")</f>
        <v/>
      </c>
      <c r="O70" s="1" t="str">
        <f>IFERROR(VLOOKUP(M70,sub_skill!$B:$R,15,FALSE),"")</f>
        <v/>
      </c>
      <c r="P70" s="1" t="str">
        <f>IFERROR(VLOOKUP(N70,sub_skill!$B:$R,15,FALSE),"")</f>
        <v/>
      </c>
    </row>
    <row r="71" spans="2:16">
      <c r="B71" s="18" t="s">
        <v>207</v>
      </c>
      <c r="C71" s="18" t="s">
        <v>208</v>
      </c>
      <c r="D71" s="18">
        <v>30</v>
      </c>
      <c r="E71" s="18" t="s">
        <v>27</v>
      </c>
      <c r="F71" s="18" t="s">
        <v>209</v>
      </c>
      <c r="G71" s="18" t="s">
        <v>29</v>
      </c>
      <c r="H71" s="18">
        <v>1</v>
      </c>
      <c r="I71" s="18" t="s">
        <v>124</v>
      </c>
      <c r="K71" s="1" t="str">
        <f t="shared" si="6"/>
        <v/>
      </c>
      <c r="L71" s="1" t="str">
        <f>IFERROR(VLOOKUP(F71,skill!$B$4:$D$50,3,FALSE),"")</f>
        <v>ss_mult_tier_skilltype_all_all</v>
      </c>
      <c r="M71" s="1" t="s">
        <v>210</v>
      </c>
      <c r="O71" s="1" t="str">
        <f>IFERROR(VLOOKUP(M71,sub_skill!$B:$R,15,FALSE),"")</f>
        <v>带甜蜜传递的食物达 {tiers} 种时，此类食物倍率 ×{tiervals}。</v>
      </c>
      <c r="P71" s="1" t="str">
        <f>IFERROR(VLOOKUP(N71,sub_skill!$B:$R,15,FALSE),"")</f>
        <v/>
      </c>
    </row>
    <row r="72" spans="9:16">
      <c r="I72" s="18" t="s">
        <v>124</v>
      </c>
      <c r="K72" s="1" t="str">
        <f t="shared" ref="K72:K81" si="7">""</f>
        <v/>
      </c>
      <c r="L72" s="1" t="str">
        <f>IFERROR(VLOOKUP(F72,skill!$B$4:$D$50,3,FALSE),"")</f>
        <v/>
      </c>
      <c r="O72" s="1" t="str">
        <f>IFERROR(VLOOKUP(M72,sub_skill!$B:$R,15,FALSE),"")</f>
        <v/>
      </c>
      <c r="P72" s="1" t="str">
        <f>IFERROR(VLOOKUP(N72,sub_skill!$B:$R,15,FALSE),"")</f>
        <v/>
      </c>
    </row>
    <row r="73" spans="2:16">
      <c r="B73" s="18" t="s">
        <v>211</v>
      </c>
      <c r="C73" s="18" t="s">
        <v>212</v>
      </c>
      <c r="D73" s="18">
        <v>20</v>
      </c>
      <c r="E73" s="18" t="s">
        <v>27</v>
      </c>
      <c r="F73" s="18" t="s">
        <v>213</v>
      </c>
      <c r="G73" s="18"/>
      <c r="H73" s="18">
        <v>1</v>
      </c>
      <c r="I73" s="18" t="s">
        <v>85</v>
      </c>
      <c r="K73" s="1" t="str">
        <f t="shared" si="7"/>
        <v/>
      </c>
      <c r="L73" s="1" t="str">
        <f>IFERROR(VLOOKUP(F73,skill!$B$4:$D$50,3,FALSE),"")</f>
        <v>ss_layer_per_dish_adj_v2_2</v>
      </c>
      <c r="M73" s="1" t="s">
        <v>214</v>
      </c>
      <c r="O73" s="1" t="str">
        <f>IFERROR(VLOOKUP(M73,sub_skill!$B:$R,15,FALSE),"")</f>
        <v>{cscope}每有 1 {unit}食物，欢乐蛋糕 {0} 层。</v>
      </c>
      <c r="P73" s="1" t="str">
        <f>IFERROR(VLOOKUP(N73,sub_skill!$B:$R,15,FALSE),"")</f>
        <v/>
      </c>
    </row>
    <row r="74" spans="9:16">
      <c r="I74" s="18" t="s">
        <v>215</v>
      </c>
      <c r="K74" s="1" t="str">
        <f t="shared" si="7"/>
        <v/>
      </c>
      <c r="L74" s="1" t="str">
        <f>IFERROR(VLOOKUP(F74,skill!$B$4:$D$50,3,FALSE),"")</f>
        <v/>
      </c>
      <c r="O74" s="1" t="str">
        <f>IFERROR(VLOOKUP(M74,sub_skill!$B:$R,15,FALSE),"")</f>
        <v/>
      </c>
      <c r="P74" s="1" t="str">
        <f>IFERROR(VLOOKUP(N74,sub_skill!$B:$R,15,FALSE),"")</f>
        <v/>
      </c>
    </row>
    <row r="75" spans="2:16">
      <c r="B75" s="18" t="s">
        <v>216</v>
      </c>
      <c r="C75" s="18" t="s">
        <v>217</v>
      </c>
      <c r="D75" s="18">
        <v>30</v>
      </c>
      <c r="E75" s="18" t="s">
        <v>27</v>
      </c>
      <c r="F75" s="18" t="s">
        <v>218</v>
      </c>
      <c r="G75" s="18" t="s">
        <v>29</v>
      </c>
      <c r="H75" s="18">
        <v>1</v>
      </c>
      <c r="I75" s="18" t="s">
        <v>219</v>
      </c>
      <c r="K75" s="1" t="str">
        <f t="shared" si="7"/>
        <v/>
      </c>
      <c r="L75" s="1" t="str">
        <f>IFERROR(VLOOKUP(F75,skill!$B$4:$D$50,3,FALSE),"")</f>
        <v>ss_mult_adj_v1p5|ss_count_as_base_v3</v>
      </c>
      <c r="M75" s="1" t="s">
        <v>220</v>
      </c>
      <c r="N75" s="1" t="s">
        <v>126</v>
      </c>
      <c r="O75" s="1" t="str">
        <f>IFERROR(VLOOKUP(M75,sub_skill!$B:$R,15,FALSE),"")</f>
        <v>{ascopes}倍率 ×{0}。</v>
      </c>
      <c r="P75" s="1" t="str">
        <f>IFERROR(VLOOKUP(N75,sub_skill!$B:$R,15,FALSE),"")</f>
        <v>{ascopes}视为 {countas} 个食物。</v>
      </c>
    </row>
    <row r="76" spans="9:16">
      <c r="I76" s="18" t="s">
        <v>85</v>
      </c>
      <c r="K76" s="1" t="str">
        <f t="shared" si="7"/>
        <v/>
      </c>
      <c r="L76" s="1" t="str">
        <f>IFERROR(VLOOKUP(F76,skill!$B$4:$D$50,3,FALSE),"")</f>
        <v/>
      </c>
      <c r="O76" s="1" t="str">
        <f>IFERROR(VLOOKUP(M76,sub_skill!$B:$R,15,FALSE),"")</f>
        <v/>
      </c>
      <c r="P76" s="1" t="str">
        <f>IFERROR(VLOOKUP(N76,sub_skill!$B:$R,15,FALSE),"")</f>
        <v/>
      </c>
    </row>
    <row r="77" spans="2:16">
      <c r="B77" s="18" t="s">
        <v>221</v>
      </c>
      <c r="C77" s="18" t="s">
        <v>222</v>
      </c>
      <c r="D77" s="18">
        <v>40</v>
      </c>
      <c r="E77" s="18" t="s">
        <v>27</v>
      </c>
      <c r="F77" s="18" t="s">
        <v>223</v>
      </c>
      <c r="G77" s="18" t="s">
        <v>29</v>
      </c>
      <c r="H77" s="18">
        <v>1</v>
      </c>
      <c r="I77" s="18" t="s">
        <v>85</v>
      </c>
      <c r="K77" s="1" t="str">
        <f t="shared" si="7"/>
        <v/>
      </c>
      <c r="L77" s="1" t="str">
        <f>IFERROR(VLOOKUP(F77,skill!$B$4:$D$50,3,FALSE),"")</f>
        <v>ss_mult_col_v1p4|ss_transfer_adj</v>
      </c>
      <c r="M77" s="1" t="s">
        <v>224</v>
      </c>
      <c r="N77" s="1" t="s">
        <v>225</v>
      </c>
      <c r="O77" s="1" t="str">
        <f>IFERROR(VLOOKUP(M77,sub_skill!$B:$R,15,FALSE),"")</f>
        <v>{ascopes}倍率 ×{0}。</v>
      </c>
      <c r="P77" s="1" t="str">
        <f>IFERROR(VLOOKUP(N77,sub_skill!$B:$R,15,FALSE),"")</f>
        <v>甜蜜传递至{ascopes}食物</v>
      </c>
    </row>
    <row r="78" spans="9:16">
      <c r="I78" s="18" t="s">
        <v>215</v>
      </c>
      <c r="K78" s="1" t="str">
        <f t="shared" si="7"/>
        <v/>
      </c>
      <c r="L78" s="1" t="str">
        <f>IFERROR(VLOOKUP(F78,skill!$B$4:$D$50,3,FALSE),"")</f>
        <v/>
      </c>
      <c r="O78" s="1" t="str">
        <f>IFERROR(VLOOKUP(M78,sub_skill!$B:$R,15,FALSE),"")</f>
        <v/>
      </c>
      <c r="P78" s="1" t="str">
        <f>IFERROR(VLOOKUP(N78,sub_skill!$B:$R,15,FALSE),"")</f>
        <v/>
      </c>
    </row>
    <row r="79" spans="9:16">
      <c r="I79" s="18" t="s">
        <v>215</v>
      </c>
      <c r="K79" s="1" t="str">
        <f t="shared" si="7"/>
        <v/>
      </c>
      <c r="L79" s="1" t="str">
        <f>IFERROR(VLOOKUP(F79,skill!$B$4:$D$50,3,FALSE),"")</f>
        <v/>
      </c>
      <c r="O79" s="1" t="str">
        <f>IFERROR(VLOOKUP(M79,sub_skill!$B:$R,15,FALSE),"")</f>
        <v/>
      </c>
      <c r="P79" s="1" t="str">
        <f>IFERROR(VLOOKUP(N79,sub_skill!$B:$R,15,FALSE),"")</f>
        <v/>
      </c>
    </row>
    <row r="80" spans="2:16">
      <c r="B80" s="18" t="s">
        <v>226</v>
      </c>
      <c r="C80" s="18" t="s">
        <v>227</v>
      </c>
      <c r="D80" s="18">
        <v>100</v>
      </c>
      <c r="E80" s="18" t="s">
        <v>27</v>
      </c>
      <c r="F80" s="18" t="s">
        <v>228</v>
      </c>
      <c r="G80" s="18" t="s">
        <v>29</v>
      </c>
      <c r="H80" s="18">
        <v>1</v>
      </c>
      <c r="I80" s="18" t="s">
        <v>124</v>
      </c>
      <c r="K80" s="1" t="str">
        <f t="shared" si="7"/>
        <v/>
      </c>
      <c r="L80" s="1" t="str">
        <f>IFERROR(VLOOKUP(F80,skill!$B$4:$D$50,3,FALSE),"")</f>
        <v>ss_trigger_transfer_all</v>
      </c>
      <c r="M80" s="1" t="s">
        <v>229</v>
      </c>
      <c r="O80" s="1" t="str">
        <f>IFERROR(VLOOKUP(M80,sub_skill!$B:$R,15,FALSE),"")</f>
        <v>同行同列带甜蜜传递的食物，各执行一次它们的甜蜜传递。</v>
      </c>
      <c r="P80" s="1" t="str">
        <f>IFERROR(VLOOKUP(N80,sub_skill!$B:$R,15,FALSE),"")</f>
        <v/>
      </c>
    </row>
    <row r="81" spans="9:16">
      <c r="I81" s="18" t="s">
        <v>124</v>
      </c>
      <c r="K81" s="1" t="str">
        <f t="shared" si="7"/>
        <v/>
      </c>
      <c r="L81" s="1" t="str">
        <f>IFERROR(VLOOKUP(F81,skill!$B$4:$D$50,3,FALSE),"")</f>
        <v/>
      </c>
      <c r="O81" s="1" t="str">
        <f>IFERROR(VLOOKUP(M81,sub_skill!$B:$R,15,FALSE),"")</f>
        <v/>
      </c>
      <c r="P81" s="1" t="str">
        <f>IFERROR(VLOOKUP(N81,sub_skill!$B:$R,15,FALSE),"")</f>
        <v/>
      </c>
    </row>
    <row r="82" spans="9:16">
      <c r="I82" s="18" t="s">
        <v>124</v>
      </c>
      <c r="K82" s="1" t="str">
        <f t="shared" ref="K82:K88" si="8">""</f>
        <v/>
      </c>
      <c r="L82" s="1" t="str">
        <f>IFERROR(VLOOKUP(F82,skill!$B$4:$D$50,3,FALSE),"")</f>
        <v/>
      </c>
      <c r="O82" s="1" t="str">
        <f>IFERROR(VLOOKUP(M82,sub_skill!$B:$R,15,FALSE),"")</f>
        <v/>
      </c>
      <c r="P82" s="1" t="str">
        <f>IFERROR(VLOOKUP(N82,sub_skill!$B:$R,15,FALSE),"")</f>
        <v/>
      </c>
    </row>
    <row r="83" spans="9:16">
      <c r="I83" s="18" t="s">
        <v>230</v>
      </c>
      <c r="K83" s="1" t="str">
        <f t="shared" si="8"/>
        <v/>
      </c>
      <c r="L83" s="1" t="str">
        <f>IFERROR(VLOOKUP(F83,skill!$B$4:$D$50,3,FALSE),"")</f>
        <v/>
      </c>
      <c r="O83" s="1" t="str">
        <f>IFERROR(VLOOKUP(M83,sub_skill!$B:$R,15,FALSE),"")</f>
        <v/>
      </c>
      <c r="P83" s="1" t="str">
        <f>IFERROR(VLOOKUP(N83,sub_skill!$B:$R,15,FALSE),"")</f>
        <v/>
      </c>
    </row>
    <row r="84" spans="9:16">
      <c r="I84" s="18" t="s">
        <v>230</v>
      </c>
      <c r="K84" s="1" t="str">
        <f t="shared" si="8"/>
        <v/>
      </c>
      <c r="L84" s="1" t="str">
        <f>IFERROR(VLOOKUP(F84,skill!$B$4:$D$50,3,FALSE),"")</f>
        <v/>
      </c>
      <c r="O84" s="1" t="str">
        <f>IFERROR(VLOOKUP(M84,sub_skill!$B:$R,15,FALSE),"")</f>
        <v/>
      </c>
      <c r="P84" s="1" t="str">
        <f>IFERROR(VLOOKUP(N84,sub_skill!$B:$R,15,FALSE),"")</f>
        <v/>
      </c>
    </row>
    <row r="85" spans="2:16">
      <c r="B85" s="18" t="s">
        <v>231</v>
      </c>
      <c r="C85" s="18" t="s">
        <v>232</v>
      </c>
      <c r="D85" s="18">
        <v>80</v>
      </c>
      <c r="E85" s="18" t="s">
        <v>27</v>
      </c>
      <c r="F85" s="18" t="s">
        <v>233</v>
      </c>
      <c r="G85" s="18" t="s">
        <v>29</v>
      </c>
      <c r="H85" s="18">
        <v>1</v>
      </c>
      <c r="I85" s="18" t="s">
        <v>124</v>
      </c>
      <c r="K85" s="1" t="str">
        <f t="shared" si="8"/>
        <v/>
      </c>
      <c r="L85" s="1" t="str">
        <f>IFERROR(VLOOKUP(F85,skill!$B$4:$D$50,3,FALSE),"")</f>
        <v>ss_mult_per_tag_v1p5|ss_transfer_row</v>
      </c>
      <c r="M85" s="1" t="s">
        <v>234</v>
      </c>
      <c r="N85" s="1" t="s">
        <v>235</v>
      </c>
      <c r="O85" s="1" t="str">
        <f>IFERROR(VLOOKUP(M85,sub_skill!$B:$R,15,FALSE),"")</f>
        <v>{cscope}每有 1 个技能，{ascopes}倍率 ×{0}。</v>
      </c>
      <c r="P85" s="1" t="str">
        <f>IFERROR(VLOOKUP(N85,sub_skill!$B:$R,15,FALSE),"")</f>
        <v>甜蜜传递至{ascopes}食物</v>
      </c>
    </row>
    <row r="86" spans="9:16">
      <c r="I86" s="18" t="s">
        <v>124</v>
      </c>
      <c r="K86" s="1" t="str">
        <f t="shared" si="8"/>
        <v/>
      </c>
      <c r="L86" s="1" t="str">
        <f>IFERROR(VLOOKUP(F86,skill!$B$4:$D$50,3,FALSE),"")</f>
        <v/>
      </c>
      <c r="O86" s="1" t="str">
        <f>IFERROR(VLOOKUP(M86,sub_skill!$B:$R,15,FALSE),"")</f>
        <v/>
      </c>
      <c r="P86" s="1" t="str">
        <f>IFERROR(VLOOKUP(N86,sub_skill!$B:$R,15,FALSE),"")</f>
        <v/>
      </c>
    </row>
    <row r="87" spans="9:16">
      <c r="I87" s="18" t="s">
        <v>124</v>
      </c>
      <c r="K87" s="1" t="str">
        <f t="shared" si="8"/>
        <v/>
      </c>
      <c r="L87" s="1" t="str">
        <f>IFERROR(VLOOKUP(F87,skill!$B$4:$D$50,3,FALSE),"")</f>
        <v/>
      </c>
      <c r="O87" s="1" t="str">
        <f>IFERROR(VLOOKUP(M87,sub_skill!$B:$R,15,FALSE),"")</f>
        <v/>
      </c>
      <c r="P87" s="1" t="str">
        <f>IFERROR(VLOOKUP(N87,sub_skill!$B:$R,15,FALSE),"")</f>
        <v/>
      </c>
    </row>
    <row r="88" spans="2:16">
      <c r="B88" s="18" t="s">
        <v>236</v>
      </c>
      <c r="C88" s="18" t="s">
        <v>237</v>
      </c>
      <c r="D88" s="18">
        <v>140</v>
      </c>
      <c r="E88" s="18" t="s">
        <v>27</v>
      </c>
      <c r="F88" s="18" t="s">
        <v>238</v>
      </c>
      <c r="G88" s="18" t="s">
        <v>106</v>
      </c>
      <c r="H88" s="18">
        <v>1</v>
      </c>
      <c r="I88" s="18" t="s">
        <v>239</v>
      </c>
      <c r="K88" s="1" t="str">
        <f t="shared" si="8"/>
        <v/>
      </c>
      <c r="L88" s="1" t="str">
        <f>IFERROR(VLOOKUP(F88,skill!$B$4:$D$50,3,FALSE),"")</f>
        <v>ss_copy_cat_skill_v3</v>
      </c>
      <c r="M88" s="1" t="s">
        <v>240</v>
      </c>
      <c r="O88" s="1" t="str">
        <f>IFERROR(VLOOKUP(M88,sub_skill!$B:$R,15,FALSE),"")</f>
        <v>{ascopes}获得 {0} 种不同的{cat}技能。</v>
      </c>
      <c r="P88" s="1" t="str">
        <f>IFERROR(VLOOKUP(N88,sub_skill!$B:$R,15,FALSE),"")</f>
        <v/>
      </c>
    </row>
    <row r="89" spans="9:9">
      <c r="I89" s="18" t="s">
        <v>239</v>
      </c>
    </row>
    <row r="90" spans="9:9">
      <c r="I90" s="18" t="s">
        <v>241</v>
      </c>
    </row>
    <row r="91" spans="9:9">
      <c r="I91" s="18" t="s">
        <v>241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workbookViewId="0">
      <selection activeCell="C51" sqref="C51"/>
    </sheetView>
  </sheetViews>
  <sheetFormatPr defaultColWidth="9" defaultRowHeight="16.8" outlineLevelCol="7"/>
  <cols>
    <col min="1" max="1" width="13.0769230769231" customWidth="1"/>
    <col min="2" max="2" width="14.1538461538462" customWidth="1"/>
    <col min="3" max="3" width="20.3846153846154" customWidth="1"/>
    <col min="4" max="4" width="24.6923076923077" customWidth="1"/>
    <col min="5" max="5" width="15.1538461538462" customWidth="1"/>
    <col min="6" max="6" width="10.3076923076923" customWidth="1"/>
    <col min="7" max="7" width="36" customWidth="1"/>
    <col min="8" max="8" width="26.2307692307692" customWidth="1"/>
  </cols>
  <sheetData>
    <row r="1" spans="1:8">
      <c r="A1" t="s">
        <v>0</v>
      </c>
      <c r="B1" t="s">
        <v>1</v>
      </c>
      <c r="C1" t="s">
        <v>242</v>
      </c>
      <c r="D1" t="s">
        <v>243</v>
      </c>
      <c r="E1" t="s">
        <v>244</v>
      </c>
      <c r="F1" t="s">
        <v>245</v>
      </c>
      <c r="G1" t="s">
        <v>246</v>
      </c>
      <c r="H1" t="s">
        <v>247</v>
      </c>
    </row>
    <row r="2" spans="1:8">
      <c r="A2" t="s">
        <v>9</v>
      </c>
      <c r="B2" t="s">
        <v>248</v>
      </c>
      <c r="C2" t="s">
        <v>249</v>
      </c>
      <c r="D2" t="s">
        <v>250</v>
      </c>
      <c r="E2" t="s">
        <v>251</v>
      </c>
      <c r="F2" t="s">
        <v>252</v>
      </c>
      <c r="G2" t="s">
        <v>253</v>
      </c>
      <c r="H2" t="s">
        <v>254</v>
      </c>
    </row>
    <row r="3" spans="1:8">
      <c r="A3" t="s">
        <v>19</v>
      </c>
      <c r="B3" t="s">
        <v>20</v>
      </c>
      <c r="C3" t="s">
        <v>20</v>
      </c>
      <c r="D3" t="s">
        <v>20</v>
      </c>
      <c r="E3" t="s">
        <v>255</v>
      </c>
      <c r="F3" t="s">
        <v>21</v>
      </c>
      <c r="G3" t="s">
        <v>256</v>
      </c>
      <c r="H3" t="s">
        <v>257</v>
      </c>
    </row>
    <row r="4" spans="2:8">
      <c r="B4" t="s">
        <v>25</v>
      </c>
      <c r="C4" t="s">
        <v>25</v>
      </c>
      <c r="D4" t="s">
        <v>29</v>
      </c>
      <c r="E4">
        <v>120</v>
      </c>
      <c r="F4">
        <v>2</v>
      </c>
      <c r="G4" t="s">
        <v>258</v>
      </c>
      <c r="H4" t="s">
        <v>259</v>
      </c>
    </row>
    <row r="5" spans="2:8">
      <c r="B5" t="s">
        <v>32</v>
      </c>
      <c r="C5" t="s">
        <v>32</v>
      </c>
      <c r="D5" t="s">
        <v>29</v>
      </c>
      <c r="E5">
        <v>120</v>
      </c>
      <c r="F5">
        <v>2</v>
      </c>
      <c r="G5" t="s">
        <v>260</v>
      </c>
      <c r="H5" t="s">
        <v>259</v>
      </c>
    </row>
    <row r="6" spans="2:8">
      <c r="B6" t="s">
        <v>37</v>
      </c>
      <c r="C6" t="s">
        <v>37</v>
      </c>
      <c r="D6" t="s">
        <v>29</v>
      </c>
      <c r="E6">
        <v>120</v>
      </c>
      <c r="F6">
        <v>5</v>
      </c>
      <c r="G6" t="s">
        <v>261</v>
      </c>
      <c r="H6" t="s">
        <v>259</v>
      </c>
    </row>
    <row r="7" spans="2:8">
      <c r="B7" t="s">
        <v>41</v>
      </c>
      <c r="C7" t="s">
        <v>41</v>
      </c>
      <c r="D7" t="s">
        <v>29</v>
      </c>
      <c r="E7">
        <v>120</v>
      </c>
      <c r="F7">
        <v>2</v>
      </c>
      <c r="G7" t="s">
        <v>260</v>
      </c>
      <c r="H7" t="s">
        <v>259</v>
      </c>
    </row>
    <row r="8" spans="2:8">
      <c r="B8" t="s">
        <v>45</v>
      </c>
      <c r="C8" t="s">
        <v>45</v>
      </c>
      <c r="D8" t="s">
        <v>29</v>
      </c>
      <c r="E8">
        <v>120</v>
      </c>
      <c r="F8">
        <v>2</v>
      </c>
      <c r="G8" t="s">
        <v>262</v>
      </c>
      <c r="H8" t="s">
        <v>259</v>
      </c>
    </row>
    <row r="9" spans="2:8">
      <c r="B9" t="s">
        <v>49</v>
      </c>
      <c r="C9" t="s">
        <v>49</v>
      </c>
      <c r="D9" t="s">
        <v>29</v>
      </c>
      <c r="E9">
        <v>90</v>
      </c>
      <c r="F9">
        <v>2</v>
      </c>
      <c r="G9" t="s">
        <v>258</v>
      </c>
      <c r="H9" t="s">
        <v>259</v>
      </c>
    </row>
    <row r="10" spans="2:8">
      <c r="B10" t="s">
        <v>53</v>
      </c>
      <c r="C10" t="s">
        <v>53</v>
      </c>
      <c r="D10" t="s">
        <v>29</v>
      </c>
      <c r="E10">
        <v>120</v>
      </c>
      <c r="F10">
        <v>2</v>
      </c>
      <c r="G10" t="s">
        <v>262</v>
      </c>
      <c r="H10" t="s">
        <v>259</v>
      </c>
    </row>
    <row r="11" spans="2:8">
      <c r="B11" t="s">
        <v>57</v>
      </c>
      <c r="C11" t="s">
        <v>57</v>
      </c>
      <c r="D11" t="s">
        <v>29</v>
      </c>
      <c r="E11">
        <v>90</v>
      </c>
      <c r="F11">
        <v>2</v>
      </c>
      <c r="G11" t="s">
        <v>258</v>
      </c>
      <c r="H11" t="s">
        <v>259</v>
      </c>
    </row>
    <row r="12" spans="2:8">
      <c r="B12" t="s">
        <v>61</v>
      </c>
      <c r="C12" t="s">
        <v>61</v>
      </c>
      <c r="D12" t="s">
        <v>29</v>
      </c>
      <c r="E12">
        <v>120</v>
      </c>
      <c r="F12">
        <v>2</v>
      </c>
      <c r="G12" t="s">
        <v>263</v>
      </c>
      <c r="H12" t="s">
        <v>259</v>
      </c>
    </row>
    <row r="13" spans="2:8">
      <c r="B13" t="s">
        <v>65</v>
      </c>
      <c r="C13" t="s">
        <v>65</v>
      </c>
      <c r="D13" t="s">
        <v>29</v>
      </c>
      <c r="E13">
        <v>120</v>
      </c>
      <c r="F13">
        <v>2</v>
      </c>
      <c r="G13" t="s">
        <v>258</v>
      </c>
      <c r="H13" t="s">
        <v>259</v>
      </c>
    </row>
    <row r="14" spans="2:8">
      <c r="B14" t="s">
        <v>69</v>
      </c>
      <c r="C14" t="s">
        <v>69</v>
      </c>
      <c r="D14" t="s">
        <v>29</v>
      </c>
      <c r="E14">
        <v>60</v>
      </c>
      <c r="F14">
        <v>2</v>
      </c>
      <c r="G14" t="s">
        <v>258</v>
      </c>
      <c r="H14" t="s">
        <v>259</v>
      </c>
    </row>
    <row r="15" spans="2:8">
      <c r="B15" t="s">
        <v>74</v>
      </c>
      <c r="C15" t="s">
        <v>74</v>
      </c>
      <c r="D15" t="s">
        <v>29</v>
      </c>
      <c r="E15">
        <v>90</v>
      </c>
      <c r="F15">
        <v>2</v>
      </c>
      <c r="G15" t="s">
        <v>262</v>
      </c>
      <c r="H15" t="s">
        <v>259</v>
      </c>
    </row>
    <row r="16" spans="2:8">
      <c r="B16" t="s">
        <v>78</v>
      </c>
      <c r="C16" t="s">
        <v>78</v>
      </c>
      <c r="D16" t="s">
        <v>29</v>
      </c>
      <c r="E16">
        <v>90</v>
      </c>
      <c r="F16">
        <v>2</v>
      </c>
      <c r="G16" t="s">
        <v>260</v>
      </c>
      <c r="H16" t="s">
        <v>259</v>
      </c>
    </row>
    <row r="17" spans="2:8">
      <c r="B17" t="s">
        <v>82</v>
      </c>
      <c r="C17" t="s">
        <v>82</v>
      </c>
      <c r="D17" t="s">
        <v>29</v>
      </c>
      <c r="E17">
        <v>90</v>
      </c>
      <c r="F17">
        <v>3</v>
      </c>
      <c r="G17" t="s">
        <v>264</v>
      </c>
      <c r="H17" t="s">
        <v>259</v>
      </c>
    </row>
    <row r="18" spans="2:8">
      <c r="B18" t="s">
        <v>88</v>
      </c>
      <c r="C18" t="s">
        <v>88</v>
      </c>
      <c r="D18" t="s">
        <v>29</v>
      </c>
      <c r="E18">
        <v>90</v>
      </c>
      <c r="F18">
        <v>3</v>
      </c>
      <c r="G18" t="s">
        <v>264</v>
      </c>
      <c r="H18" t="s">
        <v>259</v>
      </c>
    </row>
    <row r="19" spans="2:8">
      <c r="B19" t="s">
        <v>93</v>
      </c>
      <c r="C19" t="s">
        <v>93</v>
      </c>
      <c r="D19" t="s">
        <v>29</v>
      </c>
      <c r="E19">
        <v>90</v>
      </c>
      <c r="F19">
        <v>2</v>
      </c>
      <c r="G19" t="s">
        <v>258</v>
      </c>
      <c r="H19" t="s">
        <v>259</v>
      </c>
    </row>
    <row r="20" spans="2:8">
      <c r="B20" t="s">
        <v>98</v>
      </c>
      <c r="C20" t="s">
        <v>98</v>
      </c>
      <c r="D20" t="s">
        <v>29</v>
      </c>
      <c r="E20">
        <v>90</v>
      </c>
      <c r="F20">
        <v>2</v>
      </c>
      <c r="G20" t="s">
        <v>260</v>
      </c>
      <c r="H20" t="s">
        <v>259</v>
      </c>
    </row>
    <row r="21" spans="2:8">
      <c r="B21" t="s">
        <v>103</v>
      </c>
      <c r="C21" t="s">
        <v>103</v>
      </c>
      <c r="D21" t="s">
        <v>29</v>
      </c>
      <c r="E21">
        <v>60</v>
      </c>
      <c r="F21">
        <v>2</v>
      </c>
      <c r="G21" t="s">
        <v>265</v>
      </c>
      <c r="H21" t="s">
        <v>259</v>
      </c>
    </row>
    <row r="22" spans="2:8">
      <c r="B22" t="s">
        <v>109</v>
      </c>
      <c r="C22" t="s">
        <v>109</v>
      </c>
      <c r="D22" t="s">
        <v>29</v>
      </c>
      <c r="E22">
        <v>60</v>
      </c>
      <c r="F22">
        <v>3</v>
      </c>
      <c r="G22" t="s">
        <v>266</v>
      </c>
      <c r="H22" t="s">
        <v>259</v>
      </c>
    </row>
    <row r="23" spans="2:8">
      <c r="B23" t="s">
        <v>113</v>
      </c>
      <c r="C23" t="s">
        <v>113</v>
      </c>
      <c r="D23" t="s">
        <v>29</v>
      </c>
      <c r="E23">
        <v>90</v>
      </c>
      <c r="F23">
        <v>2</v>
      </c>
      <c r="G23" t="s">
        <v>267</v>
      </c>
      <c r="H23" t="s">
        <v>259</v>
      </c>
    </row>
    <row r="24" spans="2:8">
      <c r="B24" t="s">
        <v>118</v>
      </c>
      <c r="C24" t="s">
        <v>118</v>
      </c>
      <c r="D24" t="s">
        <v>29</v>
      </c>
      <c r="E24">
        <v>90</v>
      </c>
      <c r="F24">
        <v>3</v>
      </c>
      <c r="G24" t="s">
        <v>264</v>
      </c>
      <c r="H24" t="s">
        <v>259</v>
      </c>
    </row>
    <row r="25" spans="2:8">
      <c r="B25" t="s">
        <v>121</v>
      </c>
      <c r="C25" t="s">
        <v>121</v>
      </c>
      <c r="D25" t="s">
        <v>29</v>
      </c>
      <c r="E25">
        <v>90</v>
      </c>
      <c r="F25">
        <v>5</v>
      </c>
      <c r="G25" t="s">
        <v>261</v>
      </c>
      <c r="H25" t="s">
        <v>259</v>
      </c>
    </row>
    <row r="26" spans="2:8">
      <c r="B26" t="s">
        <v>127</v>
      </c>
      <c r="C26" t="s">
        <v>127</v>
      </c>
      <c r="D26" t="s">
        <v>29</v>
      </c>
      <c r="E26">
        <v>90</v>
      </c>
      <c r="F26">
        <v>7</v>
      </c>
      <c r="G26" t="s">
        <v>268</v>
      </c>
      <c r="H26" t="s">
        <v>259</v>
      </c>
    </row>
    <row r="27" spans="2:8">
      <c r="B27" t="s">
        <v>132</v>
      </c>
      <c r="C27" t="s">
        <v>132</v>
      </c>
      <c r="D27" t="s">
        <v>29</v>
      </c>
      <c r="E27">
        <v>90</v>
      </c>
      <c r="F27">
        <v>5</v>
      </c>
      <c r="G27" t="s">
        <v>261</v>
      </c>
      <c r="H27" t="s">
        <v>259</v>
      </c>
    </row>
    <row r="28" spans="2:8">
      <c r="B28" t="s">
        <v>137</v>
      </c>
      <c r="C28" t="s">
        <v>137</v>
      </c>
      <c r="D28" t="s">
        <v>29</v>
      </c>
      <c r="E28">
        <v>90</v>
      </c>
      <c r="F28">
        <v>3</v>
      </c>
      <c r="G28" t="s">
        <v>264</v>
      </c>
      <c r="H28" t="s">
        <v>259</v>
      </c>
    </row>
    <row r="29" spans="2:8">
      <c r="B29" t="s">
        <v>142</v>
      </c>
      <c r="C29" t="s">
        <v>142</v>
      </c>
      <c r="D29" t="s">
        <v>29</v>
      </c>
      <c r="E29">
        <v>90</v>
      </c>
      <c r="F29">
        <v>5</v>
      </c>
      <c r="G29" t="s">
        <v>261</v>
      </c>
      <c r="H29" t="s">
        <v>259</v>
      </c>
    </row>
    <row r="30" spans="2:8">
      <c r="B30" t="s">
        <v>146</v>
      </c>
      <c r="C30" t="s">
        <v>146</v>
      </c>
      <c r="D30" t="s">
        <v>29</v>
      </c>
      <c r="E30">
        <v>60</v>
      </c>
      <c r="F30">
        <v>3</v>
      </c>
      <c r="G30" t="s">
        <v>264</v>
      </c>
      <c r="H30" t="s">
        <v>259</v>
      </c>
    </row>
    <row r="31" spans="2:8">
      <c r="B31" t="s">
        <v>150</v>
      </c>
      <c r="C31" t="s">
        <v>150</v>
      </c>
      <c r="D31" t="s">
        <v>29</v>
      </c>
      <c r="E31">
        <v>60</v>
      </c>
      <c r="F31">
        <v>4</v>
      </c>
      <c r="G31" t="s">
        <v>269</v>
      </c>
      <c r="H31" t="s">
        <v>259</v>
      </c>
    </row>
    <row r="32" spans="2:8">
      <c r="B32" t="s">
        <v>154</v>
      </c>
      <c r="C32" t="s">
        <v>154</v>
      </c>
      <c r="D32" t="s">
        <v>29</v>
      </c>
      <c r="E32">
        <v>60</v>
      </c>
      <c r="F32">
        <v>3</v>
      </c>
      <c r="G32" t="s">
        <v>264</v>
      </c>
      <c r="H32" t="s">
        <v>259</v>
      </c>
    </row>
    <row r="33" spans="2:8">
      <c r="B33" t="s">
        <v>159</v>
      </c>
      <c r="C33" t="s">
        <v>159</v>
      </c>
      <c r="D33" t="s">
        <v>29</v>
      </c>
      <c r="E33">
        <v>60</v>
      </c>
      <c r="F33">
        <v>3</v>
      </c>
      <c r="G33" t="s">
        <v>264</v>
      </c>
      <c r="H33" t="s">
        <v>259</v>
      </c>
    </row>
    <row r="34" spans="2:8">
      <c r="B34" t="s">
        <v>164</v>
      </c>
      <c r="C34" t="s">
        <v>164</v>
      </c>
      <c r="D34" t="s">
        <v>29</v>
      </c>
      <c r="E34">
        <v>60</v>
      </c>
      <c r="F34">
        <v>8</v>
      </c>
      <c r="G34" t="s">
        <v>270</v>
      </c>
      <c r="H34" t="s">
        <v>259</v>
      </c>
    </row>
    <row r="35" spans="2:8">
      <c r="B35" t="s">
        <v>168</v>
      </c>
      <c r="C35" t="s">
        <v>168</v>
      </c>
      <c r="D35" t="s">
        <v>29</v>
      </c>
      <c r="E35">
        <v>60</v>
      </c>
      <c r="F35">
        <v>7</v>
      </c>
      <c r="G35" t="s">
        <v>268</v>
      </c>
      <c r="H35" t="s">
        <v>259</v>
      </c>
    </row>
    <row r="36" spans="2:8">
      <c r="B36" t="s">
        <v>172</v>
      </c>
      <c r="C36" t="s">
        <v>172</v>
      </c>
      <c r="D36" t="s">
        <v>29</v>
      </c>
      <c r="E36">
        <v>90</v>
      </c>
      <c r="F36">
        <v>5</v>
      </c>
      <c r="G36" t="s">
        <v>261</v>
      </c>
      <c r="H36" t="s">
        <v>259</v>
      </c>
    </row>
    <row r="37" spans="2:8">
      <c r="B37" t="s">
        <v>177</v>
      </c>
      <c r="C37" t="s">
        <v>177</v>
      </c>
      <c r="D37" t="s">
        <v>29</v>
      </c>
      <c r="E37">
        <v>60</v>
      </c>
      <c r="F37">
        <v>8</v>
      </c>
      <c r="G37" t="s">
        <v>270</v>
      </c>
      <c r="H37" t="s">
        <v>259</v>
      </c>
    </row>
    <row r="38" spans="2:8">
      <c r="B38" t="s">
        <v>181</v>
      </c>
      <c r="C38" t="s">
        <v>181</v>
      </c>
      <c r="D38" t="s">
        <v>29</v>
      </c>
      <c r="E38">
        <v>60</v>
      </c>
      <c r="F38">
        <v>7</v>
      </c>
      <c r="G38" t="s">
        <v>268</v>
      </c>
      <c r="H38" t="s">
        <v>259</v>
      </c>
    </row>
    <row r="39" spans="2:8">
      <c r="B39" t="s">
        <v>184</v>
      </c>
      <c r="C39" t="s">
        <v>184</v>
      </c>
      <c r="D39" t="s">
        <v>29</v>
      </c>
      <c r="E39">
        <v>90</v>
      </c>
      <c r="F39">
        <v>5</v>
      </c>
      <c r="G39" t="s">
        <v>261</v>
      </c>
      <c r="H39" t="s">
        <v>259</v>
      </c>
    </row>
    <row r="40" spans="2:8">
      <c r="B40" t="s">
        <v>189</v>
      </c>
      <c r="C40" t="s">
        <v>189</v>
      </c>
      <c r="D40" t="s">
        <v>29</v>
      </c>
      <c r="E40">
        <v>60</v>
      </c>
      <c r="F40">
        <v>3</v>
      </c>
      <c r="G40" t="s">
        <v>264</v>
      </c>
      <c r="H40" t="s">
        <v>259</v>
      </c>
    </row>
    <row r="41" spans="2:8">
      <c r="B41" t="s">
        <v>194</v>
      </c>
      <c r="C41" t="s">
        <v>194</v>
      </c>
      <c r="D41" t="s">
        <v>29</v>
      </c>
      <c r="E41">
        <v>60</v>
      </c>
      <c r="F41">
        <v>5</v>
      </c>
      <c r="G41" t="s">
        <v>261</v>
      </c>
      <c r="H41" t="s">
        <v>259</v>
      </c>
    </row>
    <row r="42" spans="2:8">
      <c r="B42" t="s">
        <v>198</v>
      </c>
      <c r="C42" t="s">
        <v>198</v>
      </c>
      <c r="D42" t="s">
        <v>29</v>
      </c>
      <c r="E42">
        <v>90</v>
      </c>
      <c r="F42">
        <v>8</v>
      </c>
      <c r="G42" t="s">
        <v>270</v>
      </c>
      <c r="H42" t="s">
        <v>259</v>
      </c>
    </row>
    <row r="43" spans="2:8">
      <c r="B43" t="s">
        <v>202</v>
      </c>
      <c r="C43" t="s">
        <v>202</v>
      </c>
      <c r="D43" t="s">
        <v>29</v>
      </c>
      <c r="E43">
        <v>90</v>
      </c>
      <c r="F43">
        <v>7</v>
      </c>
      <c r="G43" t="s">
        <v>268</v>
      </c>
      <c r="H43" t="s">
        <v>259</v>
      </c>
    </row>
    <row r="44" spans="2:8">
      <c r="B44" t="s">
        <v>207</v>
      </c>
      <c r="C44" t="s">
        <v>207</v>
      </c>
      <c r="D44" t="s">
        <v>29</v>
      </c>
      <c r="E44">
        <v>60</v>
      </c>
      <c r="F44">
        <v>5</v>
      </c>
      <c r="G44" t="s">
        <v>261</v>
      </c>
      <c r="H44" t="s">
        <v>259</v>
      </c>
    </row>
    <row r="45" spans="2:8">
      <c r="B45" t="s">
        <v>211</v>
      </c>
      <c r="C45" t="s">
        <v>211</v>
      </c>
      <c r="D45" t="s">
        <v>29</v>
      </c>
      <c r="E45">
        <v>90</v>
      </c>
      <c r="F45">
        <v>3</v>
      </c>
      <c r="G45" t="s">
        <v>264</v>
      </c>
      <c r="H45" t="s">
        <v>259</v>
      </c>
    </row>
    <row r="46" spans="2:8">
      <c r="B46" t="s">
        <v>216</v>
      </c>
      <c r="C46" t="s">
        <v>216</v>
      </c>
      <c r="D46" t="s">
        <v>29</v>
      </c>
      <c r="E46">
        <v>90</v>
      </c>
      <c r="F46">
        <v>5</v>
      </c>
      <c r="G46" t="s">
        <v>261</v>
      </c>
      <c r="H46" t="s">
        <v>259</v>
      </c>
    </row>
    <row r="47" spans="2:8">
      <c r="B47" t="s">
        <v>221</v>
      </c>
      <c r="C47" t="s">
        <v>221</v>
      </c>
      <c r="D47" t="s">
        <v>29</v>
      </c>
      <c r="E47">
        <v>60</v>
      </c>
      <c r="F47">
        <v>7</v>
      </c>
      <c r="G47" t="s">
        <v>268</v>
      </c>
      <c r="H47" t="s">
        <v>259</v>
      </c>
    </row>
    <row r="48" spans="2:8">
      <c r="B48" t="s">
        <v>226</v>
      </c>
      <c r="C48" t="s">
        <v>226</v>
      </c>
      <c r="D48" t="s">
        <v>29</v>
      </c>
      <c r="E48">
        <v>60</v>
      </c>
      <c r="F48">
        <v>17</v>
      </c>
      <c r="G48" t="s">
        <v>271</v>
      </c>
      <c r="H48" t="s">
        <v>259</v>
      </c>
    </row>
    <row r="49" spans="2:8">
      <c r="B49" t="s">
        <v>231</v>
      </c>
      <c r="C49" t="s">
        <v>231</v>
      </c>
      <c r="D49" t="s">
        <v>29</v>
      </c>
      <c r="E49">
        <v>60</v>
      </c>
      <c r="F49">
        <v>13</v>
      </c>
      <c r="G49" t="s">
        <v>272</v>
      </c>
      <c r="H49" t="s">
        <v>259</v>
      </c>
    </row>
    <row r="50" spans="2:8">
      <c r="B50" t="s">
        <v>236</v>
      </c>
      <c r="C50" t="s">
        <v>236</v>
      </c>
      <c r="D50" t="s">
        <v>29</v>
      </c>
      <c r="E50">
        <v>60</v>
      </c>
      <c r="F50">
        <v>23</v>
      </c>
      <c r="G50" t="s">
        <v>273</v>
      </c>
      <c r="H50" t="s">
        <v>259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workbookViewId="0">
      <selection activeCell="A51" sqref="$A51:$XFD51"/>
    </sheetView>
  </sheetViews>
  <sheetFormatPr defaultColWidth="9" defaultRowHeight="16.8" outlineLevelCol="3"/>
  <cols>
    <col min="1" max="1" width="13.0769230769231" customWidth="1"/>
    <col min="2" max="2" width="23.2307692307692" customWidth="1"/>
    <col min="3" max="3" width="20.6923076923077" customWidth="1"/>
    <col min="4" max="4" width="53.2307692307692" customWidth="1"/>
  </cols>
  <sheetData>
    <row r="1" spans="1:4">
      <c r="A1" t="s">
        <v>0</v>
      </c>
      <c r="B1" t="s">
        <v>1</v>
      </c>
      <c r="C1" t="s">
        <v>274</v>
      </c>
      <c r="D1" t="s">
        <v>275</v>
      </c>
    </row>
    <row r="2" spans="1:4">
      <c r="A2" t="s">
        <v>9</v>
      </c>
      <c r="B2" t="s">
        <v>276</v>
      </c>
      <c r="C2" t="s">
        <v>277</v>
      </c>
      <c r="D2" t="s">
        <v>278</v>
      </c>
    </row>
    <row r="3" spans="1:4">
      <c r="A3" t="s">
        <v>19</v>
      </c>
      <c r="B3" t="s">
        <v>20</v>
      </c>
      <c r="C3" t="s">
        <v>20</v>
      </c>
      <c r="D3" t="s">
        <v>20</v>
      </c>
    </row>
    <row r="4" spans="2:4">
      <c r="B4" t="s">
        <v>28</v>
      </c>
      <c r="C4" t="s">
        <v>29</v>
      </c>
      <c r="D4" t="s">
        <v>31</v>
      </c>
    </row>
    <row r="5" spans="2:4">
      <c r="B5" t="s">
        <v>34</v>
      </c>
      <c r="C5" t="s">
        <v>279</v>
      </c>
      <c r="D5" t="s">
        <v>280</v>
      </c>
    </row>
    <row r="6" spans="2:4">
      <c r="B6" t="s">
        <v>39</v>
      </c>
      <c r="C6" t="s">
        <v>29</v>
      </c>
      <c r="D6" t="s">
        <v>40</v>
      </c>
    </row>
    <row r="7" spans="2:4">
      <c r="B7" t="s">
        <v>43</v>
      </c>
      <c r="C7" t="s">
        <v>29</v>
      </c>
      <c r="D7" t="s">
        <v>44</v>
      </c>
    </row>
    <row r="8" spans="2:4">
      <c r="B8" t="s">
        <v>47</v>
      </c>
      <c r="C8" t="s">
        <v>29</v>
      </c>
      <c r="D8" t="s">
        <v>48</v>
      </c>
    </row>
    <row r="9" spans="2:4">
      <c r="B9" t="s">
        <v>51</v>
      </c>
      <c r="C9" t="s">
        <v>29</v>
      </c>
      <c r="D9" t="s">
        <v>52</v>
      </c>
    </row>
    <row r="10" spans="2:4">
      <c r="B10" t="s">
        <v>55</v>
      </c>
      <c r="C10" t="s">
        <v>29</v>
      </c>
      <c r="D10" t="s">
        <v>56</v>
      </c>
    </row>
    <row r="11" spans="2:4">
      <c r="B11" t="s">
        <v>59</v>
      </c>
      <c r="C11" t="s">
        <v>29</v>
      </c>
      <c r="D11" t="s">
        <v>60</v>
      </c>
    </row>
    <row r="12" spans="2:4">
      <c r="B12" t="s">
        <v>63</v>
      </c>
      <c r="C12" t="s">
        <v>29</v>
      </c>
      <c r="D12" t="s">
        <v>64</v>
      </c>
    </row>
    <row r="13" spans="2:4">
      <c r="B13" t="s">
        <v>67</v>
      </c>
      <c r="C13" t="s">
        <v>29</v>
      </c>
      <c r="D13" t="s">
        <v>68</v>
      </c>
    </row>
    <row r="14" spans="2:4">
      <c r="B14" t="s">
        <v>71</v>
      </c>
      <c r="C14" t="s">
        <v>279</v>
      </c>
      <c r="D14" t="s">
        <v>281</v>
      </c>
    </row>
    <row r="15" spans="2:4">
      <c r="B15" t="s">
        <v>76</v>
      </c>
      <c r="C15" t="s">
        <v>29</v>
      </c>
      <c r="D15" t="s">
        <v>77</v>
      </c>
    </row>
    <row r="16" spans="2:4">
      <c r="B16" t="s">
        <v>80</v>
      </c>
      <c r="C16" t="s">
        <v>29</v>
      </c>
      <c r="D16" t="s">
        <v>81</v>
      </c>
    </row>
    <row r="17" spans="2:4">
      <c r="B17" t="s">
        <v>84</v>
      </c>
      <c r="C17" t="s">
        <v>29</v>
      </c>
      <c r="D17" t="s">
        <v>282</v>
      </c>
    </row>
    <row r="18" spans="2:4">
      <c r="B18" t="s">
        <v>90</v>
      </c>
      <c r="C18" t="s">
        <v>29</v>
      </c>
      <c r="D18" t="s">
        <v>283</v>
      </c>
    </row>
    <row r="19" spans="2:4">
      <c r="B19" t="s">
        <v>95</v>
      </c>
      <c r="C19" t="s">
        <v>279</v>
      </c>
      <c r="D19" t="s">
        <v>284</v>
      </c>
    </row>
    <row r="20" spans="2:4">
      <c r="B20" t="s">
        <v>100</v>
      </c>
      <c r="C20" t="s">
        <v>279</v>
      </c>
      <c r="D20" t="s">
        <v>285</v>
      </c>
    </row>
    <row r="21" spans="2:4">
      <c r="B21" t="s">
        <v>105</v>
      </c>
      <c r="C21" t="s">
        <v>29</v>
      </c>
      <c r="D21" t="s">
        <v>286</v>
      </c>
    </row>
    <row r="22" spans="2:4">
      <c r="B22" t="s">
        <v>111</v>
      </c>
      <c r="C22" t="s">
        <v>29</v>
      </c>
      <c r="D22" t="s">
        <v>287</v>
      </c>
    </row>
    <row r="23" spans="2:4">
      <c r="B23" t="s">
        <v>115</v>
      </c>
      <c r="C23" t="s">
        <v>279</v>
      </c>
      <c r="D23" t="s">
        <v>288</v>
      </c>
    </row>
    <row r="24" spans="2:4">
      <c r="B24" t="s">
        <v>120</v>
      </c>
      <c r="C24" t="s">
        <v>279</v>
      </c>
      <c r="D24" t="s">
        <v>289</v>
      </c>
    </row>
    <row r="25" spans="2:4">
      <c r="B25" t="s">
        <v>123</v>
      </c>
      <c r="C25" t="s">
        <v>29</v>
      </c>
      <c r="D25" t="s">
        <v>290</v>
      </c>
    </row>
    <row r="26" spans="2:4">
      <c r="B26" t="s">
        <v>129</v>
      </c>
      <c r="C26" t="s">
        <v>279</v>
      </c>
      <c r="D26" t="s">
        <v>291</v>
      </c>
    </row>
    <row r="27" spans="2:4">
      <c r="B27" t="s">
        <v>134</v>
      </c>
      <c r="C27" t="s">
        <v>29</v>
      </c>
      <c r="D27" t="s">
        <v>292</v>
      </c>
    </row>
    <row r="28" spans="2:4">
      <c r="B28" t="s">
        <v>139</v>
      </c>
      <c r="C28" t="s">
        <v>279</v>
      </c>
      <c r="D28" t="s">
        <v>293</v>
      </c>
    </row>
    <row r="29" spans="2:4">
      <c r="B29" t="s">
        <v>144</v>
      </c>
      <c r="C29" t="s">
        <v>29</v>
      </c>
      <c r="D29" t="s">
        <v>145</v>
      </c>
    </row>
    <row r="30" spans="2:4">
      <c r="B30" t="s">
        <v>148</v>
      </c>
      <c r="C30" t="s">
        <v>29</v>
      </c>
      <c r="D30" t="s">
        <v>149</v>
      </c>
    </row>
    <row r="31" spans="2:4">
      <c r="B31" t="s">
        <v>152</v>
      </c>
      <c r="C31" t="s">
        <v>29</v>
      </c>
      <c r="D31" t="s">
        <v>294</v>
      </c>
    </row>
    <row r="32" spans="2:4">
      <c r="B32" t="s">
        <v>156</v>
      </c>
      <c r="C32" t="s">
        <v>29</v>
      </c>
      <c r="D32" t="s">
        <v>295</v>
      </c>
    </row>
    <row r="33" spans="2:4">
      <c r="B33" t="s">
        <v>161</v>
      </c>
      <c r="C33" t="s">
        <v>29</v>
      </c>
      <c r="D33" t="s">
        <v>296</v>
      </c>
    </row>
    <row r="34" spans="2:4">
      <c r="B34" t="s">
        <v>166</v>
      </c>
      <c r="C34" t="s">
        <v>29</v>
      </c>
      <c r="D34" t="s">
        <v>297</v>
      </c>
    </row>
    <row r="35" spans="2:4">
      <c r="B35" t="s">
        <v>170</v>
      </c>
      <c r="C35" t="s">
        <v>29</v>
      </c>
      <c r="D35" t="s">
        <v>298</v>
      </c>
    </row>
    <row r="36" spans="2:4">
      <c r="B36" t="s">
        <v>174</v>
      </c>
      <c r="C36" t="s">
        <v>279</v>
      </c>
      <c r="D36" t="s">
        <v>299</v>
      </c>
    </row>
    <row r="37" spans="2:4">
      <c r="B37" t="s">
        <v>179</v>
      </c>
      <c r="C37" t="s">
        <v>29</v>
      </c>
      <c r="D37" t="s">
        <v>300</v>
      </c>
    </row>
    <row r="38" spans="2:4">
      <c r="B38" t="s">
        <v>182</v>
      </c>
      <c r="C38" t="s">
        <v>29</v>
      </c>
      <c r="D38" t="s">
        <v>301</v>
      </c>
    </row>
    <row r="39" spans="2:4">
      <c r="B39" t="s">
        <v>186</v>
      </c>
      <c r="C39" t="s">
        <v>29</v>
      </c>
      <c r="D39" t="s">
        <v>302</v>
      </c>
    </row>
    <row r="40" spans="2:4">
      <c r="B40" t="s">
        <v>191</v>
      </c>
      <c r="C40" t="s">
        <v>29</v>
      </c>
      <c r="D40" t="s">
        <v>303</v>
      </c>
    </row>
    <row r="41" spans="2:4">
      <c r="B41" t="s">
        <v>196</v>
      </c>
      <c r="C41" t="s">
        <v>29</v>
      </c>
      <c r="D41" t="s">
        <v>304</v>
      </c>
    </row>
    <row r="42" spans="2:4">
      <c r="B42" t="s">
        <v>200</v>
      </c>
      <c r="C42" t="s">
        <v>29</v>
      </c>
      <c r="D42" t="s">
        <v>201</v>
      </c>
    </row>
    <row r="43" spans="2:4">
      <c r="B43" t="s">
        <v>204</v>
      </c>
      <c r="C43" t="s">
        <v>29</v>
      </c>
      <c r="D43" t="s">
        <v>305</v>
      </c>
    </row>
    <row r="44" spans="2:4">
      <c r="B44" t="s">
        <v>209</v>
      </c>
      <c r="C44" t="s">
        <v>29</v>
      </c>
      <c r="D44" t="s">
        <v>210</v>
      </c>
    </row>
    <row r="45" spans="2:4">
      <c r="B45" t="s">
        <v>213</v>
      </c>
      <c r="C45" t="s">
        <v>29</v>
      </c>
      <c r="D45" t="s">
        <v>214</v>
      </c>
    </row>
    <row r="46" spans="2:4">
      <c r="B46" t="s">
        <v>218</v>
      </c>
      <c r="C46" t="s">
        <v>29</v>
      </c>
      <c r="D46" t="s">
        <v>306</v>
      </c>
    </row>
    <row r="47" spans="2:4">
      <c r="B47" t="s">
        <v>223</v>
      </c>
      <c r="C47" t="s">
        <v>279</v>
      </c>
      <c r="D47" t="s">
        <v>307</v>
      </c>
    </row>
    <row r="48" spans="2:4">
      <c r="B48" t="s">
        <v>228</v>
      </c>
      <c r="C48" t="s">
        <v>279</v>
      </c>
      <c r="D48" t="s">
        <v>229</v>
      </c>
    </row>
    <row r="49" spans="2:4">
      <c r="B49" t="s">
        <v>233</v>
      </c>
      <c r="C49" t="s">
        <v>279</v>
      </c>
      <c r="D49" t="s">
        <v>308</v>
      </c>
    </row>
    <row r="50" spans="2:4">
      <c r="B50" t="s">
        <v>238</v>
      </c>
      <c r="C50" t="s">
        <v>29</v>
      </c>
      <c r="D50" t="s">
        <v>240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D29" sqref="D29"/>
    </sheetView>
  </sheetViews>
  <sheetFormatPr defaultColWidth="9" defaultRowHeight="16.8" outlineLevelRow="4" outlineLevelCol="7"/>
  <cols>
    <col min="1" max="1" width="13.0769230769231" customWidth="1"/>
    <col min="2" max="2" width="9.30769230769231" customWidth="1"/>
    <col min="3" max="3" width="10.3076923076923" customWidth="1"/>
    <col min="4" max="4" width="42.7692307692308" customWidth="1"/>
    <col min="5" max="5" width="17.8461538461538" customWidth="1"/>
    <col min="6" max="6" width="11.9230769230769" customWidth="1"/>
    <col min="7" max="7" width="12.6153846153846" customWidth="1"/>
    <col min="8" max="8" width="13.0769230769231" customWidth="1"/>
  </cols>
  <sheetData>
    <row r="1" spans="1:8">
      <c r="A1" t="s">
        <v>0</v>
      </c>
      <c r="B1" t="s">
        <v>1</v>
      </c>
      <c r="C1" t="s">
        <v>2</v>
      </c>
      <c r="D1" t="s">
        <v>309</v>
      </c>
      <c r="E1" t="s">
        <v>310</v>
      </c>
      <c r="F1" t="s">
        <v>311</v>
      </c>
      <c r="G1" t="s">
        <v>312</v>
      </c>
      <c r="H1" t="s">
        <v>274</v>
      </c>
    </row>
    <row r="2" spans="1:8">
      <c r="A2" t="s">
        <v>9</v>
      </c>
      <c r="B2" t="s">
        <v>313</v>
      </c>
      <c r="C2" t="s">
        <v>314</v>
      </c>
      <c r="D2" t="s">
        <v>315</v>
      </c>
      <c r="E2" t="s">
        <v>316</v>
      </c>
      <c r="F2" t="s">
        <v>317</v>
      </c>
      <c r="G2" t="s">
        <v>318</v>
      </c>
      <c r="H2" t="s">
        <v>319</v>
      </c>
    </row>
    <row r="3" spans="1:8">
      <c r="A3" t="s">
        <v>19</v>
      </c>
      <c r="B3" t="s">
        <v>20</v>
      </c>
      <c r="C3" t="s">
        <v>20</v>
      </c>
      <c r="D3" t="s">
        <v>20</v>
      </c>
      <c r="E3" t="s">
        <v>320</v>
      </c>
      <c r="F3" t="s">
        <v>321</v>
      </c>
      <c r="G3" t="s">
        <v>23</v>
      </c>
      <c r="H3" t="s">
        <v>20</v>
      </c>
    </row>
    <row r="4" spans="2:6">
      <c r="B4" t="s">
        <v>322</v>
      </c>
      <c r="C4" t="s">
        <v>323</v>
      </c>
      <c r="D4" t="s">
        <v>324</v>
      </c>
      <c r="E4" t="s">
        <v>325</v>
      </c>
      <c r="F4" t="s">
        <v>326</v>
      </c>
    </row>
    <row r="5" spans="2:6">
      <c r="B5" t="s">
        <v>327</v>
      </c>
      <c r="C5" t="s">
        <v>328</v>
      </c>
      <c r="D5" t="s">
        <v>329</v>
      </c>
      <c r="E5" t="s">
        <v>330</v>
      </c>
      <c r="F5" t="s">
        <v>331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"/>
    </sheetView>
  </sheetViews>
  <sheetFormatPr defaultColWidth="9" defaultRowHeight="16.8" outlineLevelRow="5" outlineLevelCol="7"/>
  <sheetData>
    <row r="1" spans="1:8">
      <c r="A1" t="s">
        <v>0</v>
      </c>
      <c r="B1" t="s">
        <v>1</v>
      </c>
      <c r="C1" t="s">
        <v>332</v>
      </c>
      <c r="D1" t="s">
        <v>333</v>
      </c>
      <c r="E1" t="s">
        <v>6</v>
      </c>
      <c r="F1" t="s">
        <v>310</v>
      </c>
      <c r="G1" t="s">
        <v>334</v>
      </c>
      <c r="H1" t="s">
        <v>309</v>
      </c>
    </row>
    <row r="2" spans="1:8">
      <c r="A2" t="s">
        <v>9</v>
      </c>
      <c r="B2" t="s">
        <v>335</v>
      </c>
      <c r="C2" t="s">
        <v>336</v>
      </c>
      <c r="D2" t="s">
        <v>337</v>
      </c>
      <c r="E2" t="s">
        <v>338</v>
      </c>
      <c r="F2" t="s">
        <v>339</v>
      </c>
      <c r="G2" t="s">
        <v>340</v>
      </c>
      <c r="H2" t="s">
        <v>341</v>
      </c>
    </row>
    <row r="3" spans="1:8">
      <c r="A3" t="s">
        <v>19</v>
      </c>
      <c r="B3" t="s">
        <v>20</v>
      </c>
      <c r="C3" t="s">
        <v>21</v>
      </c>
      <c r="D3" t="s">
        <v>21</v>
      </c>
      <c r="E3" t="s">
        <v>20</v>
      </c>
      <c r="F3" t="s">
        <v>342</v>
      </c>
      <c r="G3" t="s">
        <v>255</v>
      </c>
      <c r="H3" t="s">
        <v>20</v>
      </c>
    </row>
    <row r="4" spans="2:8">
      <c r="B4" t="s">
        <v>343</v>
      </c>
      <c r="C4">
        <v>0</v>
      </c>
      <c r="D4">
        <v>1</v>
      </c>
      <c r="E4" t="s">
        <v>106</v>
      </c>
      <c r="F4" t="s">
        <v>344</v>
      </c>
      <c r="G4">
        <v>5</v>
      </c>
      <c r="H4" t="s">
        <v>345</v>
      </c>
    </row>
    <row r="5" spans="2:8">
      <c r="B5" t="s">
        <v>346</v>
      </c>
      <c r="C5">
        <v>1</v>
      </c>
      <c r="D5">
        <v>50</v>
      </c>
      <c r="E5" t="s">
        <v>106</v>
      </c>
      <c r="F5" t="s">
        <v>347</v>
      </c>
      <c r="G5">
        <v>0.1</v>
      </c>
      <c r="H5" t="s">
        <v>348</v>
      </c>
    </row>
    <row r="6" spans="2:8">
      <c r="B6" t="s">
        <v>349</v>
      </c>
      <c r="C6">
        <v>2</v>
      </c>
      <c r="D6">
        <v>100</v>
      </c>
      <c r="E6" t="s">
        <v>106</v>
      </c>
      <c r="F6" t="s">
        <v>330</v>
      </c>
      <c r="G6">
        <v>0.02</v>
      </c>
      <c r="H6" t="s">
        <v>350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8"/>
  <sheetViews>
    <sheetView tabSelected="1" zoomScale="70" zoomScaleNormal="70" topLeftCell="A33" workbookViewId="0">
      <selection activeCell="K59" sqref="K59"/>
    </sheetView>
  </sheetViews>
  <sheetFormatPr defaultColWidth="9" defaultRowHeight="16.8"/>
  <cols>
    <col min="1" max="1" width="13.0769230769231" customWidth="1"/>
    <col min="2" max="2" width="36.3846153846154" customWidth="1"/>
    <col min="3" max="3" width="12.1538461538462" customWidth="1"/>
    <col min="4" max="4" width="19.7692307692308" customWidth="1"/>
    <col min="5" max="5" width="16.3846153846154" customWidth="1"/>
    <col min="6" max="6" width="11.2307692307692" customWidth="1"/>
    <col min="7" max="7" width="12.3076923076923" customWidth="1"/>
    <col min="8" max="8" width="25.3076923076923" customWidth="1"/>
    <col min="9" max="9" width="21.8461538461538" customWidth="1"/>
    <col min="10" max="10" width="12.7692307692308" customWidth="1"/>
    <col min="11" max="11" width="21.7692307692308" customWidth="1"/>
    <col min="12" max="12" width="12.7692307692308" customWidth="1"/>
    <col min="13" max="13" width="40.3076923076923" customWidth="1"/>
    <col min="14" max="14" width="10.3076923076923" customWidth="1"/>
    <col min="15" max="15" width="12.7692307692308" customWidth="1"/>
    <col min="16" max="16" width="84.6153846153846" customWidth="1"/>
  </cols>
  <sheetData>
    <row r="1" spans="1:16">
      <c r="A1" t="s">
        <v>0</v>
      </c>
      <c r="B1" t="s">
        <v>1</v>
      </c>
      <c r="C1" t="s">
        <v>351</v>
      </c>
      <c r="D1" t="s">
        <v>352</v>
      </c>
      <c r="E1" t="s">
        <v>353</v>
      </c>
      <c r="F1" t="s">
        <v>354</v>
      </c>
      <c r="G1" t="s">
        <v>355</v>
      </c>
      <c r="H1" t="s">
        <v>356</v>
      </c>
      <c r="I1" t="s">
        <v>357</v>
      </c>
      <c r="J1" t="s">
        <v>358</v>
      </c>
      <c r="K1" t="s">
        <v>359</v>
      </c>
      <c r="L1" t="s">
        <v>360</v>
      </c>
      <c r="M1" t="s">
        <v>361</v>
      </c>
      <c r="N1" t="s">
        <v>362</v>
      </c>
      <c r="O1" t="s">
        <v>363</v>
      </c>
      <c r="P1" t="s">
        <v>364</v>
      </c>
    </row>
    <row r="2" spans="1:16">
      <c r="A2" t="s">
        <v>9</v>
      </c>
      <c r="B2" t="s">
        <v>365</v>
      </c>
      <c r="C2" t="s">
        <v>366</v>
      </c>
      <c r="D2" t="s">
        <v>367</v>
      </c>
      <c r="E2" t="s">
        <v>368</v>
      </c>
      <c r="F2" t="s">
        <v>369</v>
      </c>
      <c r="G2" t="s">
        <v>370</v>
      </c>
      <c r="H2" t="s">
        <v>371</v>
      </c>
      <c r="I2" t="s">
        <v>372</v>
      </c>
      <c r="J2" t="s">
        <v>373</v>
      </c>
      <c r="K2" t="s">
        <v>374</v>
      </c>
      <c r="L2" t="s">
        <v>375</v>
      </c>
      <c r="M2" t="s">
        <v>376</v>
      </c>
      <c r="N2" t="s">
        <v>377</v>
      </c>
      <c r="O2" t="s">
        <v>378</v>
      </c>
      <c r="P2" t="s">
        <v>379</v>
      </c>
    </row>
    <row r="3" spans="1:16">
      <c r="A3" t="s">
        <v>19</v>
      </c>
      <c r="B3" t="s">
        <v>20</v>
      </c>
      <c r="C3" t="s">
        <v>380</v>
      </c>
      <c r="D3" t="s">
        <v>381</v>
      </c>
      <c r="E3" t="s">
        <v>382</v>
      </c>
      <c r="F3" t="s">
        <v>383</v>
      </c>
      <c r="G3" t="s">
        <v>384</v>
      </c>
      <c r="H3" t="s">
        <v>20</v>
      </c>
      <c r="I3" t="s">
        <v>342</v>
      </c>
      <c r="J3" t="s">
        <v>382</v>
      </c>
      <c r="K3" t="s">
        <v>21</v>
      </c>
      <c r="L3" t="s">
        <v>321</v>
      </c>
      <c r="M3" t="s">
        <v>23</v>
      </c>
      <c r="N3" t="s">
        <v>22</v>
      </c>
      <c r="O3" t="s">
        <v>22</v>
      </c>
      <c r="P3" t="s">
        <v>20</v>
      </c>
    </row>
    <row r="4" spans="2:16">
      <c r="B4" t="s">
        <v>31</v>
      </c>
      <c r="C4" t="s">
        <v>385</v>
      </c>
      <c r="D4" t="s">
        <v>386</v>
      </c>
      <c r="E4" t="s">
        <v>387</v>
      </c>
      <c r="F4" t="s">
        <v>388</v>
      </c>
      <c r="G4" t="s">
        <v>389</v>
      </c>
      <c r="H4" t="s">
        <v>29</v>
      </c>
      <c r="I4" t="s">
        <v>347</v>
      </c>
      <c r="J4" t="s">
        <v>387</v>
      </c>
      <c r="K4">
        <v>0</v>
      </c>
      <c r="L4">
        <v>3</v>
      </c>
      <c r="M4" t="s">
        <v>29</v>
      </c>
      <c r="N4" t="s">
        <v>27</v>
      </c>
      <c r="O4" t="s">
        <v>390</v>
      </c>
      <c r="P4" t="s">
        <v>391</v>
      </c>
    </row>
    <row r="5" spans="2:16">
      <c r="B5" t="s">
        <v>35</v>
      </c>
      <c r="C5" t="s">
        <v>385</v>
      </c>
      <c r="D5" t="s">
        <v>392</v>
      </c>
      <c r="E5" t="s">
        <v>393</v>
      </c>
      <c r="F5" t="s">
        <v>394</v>
      </c>
      <c r="G5" t="s">
        <v>395</v>
      </c>
      <c r="H5" t="s">
        <v>29</v>
      </c>
      <c r="I5" t="s">
        <v>344</v>
      </c>
      <c r="J5" t="s">
        <v>387</v>
      </c>
      <c r="K5">
        <v>0</v>
      </c>
      <c r="L5">
        <v>8</v>
      </c>
      <c r="M5" t="s">
        <v>29</v>
      </c>
      <c r="N5" t="s">
        <v>27</v>
      </c>
      <c r="O5" t="s">
        <v>390</v>
      </c>
      <c r="P5" t="s">
        <v>396</v>
      </c>
    </row>
    <row r="6" spans="2:16">
      <c r="B6" t="s">
        <v>36</v>
      </c>
      <c r="C6" t="s">
        <v>385</v>
      </c>
      <c r="D6" t="s">
        <v>397</v>
      </c>
      <c r="E6" t="s">
        <v>387</v>
      </c>
      <c r="F6" t="s">
        <v>388</v>
      </c>
      <c r="G6" t="s">
        <v>395</v>
      </c>
      <c r="H6" t="s">
        <v>29</v>
      </c>
      <c r="I6" t="s">
        <v>398</v>
      </c>
      <c r="J6" t="s">
        <v>399</v>
      </c>
      <c r="K6">
        <v>1</v>
      </c>
      <c r="L6">
        <v>0</v>
      </c>
      <c r="M6" t="s">
        <v>29</v>
      </c>
      <c r="N6" t="s">
        <v>27</v>
      </c>
      <c r="O6" t="s">
        <v>27</v>
      </c>
      <c r="P6" t="s">
        <v>400</v>
      </c>
    </row>
    <row r="7" spans="2:16">
      <c r="B7" t="s">
        <v>40</v>
      </c>
      <c r="C7" t="s">
        <v>385</v>
      </c>
      <c r="D7" t="s">
        <v>401</v>
      </c>
      <c r="E7" t="s">
        <v>393</v>
      </c>
      <c r="F7" t="s">
        <v>388</v>
      </c>
      <c r="G7" t="s">
        <v>395</v>
      </c>
      <c r="H7" t="s">
        <v>29</v>
      </c>
      <c r="I7" t="s">
        <v>344</v>
      </c>
      <c r="J7" t="s">
        <v>387</v>
      </c>
      <c r="K7">
        <v>0</v>
      </c>
      <c r="L7">
        <v>-2</v>
      </c>
      <c r="M7" t="s">
        <v>29</v>
      </c>
      <c r="N7" t="s">
        <v>27</v>
      </c>
      <c r="O7" t="s">
        <v>390</v>
      </c>
      <c r="P7" t="s">
        <v>402</v>
      </c>
    </row>
    <row r="8" spans="2:16">
      <c r="B8" t="s">
        <v>44</v>
      </c>
      <c r="C8" t="s">
        <v>385</v>
      </c>
      <c r="D8" t="s">
        <v>392</v>
      </c>
      <c r="E8" t="s">
        <v>393</v>
      </c>
      <c r="F8" t="s">
        <v>388</v>
      </c>
      <c r="G8" t="s">
        <v>395</v>
      </c>
      <c r="H8" t="s">
        <v>29</v>
      </c>
      <c r="I8" t="s">
        <v>403</v>
      </c>
      <c r="J8" t="s">
        <v>404</v>
      </c>
      <c r="K8">
        <v>0</v>
      </c>
      <c r="L8">
        <v>2</v>
      </c>
      <c r="M8" t="s">
        <v>29</v>
      </c>
      <c r="N8" t="s">
        <v>27</v>
      </c>
      <c r="O8" t="s">
        <v>390</v>
      </c>
      <c r="P8" t="s">
        <v>405</v>
      </c>
    </row>
    <row r="9" spans="2:16">
      <c r="B9" t="s">
        <v>48</v>
      </c>
      <c r="C9" t="s">
        <v>385</v>
      </c>
      <c r="D9" t="s">
        <v>406</v>
      </c>
      <c r="E9" t="s">
        <v>387</v>
      </c>
      <c r="F9" t="s">
        <v>388</v>
      </c>
      <c r="G9" t="s">
        <v>395</v>
      </c>
      <c r="H9" t="s">
        <v>29</v>
      </c>
      <c r="I9" t="s">
        <v>407</v>
      </c>
      <c r="J9" t="s">
        <v>387</v>
      </c>
      <c r="K9">
        <v>0</v>
      </c>
      <c r="L9">
        <v>6</v>
      </c>
      <c r="M9" t="s">
        <v>29</v>
      </c>
      <c r="N9" t="s">
        <v>27</v>
      </c>
      <c r="O9" t="s">
        <v>390</v>
      </c>
      <c r="P9" t="s">
        <v>408</v>
      </c>
    </row>
    <row r="10" spans="2:16">
      <c r="B10" t="s">
        <v>52</v>
      </c>
      <c r="C10" t="s">
        <v>385</v>
      </c>
      <c r="D10" t="s">
        <v>392</v>
      </c>
      <c r="E10" t="s">
        <v>409</v>
      </c>
      <c r="F10" t="s">
        <v>388</v>
      </c>
      <c r="G10" t="s">
        <v>395</v>
      </c>
      <c r="H10" t="s">
        <v>29</v>
      </c>
      <c r="I10" t="s">
        <v>347</v>
      </c>
      <c r="J10" t="s">
        <v>387</v>
      </c>
      <c r="K10">
        <v>0</v>
      </c>
      <c r="L10">
        <v>1</v>
      </c>
      <c r="M10" t="s">
        <v>29</v>
      </c>
      <c r="N10" t="s">
        <v>27</v>
      </c>
      <c r="O10" t="s">
        <v>390</v>
      </c>
      <c r="P10" t="s">
        <v>410</v>
      </c>
    </row>
    <row r="11" spans="2:16">
      <c r="B11" t="s">
        <v>56</v>
      </c>
      <c r="C11" t="s">
        <v>385</v>
      </c>
      <c r="D11" t="s">
        <v>392</v>
      </c>
      <c r="E11" t="s">
        <v>411</v>
      </c>
      <c r="F11" t="s">
        <v>388</v>
      </c>
      <c r="G11" t="s">
        <v>395</v>
      </c>
      <c r="H11" t="s">
        <v>29</v>
      </c>
      <c r="I11" t="s">
        <v>344</v>
      </c>
      <c r="J11" t="s">
        <v>387</v>
      </c>
      <c r="K11">
        <v>0</v>
      </c>
      <c r="L11">
        <v>10</v>
      </c>
      <c r="M11" t="s">
        <v>29</v>
      </c>
      <c r="N11" t="s">
        <v>27</v>
      </c>
      <c r="O11" t="s">
        <v>390</v>
      </c>
      <c r="P11" t="s">
        <v>396</v>
      </c>
    </row>
    <row r="12" spans="2:16">
      <c r="B12" t="s">
        <v>60</v>
      </c>
      <c r="C12" t="s">
        <v>385</v>
      </c>
      <c r="D12" t="s">
        <v>412</v>
      </c>
      <c r="E12" t="s">
        <v>387</v>
      </c>
      <c r="F12" t="s">
        <v>388</v>
      </c>
      <c r="G12" t="s">
        <v>395</v>
      </c>
      <c r="H12" t="s">
        <v>29</v>
      </c>
      <c r="I12" t="s">
        <v>407</v>
      </c>
      <c r="J12" t="s">
        <v>387</v>
      </c>
      <c r="K12">
        <v>0</v>
      </c>
      <c r="L12">
        <v>5</v>
      </c>
      <c r="M12" t="s">
        <v>29</v>
      </c>
      <c r="N12" t="s">
        <v>27</v>
      </c>
      <c r="O12" t="s">
        <v>390</v>
      </c>
      <c r="P12" t="s">
        <v>413</v>
      </c>
    </row>
    <row r="13" spans="2:16">
      <c r="B13" t="s">
        <v>64</v>
      </c>
      <c r="C13" t="s">
        <v>385</v>
      </c>
      <c r="D13" t="s">
        <v>392</v>
      </c>
      <c r="E13" t="s">
        <v>411</v>
      </c>
      <c r="F13" t="s">
        <v>394</v>
      </c>
      <c r="G13" t="s">
        <v>395</v>
      </c>
      <c r="H13" t="s">
        <v>29</v>
      </c>
      <c r="I13" t="s">
        <v>347</v>
      </c>
      <c r="J13" t="s">
        <v>414</v>
      </c>
      <c r="K13">
        <v>0</v>
      </c>
      <c r="L13">
        <v>0.2</v>
      </c>
      <c r="M13" t="s">
        <v>29</v>
      </c>
      <c r="N13" t="s">
        <v>27</v>
      </c>
      <c r="O13" t="s">
        <v>390</v>
      </c>
      <c r="P13" t="s">
        <v>410</v>
      </c>
    </row>
    <row r="14" spans="2:16">
      <c r="B14" t="s">
        <v>68</v>
      </c>
      <c r="C14" t="s">
        <v>385</v>
      </c>
      <c r="D14" t="s">
        <v>397</v>
      </c>
      <c r="E14" t="s">
        <v>387</v>
      </c>
      <c r="F14" t="s">
        <v>388</v>
      </c>
      <c r="G14" t="s">
        <v>395</v>
      </c>
      <c r="H14" t="s">
        <v>29</v>
      </c>
      <c r="I14" t="s">
        <v>403</v>
      </c>
      <c r="J14" t="s">
        <v>404</v>
      </c>
      <c r="K14">
        <v>0</v>
      </c>
      <c r="L14">
        <v>5</v>
      </c>
      <c r="M14" t="s">
        <v>29</v>
      </c>
      <c r="N14" t="s">
        <v>27</v>
      </c>
      <c r="O14" t="s">
        <v>390</v>
      </c>
      <c r="P14" t="s">
        <v>415</v>
      </c>
    </row>
    <row r="15" s="17" customFormat="1" spans="2:18">
      <c r="B15" s="17" t="s">
        <v>72</v>
      </c>
      <c r="C15" s="17" t="s">
        <v>385</v>
      </c>
      <c r="D15" s="17" t="s">
        <v>397</v>
      </c>
      <c r="E15" s="17" t="s">
        <v>387</v>
      </c>
      <c r="F15" s="17" t="s">
        <v>388</v>
      </c>
      <c r="G15" s="17" t="s">
        <v>395</v>
      </c>
      <c r="H15" s="17" t="s">
        <v>29</v>
      </c>
      <c r="I15" s="17" t="s">
        <v>416</v>
      </c>
      <c r="J15" s="17" t="s">
        <v>387</v>
      </c>
      <c r="K15" s="17">
        <v>0</v>
      </c>
      <c r="L15" s="17">
        <v>1</v>
      </c>
      <c r="M15" s="17" t="s">
        <v>29</v>
      </c>
      <c r="N15" s="17" t="s">
        <v>390</v>
      </c>
      <c r="O15" s="17" t="s">
        <v>27</v>
      </c>
      <c r="P15" s="17" t="s">
        <v>417</v>
      </c>
      <c r="R15" s="17" t="s">
        <v>418</v>
      </c>
    </row>
    <row r="16" spans="2:16">
      <c r="B16" t="s">
        <v>73</v>
      </c>
      <c r="C16" t="s">
        <v>385</v>
      </c>
      <c r="D16" t="s">
        <v>397</v>
      </c>
      <c r="E16" t="s">
        <v>387</v>
      </c>
      <c r="F16" t="s">
        <v>388</v>
      </c>
      <c r="G16" t="s">
        <v>395</v>
      </c>
      <c r="H16" t="s">
        <v>29</v>
      </c>
      <c r="I16" t="s">
        <v>398</v>
      </c>
      <c r="J16" t="s">
        <v>419</v>
      </c>
      <c r="K16">
        <v>1</v>
      </c>
      <c r="L16">
        <v>0</v>
      </c>
      <c r="M16" t="s">
        <v>29</v>
      </c>
      <c r="N16" t="s">
        <v>27</v>
      </c>
      <c r="O16" t="s">
        <v>27</v>
      </c>
      <c r="P16" t="s">
        <v>400</v>
      </c>
    </row>
    <row r="17" spans="2:18">
      <c r="B17" t="s">
        <v>77</v>
      </c>
      <c r="C17" t="s">
        <v>385</v>
      </c>
      <c r="D17" t="s">
        <v>420</v>
      </c>
      <c r="E17" t="s">
        <v>393</v>
      </c>
      <c r="F17" t="s">
        <v>388</v>
      </c>
      <c r="G17" t="s">
        <v>389</v>
      </c>
      <c r="H17" t="s">
        <v>29</v>
      </c>
      <c r="I17" t="s">
        <v>421</v>
      </c>
      <c r="J17" t="s">
        <v>387</v>
      </c>
      <c r="K17">
        <v>0</v>
      </c>
      <c r="L17">
        <v>30</v>
      </c>
      <c r="M17" t="s">
        <v>29</v>
      </c>
      <c r="N17" t="s">
        <v>27</v>
      </c>
      <c r="O17" t="s">
        <v>27</v>
      </c>
      <c r="P17" t="s">
        <v>422</v>
      </c>
      <c r="R17" t="s">
        <v>423</v>
      </c>
    </row>
    <row r="18" spans="2:16">
      <c r="B18" t="s">
        <v>81</v>
      </c>
      <c r="C18" t="s">
        <v>385</v>
      </c>
      <c r="D18" t="s">
        <v>420</v>
      </c>
      <c r="E18" t="s">
        <v>411</v>
      </c>
      <c r="F18" t="s">
        <v>388</v>
      </c>
      <c r="G18" t="s">
        <v>389</v>
      </c>
      <c r="H18" t="s">
        <v>29</v>
      </c>
      <c r="I18" t="s">
        <v>403</v>
      </c>
      <c r="J18" t="s">
        <v>404</v>
      </c>
      <c r="K18">
        <v>0</v>
      </c>
      <c r="L18">
        <v>10</v>
      </c>
      <c r="M18" t="s">
        <v>29</v>
      </c>
      <c r="N18" t="s">
        <v>27</v>
      </c>
      <c r="O18" t="s">
        <v>390</v>
      </c>
      <c r="P18" t="s">
        <v>424</v>
      </c>
    </row>
    <row r="19" spans="2:16">
      <c r="B19" t="s">
        <v>86</v>
      </c>
      <c r="C19" t="s">
        <v>385</v>
      </c>
      <c r="D19" t="s">
        <v>392</v>
      </c>
      <c r="E19" t="s">
        <v>411</v>
      </c>
      <c r="F19" t="s">
        <v>388</v>
      </c>
      <c r="G19" t="s">
        <v>395</v>
      </c>
      <c r="H19" t="s">
        <v>29</v>
      </c>
      <c r="I19" t="s">
        <v>347</v>
      </c>
      <c r="J19" t="s">
        <v>387</v>
      </c>
      <c r="K19">
        <v>0</v>
      </c>
      <c r="L19">
        <v>2</v>
      </c>
      <c r="M19" t="s">
        <v>29</v>
      </c>
      <c r="N19" t="s">
        <v>27</v>
      </c>
      <c r="O19" t="s">
        <v>390</v>
      </c>
      <c r="P19" t="s">
        <v>410</v>
      </c>
    </row>
    <row r="20" spans="2:16">
      <c r="B20" t="s">
        <v>87</v>
      </c>
      <c r="C20" t="s">
        <v>385</v>
      </c>
      <c r="D20" t="s">
        <v>397</v>
      </c>
      <c r="E20" t="s">
        <v>387</v>
      </c>
      <c r="F20" t="s">
        <v>388</v>
      </c>
      <c r="G20" t="s">
        <v>395</v>
      </c>
      <c r="H20" t="s">
        <v>29</v>
      </c>
      <c r="I20" t="s">
        <v>425</v>
      </c>
      <c r="J20" t="s">
        <v>387</v>
      </c>
      <c r="K20">
        <v>0</v>
      </c>
      <c r="L20">
        <v>1</v>
      </c>
      <c r="M20" t="s">
        <v>29</v>
      </c>
      <c r="N20" t="s">
        <v>390</v>
      </c>
      <c r="O20" t="s">
        <v>27</v>
      </c>
      <c r="P20" t="s">
        <v>426</v>
      </c>
    </row>
    <row r="21" spans="2:16">
      <c r="B21" t="s">
        <v>91</v>
      </c>
      <c r="C21" t="s">
        <v>385</v>
      </c>
      <c r="D21" t="s">
        <v>397</v>
      </c>
      <c r="E21" t="s">
        <v>387</v>
      </c>
      <c r="F21" t="s">
        <v>388</v>
      </c>
      <c r="G21" t="s">
        <v>395</v>
      </c>
      <c r="H21" t="s">
        <v>29</v>
      </c>
      <c r="I21" t="s">
        <v>403</v>
      </c>
      <c r="J21" t="s">
        <v>404</v>
      </c>
      <c r="K21">
        <v>0</v>
      </c>
      <c r="L21">
        <v>10</v>
      </c>
      <c r="M21" t="s">
        <v>29</v>
      </c>
      <c r="N21" t="s">
        <v>27</v>
      </c>
      <c r="O21" t="s">
        <v>390</v>
      </c>
      <c r="P21" t="s">
        <v>415</v>
      </c>
    </row>
    <row r="22" s="17" customFormat="1" spans="2:18">
      <c r="B22" s="17" t="s">
        <v>92</v>
      </c>
      <c r="C22" s="17" t="s">
        <v>427</v>
      </c>
      <c r="D22" s="17" t="s">
        <v>397</v>
      </c>
      <c r="E22" s="17" t="s">
        <v>387</v>
      </c>
      <c r="F22" s="17" t="s">
        <v>388</v>
      </c>
      <c r="G22" s="17" t="s">
        <v>395</v>
      </c>
      <c r="H22" s="17" t="s">
        <v>29</v>
      </c>
      <c r="I22" s="17" t="s">
        <v>428</v>
      </c>
      <c r="J22" s="17" t="s">
        <v>387</v>
      </c>
      <c r="K22" s="17">
        <v>0</v>
      </c>
      <c r="L22" s="17">
        <v>1</v>
      </c>
      <c r="M22" s="17" t="s">
        <v>29</v>
      </c>
      <c r="N22" s="17" t="s">
        <v>27</v>
      </c>
      <c r="O22" s="17" t="s">
        <v>27</v>
      </c>
      <c r="P22" s="17" t="s">
        <v>429</v>
      </c>
      <c r="R22" s="17" t="s">
        <v>430</v>
      </c>
    </row>
    <row r="23" spans="2:16">
      <c r="B23" t="s">
        <v>96</v>
      </c>
      <c r="C23" t="s">
        <v>385</v>
      </c>
      <c r="D23" t="s">
        <v>431</v>
      </c>
      <c r="E23" t="s">
        <v>393</v>
      </c>
      <c r="F23" t="s">
        <v>388</v>
      </c>
      <c r="G23" t="s">
        <v>389</v>
      </c>
      <c r="H23" t="s">
        <v>432</v>
      </c>
      <c r="I23" t="s">
        <v>330</v>
      </c>
      <c r="J23" t="s">
        <v>387</v>
      </c>
      <c r="K23">
        <v>0</v>
      </c>
      <c r="L23">
        <v>1.5</v>
      </c>
      <c r="M23" t="s">
        <v>29</v>
      </c>
      <c r="N23" t="s">
        <v>27</v>
      </c>
      <c r="O23" t="s">
        <v>27</v>
      </c>
      <c r="P23" t="s">
        <v>433</v>
      </c>
    </row>
    <row r="24" spans="2:16">
      <c r="B24" t="s">
        <v>97</v>
      </c>
      <c r="C24" t="s">
        <v>385</v>
      </c>
      <c r="D24" t="s">
        <v>397</v>
      </c>
      <c r="E24" t="s">
        <v>387</v>
      </c>
      <c r="F24" t="s">
        <v>388</v>
      </c>
      <c r="G24" t="s">
        <v>395</v>
      </c>
      <c r="H24" t="s">
        <v>29</v>
      </c>
      <c r="I24" t="s">
        <v>398</v>
      </c>
      <c r="J24" t="s">
        <v>434</v>
      </c>
      <c r="K24">
        <v>2</v>
      </c>
      <c r="L24">
        <v>0</v>
      </c>
      <c r="M24" t="s">
        <v>29</v>
      </c>
      <c r="N24" t="s">
        <v>27</v>
      </c>
      <c r="O24" t="s">
        <v>27</v>
      </c>
      <c r="P24" t="s">
        <v>400</v>
      </c>
    </row>
    <row r="25" spans="2:16">
      <c r="B25" t="s">
        <v>101</v>
      </c>
      <c r="C25" t="s">
        <v>385</v>
      </c>
      <c r="D25" t="s">
        <v>392</v>
      </c>
      <c r="E25" t="s">
        <v>393</v>
      </c>
      <c r="F25" t="s">
        <v>388</v>
      </c>
      <c r="G25" t="s">
        <v>395</v>
      </c>
      <c r="H25" t="s">
        <v>29</v>
      </c>
      <c r="I25" t="s">
        <v>330</v>
      </c>
      <c r="J25" t="s">
        <v>387</v>
      </c>
      <c r="K25">
        <v>0</v>
      </c>
      <c r="L25">
        <v>1.2</v>
      </c>
      <c r="M25" t="s">
        <v>29</v>
      </c>
      <c r="N25" t="s">
        <v>27</v>
      </c>
      <c r="O25" t="s">
        <v>27</v>
      </c>
      <c r="P25" t="s">
        <v>435</v>
      </c>
    </row>
    <row r="26" spans="2:16">
      <c r="B26" t="s">
        <v>102</v>
      </c>
      <c r="C26" t="s">
        <v>385</v>
      </c>
      <c r="D26" t="s">
        <v>397</v>
      </c>
      <c r="E26" t="s">
        <v>387</v>
      </c>
      <c r="F26" t="s">
        <v>388</v>
      </c>
      <c r="G26" t="s">
        <v>395</v>
      </c>
      <c r="H26" t="s">
        <v>29</v>
      </c>
      <c r="I26" t="s">
        <v>398</v>
      </c>
      <c r="J26" t="s">
        <v>393</v>
      </c>
      <c r="K26">
        <v>2</v>
      </c>
      <c r="L26">
        <v>0</v>
      </c>
      <c r="M26" t="s">
        <v>29</v>
      </c>
      <c r="N26" t="s">
        <v>27</v>
      </c>
      <c r="O26" t="s">
        <v>27</v>
      </c>
      <c r="P26" t="s">
        <v>400</v>
      </c>
    </row>
    <row r="27" spans="2:16">
      <c r="B27" t="s">
        <v>107</v>
      </c>
      <c r="C27" t="s">
        <v>385</v>
      </c>
      <c r="D27" t="s">
        <v>397</v>
      </c>
      <c r="E27" t="s">
        <v>387</v>
      </c>
      <c r="F27" t="s">
        <v>388</v>
      </c>
      <c r="G27" t="s">
        <v>395</v>
      </c>
      <c r="H27" t="s">
        <v>29</v>
      </c>
      <c r="I27" t="s">
        <v>436</v>
      </c>
      <c r="J27" t="s">
        <v>393</v>
      </c>
      <c r="K27">
        <v>0</v>
      </c>
      <c r="L27">
        <v>1</v>
      </c>
      <c r="M27" t="s">
        <v>29</v>
      </c>
      <c r="N27" t="s">
        <v>27</v>
      </c>
      <c r="O27" t="s">
        <v>27</v>
      </c>
      <c r="P27" t="s">
        <v>437</v>
      </c>
    </row>
    <row r="28" spans="2:16">
      <c r="B28" t="s">
        <v>108</v>
      </c>
      <c r="C28" t="s">
        <v>385</v>
      </c>
      <c r="D28" t="s">
        <v>412</v>
      </c>
      <c r="E28" t="s">
        <v>387</v>
      </c>
      <c r="F28" t="s">
        <v>388</v>
      </c>
      <c r="G28" t="s">
        <v>395</v>
      </c>
      <c r="H28" t="s">
        <v>29</v>
      </c>
      <c r="I28" t="s">
        <v>403</v>
      </c>
      <c r="J28" t="s">
        <v>404</v>
      </c>
      <c r="K28">
        <v>0</v>
      </c>
      <c r="L28">
        <v>6</v>
      </c>
      <c r="M28" t="s">
        <v>29</v>
      </c>
      <c r="N28" t="s">
        <v>27</v>
      </c>
      <c r="O28" t="s">
        <v>390</v>
      </c>
      <c r="P28" t="s">
        <v>438</v>
      </c>
    </row>
    <row r="29" spans="2:16">
      <c r="B29" t="s">
        <v>112</v>
      </c>
      <c r="C29" t="s">
        <v>385</v>
      </c>
      <c r="D29" t="s">
        <v>397</v>
      </c>
      <c r="E29" t="s">
        <v>387</v>
      </c>
      <c r="F29" t="s">
        <v>388</v>
      </c>
      <c r="G29" t="s">
        <v>395</v>
      </c>
      <c r="H29" t="s">
        <v>29</v>
      </c>
      <c r="I29" t="s">
        <v>330</v>
      </c>
      <c r="J29" t="s">
        <v>387</v>
      </c>
      <c r="K29">
        <v>0</v>
      </c>
      <c r="L29">
        <v>1.5</v>
      </c>
      <c r="M29" t="s">
        <v>29</v>
      </c>
      <c r="N29" t="s">
        <v>27</v>
      </c>
      <c r="O29" t="s">
        <v>27</v>
      </c>
      <c r="P29" t="s">
        <v>439</v>
      </c>
    </row>
    <row r="30" spans="2:16">
      <c r="B30" t="s">
        <v>116</v>
      </c>
      <c r="C30" t="s">
        <v>385</v>
      </c>
      <c r="D30" t="s">
        <v>397</v>
      </c>
      <c r="E30" t="s">
        <v>387</v>
      </c>
      <c r="F30" t="s">
        <v>388</v>
      </c>
      <c r="G30" t="s">
        <v>395</v>
      </c>
      <c r="H30" t="s">
        <v>29</v>
      </c>
      <c r="I30" t="s">
        <v>407</v>
      </c>
      <c r="J30" t="s">
        <v>387</v>
      </c>
      <c r="K30">
        <v>0</v>
      </c>
      <c r="L30">
        <v>10</v>
      </c>
      <c r="M30" t="s">
        <v>29</v>
      </c>
      <c r="N30" t="s">
        <v>27</v>
      </c>
      <c r="O30" t="s">
        <v>390</v>
      </c>
      <c r="P30" t="s">
        <v>440</v>
      </c>
    </row>
    <row r="31" spans="2:16">
      <c r="B31" t="s">
        <v>117</v>
      </c>
      <c r="C31" t="s">
        <v>385</v>
      </c>
      <c r="D31" t="s">
        <v>397</v>
      </c>
      <c r="E31" t="s">
        <v>387</v>
      </c>
      <c r="F31" t="s">
        <v>388</v>
      </c>
      <c r="G31" t="s">
        <v>395</v>
      </c>
      <c r="H31"/>
      <c r="I31" t="s">
        <v>398</v>
      </c>
      <c r="J31" t="s">
        <v>419</v>
      </c>
      <c r="K31">
        <v>2</v>
      </c>
      <c r="L31">
        <v>0</v>
      </c>
      <c r="M31" t="s">
        <v>29</v>
      </c>
      <c r="N31" t="s">
        <v>27</v>
      </c>
      <c r="O31" t="s">
        <v>27</v>
      </c>
      <c r="P31" t="s">
        <v>400</v>
      </c>
    </row>
    <row r="32" spans="2:16">
      <c r="B32" t="s">
        <v>125</v>
      </c>
      <c r="C32" t="s">
        <v>385</v>
      </c>
      <c r="D32" t="s">
        <v>392</v>
      </c>
      <c r="E32" t="s">
        <v>441</v>
      </c>
      <c r="F32" t="s">
        <v>388</v>
      </c>
      <c r="G32" t="s">
        <v>395</v>
      </c>
      <c r="H32"/>
      <c r="I32" t="s">
        <v>347</v>
      </c>
      <c r="J32" t="s">
        <v>387</v>
      </c>
      <c r="K32">
        <v>0</v>
      </c>
      <c r="L32">
        <v>0.2</v>
      </c>
      <c r="M32" t="s">
        <v>29</v>
      </c>
      <c r="N32" t="s">
        <v>27</v>
      </c>
      <c r="O32" t="s">
        <v>390</v>
      </c>
      <c r="P32" t="s">
        <v>410</v>
      </c>
    </row>
    <row r="33" spans="2:16">
      <c r="B33" t="s">
        <v>126</v>
      </c>
      <c r="C33" t="s">
        <v>385</v>
      </c>
      <c r="D33" t="s">
        <v>397</v>
      </c>
      <c r="E33" t="s">
        <v>387</v>
      </c>
      <c r="F33" t="s">
        <v>388</v>
      </c>
      <c r="G33" t="s">
        <v>395</v>
      </c>
      <c r="H33"/>
      <c r="I33" t="s">
        <v>425</v>
      </c>
      <c r="J33" t="s">
        <v>387</v>
      </c>
      <c r="K33">
        <v>0</v>
      </c>
      <c r="L33">
        <v>3</v>
      </c>
      <c r="M33" t="s">
        <v>29</v>
      </c>
      <c r="N33" t="s">
        <v>390</v>
      </c>
      <c r="O33" t="s">
        <v>27</v>
      </c>
      <c r="P33" t="s">
        <v>426</v>
      </c>
    </row>
    <row r="34" spans="2:16">
      <c r="B34" t="s">
        <v>130</v>
      </c>
      <c r="C34" t="s">
        <v>385</v>
      </c>
      <c r="D34" t="s">
        <v>397</v>
      </c>
      <c r="E34" t="s">
        <v>387</v>
      </c>
      <c r="F34" t="s">
        <v>388</v>
      </c>
      <c r="G34" t="s">
        <v>395</v>
      </c>
      <c r="H34"/>
      <c r="I34" t="s">
        <v>347</v>
      </c>
      <c r="J34" t="s">
        <v>414</v>
      </c>
      <c r="K34">
        <v>0</v>
      </c>
      <c r="L34">
        <v>5</v>
      </c>
      <c r="M34" t="s">
        <v>29</v>
      </c>
      <c r="N34" t="s">
        <v>27</v>
      </c>
      <c r="O34" t="s">
        <v>390</v>
      </c>
      <c r="P34" t="s">
        <v>442</v>
      </c>
    </row>
    <row r="35" spans="2:16">
      <c r="B35" t="s">
        <v>131</v>
      </c>
      <c r="C35" t="s">
        <v>385</v>
      </c>
      <c r="D35" t="s">
        <v>397</v>
      </c>
      <c r="E35" t="s">
        <v>387</v>
      </c>
      <c r="F35" t="s">
        <v>388</v>
      </c>
      <c r="G35" t="s">
        <v>395</v>
      </c>
      <c r="H35"/>
      <c r="I35" t="s">
        <v>398</v>
      </c>
      <c r="J35" t="s">
        <v>419</v>
      </c>
      <c r="K35">
        <v>3</v>
      </c>
      <c r="L35">
        <v>0</v>
      </c>
      <c r="M35" t="s">
        <v>29</v>
      </c>
      <c r="N35" t="s">
        <v>27</v>
      </c>
      <c r="O35" t="s">
        <v>27</v>
      </c>
      <c r="P35" t="s">
        <v>400</v>
      </c>
    </row>
    <row r="36" spans="2:16">
      <c r="B36" t="s">
        <v>135</v>
      </c>
      <c r="C36" t="s">
        <v>385</v>
      </c>
      <c r="D36" t="s">
        <v>397</v>
      </c>
      <c r="E36" t="s">
        <v>387</v>
      </c>
      <c r="F36" t="s">
        <v>388</v>
      </c>
      <c r="G36" t="s">
        <v>395</v>
      </c>
      <c r="H36"/>
      <c r="I36" t="s">
        <v>443</v>
      </c>
      <c r="J36" t="s">
        <v>404</v>
      </c>
      <c r="K36">
        <v>0</v>
      </c>
      <c r="L36">
        <v>10</v>
      </c>
      <c r="M36" t="s">
        <v>29</v>
      </c>
      <c r="N36" t="s">
        <v>27</v>
      </c>
      <c r="O36" t="s">
        <v>27</v>
      </c>
      <c r="P36" t="s">
        <v>444</v>
      </c>
    </row>
    <row r="37" spans="2:16">
      <c r="B37" t="s">
        <v>136</v>
      </c>
      <c r="C37" t="s">
        <v>385</v>
      </c>
      <c r="D37" t="s">
        <v>397</v>
      </c>
      <c r="E37" t="s">
        <v>387</v>
      </c>
      <c r="F37" t="s">
        <v>388</v>
      </c>
      <c r="G37" t="s">
        <v>395</v>
      </c>
      <c r="H37" t="s">
        <v>29</v>
      </c>
      <c r="I37" t="s">
        <v>347</v>
      </c>
      <c r="J37" t="s">
        <v>387</v>
      </c>
      <c r="K37">
        <v>0</v>
      </c>
      <c r="L37">
        <v>5</v>
      </c>
      <c r="M37" t="s">
        <v>29</v>
      </c>
      <c r="N37" t="s">
        <v>27</v>
      </c>
      <c r="O37" t="s">
        <v>390</v>
      </c>
      <c r="P37" t="s">
        <v>442</v>
      </c>
    </row>
    <row r="38" spans="2:16">
      <c r="B38" t="s">
        <v>140</v>
      </c>
      <c r="C38" t="s">
        <v>385</v>
      </c>
      <c r="D38" t="s">
        <v>397</v>
      </c>
      <c r="E38" t="s">
        <v>387</v>
      </c>
      <c r="F38" t="s">
        <v>388</v>
      </c>
      <c r="G38" t="s">
        <v>395</v>
      </c>
      <c r="H38" t="s">
        <v>29</v>
      </c>
      <c r="I38" t="s">
        <v>347</v>
      </c>
      <c r="J38" t="s">
        <v>409</v>
      </c>
      <c r="K38">
        <v>0</v>
      </c>
      <c r="L38">
        <v>3</v>
      </c>
      <c r="M38" t="s">
        <v>29</v>
      </c>
      <c r="N38" t="s">
        <v>27</v>
      </c>
      <c r="O38" t="s">
        <v>390</v>
      </c>
      <c r="P38" t="s">
        <v>442</v>
      </c>
    </row>
    <row r="39" spans="2:16">
      <c r="B39" t="s">
        <v>141</v>
      </c>
      <c r="C39" t="s">
        <v>385</v>
      </c>
      <c r="D39" t="s">
        <v>397</v>
      </c>
      <c r="E39" t="s">
        <v>387</v>
      </c>
      <c r="F39" t="s">
        <v>388</v>
      </c>
      <c r="G39" t="s">
        <v>395</v>
      </c>
      <c r="H39" t="s">
        <v>29</v>
      </c>
      <c r="I39" t="s">
        <v>398</v>
      </c>
      <c r="J39" t="s">
        <v>399</v>
      </c>
      <c r="K39">
        <v>3</v>
      </c>
      <c r="L39">
        <v>0</v>
      </c>
      <c r="M39" t="s">
        <v>29</v>
      </c>
      <c r="N39" t="s">
        <v>27</v>
      </c>
      <c r="O39" t="s">
        <v>27</v>
      </c>
      <c r="P39" t="s">
        <v>400</v>
      </c>
    </row>
    <row r="40" spans="2:16">
      <c r="B40" t="s">
        <v>145</v>
      </c>
      <c r="C40" t="s">
        <v>385</v>
      </c>
      <c r="D40" t="s">
        <v>397</v>
      </c>
      <c r="E40" t="s">
        <v>387</v>
      </c>
      <c r="F40" t="s">
        <v>388</v>
      </c>
      <c r="G40" t="s">
        <v>395</v>
      </c>
      <c r="H40" t="s">
        <v>29</v>
      </c>
      <c r="I40" t="s">
        <v>403</v>
      </c>
      <c r="J40" t="s">
        <v>404</v>
      </c>
      <c r="K40">
        <v>0</v>
      </c>
      <c r="L40">
        <v>1.5</v>
      </c>
      <c r="M40" t="s">
        <v>445</v>
      </c>
      <c r="N40" t="s">
        <v>27</v>
      </c>
      <c r="O40" t="s">
        <v>27</v>
      </c>
      <c r="P40" t="s">
        <v>446</v>
      </c>
    </row>
    <row r="41" spans="2:16">
      <c r="B41" t="s">
        <v>149</v>
      </c>
      <c r="C41" t="s">
        <v>385</v>
      </c>
      <c r="D41" t="s">
        <v>392</v>
      </c>
      <c r="E41" t="s">
        <v>411</v>
      </c>
      <c r="F41" t="s">
        <v>388</v>
      </c>
      <c r="G41" t="s">
        <v>447</v>
      </c>
      <c r="H41" t="s">
        <v>448</v>
      </c>
      <c r="I41" t="s">
        <v>330</v>
      </c>
      <c r="J41" t="s">
        <v>411</v>
      </c>
      <c r="K41">
        <v>0</v>
      </c>
      <c r="L41">
        <v>0</v>
      </c>
      <c r="M41" t="s">
        <v>449</v>
      </c>
      <c r="N41" t="s">
        <v>27</v>
      </c>
      <c r="O41" t="s">
        <v>27</v>
      </c>
      <c r="P41" t="s">
        <v>450</v>
      </c>
    </row>
    <row r="42" spans="2:16">
      <c r="B42" t="s">
        <v>153</v>
      </c>
      <c r="C42" t="s">
        <v>385</v>
      </c>
      <c r="D42" t="s">
        <v>397</v>
      </c>
      <c r="E42" t="s">
        <v>387</v>
      </c>
      <c r="F42" t="s">
        <v>388</v>
      </c>
      <c r="G42" t="s">
        <v>395</v>
      </c>
      <c r="H42" t="s">
        <v>29</v>
      </c>
      <c r="I42" t="s">
        <v>425</v>
      </c>
      <c r="J42" t="s">
        <v>387</v>
      </c>
      <c r="K42">
        <v>0</v>
      </c>
      <c r="L42">
        <v>4</v>
      </c>
      <c r="M42" t="s">
        <v>29</v>
      </c>
      <c r="N42" t="s">
        <v>390</v>
      </c>
      <c r="O42" t="s">
        <v>27</v>
      </c>
      <c r="P42" t="s">
        <v>426</v>
      </c>
    </row>
    <row r="43" spans="2:16">
      <c r="B43" t="s">
        <v>157</v>
      </c>
      <c r="C43" t="s">
        <v>385</v>
      </c>
      <c r="D43" t="s">
        <v>397</v>
      </c>
      <c r="E43" t="s">
        <v>387</v>
      </c>
      <c r="F43" t="s">
        <v>388</v>
      </c>
      <c r="G43" t="s">
        <v>395</v>
      </c>
      <c r="H43" t="s">
        <v>29</v>
      </c>
      <c r="I43" t="s">
        <v>330</v>
      </c>
      <c r="J43" t="s">
        <v>387</v>
      </c>
      <c r="K43">
        <v>0</v>
      </c>
      <c r="L43">
        <v>3</v>
      </c>
      <c r="M43" t="s">
        <v>29</v>
      </c>
      <c r="N43" t="s">
        <v>27</v>
      </c>
      <c r="O43" t="s">
        <v>27</v>
      </c>
      <c r="P43" t="s">
        <v>439</v>
      </c>
    </row>
    <row r="44" spans="2:16">
      <c r="B44" t="s">
        <v>158</v>
      </c>
      <c r="C44" t="s">
        <v>385</v>
      </c>
      <c r="D44" t="s">
        <v>420</v>
      </c>
      <c r="E44" t="s">
        <v>411</v>
      </c>
      <c r="F44" t="s">
        <v>388</v>
      </c>
      <c r="G44" t="s">
        <v>389</v>
      </c>
      <c r="H44" t="s">
        <v>29</v>
      </c>
      <c r="I44" t="s">
        <v>425</v>
      </c>
      <c r="J44" t="s">
        <v>387</v>
      </c>
      <c r="K44">
        <v>0</v>
      </c>
      <c r="L44">
        <v>9</v>
      </c>
      <c r="M44" t="s">
        <v>29</v>
      </c>
      <c r="N44" t="s">
        <v>390</v>
      </c>
      <c r="O44" t="s">
        <v>27</v>
      </c>
      <c r="P44" t="s">
        <v>451</v>
      </c>
    </row>
    <row r="45" spans="2:16">
      <c r="B45" t="s">
        <v>162</v>
      </c>
      <c r="C45" t="s">
        <v>385</v>
      </c>
      <c r="D45" t="s">
        <v>397</v>
      </c>
      <c r="E45" t="s">
        <v>387</v>
      </c>
      <c r="F45" t="s">
        <v>388</v>
      </c>
      <c r="G45" t="s">
        <v>395</v>
      </c>
      <c r="H45" t="s">
        <v>29</v>
      </c>
      <c r="I45" t="s">
        <v>425</v>
      </c>
      <c r="J45" t="s">
        <v>409</v>
      </c>
      <c r="K45">
        <v>0</v>
      </c>
      <c r="L45">
        <v>2</v>
      </c>
      <c r="M45" t="s">
        <v>29</v>
      </c>
      <c r="N45" t="s">
        <v>390</v>
      </c>
      <c r="O45" t="s">
        <v>27</v>
      </c>
      <c r="P45" t="s">
        <v>452</v>
      </c>
    </row>
    <row r="46" spans="2:16">
      <c r="B46" t="s">
        <v>163</v>
      </c>
      <c r="C46" t="s">
        <v>385</v>
      </c>
      <c r="D46" t="s">
        <v>397</v>
      </c>
      <c r="E46" t="s">
        <v>387</v>
      </c>
      <c r="F46" t="s">
        <v>388</v>
      </c>
      <c r="G46" t="s">
        <v>395</v>
      </c>
      <c r="H46" t="s">
        <v>29</v>
      </c>
      <c r="I46" t="s">
        <v>347</v>
      </c>
      <c r="J46" t="s">
        <v>387</v>
      </c>
      <c r="K46">
        <v>0</v>
      </c>
      <c r="L46">
        <v>4</v>
      </c>
      <c r="M46" t="s">
        <v>29</v>
      </c>
      <c r="N46" t="s">
        <v>27</v>
      </c>
      <c r="O46" t="s">
        <v>390</v>
      </c>
      <c r="P46" t="s">
        <v>442</v>
      </c>
    </row>
    <row r="47" spans="2:16">
      <c r="B47" t="s">
        <v>167</v>
      </c>
      <c r="C47" t="s">
        <v>385</v>
      </c>
      <c r="D47" t="s">
        <v>397</v>
      </c>
      <c r="E47" t="s">
        <v>387</v>
      </c>
      <c r="F47" t="s">
        <v>388</v>
      </c>
      <c r="G47" t="s">
        <v>395</v>
      </c>
      <c r="H47" t="s">
        <v>29</v>
      </c>
      <c r="I47" t="s">
        <v>344</v>
      </c>
      <c r="J47" t="s">
        <v>453</v>
      </c>
      <c r="K47">
        <v>0</v>
      </c>
      <c r="L47">
        <v>10</v>
      </c>
      <c r="M47" t="s">
        <v>454</v>
      </c>
      <c r="N47" t="s">
        <v>27</v>
      </c>
      <c r="O47" t="s">
        <v>390</v>
      </c>
      <c r="P47" t="s">
        <v>455</v>
      </c>
    </row>
    <row r="48" spans="2:16">
      <c r="B48" t="s">
        <v>171</v>
      </c>
      <c r="C48" t="s">
        <v>385</v>
      </c>
      <c r="D48" t="s">
        <v>397</v>
      </c>
      <c r="E48" t="s">
        <v>387</v>
      </c>
      <c r="F48" t="s">
        <v>388</v>
      </c>
      <c r="G48" t="s">
        <v>395</v>
      </c>
      <c r="H48" t="s">
        <v>29</v>
      </c>
      <c r="I48" t="s">
        <v>403</v>
      </c>
      <c r="J48" t="s">
        <v>404</v>
      </c>
      <c r="K48">
        <v>0</v>
      </c>
      <c r="L48">
        <v>15</v>
      </c>
      <c r="M48" t="s">
        <v>29</v>
      </c>
      <c r="N48" t="s">
        <v>27</v>
      </c>
      <c r="O48" t="s">
        <v>390</v>
      </c>
      <c r="P48" t="s">
        <v>415</v>
      </c>
    </row>
    <row r="49" spans="2:16">
      <c r="B49" t="s">
        <v>175</v>
      </c>
      <c r="C49" t="s">
        <v>385</v>
      </c>
      <c r="D49" t="s">
        <v>412</v>
      </c>
      <c r="E49" t="s">
        <v>387</v>
      </c>
      <c r="F49" t="s">
        <v>388</v>
      </c>
      <c r="G49" t="s">
        <v>395</v>
      </c>
      <c r="H49" t="s">
        <v>29</v>
      </c>
      <c r="I49" t="s">
        <v>347</v>
      </c>
      <c r="J49" t="s">
        <v>387</v>
      </c>
      <c r="K49">
        <v>0</v>
      </c>
      <c r="L49">
        <v>5</v>
      </c>
      <c r="M49" t="s">
        <v>29</v>
      </c>
      <c r="N49" t="s">
        <v>27</v>
      </c>
      <c r="O49" t="s">
        <v>390</v>
      </c>
      <c r="P49" t="s">
        <v>456</v>
      </c>
    </row>
    <row r="50" spans="2:16">
      <c r="B50" t="s">
        <v>176</v>
      </c>
      <c r="C50" t="s">
        <v>385</v>
      </c>
      <c r="D50" t="s">
        <v>397</v>
      </c>
      <c r="E50" t="s">
        <v>387</v>
      </c>
      <c r="F50" t="s">
        <v>388</v>
      </c>
      <c r="G50" t="s">
        <v>395</v>
      </c>
      <c r="H50" t="s">
        <v>29</v>
      </c>
      <c r="I50" t="s">
        <v>398</v>
      </c>
      <c r="J50" t="s">
        <v>434</v>
      </c>
      <c r="K50">
        <v>0</v>
      </c>
      <c r="L50">
        <v>0</v>
      </c>
      <c r="M50" t="s">
        <v>29</v>
      </c>
      <c r="N50" t="s">
        <v>27</v>
      </c>
      <c r="O50" t="s">
        <v>27</v>
      </c>
      <c r="P50" t="s">
        <v>400</v>
      </c>
    </row>
    <row r="51" spans="2:16">
      <c r="B51" t="s">
        <v>180</v>
      </c>
      <c r="C51" t="s">
        <v>385</v>
      </c>
      <c r="D51" t="s">
        <v>397</v>
      </c>
      <c r="E51" t="s">
        <v>387</v>
      </c>
      <c r="F51" t="s">
        <v>388</v>
      </c>
      <c r="G51" t="s">
        <v>395</v>
      </c>
      <c r="H51" t="s">
        <v>29</v>
      </c>
      <c r="I51" t="s">
        <v>425</v>
      </c>
      <c r="J51" t="s">
        <v>387</v>
      </c>
      <c r="K51">
        <v>0</v>
      </c>
      <c r="L51">
        <v>9</v>
      </c>
      <c r="M51" t="s">
        <v>29</v>
      </c>
      <c r="N51" t="s">
        <v>390</v>
      </c>
      <c r="O51" t="s">
        <v>27</v>
      </c>
      <c r="P51" t="s">
        <v>426</v>
      </c>
    </row>
    <row r="52" spans="2:16">
      <c r="B52" t="s">
        <v>183</v>
      </c>
      <c r="C52" t="s">
        <v>385</v>
      </c>
      <c r="D52" t="s">
        <v>397</v>
      </c>
      <c r="E52" t="s">
        <v>387</v>
      </c>
      <c r="F52" t="s">
        <v>388</v>
      </c>
      <c r="G52" t="s">
        <v>395</v>
      </c>
      <c r="H52" t="s">
        <v>29</v>
      </c>
      <c r="I52" t="s">
        <v>330</v>
      </c>
      <c r="J52" t="s">
        <v>409</v>
      </c>
      <c r="K52">
        <v>0</v>
      </c>
      <c r="L52">
        <v>2</v>
      </c>
      <c r="M52" t="s">
        <v>29</v>
      </c>
      <c r="N52" t="s">
        <v>27</v>
      </c>
      <c r="O52" t="s">
        <v>27</v>
      </c>
      <c r="P52" t="s">
        <v>439</v>
      </c>
    </row>
    <row r="53" spans="2:16">
      <c r="B53" t="s">
        <v>187</v>
      </c>
      <c r="C53" t="s">
        <v>385</v>
      </c>
      <c r="D53" t="s">
        <v>397</v>
      </c>
      <c r="E53" t="s">
        <v>387</v>
      </c>
      <c r="F53" t="s">
        <v>388</v>
      </c>
      <c r="G53" t="s">
        <v>395</v>
      </c>
      <c r="H53" t="s">
        <v>29</v>
      </c>
      <c r="I53" t="s">
        <v>403</v>
      </c>
      <c r="J53" t="s">
        <v>404</v>
      </c>
      <c r="K53">
        <v>0</v>
      </c>
      <c r="L53">
        <v>20</v>
      </c>
      <c r="M53" t="s">
        <v>29</v>
      </c>
      <c r="N53" t="s">
        <v>27</v>
      </c>
      <c r="O53" t="s">
        <v>390</v>
      </c>
      <c r="P53" t="s">
        <v>415</v>
      </c>
    </row>
    <row r="54" spans="2:16">
      <c r="B54" t="s">
        <v>188</v>
      </c>
      <c r="C54" t="s">
        <v>385</v>
      </c>
      <c r="D54" t="s">
        <v>397</v>
      </c>
      <c r="E54" t="s">
        <v>387</v>
      </c>
      <c r="F54" t="s">
        <v>388</v>
      </c>
      <c r="G54" t="s">
        <v>395</v>
      </c>
      <c r="H54" t="s">
        <v>29</v>
      </c>
      <c r="I54" t="s">
        <v>347</v>
      </c>
      <c r="J54" t="s">
        <v>441</v>
      </c>
      <c r="K54">
        <v>0</v>
      </c>
      <c r="L54">
        <v>0.5</v>
      </c>
      <c r="M54" t="s">
        <v>29</v>
      </c>
      <c r="N54" t="s">
        <v>27</v>
      </c>
      <c r="O54" t="s">
        <v>390</v>
      </c>
      <c r="P54" t="s">
        <v>442</v>
      </c>
    </row>
    <row r="55" spans="2:16">
      <c r="B55" t="s">
        <v>192</v>
      </c>
      <c r="C55" t="s">
        <v>385</v>
      </c>
      <c r="D55" t="s">
        <v>397</v>
      </c>
      <c r="E55" t="s">
        <v>387</v>
      </c>
      <c r="F55" t="s">
        <v>388</v>
      </c>
      <c r="G55" t="s">
        <v>395</v>
      </c>
      <c r="H55" t="s">
        <v>29</v>
      </c>
      <c r="I55" t="s">
        <v>436</v>
      </c>
      <c r="J55" t="s">
        <v>393</v>
      </c>
      <c r="K55">
        <v>0</v>
      </c>
      <c r="L55">
        <v>2</v>
      </c>
      <c r="M55" t="s">
        <v>29</v>
      </c>
      <c r="N55" t="s">
        <v>27</v>
      </c>
      <c r="O55" t="s">
        <v>27</v>
      </c>
      <c r="P55" t="s">
        <v>437</v>
      </c>
    </row>
    <row r="56" spans="2:16">
      <c r="B56" t="s">
        <v>193</v>
      </c>
      <c r="C56" t="s">
        <v>385</v>
      </c>
      <c r="D56" t="s">
        <v>397</v>
      </c>
      <c r="E56" t="s">
        <v>387</v>
      </c>
      <c r="F56" t="s">
        <v>388</v>
      </c>
      <c r="G56" t="s">
        <v>395</v>
      </c>
      <c r="H56" t="s">
        <v>29</v>
      </c>
      <c r="I56" t="s">
        <v>425</v>
      </c>
      <c r="J56" t="s">
        <v>387</v>
      </c>
      <c r="K56">
        <v>0</v>
      </c>
      <c r="L56">
        <v>7</v>
      </c>
      <c r="M56" t="s">
        <v>29</v>
      </c>
      <c r="N56" t="s">
        <v>390</v>
      </c>
      <c r="O56" t="s">
        <v>27</v>
      </c>
      <c r="P56" t="s">
        <v>426</v>
      </c>
    </row>
    <row r="57" spans="2:16">
      <c r="B57" t="s">
        <v>197</v>
      </c>
      <c r="C57" t="s">
        <v>385</v>
      </c>
      <c r="D57" t="s">
        <v>397</v>
      </c>
      <c r="E57" t="s">
        <v>387</v>
      </c>
      <c r="F57" t="s">
        <v>388</v>
      </c>
      <c r="G57" t="s">
        <v>395</v>
      </c>
      <c r="H57" t="s">
        <v>29</v>
      </c>
      <c r="I57" t="s">
        <v>347</v>
      </c>
      <c r="J57" t="s">
        <v>453</v>
      </c>
      <c r="K57">
        <v>0</v>
      </c>
      <c r="L57">
        <v>5</v>
      </c>
      <c r="M57" t="s">
        <v>454</v>
      </c>
      <c r="N57" t="s">
        <v>27</v>
      </c>
      <c r="O57" t="s">
        <v>390</v>
      </c>
      <c r="P57" t="s">
        <v>457</v>
      </c>
    </row>
    <row r="58" spans="2:16">
      <c r="B58" t="s">
        <v>201</v>
      </c>
      <c r="C58" t="s">
        <v>385</v>
      </c>
      <c r="D58" t="s">
        <v>392</v>
      </c>
      <c r="E58" t="s">
        <v>411</v>
      </c>
      <c r="F58" t="s">
        <v>388</v>
      </c>
      <c r="G58" t="s">
        <v>395</v>
      </c>
      <c r="H58" t="s">
        <v>29</v>
      </c>
      <c r="I58" t="s">
        <v>347</v>
      </c>
      <c r="J58" t="s">
        <v>414</v>
      </c>
      <c r="K58">
        <v>0</v>
      </c>
      <c r="L58">
        <v>0.3</v>
      </c>
      <c r="M58" t="s">
        <v>29</v>
      </c>
      <c r="N58" t="s">
        <v>27</v>
      </c>
      <c r="O58" t="s">
        <v>390</v>
      </c>
      <c r="P58" t="s">
        <v>410</v>
      </c>
    </row>
    <row r="59" spans="2:16">
      <c r="B59" t="s">
        <v>205</v>
      </c>
      <c r="C59" t="s">
        <v>385</v>
      </c>
      <c r="D59" t="s">
        <v>397</v>
      </c>
      <c r="E59" t="s">
        <v>387</v>
      </c>
      <c r="F59" t="s">
        <v>388</v>
      </c>
      <c r="G59" t="s">
        <v>395</v>
      </c>
      <c r="H59" t="s">
        <v>29</v>
      </c>
      <c r="I59" t="s">
        <v>330</v>
      </c>
      <c r="J59" t="s">
        <v>387</v>
      </c>
      <c r="K59">
        <v>0</v>
      </c>
      <c r="L59">
        <v>2</v>
      </c>
      <c r="M59" t="s">
        <v>29</v>
      </c>
      <c r="N59" t="s">
        <v>27</v>
      </c>
      <c r="O59" t="s">
        <v>27</v>
      </c>
      <c r="P59" t="s">
        <v>439</v>
      </c>
    </row>
    <row r="60" spans="2:16">
      <c r="B60" t="s">
        <v>206</v>
      </c>
      <c r="C60" t="s">
        <v>385</v>
      </c>
      <c r="D60" t="s">
        <v>458</v>
      </c>
      <c r="E60" t="s">
        <v>441</v>
      </c>
      <c r="F60" t="s">
        <v>388</v>
      </c>
      <c r="G60" t="s">
        <v>447</v>
      </c>
      <c r="H60" t="s">
        <v>459</v>
      </c>
      <c r="I60" t="s">
        <v>403</v>
      </c>
      <c r="J60" t="s">
        <v>404</v>
      </c>
      <c r="K60">
        <v>0</v>
      </c>
      <c r="L60">
        <v>0</v>
      </c>
      <c r="M60" t="s">
        <v>460</v>
      </c>
      <c r="N60" t="s">
        <v>27</v>
      </c>
      <c r="O60" t="s">
        <v>27</v>
      </c>
      <c r="P60" t="s">
        <v>461</v>
      </c>
    </row>
    <row r="61" spans="2:16">
      <c r="B61" t="s">
        <v>210</v>
      </c>
      <c r="C61" t="s">
        <v>385</v>
      </c>
      <c r="D61" t="s">
        <v>462</v>
      </c>
      <c r="E61" t="s">
        <v>441</v>
      </c>
      <c r="F61" t="s">
        <v>394</v>
      </c>
      <c r="G61" t="s">
        <v>447</v>
      </c>
      <c r="H61" t="s">
        <v>463</v>
      </c>
      <c r="I61" t="s">
        <v>330</v>
      </c>
      <c r="J61" t="s">
        <v>441</v>
      </c>
      <c r="K61">
        <v>0</v>
      </c>
      <c r="L61">
        <v>0</v>
      </c>
      <c r="M61" t="s">
        <v>464</v>
      </c>
      <c r="N61" t="s">
        <v>27</v>
      </c>
      <c r="O61" t="s">
        <v>27</v>
      </c>
      <c r="P61" t="s">
        <v>465</v>
      </c>
    </row>
    <row r="62" spans="2:16">
      <c r="B62" t="s">
        <v>214</v>
      </c>
      <c r="C62" t="s">
        <v>385</v>
      </c>
      <c r="D62" t="s">
        <v>392</v>
      </c>
      <c r="E62" t="s">
        <v>393</v>
      </c>
      <c r="F62" t="s">
        <v>394</v>
      </c>
      <c r="G62" t="s">
        <v>395</v>
      </c>
      <c r="H62" t="s">
        <v>29</v>
      </c>
      <c r="I62" t="s">
        <v>403</v>
      </c>
      <c r="J62" t="s">
        <v>404</v>
      </c>
      <c r="K62">
        <v>0</v>
      </c>
      <c r="L62">
        <v>2</v>
      </c>
      <c r="M62" t="s">
        <v>29</v>
      </c>
      <c r="N62" t="s">
        <v>27</v>
      </c>
      <c r="O62" t="s">
        <v>390</v>
      </c>
      <c r="P62" t="s">
        <v>405</v>
      </c>
    </row>
    <row r="63" spans="2:16">
      <c r="B63" t="s">
        <v>220</v>
      </c>
      <c r="C63" t="s">
        <v>385</v>
      </c>
      <c r="D63" t="s">
        <v>397</v>
      </c>
      <c r="E63" t="s">
        <v>387</v>
      </c>
      <c r="F63" t="s">
        <v>388</v>
      </c>
      <c r="G63" t="s">
        <v>395</v>
      </c>
      <c r="H63" t="s">
        <v>29</v>
      </c>
      <c r="I63" t="s">
        <v>330</v>
      </c>
      <c r="J63" t="s">
        <v>414</v>
      </c>
      <c r="K63">
        <v>0</v>
      </c>
      <c r="L63">
        <v>1.5</v>
      </c>
      <c r="M63" t="s">
        <v>29</v>
      </c>
      <c r="N63" t="s">
        <v>27</v>
      </c>
      <c r="O63" t="s">
        <v>27</v>
      </c>
      <c r="P63" t="s">
        <v>439</v>
      </c>
    </row>
    <row r="64" spans="2:16">
      <c r="B64" t="s">
        <v>224</v>
      </c>
      <c r="C64" t="s">
        <v>385</v>
      </c>
      <c r="D64" t="s">
        <v>397</v>
      </c>
      <c r="E64" t="s">
        <v>387</v>
      </c>
      <c r="F64" t="s">
        <v>388</v>
      </c>
      <c r="G64" t="s">
        <v>395</v>
      </c>
      <c r="H64" t="s">
        <v>29</v>
      </c>
      <c r="I64" t="s">
        <v>330</v>
      </c>
      <c r="J64" t="s">
        <v>409</v>
      </c>
      <c r="K64">
        <v>0</v>
      </c>
      <c r="L64">
        <v>1.4</v>
      </c>
      <c r="M64" t="s">
        <v>29</v>
      </c>
      <c r="N64" t="s">
        <v>27</v>
      </c>
      <c r="O64" t="s">
        <v>27</v>
      </c>
      <c r="P64" t="s">
        <v>439</v>
      </c>
    </row>
    <row r="65" spans="2:16">
      <c r="B65" t="s">
        <v>225</v>
      </c>
      <c r="C65" t="s">
        <v>385</v>
      </c>
      <c r="D65" t="s">
        <v>397</v>
      </c>
      <c r="E65" t="s">
        <v>387</v>
      </c>
      <c r="F65" t="s">
        <v>388</v>
      </c>
      <c r="G65" t="s">
        <v>395</v>
      </c>
      <c r="H65" t="s">
        <v>29</v>
      </c>
      <c r="I65" t="s">
        <v>398</v>
      </c>
      <c r="J65" t="s">
        <v>393</v>
      </c>
      <c r="K65">
        <v>0</v>
      </c>
      <c r="L65">
        <v>0</v>
      </c>
      <c r="M65" t="s">
        <v>29</v>
      </c>
      <c r="N65" t="s">
        <v>27</v>
      </c>
      <c r="O65" t="s">
        <v>27</v>
      </c>
      <c r="P65" t="s">
        <v>400</v>
      </c>
    </row>
    <row r="66" spans="2:16">
      <c r="B66" t="s">
        <v>229</v>
      </c>
      <c r="C66" t="s">
        <v>385</v>
      </c>
      <c r="D66" t="s">
        <v>397</v>
      </c>
      <c r="E66" t="s">
        <v>387</v>
      </c>
      <c r="F66" t="s">
        <v>388</v>
      </c>
      <c r="G66" t="s">
        <v>395</v>
      </c>
      <c r="H66" t="s">
        <v>29</v>
      </c>
      <c r="I66" t="s">
        <v>466</v>
      </c>
      <c r="J66" t="s">
        <v>441</v>
      </c>
      <c r="K66">
        <v>0</v>
      </c>
      <c r="L66">
        <v>0</v>
      </c>
      <c r="M66" t="s">
        <v>467</v>
      </c>
      <c r="N66" t="s">
        <v>27</v>
      </c>
      <c r="O66" t="s">
        <v>27</v>
      </c>
      <c r="P66" t="s">
        <v>468</v>
      </c>
    </row>
    <row r="67" spans="2:16">
      <c r="B67" t="s">
        <v>234</v>
      </c>
      <c r="C67" t="s">
        <v>385</v>
      </c>
      <c r="D67" t="s">
        <v>412</v>
      </c>
      <c r="E67" t="s">
        <v>387</v>
      </c>
      <c r="F67" t="s">
        <v>388</v>
      </c>
      <c r="G67" t="s">
        <v>395</v>
      </c>
      <c r="H67" t="s">
        <v>29</v>
      </c>
      <c r="I67" t="s">
        <v>330</v>
      </c>
      <c r="J67" t="s">
        <v>387</v>
      </c>
      <c r="K67">
        <v>0</v>
      </c>
      <c r="L67">
        <v>1.5</v>
      </c>
      <c r="M67" t="s">
        <v>29</v>
      </c>
      <c r="N67" t="s">
        <v>27</v>
      </c>
      <c r="O67" t="s">
        <v>27</v>
      </c>
      <c r="P67" t="s">
        <v>469</v>
      </c>
    </row>
    <row r="68" spans="2:16">
      <c r="B68" t="s">
        <v>235</v>
      </c>
      <c r="C68" t="s">
        <v>385</v>
      </c>
      <c r="D68" t="s">
        <v>397</v>
      </c>
      <c r="E68" t="s">
        <v>387</v>
      </c>
      <c r="F68" t="s">
        <v>388</v>
      </c>
      <c r="G68" t="s">
        <v>395</v>
      </c>
      <c r="H68" t="s">
        <v>29</v>
      </c>
      <c r="I68" t="s">
        <v>398</v>
      </c>
      <c r="J68" t="s">
        <v>399</v>
      </c>
      <c r="K68">
        <v>0</v>
      </c>
      <c r="L68">
        <v>0</v>
      </c>
      <c r="M68" t="s">
        <v>29</v>
      </c>
      <c r="N68" t="s">
        <v>27</v>
      </c>
      <c r="O68" t="s">
        <v>27</v>
      </c>
      <c r="P68" t="s">
        <v>400</v>
      </c>
    </row>
    <row r="69" spans="2:16">
      <c r="B69" t="s">
        <v>240</v>
      </c>
      <c r="C69" t="s">
        <v>385</v>
      </c>
      <c r="D69" t="s">
        <v>397</v>
      </c>
      <c r="E69" t="s">
        <v>387</v>
      </c>
      <c r="F69" t="s">
        <v>388</v>
      </c>
      <c r="G69" t="s">
        <v>395</v>
      </c>
      <c r="H69" t="s">
        <v>29</v>
      </c>
      <c r="I69" t="s">
        <v>436</v>
      </c>
      <c r="J69" t="s">
        <v>387</v>
      </c>
      <c r="K69">
        <v>0</v>
      </c>
      <c r="L69">
        <v>3</v>
      </c>
      <c r="M69" t="s">
        <v>454</v>
      </c>
      <c r="N69" t="s">
        <v>27</v>
      </c>
      <c r="O69" t="s">
        <v>27</v>
      </c>
      <c r="P69" t="s">
        <v>470</v>
      </c>
    </row>
    <row r="74" spans="6:6">
      <c r="F74" t="s">
        <v>409</v>
      </c>
    </row>
    <row r="75" spans="6:6">
      <c r="F75" t="s">
        <v>414</v>
      </c>
    </row>
    <row r="76" spans="6:6">
      <c r="F76" t="s">
        <v>411</v>
      </c>
    </row>
    <row r="77" spans="6:6">
      <c r="F77" t="s">
        <v>419</v>
      </c>
    </row>
    <row r="78" spans="6:6">
      <c r="F78" t="s">
        <v>471</v>
      </c>
    </row>
  </sheetData>
  <autoFilter ref="C1:C69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90"/>
  <sheetViews>
    <sheetView zoomScale="115" zoomScaleNormal="115" workbookViewId="0">
      <selection activeCell="E8" sqref="E8"/>
    </sheetView>
  </sheetViews>
  <sheetFormatPr defaultColWidth="9.23076923076923" defaultRowHeight="16.8"/>
  <cols>
    <col min="1" max="1" width="9.23076923076923" style="1" customWidth="1"/>
    <col min="2" max="2" width="11.5384615384615" style="1" customWidth="1"/>
    <col min="3" max="3" width="22.7596153846154" style="1" customWidth="1"/>
    <col min="4" max="4" width="16.4807692307692" style="1" customWidth="1"/>
    <col min="5" max="5" width="62.6923076923077" style="1" customWidth="1"/>
    <col min="6" max="7" width="21.0576923076923" style="1" customWidth="1"/>
    <col min="8" max="8" width="19.0673076923077" style="1" customWidth="1"/>
    <col min="9" max="9" width="11.2307692307692" style="1" customWidth="1"/>
    <col min="10" max="10" width="46.4711538461538" style="1" customWidth="1"/>
    <col min="11" max="13" width="9.23076923076923" style="1" customWidth="1"/>
    <col min="14" max="14" width="20.9903846153846" style="1" customWidth="1"/>
    <col min="15" max="15" width="106.134615384615" style="6" customWidth="1"/>
    <col min="16" max="16384" width="9.23076923076923" style="1" customWidth="1"/>
  </cols>
  <sheetData>
    <row r="2" ht="18" customHeight="1" spans="1:13">
      <c r="A2" s="1" t="s">
        <v>1</v>
      </c>
      <c r="B2" s="7" t="s">
        <v>472</v>
      </c>
      <c r="C2" s="7" t="s">
        <v>473</v>
      </c>
      <c r="D2" s="7" t="s">
        <v>474</v>
      </c>
      <c r="E2" s="7" t="s">
        <v>475</v>
      </c>
      <c r="F2" s="7" t="s">
        <v>476</v>
      </c>
      <c r="G2" s="7" t="s">
        <v>477</v>
      </c>
      <c r="H2" s="7" t="s">
        <v>478</v>
      </c>
      <c r="I2" s="7" t="s">
        <v>479</v>
      </c>
      <c r="J2" s="7" t="s">
        <v>480</v>
      </c>
      <c r="M2" t="s">
        <v>481</v>
      </c>
    </row>
    <row r="3" ht="17.6" customHeight="1" spans="1:15">
      <c r="A3" s="1">
        <v>1</v>
      </c>
      <c r="B3" s="7" t="s">
        <v>26</v>
      </c>
      <c r="C3" s="1" t="s">
        <v>30</v>
      </c>
      <c r="D3" s="1">
        <v>10</v>
      </c>
      <c r="E3" s="1" t="s">
        <v>482</v>
      </c>
      <c r="G3" s="1" t="s">
        <v>483</v>
      </c>
      <c r="H3" s="1" t="s">
        <v>484</v>
      </c>
      <c r="I3" s="1" t="s">
        <v>485</v>
      </c>
      <c r="M3" t="s">
        <v>486</v>
      </c>
      <c r="O3" s="6" t="s">
        <v>487</v>
      </c>
    </row>
    <row r="4" ht="17.6" customHeight="1" spans="1:13">
      <c r="A4" s="1">
        <v>2</v>
      </c>
      <c r="B4" s="8" t="s">
        <v>33</v>
      </c>
      <c r="C4" s="1" t="s">
        <v>30</v>
      </c>
      <c r="D4" s="1">
        <v>8</v>
      </c>
      <c r="E4" s="1" t="s">
        <v>488</v>
      </c>
      <c r="G4" s="1" t="s">
        <v>489</v>
      </c>
      <c r="H4" s="1" t="s">
        <v>484</v>
      </c>
      <c r="I4" s="1" t="s">
        <v>490</v>
      </c>
      <c r="M4" t="s">
        <v>491</v>
      </c>
    </row>
    <row r="5" ht="17.6" customHeight="1" spans="1:13">
      <c r="A5" s="1">
        <v>3</v>
      </c>
      <c r="B5" s="7" t="s">
        <v>38</v>
      </c>
      <c r="C5" s="1" t="s">
        <v>30</v>
      </c>
      <c r="D5" s="1">
        <v>30</v>
      </c>
      <c r="E5" s="1" t="s">
        <v>492</v>
      </c>
      <c r="G5" s="1" t="s">
        <v>489</v>
      </c>
      <c r="H5" s="1" t="s">
        <v>484</v>
      </c>
      <c r="I5" s="1" t="s">
        <v>485</v>
      </c>
      <c r="K5" s="1" t="s">
        <v>493</v>
      </c>
      <c r="M5" t="s">
        <v>494</v>
      </c>
    </row>
    <row r="6" ht="17.6" customHeight="1" spans="1:13">
      <c r="A6" s="1">
        <v>4</v>
      </c>
      <c r="B6" s="9" t="s">
        <v>42</v>
      </c>
      <c r="C6" s="1" t="s">
        <v>30</v>
      </c>
      <c r="D6" s="1">
        <v>8</v>
      </c>
      <c r="E6" s="1" t="s">
        <v>495</v>
      </c>
      <c r="G6" s="1" t="s">
        <v>496</v>
      </c>
      <c r="H6" s="1" t="s">
        <v>484</v>
      </c>
      <c r="I6" s="1" t="s">
        <v>497</v>
      </c>
      <c r="M6" t="s">
        <v>498</v>
      </c>
    </row>
    <row r="7" ht="17.6" customHeight="1" spans="1:13">
      <c r="A7" s="1">
        <v>5</v>
      </c>
      <c r="B7" s="7" t="s">
        <v>46</v>
      </c>
      <c r="C7" s="1" t="s">
        <v>30</v>
      </c>
      <c r="D7" s="1">
        <v>6</v>
      </c>
      <c r="E7" s="1" t="s">
        <v>499</v>
      </c>
      <c r="G7" s="1" t="s">
        <v>489</v>
      </c>
      <c r="H7" s="1" t="s">
        <v>484</v>
      </c>
      <c r="I7" s="1" t="s">
        <v>485</v>
      </c>
      <c r="M7" t="s">
        <v>500</v>
      </c>
    </row>
    <row r="8" ht="17.6" customHeight="1" spans="1:9">
      <c r="A8" s="1">
        <v>6</v>
      </c>
      <c r="B8" s="7" t="s">
        <v>50</v>
      </c>
      <c r="C8" s="1" t="s">
        <v>30</v>
      </c>
      <c r="D8" s="1">
        <v>10</v>
      </c>
      <c r="E8" s="1" t="s">
        <v>501</v>
      </c>
      <c r="G8" s="1" t="s">
        <v>502</v>
      </c>
      <c r="H8" s="1" t="s">
        <v>503</v>
      </c>
      <c r="I8" s="1" t="s">
        <v>485</v>
      </c>
    </row>
    <row r="9" ht="17.6" customHeight="1" spans="1:9">
      <c r="A9" s="1">
        <v>7</v>
      </c>
      <c r="B9" s="7" t="s">
        <v>54</v>
      </c>
      <c r="C9" s="1" t="s">
        <v>30</v>
      </c>
      <c r="D9" s="1">
        <v>6</v>
      </c>
      <c r="E9" s="1" t="s">
        <v>504</v>
      </c>
      <c r="G9" s="1" t="s">
        <v>489</v>
      </c>
      <c r="H9" s="1" t="s">
        <v>484</v>
      </c>
      <c r="I9" s="1" t="s">
        <v>485</v>
      </c>
    </row>
    <row r="10" ht="17.6" customHeight="1" spans="1:14">
      <c r="A10" s="1">
        <v>8</v>
      </c>
      <c r="B10" s="8" t="s">
        <v>58</v>
      </c>
      <c r="C10" s="1" t="s">
        <v>30</v>
      </c>
      <c r="D10" s="1">
        <v>10</v>
      </c>
      <c r="E10" s="1" t="s">
        <v>505</v>
      </c>
      <c r="G10" s="1" t="s">
        <v>506</v>
      </c>
      <c r="H10" s="1" t="s">
        <v>503</v>
      </c>
      <c r="I10" s="1" t="s">
        <v>490</v>
      </c>
      <c r="N10" s="1" t="s">
        <v>507</v>
      </c>
    </row>
    <row r="11" ht="17.6" customHeight="1" spans="1:9">
      <c r="A11" s="1">
        <v>9</v>
      </c>
      <c r="B11" s="7" t="s">
        <v>62</v>
      </c>
      <c r="C11" s="1" t="s">
        <v>30</v>
      </c>
      <c r="D11" s="1">
        <v>4</v>
      </c>
      <c r="E11" s="1" t="s">
        <v>508</v>
      </c>
      <c r="G11" s="1" t="s">
        <v>483</v>
      </c>
      <c r="H11" s="1" t="s">
        <v>484</v>
      </c>
      <c r="I11" s="1" t="s">
        <v>485</v>
      </c>
    </row>
    <row r="12" ht="17.6" customHeight="1" spans="1:15">
      <c r="A12" s="1">
        <v>10</v>
      </c>
      <c r="B12" s="9" t="s">
        <v>66</v>
      </c>
      <c r="C12" s="1" t="s">
        <v>30</v>
      </c>
      <c r="D12" s="1">
        <v>10</v>
      </c>
      <c r="E12" s="1" t="s">
        <v>509</v>
      </c>
      <c r="G12" s="1" t="s">
        <v>496</v>
      </c>
      <c r="H12" s="1" t="s">
        <v>484</v>
      </c>
      <c r="I12" s="1" t="s">
        <v>497</v>
      </c>
      <c r="M12" s="1" t="s">
        <v>510</v>
      </c>
      <c r="N12" s="1" t="s">
        <v>511</v>
      </c>
      <c r="O12" s="6" t="s">
        <v>512</v>
      </c>
    </row>
    <row r="13" ht="17.6" customHeight="1" spans="1:15">
      <c r="A13" s="1">
        <v>11</v>
      </c>
      <c r="B13" s="8" t="s">
        <v>70</v>
      </c>
      <c r="C13" s="1" t="s">
        <v>30</v>
      </c>
      <c r="D13" s="1">
        <v>10</v>
      </c>
      <c r="E13" s="1" t="s">
        <v>513</v>
      </c>
      <c r="G13" s="1" t="s">
        <v>514</v>
      </c>
      <c r="H13" s="1" t="s">
        <v>515</v>
      </c>
      <c r="I13" s="1" t="s">
        <v>490</v>
      </c>
      <c r="M13" s="1" t="s">
        <v>516</v>
      </c>
      <c r="N13" s="1" t="s">
        <v>517</v>
      </c>
      <c r="O13" s="6" t="s">
        <v>518</v>
      </c>
    </row>
    <row r="14" spans="1:15">
      <c r="A14" s="1">
        <v>12</v>
      </c>
      <c r="B14" s="1" t="s">
        <v>75</v>
      </c>
      <c r="C14" s="1" t="s">
        <v>30</v>
      </c>
      <c r="D14" s="1">
        <v>6</v>
      </c>
      <c r="E14" s="1" t="s">
        <v>519</v>
      </c>
      <c r="G14" s="1" t="s">
        <v>520</v>
      </c>
      <c r="H14" s="1" t="s">
        <v>503</v>
      </c>
      <c r="I14" s="1" t="s">
        <v>521</v>
      </c>
      <c r="N14" s="1" t="s">
        <v>522</v>
      </c>
      <c r="O14" s="6" t="s">
        <v>523</v>
      </c>
    </row>
    <row r="15" spans="1:15">
      <c r="A15" s="1">
        <v>13</v>
      </c>
      <c r="B15" s="10" t="s">
        <v>79</v>
      </c>
      <c r="C15" s="1" t="s">
        <v>30</v>
      </c>
      <c r="D15" s="1">
        <v>8</v>
      </c>
      <c r="E15" s="1" t="s">
        <v>524</v>
      </c>
      <c r="G15" s="1" t="s">
        <v>496</v>
      </c>
      <c r="H15" s="1" t="s">
        <v>503</v>
      </c>
      <c r="I15" s="1" t="s">
        <v>497</v>
      </c>
      <c r="N15" s="1" t="s">
        <v>525</v>
      </c>
      <c r="O15" s="6" t="s">
        <v>526</v>
      </c>
    </row>
    <row r="16" ht="17.6" customHeight="1" spans="1:15">
      <c r="A16" s="1">
        <v>14</v>
      </c>
      <c r="B16" s="7" t="s">
        <v>83</v>
      </c>
      <c r="C16" s="1" t="s">
        <v>85</v>
      </c>
      <c r="D16" s="1">
        <v>20</v>
      </c>
      <c r="E16" s="1" t="s">
        <v>527</v>
      </c>
      <c r="G16" s="1" t="s">
        <v>483</v>
      </c>
      <c r="H16" s="1" t="s">
        <v>528</v>
      </c>
      <c r="I16" s="1" t="s">
        <v>485</v>
      </c>
      <c r="M16" s="1" t="s">
        <v>529</v>
      </c>
      <c r="N16" s="1" t="s">
        <v>530</v>
      </c>
      <c r="O16" s="6" t="s">
        <v>531</v>
      </c>
    </row>
    <row r="17" ht="17.6" customHeight="1" spans="1:15">
      <c r="A17" s="1">
        <v>15</v>
      </c>
      <c r="B17" s="9" t="s">
        <v>89</v>
      </c>
      <c r="C17" s="1" t="s">
        <v>30</v>
      </c>
      <c r="D17" s="1">
        <v>20</v>
      </c>
      <c r="E17" s="1" t="s">
        <v>532</v>
      </c>
      <c r="G17" s="1" t="s">
        <v>496</v>
      </c>
      <c r="H17" s="1" t="s">
        <v>528</v>
      </c>
      <c r="I17" s="1" t="s">
        <v>497</v>
      </c>
      <c r="N17" s="1" t="s">
        <v>533</v>
      </c>
      <c r="O17" s="6" t="s">
        <v>534</v>
      </c>
    </row>
    <row r="18" spans="3:15">
      <c r="C18" s="1" t="s">
        <v>30</v>
      </c>
      <c r="N18" s="1" t="s">
        <v>535</v>
      </c>
      <c r="O18" s="6" t="s">
        <v>536</v>
      </c>
    </row>
    <row r="19" ht="17.6" customHeight="1" spans="1:15">
      <c r="A19" s="1">
        <v>16</v>
      </c>
      <c r="B19" s="8" t="s">
        <v>94</v>
      </c>
      <c r="C19" s="1" t="s">
        <v>85</v>
      </c>
      <c r="D19" s="1">
        <v>10</v>
      </c>
      <c r="E19" s="1" t="s">
        <v>537</v>
      </c>
      <c r="G19" s="1" t="s">
        <v>502</v>
      </c>
      <c r="H19" s="1" t="s">
        <v>528</v>
      </c>
      <c r="I19" s="1" t="s">
        <v>490</v>
      </c>
      <c r="N19" s="1" t="s">
        <v>538</v>
      </c>
      <c r="O19" s="6" t="s">
        <v>539</v>
      </c>
    </row>
    <row r="20" ht="17.6" customHeight="1" spans="1:15">
      <c r="A20" s="1">
        <v>17</v>
      </c>
      <c r="B20" s="8" t="s">
        <v>99</v>
      </c>
      <c r="C20" s="1" t="s">
        <v>85</v>
      </c>
      <c r="E20" s="1" t="s">
        <v>540</v>
      </c>
      <c r="G20" s="1" t="s">
        <v>502</v>
      </c>
      <c r="H20" s="1" t="s">
        <v>528</v>
      </c>
      <c r="I20" s="1" t="s">
        <v>490</v>
      </c>
      <c r="M20" s="1" t="s">
        <v>541</v>
      </c>
      <c r="N20" s="1" t="s">
        <v>542</v>
      </c>
      <c r="O20" s="6" t="s">
        <v>543</v>
      </c>
    </row>
    <row r="21" ht="17.6" customHeight="1" spans="1:15">
      <c r="A21" s="1">
        <v>18</v>
      </c>
      <c r="B21" s="9" t="s">
        <v>104</v>
      </c>
      <c r="C21" s="1" t="s">
        <v>85</v>
      </c>
      <c r="D21" s="1">
        <v>14</v>
      </c>
      <c r="E21" s="1" t="s">
        <v>544</v>
      </c>
      <c r="G21" s="1" t="s">
        <v>496</v>
      </c>
      <c r="H21" s="1" t="s">
        <v>545</v>
      </c>
      <c r="I21" s="1" t="s">
        <v>497</v>
      </c>
      <c r="N21" s="1" t="s">
        <v>546</v>
      </c>
      <c r="O21" s="6" t="s">
        <v>547</v>
      </c>
    </row>
    <row r="22" ht="17.6" customHeight="1" spans="1:15">
      <c r="A22" s="1">
        <v>19</v>
      </c>
      <c r="B22" s="9" t="s">
        <v>110</v>
      </c>
      <c r="C22" s="1" t="s">
        <v>30</v>
      </c>
      <c r="D22" s="1">
        <v>16</v>
      </c>
      <c r="E22" s="1" t="s">
        <v>548</v>
      </c>
      <c r="G22" s="1" t="s">
        <v>502</v>
      </c>
      <c r="H22" s="1" t="s">
        <v>545</v>
      </c>
      <c r="I22" s="1" t="s">
        <v>497</v>
      </c>
      <c r="N22" s="1" t="s">
        <v>549</v>
      </c>
      <c r="O22" s="6" t="s">
        <v>550</v>
      </c>
    </row>
    <row r="23" spans="3:15">
      <c r="C23" s="1" t="s">
        <v>30</v>
      </c>
      <c r="M23" s="1" t="s">
        <v>551</v>
      </c>
      <c r="N23" s="1" t="s">
        <v>552</v>
      </c>
      <c r="O23" s="6" t="s">
        <v>553</v>
      </c>
    </row>
    <row r="24" ht="17.6" customHeight="1" spans="1:15">
      <c r="A24" s="1">
        <v>20</v>
      </c>
      <c r="B24" s="8" t="s">
        <v>114</v>
      </c>
      <c r="C24" s="1" t="s">
        <v>30</v>
      </c>
      <c r="D24" s="1">
        <v>15</v>
      </c>
      <c r="E24" s="1" t="s">
        <v>554</v>
      </c>
      <c r="G24" s="1" t="s">
        <v>555</v>
      </c>
      <c r="H24" s="1" t="s">
        <v>528</v>
      </c>
      <c r="I24" s="1" t="s">
        <v>490</v>
      </c>
      <c r="M24" s="1" t="s">
        <v>473</v>
      </c>
      <c r="N24" s="1" t="s">
        <v>556</v>
      </c>
      <c r="O24" s="6" t="s">
        <v>557</v>
      </c>
    </row>
    <row r="25" spans="3:15">
      <c r="C25" s="1" t="s">
        <v>30</v>
      </c>
      <c r="N25" s="1" t="s">
        <v>556</v>
      </c>
      <c r="O25" s="6" t="s">
        <v>558</v>
      </c>
    </row>
    <row r="26" ht="17.6" customHeight="1" spans="1:15">
      <c r="A26" s="1">
        <v>21</v>
      </c>
      <c r="B26" s="8" t="s">
        <v>119</v>
      </c>
      <c r="C26" s="1" t="s">
        <v>30</v>
      </c>
      <c r="D26" s="1">
        <v>20</v>
      </c>
      <c r="E26" s="1" t="s">
        <v>559</v>
      </c>
      <c r="G26" s="1" t="s">
        <v>514</v>
      </c>
      <c r="H26" s="1" t="s">
        <v>528</v>
      </c>
      <c r="I26" s="1" t="s">
        <v>490</v>
      </c>
      <c r="M26" s="1" t="s">
        <v>560</v>
      </c>
      <c r="N26" s="1" t="s">
        <v>561</v>
      </c>
      <c r="O26" s="6" t="s">
        <v>562</v>
      </c>
    </row>
    <row r="27" spans="3:15">
      <c r="C27" s="1" t="s">
        <v>30</v>
      </c>
      <c r="N27" s="1" t="s">
        <v>563</v>
      </c>
      <c r="O27" s="6" t="s">
        <v>564</v>
      </c>
    </row>
    <row r="28" ht="17.6" customHeight="1" spans="1:15">
      <c r="A28" s="1">
        <v>22</v>
      </c>
      <c r="B28" s="7" t="s">
        <v>122</v>
      </c>
      <c r="C28" s="1" t="s">
        <v>124</v>
      </c>
      <c r="D28" s="1">
        <v>30</v>
      </c>
      <c r="E28" s="1" t="s">
        <v>565</v>
      </c>
      <c r="G28" s="1" t="s">
        <v>483</v>
      </c>
      <c r="H28" s="1" t="s">
        <v>528</v>
      </c>
      <c r="I28" s="1" t="s">
        <v>485</v>
      </c>
      <c r="M28" s="1" t="s">
        <v>566</v>
      </c>
      <c r="N28" s="1" t="s">
        <v>567</v>
      </c>
      <c r="O28" s="6" t="s">
        <v>568</v>
      </c>
    </row>
    <row r="29" ht="17.6" customHeight="1" spans="1:15">
      <c r="A29" s="1">
        <v>23</v>
      </c>
      <c r="B29" s="8" t="s">
        <v>128</v>
      </c>
      <c r="C29" s="1" t="s">
        <v>124</v>
      </c>
      <c r="D29" s="1">
        <v>40</v>
      </c>
      <c r="E29" s="1" t="s">
        <v>569</v>
      </c>
      <c r="G29" s="1" t="s">
        <v>570</v>
      </c>
      <c r="H29" s="1" t="s">
        <v>528</v>
      </c>
      <c r="I29" s="1" t="s">
        <v>490</v>
      </c>
      <c r="N29" s="1" t="s">
        <v>571</v>
      </c>
      <c r="O29" s="6" t="s">
        <v>572</v>
      </c>
    </row>
    <row r="30" ht="17.6" customHeight="1" spans="1:15">
      <c r="A30" s="1">
        <v>24</v>
      </c>
      <c r="B30" s="9" t="s">
        <v>133</v>
      </c>
      <c r="C30" s="1" t="s">
        <v>30</v>
      </c>
      <c r="D30" s="1">
        <v>30</v>
      </c>
      <c r="E30" s="1" t="s">
        <v>573</v>
      </c>
      <c r="G30" s="1" t="s">
        <v>514</v>
      </c>
      <c r="H30" s="1" t="s">
        <v>528</v>
      </c>
      <c r="I30" s="1" t="s">
        <v>497</v>
      </c>
      <c r="M30" s="1" t="s">
        <v>490</v>
      </c>
      <c r="N30" s="1" t="s">
        <v>574</v>
      </c>
      <c r="O30" s="6" t="s">
        <v>575</v>
      </c>
    </row>
    <row r="31" spans="3:15">
      <c r="C31" s="1" t="s">
        <v>30</v>
      </c>
      <c r="N31" s="1" t="s">
        <v>574</v>
      </c>
      <c r="O31" s="6" t="s">
        <v>576</v>
      </c>
    </row>
    <row r="32" spans="3:15">
      <c r="C32" s="1" t="s">
        <v>30</v>
      </c>
      <c r="N32" s="1" t="s">
        <v>577</v>
      </c>
      <c r="O32" s="12" t="s">
        <v>578</v>
      </c>
    </row>
    <row r="33" ht="17.6" customHeight="1" spans="1:15">
      <c r="A33" s="1">
        <v>25</v>
      </c>
      <c r="B33" s="8" t="s">
        <v>138</v>
      </c>
      <c r="C33" s="1" t="s">
        <v>30</v>
      </c>
      <c r="D33" s="1">
        <v>20</v>
      </c>
      <c r="E33" s="1" t="s">
        <v>579</v>
      </c>
      <c r="G33" s="1" t="s">
        <v>483</v>
      </c>
      <c r="H33" s="1" t="s">
        <v>528</v>
      </c>
      <c r="I33" s="1" t="s">
        <v>490</v>
      </c>
      <c r="M33" s="1" t="s">
        <v>580</v>
      </c>
      <c r="N33" s="1" t="s">
        <v>581</v>
      </c>
      <c r="O33" s="12" t="s">
        <v>582</v>
      </c>
    </row>
    <row r="34" spans="3:15">
      <c r="C34" s="1" t="s">
        <v>30</v>
      </c>
      <c r="M34" s="1" t="s">
        <v>583</v>
      </c>
      <c r="N34" s="1" t="s">
        <v>584</v>
      </c>
      <c r="O34" s="12" t="s">
        <v>585</v>
      </c>
    </row>
    <row r="35" spans="3:3">
      <c r="C35" s="1" t="s">
        <v>30</v>
      </c>
    </row>
    <row r="36" ht="17.6" customHeight="1" spans="1:9">
      <c r="A36" s="1">
        <v>26</v>
      </c>
      <c r="B36" s="9" t="s">
        <v>143</v>
      </c>
      <c r="C36" s="1" t="s">
        <v>85</v>
      </c>
      <c r="D36" s="1">
        <v>30</v>
      </c>
      <c r="E36" s="1" t="s">
        <v>586</v>
      </c>
      <c r="G36" s="1" t="s">
        <v>496</v>
      </c>
      <c r="H36" s="1" t="s">
        <v>528</v>
      </c>
      <c r="I36" s="1" t="s">
        <v>497</v>
      </c>
    </row>
    <row r="37" spans="3:15">
      <c r="C37" s="1" t="s">
        <v>85</v>
      </c>
      <c r="N37" s="1" t="s">
        <v>510</v>
      </c>
      <c r="O37" s="6" t="s">
        <v>512</v>
      </c>
    </row>
    <row r="38" ht="17.6" customHeight="1" spans="1:15">
      <c r="A38" s="1">
        <v>27</v>
      </c>
      <c r="B38" s="7" t="s">
        <v>147</v>
      </c>
      <c r="C38" s="1" t="s">
        <v>85</v>
      </c>
      <c r="D38" s="1">
        <v>20</v>
      </c>
      <c r="E38" s="1" t="s">
        <v>587</v>
      </c>
      <c r="G38" s="1" t="s">
        <v>502</v>
      </c>
      <c r="H38" s="1" t="s">
        <v>545</v>
      </c>
      <c r="I38" s="1" t="s">
        <v>485</v>
      </c>
      <c r="N38" s="1" t="s">
        <v>588</v>
      </c>
      <c r="O38" s="6" t="s">
        <v>589</v>
      </c>
    </row>
    <row r="39" spans="3:15">
      <c r="C39" s="1" t="s">
        <v>85</v>
      </c>
      <c r="N39" s="1" t="s">
        <v>590</v>
      </c>
      <c r="O39" s="6" t="s">
        <v>591</v>
      </c>
    </row>
    <row r="40" ht="17.6" customHeight="1" spans="1:15">
      <c r="A40" s="1">
        <v>28</v>
      </c>
      <c r="B40" s="7" t="s">
        <v>151</v>
      </c>
      <c r="C40" s="1" t="s">
        <v>85</v>
      </c>
      <c r="D40" s="1">
        <v>25</v>
      </c>
      <c r="E40" s="1" t="s">
        <v>592</v>
      </c>
      <c r="G40" s="1" t="s">
        <v>475</v>
      </c>
      <c r="H40" s="1" t="s">
        <v>545</v>
      </c>
      <c r="I40" s="1" t="s">
        <v>485</v>
      </c>
      <c r="N40" s="1" t="s">
        <v>593</v>
      </c>
      <c r="O40" s="6" t="s">
        <v>594</v>
      </c>
    </row>
    <row r="41" ht="17.6" customHeight="1" spans="3:15">
      <c r="C41" s="1" t="s">
        <v>85</v>
      </c>
      <c r="N41" s="1" t="s">
        <v>595</v>
      </c>
      <c r="O41" s="6" t="s">
        <v>596</v>
      </c>
    </row>
    <row r="42" ht="17.6" customHeight="1" spans="1:9">
      <c r="A42" s="1">
        <v>29</v>
      </c>
      <c r="B42" s="7" t="s">
        <v>155</v>
      </c>
      <c r="C42" s="1" t="s">
        <v>85</v>
      </c>
      <c r="D42" s="1">
        <v>20</v>
      </c>
      <c r="E42" s="1" t="s">
        <v>597</v>
      </c>
      <c r="G42" s="1" t="s">
        <v>502</v>
      </c>
      <c r="H42" s="1" t="s">
        <v>545</v>
      </c>
      <c r="I42" s="1" t="s">
        <v>485</v>
      </c>
    </row>
    <row r="43" spans="3:15">
      <c r="C43" s="1" t="s">
        <v>85</v>
      </c>
      <c r="N43" s="1" t="s">
        <v>598</v>
      </c>
      <c r="O43" s="6" t="s">
        <v>599</v>
      </c>
    </row>
    <row r="44" ht="17.6" customHeight="1" spans="1:15">
      <c r="A44" s="1">
        <v>30</v>
      </c>
      <c r="B44" s="7" t="s">
        <v>160</v>
      </c>
      <c r="C44" s="1" t="s">
        <v>85</v>
      </c>
      <c r="D44" s="1">
        <v>20</v>
      </c>
      <c r="E44" s="1" t="s">
        <v>600</v>
      </c>
      <c r="G44" s="1" t="s">
        <v>483</v>
      </c>
      <c r="H44" s="1" t="s">
        <v>545</v>
      </c>
      <c r="I44" s="1" t="s">
        <v>485</v>
      </c>
      <c r="N44" s="1" t="s">
        <v>601</v>
      </c>
      <c r="O44" s="6" t="s">
        <v>602</v>
      </c>
    </row>
    <row r="45" spans="3:15">
      <c r="C45" s="1" t="s">
        <v>85</v>
      </c>
      <c r="N45" s="1" t="s">
        <v>603</v>
      </c>
      <c r="O45" s="6" t="s">
        <v>604</v>
      </c>
    </row>
    <row r="46" ht="17.6" customHeight="1" spans="1:15">
      <c r="A46" s="1">
        <v>31</v>
      </c>
      <c r="B46" s="9" t="s">
        <v>165</v>
      </c>
      <c r="C46" s="1" t="s">
        <v>85</v>
      </c>
      <c r="D46" s="1">
        <v>50</v>
      </c>
      <c r="E46" s="1" t="s">
        <v>605</v>
      </c>
      <c r="G46" s="1" t="s">
        <v>489</v>
      </c>
      <c r="H46" s="1" t="s">
        <v>545</v>
      </c>
      <c r="I46" s="1" t="s">
        <v>497</v>
      </c>
      <c r="N46" s="1" t="s">
        <v>606</v>
      </c>
      <c r="O46" s="6" t="s">
        <v>607</v>
      </c>
    </row>
    <row r="47" spans="3:15">
      <c r="C47" s="1" t="s">
        <v>85</v>
      </c>
      <c r="N47" s="1" t="s">
        <v>608</v>
      </c>
      <c r="O47" s="6" t="s">
        <v>609</v>
      </c>
    </row>
    <row r="48" ht="17.6" customHeight="1" spans="1:15">
      <c r="A48" s="1">
        <v>32</v>
      </c>
      <c r="B48" s="9" t="s">
        <v>169</v>
      </c>
      <c r="C48" s="1" t="s">
        <v>85</v>
      </c>
      <c r="D48" s="1">
        <v>40</v>
      </c>
      <c r="E48" s="1" t="s">
        <v>610</v>
      </c>
      <c r="G48" s="1" t="s">
        <v>496</v>
      </c>
      <c r="H48" s="1" t="s">
        <v>545</v>
      </c>
      <c r="I48" s="1" t="s">
        <v>497</v>
      </c>
      <c r="N48" s="1" t="s">
        <v>611</v>
      </c>
      <c r="O48" s="6" t="s">
        <v>612</v>
      </c>
    </row>
    <row r="49" spans="3:15">
      <c r="C49" s="1" t="s">
        <v>85</v>
      </c>
      <c r="N49" s="1" t="s">
        <v>613</v>
      </c>
      <c r="O49" s="6" t="s">
        <v>614</v>
      </c>
    </row>
    <row r="50" ht="17.6" customHeight="1" spans="1:15">
      <c r="A50" s="1">
        <v>33</v>
      </c>
      <c r="B50" s="11" t="s">
        <v>173</v>
      </c>
      <c r="C50" s="1" t="s">
        <v>85</v>
      </c>
      <c r="D50" s="1">
        <v>30</v>
      </c>
      <c r="E50" s="1" t="s">
        <v>615</v>
      </c>
      <c r="G50" s="1" t="s">
        <v>483</v>
      </c>
      <c r="H50" s="1" t="s">
        <v>528</v>
      </c>
      <c r="I50" s="1" t="s">
        <v>490</v>
      </c>
      <c r="N50" s="1" t="s">
        <v>616</v>
      </c>
      <c r="O50" s="6" t="s">
        <v>617</v>
      </c>
    </row>
    <row r="51" spans="3:15">
      <c r="C51" s="1" t="s">
        <v>85</v>
      </c>
      <c r="N51" s="1" t="s">
        <v>618</v>
      </c>
      <c r="O51" s="6" t="s">
        <v>619</v>
      </c>
    </row>
    <row r="52" ht="17.6" customHeight="1" spans="1:15">
      <c r="A52" s="1">
        <v>34</v>
      </c>
      <c r="B52" s="7" t="s">
        <v>178</v>
      </c>
      <c r="C52" s="1" t="s">
        <v>124</v>
      </c>
      <c r="D52" s="1">
        <v>50</v>
      </c>
      <c r="E52" s="1" t="s">
        <v>620</v>
      </c>
      <c r="G52" s="1" t="s">
        <v>502</v>
      </c>
      <c r="H52" s="1" t="s">
        <v>621</v>
      </c>
      <c r="I52" s="1" t="s">
        <v>485</v>
      </c>
      <c r="N52" s="1" t="s">
        <v>622</v>
      </c>
      <c r="O52" s="6" t="s">
        <v>623</v>
      </c>
    </row>
    <row r="53" spans="3:15">
      <c r="C53" s="1" t="s">
        <v>124</v>
      </c>
      <c r="N53" s="1" t="s">
        <v>624</v>
      </c>
      <c r="O53" s="6" t="s">
        <v>625</v>
      </c>
    </row>
    <row r="54" ht="17.6" customHeight="1" spans="1:9">
      <c r="A54" s="1">
        <v>35</v>
      </c>
      <c r="B54" s="7" t="s">
        <v>83</v>
      </c>
      <c r="C54" s="1" t="s">
        <v>85</v>
      </c>
      <c r="D54" s="1">
        <v>40</v>
      </c>
      <c r="E54" s="1" t="s">
        <v>626</v>
      </c>
      <c r="G54" s="1" t="s">
        <v>502</v>
      </c>
      <c r="H54" s="1" t="s">
        <v>621</v>
      </c>
      <c r="I54" s="1" t="s">
        <v>485</v>
      </c>
    </row>
    <row r="55" spans="3:3">
      <c r="C55" s="1" t="s">
        <v>85</v>
      </c>
    </row>
    <row r="56" spans="3:3">
      <c r="C56" s="1" t="s">
        <v>85</v>
      </c>
    </row>
    <row r="57" ht="17.6" customHeight="1" spans="1:9">
      <c r="A57" s="1">
        <v>36</v>
      </c>
      <c r="B57" s="9" t="s">
        <v>185</v>
      </c>
      <c r="C57" s="1" t="s">
        <v>85</v>
      </c>
      <c r="D57" s="1">
        <v>30</v>
      </c>
      <c r="E57" s="1" t="s">
        <v>627</v>
      </c>
      <c r="G57" s="1" t="s">
        <v>483</v>
      </c>
      <c r="H57" s="1" t="s">
        <v>528</v>
      </c>
      <c r="I57" s="1" t="s">
        <v>497</v>
      </c>
    </row>
    <row r="58" spans="3:3">
      <c r="C58" s="1" t="s">
        <v>85</v>
      </c>
    </row>
    <row r="59" spans="3:3">
      <c r="C59" s="1" t="s">
        <v>85</v>
      </c>
    </row>
    <row r="60" ht="17.6" customHeight="1" spans="1:9">
      <c r="A60" s="1">
        <v>37</v>
      </c>
      <c r="B60" s="7" t="s">
        <v>190</v>
      </c>
      <c r="C60" s="1" t="s">
        <v>124</v>
      </c>
      <c r="D60" s="1">
        <v>20</v>
      </c>
      <c r="E60" s="1" t="s">
        <v>628</v>
      </c>
      <c r="G60" s="1" t="s">
        <v>475</v>
      </c>
      <c r="H60" s="1" t="s">
        <v>545</v>
      </c>
      <c r="I60" s="1" t="s">
        <v>485</v>
      </c>
    </row>
    <row r="61" spans="3:3">
      <c r="C61" s="1" t="s">
        <v>124</v>
      </c>
    </row>
    <row r="62" ht="17.6" customHeight="1" spans="1:9">
      <c r="A62" s="1">
        <v>38</v>
      </c>
      <c r="B62" s="9" t="s">
        <v>195</v>
      </c>
      <c r="C62" s="1" t="s">
        <v>124</v>
      </c>
      <c r="D62" s="1">
        <v>30</v>
      </c>
      <c r="E62" s="1" t="s">
        <v>629</v>
      </c>
      <c r="G62" s="1" t="s">
        <v>483</v>
      </c>
      <c r="H62" s="1" t="s">
        <v>545</v>
      </c>
      <c r="I62" s="1" t="s">
        <v>497</v>
      </c>
    </row>
    <row r="63" spans="3:3">
      <c r="C63" s="1" t="s">
        <v>124</v>
      </c>
    </row>
    <row r="64" ht="17.6" customHeight="1" spans="1:9">
      <c r="A64" s="1">
        <v>39</v>
      </c>
      <c r="B64" s="7" t="s">
        <v>199</v>
      </c>
      <c r="C64" s="1" t="s">
        <v>85</v>
      </c>
      <c r="D64" s="1">
        <v>50</v>
      </c>
      <c r="E64" s="1" t="s">
        <v>630</v>
      </c>
      <c r="G64" s="1" t="s">
        <v>483</v>
      </c>
      <c r="H64" s="1" t="s">
        <v>528</v>
      </c>
      <c r="I64" s="1" t="s">
        <v>485</v>
      </c>
    </row>
    <row r="65" spans="3:3">
      <c r="C65" s="1" t="s">
        <v>85</v>
      </c>
    </row>
    <row r="66" spans="3:3">
      <c r="C66" s="1" t="s">
        <v>85</v>
      </c>
    </row>
    <row r="67" ht="17.6" customHeight="1" spans="1:9">
      <c r="A67" s="1">
        <v>40</v>
      </c>
      <c r="B67" s="9" t="s">
        <v>203</v>
      </c>
      <c r="C67" s="1" t="s">
        <v>85</v>
      </c>
      <c r="D67" s="1">
        <v>40</v>
      </c>
      <c r="E67" s="1" t="s">
        <v>631</v>
      </c>
      <c r="G67" s="1" t="s">
        <v>496</v>
      </c>
      <c r="H67" s="1" t="s">
        <v>528</v>
      </c>
      <c r="I67" s="1" t="s">
        <v>497</v>
      </c>
    </row>
    <row r="68" spans="3:3">
      <c r="C68" s="1" t="s">
        <v>85</v>
      </c>
    </row>
    <row r="69" spans="3:3">
      <c r="C69" s="1" t="s">
        <v>85</v>
      </c>
    </row>
    <row r="70" ht="17.6" customHeight="1" spans="1:9">
      <c r="A70" s="1">
        <v>41</v>
      </c>
      <c r="B70" s="11" t="s">
        <v>208</v>
      </c>
      <c r="C70" s="1" t="s">
        <v>124</v>
      </c>
      <c r="D70" s="1">
        <v>30</v>
      </c>
      <c r="E70" s="1" t="s">
        <v>632</v>
      </c>
      <c r="G70" s="1" t="s">
        <v>502</v>
      </c>
      <c r="H70" s="1" t="s">
        <v>545</v>
      </c>
      <c r="I70" s="1" t="s">
        <v>490</v>
      </c>
    </row>
    <row r="71" spans="3:3">
      <c r="C71" s="1" t="s">
        <v>124</v>
      </c>
    </row>
    <row r="72" ht="17.6" customHeight="1" spans="1:9">
      <c r="A72" s="1">
        <v>42</v>
      </c>
      <c r="B72" s="13" t="s">
        <v>212</v>
      </c>
      <c r="C72" s="1" t="s">
        <v>85</v>
      </c>
      <c r="D72" s="1">
        <v>20</v>
      </c>
      <c r="E72" s="1" t="s">
        <v>633</v>
      </c>
      <c r="G72" s="1" t="s">
        <v>496</v>
      </c>
      <c r="H72" s="1" t="s">
        <v>528</v>
      </c>
      <c r="I72" s="1" t="s">
        <v>497</v>
      </c>
    </row>
    <row r="73" spans="3:3">
      <c r="C73" s="1" t="s">
        <v>215</v>
      </c>
    </row>
    <row r="74" ht="17.6" customHeight="1" spans="1:9">
      <c r="A74" s="1">
        <v>43</v>
      </c>
      <c r="B74" s="14" t="s">
        <v>217</v>
      </c>
      <c r="C74" s="1" t="s">
        <v>219</v>
      </c>
      <c r="D74" s="1">
        <v>30</v>
      </c>
      <c r="E74" s="1" t="s">
        <v>634</v>
      </c>
      <c r="G74" s="1" t="s">
        <v>502</v>
      </c>
      <c r="H74" s="1" t="s">
        <v>528</v>
      </c>
      <c r="I74" s="1" t="s">
        <v>485</v>
      </c>
    </row>
    <row r="75" spans="3:3">
      <c r="C75" s="1" t="s">
        <v>85</v>
      </c>
    </row>
    <row r="76" ht="17.6" customHeight="1" spans="1:12">
      <c r="A76" s="1">
        <v>44</v>
      </c>
      <c r="B76" s="15" t="s">
        <v>222</v>
      </c>
      <c r="C76" s="1" t="s">
        <v>85</v>
      </c>
      <c r="D76" s="1">
        <v>40</v>
      </c>
      <c r="E76" s="1" t="s">
        <v>635</v>
      </c>
      <c r="G76" s="1" t="s">
        <v>502</v>
      </c>
      <c r="H76" s="1" t="s">
        <v>545</v>
      </c>
      <c r="I76" s="1" t="s">
        <v>490</v>
      </c>
      <c r="J76" s="14"/>
      <c r="K76" s="16"/>
      <c r="L76" s="16"/>
    </row>
    <row r="77" ht="17.6" customHeight="1" spans="3:11">
      <c r="C77" s="1" t="s">
        <v>215</v>
      </c>
      <c r="K77" s="16"/>
    </row>
    <row r="78" ht="17.6" customHeight="1" spans="3:12">
      <c r="C78" s="1" t="s">
        <v>215</v>
      </c>
      <c r="K78" s="16"/>
      <c r="L78" s="16"/>
    </row>
    <row r="79" ht="17.6" customHeight="1" spans="1:9">
      <c r="A79" s="1">
        <v>45</v>
      </c>
      <c r="B79" s="15" t="s">
        <v>227</v>
      </c>
      <c r="C79" s="1" t="s">
        <v>124</v>
      </c>
      <c r="D79" s="1">
        <v>100</v>
      </c>
      <c r="E79" s="1" t="s">
        <v>636</v>
      </c>
      <c r="G79" s="1" t="s">
        <v>475</v>
      </c>
      <c r="H79" s="1" t="s">
        <v>621</v>
      </c>
      <c r="I79" s="1" t="s">
        <v>490</v>
      </c>
    </row>
    <row r="80" spans="3:3">
      <c r="C80" s="1" t="s">
        <v>124</v>
      </c>
    </row>
    <row r="81" ht="17.6" customHeight="1" spans="3:11">
      <c r="C81" s="1" t="s">
        <v>124</v>
      </c>
      <c r="K81" s="16"/>
    </row>
    <row r="82" ht="17.6" customHeight="1" spans="3:12">
      <c r="C82" s="1" t="s">
        <v>230</v>
      </c>
      <c r="J82" s="16"/>
      <c r="K82" s="16"/>
      <c r="L82" s="16"/>
    </row>
    <row r="83" ht="17.6" customHeight="1" spans="3:12">
      <c r="C83" s="1" t="s">
        <v>230</v>
      </c>
      <c r="J83" s="16"/>
      <c r="K83" s="16"/>
      <c r="L83" s="16"/>
    </row>
    <row r="84" ht="17.6" customHeight="1" spans="1:12">
      <c r="A84" s="1">
        <v>46</v>
      </c>
      <c r="B84" s="15" t="s">
        <v>232</v>
      </c>
      <c r="C84" s="1" t="s">
        <v>124</v>
      </c>
      <c r="D84" s="1">
        <v>80</v>
      </c>
      <c r="E84" s="1" t="s">
        <v>637</v>
      </c>
      <c r="G84" s="1" t="s">
        <v>502</v>
      </c>
      <c r="H84" s="1" t="s">
        <v>621</v>
      </c>
      <c r="I84" s="1" t="s">
        <v>485</v>
      </c>
      <c r="J84" s="16"/>
      <c r="K84" s="16"/>
      <c r="L84" s="16"/>
    </row>
    <row r="85" ht="17.6" customHeight="1" spans="3:12">
      <c r="C85" s="1" t="s">
        <v>124</v>
      </c>
      <c r="J85" s="16"/>
      <c r="K85" s="16"/>
      <c r="L85" s="16"/>
    </row>
    <row r="86" ht="17.6" customHeight="1" spans="3:12">
      <c r="C86" s="1" t="s">
        <v>124</v>
      </c>
      <c r="J86" s="16"/>
      <c r="K86" s="16"/>
      <c r="L86" s="16"/>
    </row>
    <row r="87" ht="17.6" customHeight="1" spans="1:12">
      <c r="A87" s="1">
        <v>47</v>
      </c>
      <c r="B87" s="13" t="s">
        <v>237</v>
      </c>
      <c r="C87" s="1" t="s">
        <v>239</v>
      </c>
      <c r="D87" s="1">
        <v>140</v>
      </c>
      <c r="E87" s="1" t="s">
        <v>638</v>
      </c>
      <c r="G87" s="1" t="s">
        <v>475</v>
      </c>
      <c r="H87" s="1" t="s">
        <v>621</v>
      </c>
      <c r="I87" s="1" t="s">
        <v>497</v>
      </c>
      <c r="K87" s="16"/>
      <c r="L87" s="16"/>
    </row>
    <row r="88" spans="3:3">
      <c r="C88" s="1" t="s">
        <v>239</v>
      </c>
    </row>
    <row r="89" spans="3:3">
      <c r="C89" s="1" t="s">
        <v>241</v>
      </c>
    </row>
    <row r="90" spans="3:3">
      <c r="C90" s="1" t="s">
        <v>241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4:R12"/>
  <sheetViews>
    <sheetView workbookViewId="0">
      <selection activeCell="T4" sqref="T4"/>
    </sheetView>
  </sheetViews>
  <sheetFormatPr defaultColWidth="9.23076923076923" defaultRowHeight="45" customHeight="1"/>
  <cols>
    <col min="1" max="16384" width="9.23076923076923" style="1" customWidth="1"/>
  </cols>
  <sheetData>
    <row r="4" customHeight="1" spans="8:18">
      <c r="H4" s="2"/>
      <c r="I4" s="2"/>
      <c r="J4" s="3"/>
      <c r="K4" s="3"/>
      <c r="L4" s="3"/>
      <c r="M4" s="3" t="s">
        <v>639</v>
      </c>
      <c r="N4" s="3" t="s">
        <v>639</v>
      </c>
      <c r="O4" s="3" t="s">
        <v>639</v>
      </c>
      <c r="P4" s="3" t="s">
        <v>639</v>
      </c>
      <c r="Q4" s="3"/>
      <c r="R4" s="3"/>
    </row>
    <row r="5" customHeight="1" spans="8:18">
      <c r="H5" s="2"/>
      <c r="I5" s="2"/>
      <c r="J5" s="3"/>
      <c r="K5" s="3"/>
      <c r="L5" s="3"/>
      <c r="M5" s="3" t="s">
        <v>639</v>
      </c>
      <c r="N5" s="3" t="s">
        <v>639</v>
      </c>
      <c r="O5" s="3" t="s">
        <v>640</v>
      </c>
      <c r="P5" s="3" t="s">
        <v>640</v>
      </c>
      <c r="Q5" s="3" t="s">
        <v>641</v>
      </c>
      <c r="R5" s="3"/>
    </row>
    <row r="6" customHeight="1" spans="8:18">
      <c r="H6" s="2"/>
      <c r="I6" s="2"/>
      <c r="J6" s="3" t="s">
        <v>642</v>
      </c>
      <c r="K6" s="3" t="s">
        <v>642</v>
      </c>
      <c r="L6" s="3" t="s">
        <v>642</v>
      </c>
      <c r="M6" s="4" t="s">
        <v>643</v>
      </c>
      <c r="N6" s="4" t="s">
        <v>643</v>
      </c>
      <c r="O6" s="3" t="s">
        <v>644</v>
      </c>
      <c r="P6" s="5"/>
      <c r="Q6" s="3" t="s">
        <v>645</v>
      </c>
      <c r="R6" s="3" t="s">
        <v>642</v>
      </c>
    </row>
    <row r="7" customHeight="1" spans="8:18">
      <c r="H7" s="2"/>
      <c r="I7" s="2"/>
      <c r="J7" s="3" t="s">
        <v>642</v>
      </c>
      <c r="K7" s="3" t="s">
        <v>642</v>
      </c>
      <c r="L7" s="3" t="s">
        <v>646</v>
      </c>
      <c r="M7" s="4" t="s">
        <v>644</v>
      </c>
      <c r="N7" s="4" t="s">
        <v>644</v>
      </c>
      <c r="O7" s="3" t="s">
        <v>644</v>
      </c>
      <c r="P7" s="5"/>
      <c r="Q7" s="3" t="s">
        <v>645</v>
      </c>
      <c r="R7" s="3" t="s">
        <v>642</v>
      </c>
    </row>
    <row r="8" customHeight="1" spans="8:18">
      <c r="H8" s="3" t="s">
        <v>642</v>
      </c>
      <c r="I8" s="3" t="s">
        <v>642</v>
      </c>
      <c r="J8" s="3" t="s">
        <v>642</v>
      </c>
      <c r="K8" s="3" t="s">
        <v>642</v>
      </c>
      <c r="L8" s="3" t="s">
        <v>645</v>
      </c>
      <c r="M8" s="5"/>
      <c r="N8" s="5"/>
      <c r="O8" s="5"/>
      <c r="P8" s="5"/>
      <c r="Q8" s="3" t="s">
        <v>645</v>
      </c>
      <c r="R8" s="3" t="s">
        <v>642</v>
      </c>
    </row>
    <row r="9" customHeight="1" spans="8:18">
      <c r="H9" s="3"/>
      <c r="I9" s="3"/>
      <c r="J9" s="3"/>
      <c r="K9" s="3"/>
      <c r="L9" s="3" t="s">
        <v>641</v>
      </c>
      <c r="M9" s="3" t="s">
        <v>640</v>
      </c>
      <c r="N9" s="3" t="s">
        <v>640</v>
      </c>
      <c r="O9" s="3" t="s">
        <v>640</v>
      </c>
      <c r="P9" s="3" t="s">
        <v>640</v>
      </c>
      <c r="Q9" s="3" t="s">
        <v>641</v>
      </c>
      <c r="R9" s="3"/>
    </row>
    <row r="10" customHeight="1" spans="8:18">
      <c r="H10" s="3"/>
      <c r="I10" s="3"/>
      <c r="J10" s="3"/>
      <c r="K10" s="3"/>
      <c r="L10" s="3"/>
      <c r="M10" s="3" t="s">
        <v>639</v>
      </c>
      <c r="N10" s="3" t="s">
        <v>639</v>
      </c>
      <c r="O10" s="3" t="s">
        <v>639</v>
      </c>
      <c r="P10" s="3" t="s">
        <v>639</v>
      </c>
      <c r="Q10" s="3"/>
      <c r="R10" s="3"/>
    </row>
    <row r="11" customHeight="1" spans="8:18">
      <c r="H11" s="2"/>
      <c r="I11" s="2"/>
      <c r="J11" s="2"/>
      <c r="K11" s="2"/>
      <c r="L11" s="2"/>
      <c r="M11" s="3" t="s">
        <v>639</v>
      </c>
      <c r="N11" s="3" t="s">
        <v>639</v>
      </c>
      <c r="O11" s="2"/>
      <c r="P11" s="2"/>
      <c r="Q11" s="2"/>
      <c r="R11" s="2"/>
    </row>
    <row r="12" customHeight="1" spans="8:18">
      <c r="H12" s="2"/>
      <c r="I12" s="2"/>
      <c r="J12" s="2"/>
      <c r="K12" s="2"/>
      <c r="L12" s="2"/>
      <c r="M12" s="3" t="s">
        <v>639</v>
      </c>
      <c r="N12" s="3" t="s">
        <v>639</v>
      </c>
      <c r="O12" s="2"/>
      <c r="P12" s="2"/>
      <c r="Q12" s="2"/>
      <c r="R1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dish_base</vt:lpstr>
      <vt:lpstr>dish_variant</vt:lpstr>
      <vt:lpstr>skill</vt:lpstr>
      <vt:lpstr>flavor</vt:lpstr>
      <vt:lpstr>cake_layer_buff</vt:lpstr>
      <vt:lpstr>sub_skill</vt:lpstr>
      <vt:lpstr>食物设计</vt:lpstr>
      <vt:lpstr>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hcm-b0451</cp:lastModifiedBy>
  <dcterms:created xsi:type="dcterms:W3CDTF">2026-06-26T07:56:00Z</dcterms:created>
  <dcterms:modified xsi:type="dcterms:W3CDTF">2026-07-08T18:02:49Z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51868BB2FBB172E5BEC04D6A16882776_42</vt:lpwstr>
  </property>
  <property fmtid="{D5CDD505-2E9C-101B-9397-08002B2CF9AE}" pid="3" name="KSOProductBuildVer">
    <vt:lpwstr>2052-6.1.0.8274</vt:lpwstr>
  </property>
  <property fmtid="{D5CDD505-2E9C-101B-9397-08002B2CF9AE}" pid="4" name="KSOReadingLayout">
    <vt:bool>true</vt:bool>
  </property>
</Properties>
</file>