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<sst xmlns="http://schemas.openxmlformats.org/spreadsheetml/2006/main" count="2845" uniqueCount="674">
  <si>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</si>
  <si>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</si>
  <si>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</si>
  <si>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</si>
  <si>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</si>
  <si>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</si>
  <si>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</si>
  <si>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</si>
  <si>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</si>
  <si>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</si>
  <si>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</si>
  <si>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</si>
  <si>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</si>
  <si>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</si>
  <si>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</si>
  <si>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</si>
  <si>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</si>
  <si>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</si>
  <si>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</si>
  <si>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</si>
  <si>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</si>
  <si>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</si>
  <si>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</si>
  <si>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</si>
  <si>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</si>
  <si>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</si>
  <si>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</si>
  <si>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</si>
  <si>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</si>
  <si>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</si>
  <si>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</si>
  <si>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</si>
  <si>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</si>
  <si>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</si>
  <si>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</si>
  <si>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</si>
  <si>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</si>
  <si>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</si>
  <si>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</si>
  <si>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</si>
  <si>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</si>
  <si>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</si>
  <si>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</si>
  <si>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</si>
  <si>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</si>
  <si>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</si>
  <si>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</si>
  <si>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</si>
  <si>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</si>
  <si>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</si>
  <si>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</si>
  <si>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</si>
  <si>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</si>
  <si>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</si>
  <si>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</si>
  <si>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</si>
  <si>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</si>
  <si>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</si>
  <si>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</si>
  <si>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</si>
  <si>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</si>
  <si>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</si>
  <si>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</si>
  <si>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</si>
  <si>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</si>
  <si>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</si>
  <si>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</si>
  <si>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</si>
  <si>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</si>
  <si>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</si>
  <si>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</si>
  <si>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</si>
  <si>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</si>
  <si>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</si>
  <si>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</si>
  <si>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</si>
  <si>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</si>
  <si>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</si>
  <si>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</si>
  <si>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</si>
  <si>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</si>
  <si>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</si>
  <si>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</si>
  <si>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</si>
  <si>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</si>
  <si>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</si>
  <si>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</si>
  <si>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</si>
  <si>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</si>
  <si>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</si>
  <si>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</si>
  <si>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</si>
  <si>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</si>
  <si>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</si>
  <si>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</si>
  <si>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</si>
  <si>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</si>
  <si>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</si>
  <si>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</si>
  <si>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</si>
  <si>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</si>
  <si>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</si>
  <si>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</si>
  <si>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</si>
  <si>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</si>
  <si>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</si>
  <si>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</si>
  <si>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</si>
  <si>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</si>
  <si>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</si>
  <si>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</si>
  <si>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</si>
  <si>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</si>
  <si>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</si>
  <si>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</si>
  <si>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</si>
  <si>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</si>
  <si>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</si>
  <si>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</si>
  <si>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</si>
  <si>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</si>
  <si>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</si>
  <si>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</si>
  <si>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</si>
  <si>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</si>
  <si>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</si>
  <si>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</si>
  <si>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</si>
  <si>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</si>
  <si>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</si>
  <si>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</si>
  <si>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</si>
  <si>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</si>
  <si>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</si>
  <si>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</si>
  <si>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</si>
  <si>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</si>
  <si>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</si>
  <si>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</si>
  <si>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</si>
  <si>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</si>
  <si>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</si>
  <si>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</si>
  <si>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</si>
  <si>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</si>
  <si>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</si>
  <si>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</si>
  <si>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</si>
  <si>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</si>
  <si>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</si>
  <si>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</si>
  <si>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</si>
  <si>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</si>
  <si>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</si>
  <si>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</si>
  <si>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</si>
  <si>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</si>
  <si>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</si>
  <si>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</si>
  <si>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</si>
  <si>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</si>
  <si>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</si>
  <si>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</si>
  <si>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</si>
  <si>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</si>
  <si>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</si>
  <si>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</si>
  <si>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</si>
  <si>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</si>
  <si>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</si>
  <si>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</si>
  <si>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</si>
  <si>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</si>
  <si>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</si>
  <si>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</si>
  <si>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</si>
  <si>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</si>
  <si>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</si>
  <si>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</si>
  <si>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</si>
  <si>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</si>
  <si>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</si>
  <si>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</si>
  <si>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</si>
  <si>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</si>
  <si>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</si>
  <si>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</si>
  <si>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</si>
  <si>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</si>
  <si>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</si>
  <si>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</si>
  <si>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</si>
  <si>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</si>
  <si>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</si>
  <si>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</si>
  <si>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</si>
  <si>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</si>
  <si>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</si>
  <si>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</si>
  <si>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</si>
  <si>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</si>
  <si>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</si>
  <si>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</si>
  <si>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</si>
  <si>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</si>
  <si>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</si>
  <si>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</si>
  <si>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</si>
  <si>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</si>
  <si>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</si>
  <si>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</si>
  <si>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</si>
  <si>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</si>
  <si>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</si>
  <si>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</si>
  <si>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</si>
  <si>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</si>
  <si>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</si>
  <si>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</si>
  <si>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</si>
  <si>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</si>
  <si>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</si>
  <si>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</si>
  <si>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</si>
  <si>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</si>
  <si>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</si>
  <si>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</si>
  <si>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</si>
  <si>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</si>
  <si>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</si>
  <si>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</si>
  <si>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</si>
  <si>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</t>
  </si>
  <si>
    <t>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</si>
  <si>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</si>
  <si>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</si>
  <si>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</si>
  <si>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</si>
  <si>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</si>
  <si>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</si>
  <si>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</si>
  <si>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</si>
  <si>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</si>
  <si>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</si>
  <si>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</si>
  <si>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</si>
  <si>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</si>
  <si>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</si>
  <si>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</si>
  <si>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</si>
  <si>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</si>
  <si>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</si>
  <si>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</si>
  <si>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</si>
  <si>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</si>
  <si>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</si>
  <si>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</si>
  <si>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</si>
  <si>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</si>
  <si>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</si>
  <si>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</si>
  <si>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</si>
  <si>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</si>
  <si>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</si>
  <si>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</si>
  <si>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</si>
  <si>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</si>
  <si>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</si>
  <si>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</si>
  <si>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</si>
  <si>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</si>
  <si>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</si>
  <si>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</si>
  <si>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</si>
  <si>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</si>
  <si>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</si>
  <si>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</si>
  <si>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</si>
  <si>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</si>
  <si>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</si>
  <si>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</si>
  <si>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</si>
  <si>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</si>
  <si>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</si>
  <si>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</si>
  <si>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</si>
  <si>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</si>
  <si>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</si>
  <si>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</si>
  <si>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</si>
  <si>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</si>
  <si>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</si>
  <si>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</si>
  <si>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</si>
  <si>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</si>
  <si>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</si>
  <si>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</si>
  <si>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</si>
  <si>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</si>
  <si>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</si>
  <si>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</si>
  <si>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</si>
  <si>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</si>
  <si>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</si>
  <si>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</si>
  <si>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</si>
  <si>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</si>
  <si>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</si>
  <si>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</si>
  <si>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</si>
  <si>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</si>
  <si>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</si>
  <si>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</si>
  <si>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</si>
  <si>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</si>
  <si>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</si>
  <si>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</si>
  <si>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</si>
  <si>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</si>
  <si>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</si>
  <si>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</si>
  <si>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</si>
  <si>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</si>
  <si>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</si>
  <si>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</si>
  <si>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</si>
  <si>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</si>
  <si>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</si>
  <si>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</si>
  <si>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</si>
  <si>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</si>
  <si>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</si>
  <si>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</si>
  <si>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</si>
  <si>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</si>
  <si>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</si>
  <si>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</si>
  <si>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</si>
  <si>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</si>
  <si>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</si>
  <si>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</si>
  <si>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</si>
  <si>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</si>
  <si>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</si>
  <si>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</si>
  <si>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</si>
  <si>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</si>
  <si>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</si>
  <si>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</si>
  <si>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</si>
  <si>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</si>
  <si>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</si>
  <si>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</si>
  <si>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</si>
  <si>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</si>
  <si>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</si>
  <si>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</si>
  <si>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</si>
  <si>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</si>
  <si>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</si>
  <si>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</si>
  <si>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</si>
  <si>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</si>
  <si>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</si>
  <si>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</si>
  <si>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</si>
  <si>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</si>
  <si>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</si>
  <si>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</si>
  <si>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</si>
  <si>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</si>
  <si>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</si>
  <si>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</si>
  <si>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</si>
  <si>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</si>
  <si>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</si>
  <si>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</si>
  <si>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</si>
  <si>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</si>
  <si>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</si>
  <si>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</si>
  <si>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</si>
  <si>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</si>
  <si>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</si>
  <si>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</si>
  <si>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</si>
  <si>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</si>
  <si>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</si>
  <si>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</si>
  <si>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</si>
  <si>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</si>
  <si>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</si>
  <si>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</si>
  <si>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</si>
  <si>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</si>
  <si>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</si>
  <si>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</si>
  <si>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</si>
  <si>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</si>
  <si>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</si>
  <si>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</si>
  <si>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</si>
  <si>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</si>
  <si>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</si>
  <si>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</si>
  <si>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</si>
  <si>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</si>
  <si>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</si>
  <si>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</si>
  <si>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</si>
  <si>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</si>
  <si>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</si>
  <si>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</si>
  <si>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</si>
  <si>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</si>
  <si>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</si>
  <si>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</si>
  <si>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ss_shape_mult_adj_v1p5</t>
  </si>
  <si>
    <t>ShapeMatch</t>
  </si>
  <si>
    <t>1x1</t>
  </si>
  <si>
    <t>{cscope}有占 1 格的食物时
{ascope}倍率 ×{0}</t>
  </si>
  <si>
    <t>ss_transfer_col_n2</t>
  </si>
  <si>
    <t>Column</t>
  </si>
  <si>
    <t>ss_mult_per_dish_adj_v1p2</t>
  </si>
  <si>
    <t>{cscope}每有 1 {unit}食物
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</si>
  <si>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</si>
  <si>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</si>
  <si>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</si>
  <si>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</si>
  <si>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</si>
  <si>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
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</si>
  <si>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</si>
  <si>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</si>
  <si>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</si>
  <si>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</si>
  <si>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</si>
  <si>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</si>
  <si>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</si>
  <si>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</si>
  <si>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</si>
  <si>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</si>
  <si>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</si>
  <si>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</si>
  <si>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</si>
  <si>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</si>
  <si>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</si>
  <si>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</si>
  <si>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</si>
  <si>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</si>
  <si>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</si>
  <si>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</si>
  <si>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</si>
  <si>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</si>
  <si>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</si>
  <si>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</si>
  <si>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ss_count_as_base_v4</t>
  </si>
  <si>
    <t>ss_mult_v3</t>
  </si>
  <si>
    <t>ss_count_as_filled_row_v9</t>
  </si>
  <si>
    <t>若{cscope}被填满
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</si>
  <si>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</si>
  <si>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</si>
  <si>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</si>
  <si>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</si>
  <si>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</si>
  <si>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</si>
  <si>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
（每个{cat} {0} 分）</t>
  </si>
  <si>
    <t>ss_layer_add_v15</t>
  </si>
  <si>
    <t>ss_multflat_per_tag_v5</t>
  </si>
  <si>
    <t>{cscope}每有 1 个技能
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</si>
  <si>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</si>
  <si>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</si>
  <si>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</si>
  <si>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</si>
  <si>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</si>
  <si>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</si>
  <si>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</si>
  <si>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</si>
  <si>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</si>
  <si>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</si>
  <si>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</si>
  <si>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</si>
  <si>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</si>
  <si>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</si>
  <si>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</si>
  <si>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</si>
  <si>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</si>
  <si>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</si>
  <si>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</si>
  <si>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</si>
  <si>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</si>
  <si>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</si>
  <si>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</si>
  <si>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</si>
  <si>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
各执行一次它们的甜蜜传递</t>
  </si>
  <si>
    <t>ss_mult_per_tag_v1p5</t>
  </si>
  <si>
    <t>{cscope}每有 1 个技能
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</si>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</sst>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topLeftCell="A61" workbookViewId="0">
      <selection activeCell="L80" sqref="L80:M9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1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1" t="s">
        <v>29</v>
      </c>
      <c r="C5" s="1" t="s">
        <v>30</v>
      </c>
      <c r="D5" s="1">
        <v>8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8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6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6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4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6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8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10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8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14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16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15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2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2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2" t="s">
        <v>112</v>
      </c>
    </row>
    <row r="30" spans="2:15">
      <c r="B30" s="1" t="s">
        <v>113</v>
      </c>
      <c r="C30" s="1" t="s">
        <v>114</v>
      </c>
      <c r="D30" s="1">
        <v>40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20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30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20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25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20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20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50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30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50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40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30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20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30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50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40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30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20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100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2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2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2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2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2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80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2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2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2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140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2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2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2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2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2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tabSelected="1" topLeftCell="A308" workbookViewId="0">
      <selection activeCell="G4" sqref="G4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120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120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120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120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120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90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120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90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120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120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60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90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90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90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90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90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90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60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60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90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90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90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90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90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90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90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60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60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60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60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60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60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90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60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60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90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60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60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90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90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60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90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90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60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60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60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60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120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120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120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120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120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90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120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90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120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120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60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90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90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90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90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90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90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60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60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90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90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90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90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90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90</v>
      </c>
      <c r="F75" s="1">
        <f>VLOOKUP(C75,dish_base!$B$4:$O$92,14,FALSE)</f>
        <v>80</v>
      </c>
      <c r="G75" s="22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90</v>
      </c>
      <c r="F76" s="1">
        <f>VLOOKUP(C76,dish_base!$B$4:$O$92,14,FALSE)</f>
        <v>90</v>
      </c>
      <c r="G76" s="22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60</v>
      </c>
      <c r="F77" s="1">
        <f>VLOOKUP(C77,dish_base!$B$4:$O$92,14,FALSE)</f>
        <v>90</v>
      </c>
      <c r="G77" s="22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60</v>
      </c>
      <c r="F78" s="1">
        <f>VLOOKUP(C78,dish_base!$B$4:$O$92,14,FALSE)</f>
        <v>90</v>
      </c>
      <c r="G78" s="22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60</v>
      </c>
      <c r="F79" s="1">
        <f>VLOOKUP(C79,dish_base!$B$4:$O$92,14,FALSE)</f>
        <v>90</v>
      </c>
      <c r="G79" s="22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60</v>
      </c>
      <c r="F80" s="1">
        <f>VLOOKUP(C80,dish_base!$B$4:$O$92,14,FALSE)</f>
        <v>90</v>
      </c>
      <c r="G80" s="22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60</v>
      </c>
      <c r="F81" s="1">
        <f>VLOOKUP(C81,dish_base!$B$4:$O$92,14,FALSE)</f>
        <v>90</v>
      </c>
      <c r="G81" s="22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60</v>
      </c>
      <c r="F82" s="1">
        <f>VLOOKUP(C82,dish_base!$B$4:$O$92,14,FALSE)</f>
        <v>90</v>
      </c>
      <c r="G82" s="22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90</v>
      </c>
      <c r="F83" s="1">
        <f>VLOOKUP(C83,dish_base!$B$4:$O$92,14,FALSE)</f>
        <v>90</v>
      </c>
      <c r="G83" s="22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60</v>
      </c>
      <c r="F84" s="1">
        <f>VLOOKUP(C84,dish_base!$B$4:$O$92,14,FALSE)</f>
        <v>120</v>
      </c>
      <c r="G84" s="22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60</v>
      </c>
      <c r="F85" s="1">
        <f>VLOOKUP(C85,dish_base!$B$4:$O$92,14,FALSE)</f>
        <v>120</v>
      </c>
      <c r="G85" s="22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90</v>
      </c>
      <c r="F86" s="1">
        <f>VLOOKUP(C86,dish_base!$B$4:$O$92,14,FALSE)</f>
        <v>120</v>
      </c>
      <c r="G86" s="22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60</v>
      </c>
      <c r="F87" s="1">
        <f>VLOOKUP(C87,dish_base!$B$4:$O$92,14,FALSE)</f>
        <v>120</v>
      </c>
      <c r="G87" s="22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60</v>
      </c>
      <c r="F88" s="1">
        <f>VLOOKUP(C88,dish_base!$B$4:$O$92,14,FALSE)</f>
        <v>120</v>
      </c>
      <c r="G88" s="22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90</v>
      </c>
      <c r="F89" s="1">
        <f>VLOOKUP(C89,dish_base!$B$4:$O$92,14,FALSE)</f>
        <v>120</v>
      </c>
      <c r="G89" s="22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90</v>
      </c>
      <c r="F90" s="1">
        <f>VLOOKUP(C90,dish_base!$B$4:$O$92,14,FALSE)</f>
        <v>120</v>
      </c>
      <c r="G90" s="22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60</v>
      </c>
      <c r="F91" s="1">
        <f>VLOOKUP(C91,dish_base!$B$4:$O$92,14,FALSE)</f>
        <v>120</v>
      </c>
      <c r="G91" s="22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90</v>
      </c>
      <c r="F92" s="1">
        <f>VLOOKUP(C92,dish_base!$B$4:$O$92,14,FALSE)</f>
        <v>80</v>
      </c>
      <c r="G92" s="22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90</v>
      </c>
      <c r="F93" s="1">
        <f>VLOOKUP(C93,dish_base!$B$4:$O$92,14,FALSE)</f>
        <v>80</v>
      </c>
      <c r="G93" s="22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60</v>
      </c>
      <c r="F94" s="1">
        <f>VLOOKUP(C94,dish_base!$B$4:$O$92,14,FALSE)</f>
        <v>90</v>
      </c>
      <c r="G94" s="22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60</v>
      </c>
      <c r="F95" s="1">
        <f>VLOOKUP(C95,dish_base!$B$4:$O$92,14,FALSE)</f>
        <v>190</v>
      </c>
      <c r="G95" s="22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60</v>
      </c>
      <c r="F96" s="1">
        <f>VLOOKUP(C96,dish_base!$B$4:$O$92,14,FALSE)</f>
        <v>160</v>
      </c>
      <c r="G96" s="22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60</v>
      </c>
      <c r="F97" s="1">
        <f>VLOOKUP(C97,dish_base!$B$4:$O$92,14,FALSE)</f>
        <v>260</v>
      </c>
      <c r="G97" s="22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120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120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120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120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120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90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120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90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120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120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60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90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90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90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90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90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90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60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60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90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90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90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90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90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90</v>
      </c>
      <c r="F122" s="1">
        <f>VLOOKUP(C122,dish_base!$B$4:$O$92,14,FALSE)</f>
        <v>80</v>
      </c>
      <c r="G122" s="22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90</v>
      </c>
      <c r="F123" s="1">
        <f>VLOOKUP(C123,dish_base!$B$4:$O$92,14,FALSE)</f>
        <v>90</v>
      </c>
      <c r="G123" s="22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60</v>
      </c>
      <c r="F124" s="1">
        <f>VLOOKUP(C124,dish_base!$B$4:$O$92,14,FALSE)</f>
        <v>90</v>
      </c>
      <c r="G124" s="22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60</v>
      </c>
      <c r="F125" s="1">
        <f>VLOOKUP(C125,dish_base!$B$4:$O$92,14,FALSE)</f>
        <v>90</v>
      </c>
      <c r="G125" s="22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60</v>
      </c>
      <c r="F126" s="1">
        <f>VLOOKUP(C126,dish_base!$B$4:$O$92,14,FALSE)</f>
        <v>90</v>
      </c>
      <c r="G126" s="22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60</v>
      </c>
      <c r="F127" s="1">
        <f>VLOOKUP(C127,dish_base!$B$4:$O$92,14,FALSE)</f>
        <v>90</v>
      </c>
      <c r="G127" s="22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60</v>
      </c>
      <c r="F128" s="1">
        <f>VLOOKUP(C128,dish_base!$B$4:$O$92,14,FALSE)</f>
        <v>90</v>
      </c>
      <c r="G128" s="22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60</v>
      </c>
      <c r="F129" s="1">
        <f>VLOOKUP(C129,dish_base!$B$4:$O$92,14,FALSE)</f>
        <v>90</v>
      </c>
      <c r="G129" s="22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90</v>
      </c>
      <c r="F130" s="1">
        <f>VLOOKUP(C130,dish_base!$B$4:$O$92,14,FALSE)</f>
        <v>90</v>
      </c>
      <c r="G130" s="22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60</v>
      </c>
      <c r="F131" s="1">
        <f>VLOOKUP(C131,dish_base!$B$4:$O$92,14,FALSE)</f>
        <v>120</v>
      </c>
      <c r="G131" s="22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60</v>
      </c>
      <c r="F132" s="1">
        <f>VLOOKUP(C132,dish_base!$B$4:$O$92,14,FALSE)</f>
        <v>120</v>
      </c>
      <c r="G132" s="22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90</v>
      </c>
      <c r="F133" s="1">
        <f>VLOOKUP(C133,dish_base!$B$4:$O$92,14,FALSE)</f>
        <v>120</v>
      </c>
      <c r="G133" s="22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60</v>
      </c>
      <c r="F134" s="1">
        <f>VLOOKUP(C134,dish_base!$B$4:$O$92,14,FALSE)</f>
        <v>120</v>
      </c>
      <c r="G134" s="22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60</v>
      </c>
      <c r="F135" s="1">
        <f>VLOOKUP(C135,dish_base!$B$4:$O$92,14,FALSE)</f>
        <v>120</v>
      </c>
      <c r="G135" s="22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90</v>
      </c>
      <c r="F136" s="1">
        <f>VLOOKUP(C136,dish_base!$B$4:$O$92,14,FALSE)</f>
        <v>120</v>
      </c>
      <c r="G136" s="22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90</v>
      </c>
      <c r="F137" s="1">
        <f>VLOOKUP(C137,dish_base!$B$4:$O$92,14,FALSE)</f>
        <v>120</v>
      </c>
      <c r="G137" s="22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60</v>
      </c>
      <c r="F138" s="1">
        <f>VLOOKUP(C138,dish_base!$B$4:$O$92,14,FALSE)</f>
        <v>120</v>
      </c>
      <c r="G138" s="22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90</v>
      </c>
      <c r="F139" s="1">
        <f>VLOOKUP(C139,dish_base!$B$4:$O$92,14,FALSE)</f>
        <v>80</v>
      </c>
      <c r="G139" s="22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90</v>
      </c>
      <c r="F140" s="1">
        <f>VLOOKUP(C140,dish_base!$B$4:$O$92,14,FALSE)</f>
        <v>80</v>
      </c>
      <c r="G140" s="22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60</v>
      </c>
      <c r="F141" s="1">
        <f>VLOOKUP(C141,dish_base!$B$4:$O$92,14,FALSE)</f>
        <v>90</v>
      </c>
      <c r="G141" s="22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60</v>
      </c>
      <c r="F142" s="1">
        <f>VLOOKUP(C142,dish_base!$B$4:$O$92,14,FALSE)</f>
        <v>190</v>
      </c>
      <c r="G142" s="22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60</v>
      </c>
      <c r="F143" s="1">
        <f>VLOOKUP(C143,dish_base!$B$4:$O$92,14,FALSE)</f>
        <v>160</v>
      </c>
      <c r="G143" s="22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60</v>
      </c>
      <c r="F144" s="1">
        <f>VLOOKUP(C144,dish_base!$B$4:$O$92,14,FALSE)</f>
        <v>260</v>
      </c>
      <c r="G144" s="22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120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120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120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120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120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90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120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90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120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120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60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90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90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90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90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90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90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60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60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90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90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90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90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90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90</v>
      </c>
      <c r="F169" s="1">
        <f>VLOOKUP(C169,dish_base!$B$4:$O$92,14,FALSE)</f>
        <v>80</v>
      </c>
      <c r="G169" s="22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90</v>
      </c>
      <c r="F170" s="1">
        <f>VLOOKUP(C170,dish_base!$B$4:$O$92,14,FALSE)</f>
        <v>90</v>
      </c>
      <c r="G170" s="22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60</v>
      </c>
      <c r="F171" s="1">
        <f>VLOOKUP(C171,dish_base!$B$4:$O$92,14,FALSE)</f>
        <v>90</v>
      </c>
      <c r="G171" s="22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60</v>
      </c>
      <c r="F172" s="1">
        <f>VLOOKUP(C172,dish_base!$B$4:$O$92,14,FALSE)</f>
        <v>90</v>
      </c>
      <c r="G172" s="22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60</v>
      </c>
      <c r="F173" s="1">
        <f>VLOOKUP(C173,dish_base!$B$4:$O$92,14,FALSE)</f>
        <v>90</v>
      </c>
      <c r="G173" s="22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60</v>
      </c>
      <c r="F174" s="1">
        <f>VLOOKUP(C174,dish_base!$B$4:$O$92,14,FALSE)</f>
        <v>90</v>
      </c>
      <c r="G174" s="22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60</v>
      </c>
      <c r="F175" s="1">
        <f>VLOOKUP(C175,dish_base!$B$4:$O$92,14,FALSE)</f>
        <v>90</v>
      </c>
      <c r="G175" s="22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60</v>
      </c>
      <c r="F176" s="1">
        <f>VLOOKUP(C176,dish_base!$B$4:$O$92,14,FALSE)</f>
        <v>90</v>
      </c>
      <c r="G176" s="22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90</v>
      </c>
      <c r="F177" s="1">
        <f>VLOOKUP(C177,dish_base!$B$4:$O$92,14,FALSE)</f>
        <v>90</v>
      </c>
      <c r="G177" s="22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60</v>
      </c>
      <c r="F178" s="1">
        <f>VLOOKUP(C178,dish_base!$B$4:$O$92,14,FALSE)</f>
        <v>120</v>
      </c>
      <c r="G178" s="22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60</v>
      </c>
      <c r="F179" s="1">
        <f>VLOOKUP(C179,dish_base!$B$4:$O$92,14,FALSE)</f>
        <v>120</v>
      </c>
      <c r="G179" s="22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90</v>
      </c>
      <c r="F180" s="1">
        <f>VLOOKUP(C180,dish_base!$B$4:$O$92,14,FALSE)</f>
        <v>120</v>
      </c>
      <c r="G180" s="22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60</v>
      </c>
      <c r="F181" s="1">
        <f>VLOOKUP(C181,dish_base!$B$4:$O$92,14,FALSE)</f>
        <v>120</v>
      </c>
      <c r="G181" s="22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60</v>
      </c>
      <c r="F182" s="1">
        <f>VLOOKUP(C182,dish_base!$B$4:$O$92,14,FALSE)</f>
        <v>120</v>
      </c>
      <c r="G182" s="22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90</v>
      </c>
      <c r="F183" s="1">
        <f>VLOOKUP(C183,dish_base!$B$4:$O$92,14,FALSE)</f>
        <v>120</v>
      </c>
      <c r="G183" s="22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90</v>
      </c>
      <c r="F184" s="1">
        <f>VLOOKUP(C184,dish_base!$B$4:$O$92,14,FALSE)</f>
        <v>120</v>
      </c>
      <c r="G184" s="22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60</v>
      </c>
      <c r="F185" s="1">
        <f>VLOOKUP(C185,dish_base!$B$4:$O$92,14,FALSE)</f>
        <v>120</v>
      </c>
      <c r="G185" s="22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90</v>
      </c>
      <c r="F186" s="1">
        <f>VLOOKUP(C186,dish_base!$B$4:$O$92,14,FALSE)</f>
        <v>80</v>
      </c>
      <c r="G186" s="22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90</v>
      </c>
      <c r="F187" s="1">
        <f>VLOOKUP(C187,dish_base!$B$4:$O$92,14,FALSE)</f>
        <v>80</v>
      </c>
      <c r="G187" s="22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60</v>
      </c>
      <c r="F188" s="1">
        <f>VLOOKUP(C188,dish_base!$B$4:$O$92,14,FALSE)</f>
        <v>90</v>
      </c>
      <c r="G188" s="22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60</v>
      </c>
      <c r="F189" s="1">
        <f>VLOOKUP(C189,dish_base!$B$4:$O$92,14,FALSE)</f>
        <v>190</v>
      </c>
      <c r="G189" s="22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60</v>
      </c>
      <c r="F190" s="1">
        <f>VLOOKUP(C190,dish_base!$B$4:$O$92,14,FALSE)</f>
        <v>160</v>
      </c>
      <c r="G190" s="22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60</v>
      </c>
      <c r="F191" s="1">
        <f>VLOOKUP(C191,dish_base!$B$4:$O$92,14,FALSE)</f>
        <v>260</v>
      </c>
      <c r="G191" s="22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120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120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120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120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120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90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120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90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120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120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60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90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90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90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90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90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90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60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60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90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90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90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90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90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90</v>
      </c>
      <c r="F216" s="1">
        <f>VLOOKUP(C216,dish_base!$B$4:$O$92,14,FALSE)</f>
        <v>80</v>
      </c>
      <c r="G216" s="22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90</v>
      </c>
      <c r="F217" s="1">
        <f>VLOOKUP(C217,dish_base!$B$4:$O$92,14,FALSE)</f>
        <v>90</v>
      </c>
      <c r="G217" s="22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60</v>
      </c>
      <c r="F218" s="1">
        <f>VLOOKUP(C218,dish_base!$B$4:$O$92,14,FALSE)</f>
        <v>90</v>
      </c>
      <c r="G218" s="22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60</v>
      </c>
      <c r="F219" s="1">
        <f>VLOOKUP(C219,dish_base!$B$4:$O$92,14,FALSE)</f>
        <v>90</v>
      </c>
      <c r="G219" s="22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60</v>
      </c>
      <c r="F220" s="1">
        <f>VLOOKUP(C220,dish_base!$B$4:$O$92,14,FALSE)</f>
        <v>90</v>
      </c>
      <c r="G220" s="22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60</v>
      </c>
      <c r="F221" s="1">
        <f>VLOOKUP(C221,dish_base!$B$4:$O$92,14,FALSE)</f>
        <v>90</v>
      </c>
      <c r="G221" s="22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60</v>
      </c>
      <c r="F222" s="1">
        <f>VLOOKUP(C222,dish_base!$B$4:$O$92,14,FALSE)</f>
        <v>90</v>
      </c>
      <c r="G222" s="22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60</v>
      </c>
      <c r="F223" s="1">
        <f>VLOOKUP(C223,dish_base!$B$4:$O$92,14,FALSE)</f>
        <v>90</v>
      </c>
      <c r="G223" s="22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90</v>
      </c>
      <c r="F224" s="1">
        <f>VLOOKUP(C224,dish_base!$B$4:$O$92,14,FALSE)</f>
        <v>90</v>
      </c>
      <c r="G224" s="22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60</v>
      </c>
      <c r="F225" s="1">
        <f>VLOOKUP(C225,dish_base!$B$4:$O$92,14,FALSE)</f>
        <v>120</v>
      </c>
      <c r="G225" s="22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60</v>
      </c>
      <c r="F226" s="1">
        <f>VLOOKUP(C226,dish_base!$B$4:$O$92,14,FALSE)</f>
        <v>120</v>
      </c>
      <c r="G226" s="22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90</v>
      </c>
      <c r="F227" s="1">
        <f>VLOOKUP(C227,dish_base!$B$4:$O$92,14,FALSE)</f>
        <v>120</v>
      </c>
      <c r="G227" s="22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60</v>
      </c>
      <c r="F228" s="1">
        <f>VLOOKUP(C228,dish_base!$B$4:$O$92,14,FALSE)</f>
        <v>120</v>
      </c>
      <c r="G228" s="22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60</v>
      </c>
      <c r="F229" s="1">
        <f>VLOOKUP(C229,dish_base!$B$4:$O$92,14,FALSE)</f>
        <v>120</v>
      </c>
      <c r="G229" s="22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90</v>
      </c>
      <c r="F230" s="1">
        <f>VLOOKUP(C230,dish_base!$B$4:$O$92,14,FALSE)</f>
        <v>120</v>
      </c>
      <c r="G230" s="22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90</v>
      </c>
      <c r="F231" s="1">
        <f>VLOOKUP(C231,dish_base!$B$4:$O$92,14,FALSE)</f>
        <v>120</v>
      </c>
      <c r="G231" s="22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60</v>
      </c>
      <c r="F232" s="1">
        <f>VLOOKUP(C232,dish_base!$B$4:$O$92,14,FALSE)</f>
        <v>120</v>
      </c>
      <c r="G232" s="22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90</v>
      </c>
      <c r="F233" s="1">
        <f>VLOOKUP(C233,dish_base!$B$4:$O$92,14,FALSE)</f>
        <v>80</v>
      </c>
      <c r="G233" s="22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90</v>
      </c>
      <c r="F234" s="1">
        <f>VLOOKUP(C234,dish_base!$B$4:$O$92,14,FALSE)</f>
        <v>80</v>
      </c>
      <c r="G234" s="22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60</v>
      </c>
      <c r="F235" s="1">
        <f>VLOOKUP(C235,dish_base!$B$4:$O$92,14,FALSE)</f>
        <v>90</v>
      </c>
      <c r="G235" s="22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60</v>
      </c>
      <c r="F236" s="1">
        <f>VLOOKUP(C236,dish_base!$B$4:$O$92,14,FALSE)</f>
        <v>190</v>
      </c>
      <c r="G236" s="22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60</v>
      </c>
      <c r="F237" s="1">
        <f>VLOOKUP(C237,dish_base!$B$4:$O$92,14,FALSE)</f>
        <v>160</v>
      </c>
      <c r="G237" s="22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60</v>
      </c>
      <c r="F238" s="1">
        <f>VLOOKUP(C238,dish_base!$B$4:$O$92,14,FALSE)</f>
        <v>260</v>
      </c>
      <c r="G238" s="22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120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120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120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120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120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90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120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90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120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120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60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90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90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90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90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90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90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60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60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90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90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90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90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90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90</v>
      </c>
      <c r="F263" s="1">
        <f>VLOOKUP(C263,dish_base!$B$4:$O$92,14,FALSE)</f>
        <v>80</v>
      </c>
      <c r="G263" s="22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90</v>
      </c>
      <c r="F264" s="1">
        <f>VLOOKUP(C264,dish_base!$B$4:$O$92,14,FALSE)</f>
        <v>90</v>
      </c>
      <c r="G264" s="22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60</v>
      </c>
      <c r="F265" s="1">
        <f>VLOOKUP(C265,dish_base!$B$4:$O$92,14,FALSE)</f>
        <v>90</v>
      </c>
      <c r="G265" s="22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60</v>
      </c>
      <c r="F266" s="1">
        <f>VLOOKUP(C266,dish_base!$B$4:$O$92,14,FALSE)</f>
        <v>90</v>
      </c>
      <c r="G266" s="22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60</v>
      </c>
      <c r="F267" s="1">
        <f>VLOOKUP(C267,dish_base!$B$4:$O$92,14,FALSE)</f>
        <v>90</v>
      </c>
      <c r="G267" s="22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60</v>
      </c>
      <c r="F268" s="1">
        <f>VLOOKUP(C268,dish_base!$B$4:$O$92,14,FALSE)</f>
        <v>90</v>
      </c>
      <c r="G268" s="22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60</v>
      </c>
      <c r="F269" s="1">
        <f>VLOOKUP(C269,dish_base!$B$4:$O$92,14,FALSE)</f>
        <v>90</v>
      </c>
      <c r="G269" s="22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60</v>
      </c>
      <c r="F270" s="1">
        <f>VLOOKUP(C270,dish_base!$B$4:$O$92,14,FALSE)</f>
        <v>90</v>
      </c>
      <c r="G270" s="22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90</v>
      </c>
      <c r="F271" s="1">
        <f>VLOOKUP(C271,dish_base!$B$4:$O$92,14,FALSE)</f>
        <v>90</v>
      </c>
      <c r="G271" s="22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60</v>
      </c>
      <c r="F272" s="1">
        <f>VLOOKUP(C272,dish_base!$B$4:$O$92,14,FALSE)</f>
        <v>120</v>
      </c>
      <c r="G272" s="22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60</v>
      </c>
      <c r="F273" s="1">
        <f>VLOOKUP(C273,dish_base!$B$4:$O$92,14,FALSE)</f>
        <v>120</v>
      </c>
      <c r="G273" s="22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90</v>
      </c>
      <c r="F274" s="1">
        <f>VLOOKUP(C274,dish_base!$B$4:$O$92,14,FALSE)</f>
        <v>120</v>
      </c>
      <c r="G274" s="22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60</v>
      </c>
      <c r="F275" s="1">
        <f>VLOOKUP(C275,dish_base!$B$4:$O$92,14,FALSE)</f>
        <v>120</v>
      </c>
      <c r="G275" s="22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60</v>
      </c>
      <c r="F276" s="1">
        <f>VLOOKUP(C276,dish_base!$B$4:$O$92,14,FALSE)</f>
        <v>120</v>
      </c>
      <c r="G276" s="22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90</v>
      </c>
      <c r="F277" s="1">
        <f>VLOOKUP(C277,dish_base!$B$4:$O$92,14,FALSE)</f>
        <v>120</v>
      </c>
      <c r="G277" s="22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90</v>
      </c>
      <c r="F278" s="1">
        <f>VLOOKUP(C278,dish_base!$B$4:$O$92,14,FALSE)</f>
        <v>120</v>
      </c>
      <c r="G278" s="22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60</v>
      </c>
      <c r="F279" s="1">
        <f>VLOOKUP(C279,dish_base!$B$4:$O$92,14,FALSE)</f>
        <v>120</v>
      </c>
      <c r="G279" s="22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90</v>
      </c>
      <c r="F280" s="1">
        <f>VLOOKUP(C280,dish_base!$B$4:$O$92,14,FALSE)</f>
        <v>80</v>
      </c>
      <c r="G280" s="22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90</v>
      </c>
      <c r="F281" s="1">
        <f>VLOOKUP(C281,dish_base!$B$4:$O$92,14,FALSE)</f>
        <v>80</v>
      </c>
      <c r="G281" s="22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60</v>
      </c>
      <c r="F282" s="1">
        <f>VLOOKUP(C282,dish_base!$B$4:$O$92,14,FALSE)</f>
        <v>90</v>
      </c>
      <c r="G282" s="22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60</v>
      </c>
      <c r="F283" s="1">
        <f>VLOOKUP(C283,dish_base!$B$4:$O$92,14,FALSE)</f>
        <v>190</v>
      </c>
      <c r="G283" s="22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60</v>
      </c>
      <c r="F284" s="1">
        <f>VLOOKUP(C284,dish_base!$B$4:$O$92,14,FALSE)</f>
        <v>160</v>
      </c>
      <c r="G284" s="22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60</v>
      </c>
      <c r="F285" s="1">
        <f>VLOOKUP(C285,dish_base!$B$4:$O$92,14,FALSE)</f>
        <v>260</v>
      </c>
      <c r="G285" s="22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120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120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120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120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120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90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120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90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120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120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60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90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90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90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90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90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90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60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60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90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90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90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90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90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90</v>
      </c>
      <c r="F310" s="1">
        <f>VLOOKUP(C310,dish_base!$B$4:$O$92,14,FALSE)</f>
        <v>80</v>
      </c>
      <c r="G310" s="22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90</v>
      </c>
      <c r="F311" s="1">
        <f>VLOOKUP(C311,dish_base!$B$4:$O$92,14,FALSE)</f>
        <v>90</v>
      </c>
      <c r="G311" s="22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60</v>
      </c>
      <c r="F312" s="1">
        <f>VLOOKUP(C312,dish_base!$B$4:$O$92,14,FALSE)</f>
        <v>90</v>
      </c>
      <c r="G312" s="22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60</v>
      </c>
      <c r="F313" s="1">
        <f>VLOOKUP(C313,dish_base!$B$4:$O$92,14,FALSE)</f>
        <v>90</v>
      </c>
      <c r="G313" s="22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60</v>
      </c>
      <c r="F314" s="1">
        <f>VLOOKUP(C314,dish_base!$B$4:$O$92,14,FALSE)</f>
        <v>90</v>
      </c>
      <c r="G314" s="22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60</v>
      </c>
      <c r="F315" s="1">
        <f>VLOOKUP(C315,dish_base!$B$4:$O$92,14,FALSE)</f>
        <v>90</v>
      </c>
      <c r="G315" s="22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60</v>
      </c>
      <c r="F316" s="1">
        <f>VLOOKUP(C316,dish_base!$B$4:$O$92,14,FALSE)</f>
        <v>90</v>
      </c>
      <c r="G316" s="22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60</v>
      </c>
      <c r="F317" s="1">
        <f>VLOOKUP(C317,dish_base!$B$4:$O$92,14,FALSE)</f>
        <v>90</v>
      </c>
      <c r="G317" s="22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90</v>
      </c>
      <c r="F318" s="1">
        <f>VLOOKUP(C318,dish_base!$B$4:$O$92,14,FALSE)</f>
        <v>90</v>
      </c>
      <c r="G318" s="22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60</v>
      </c>
      <c r="F319" s="1">
        <f>VLOOKUP(C319,dish_base!$B$4:$O$92,14,FALSE)</f>
        <v>120</v>
      </c>
      <c r="G319" s="22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60</v>
      </c>
      <c r="F320" s="1">
        <f>VLOOKUP(C320,dish_base!$B$4:$O$92,14,FALSE)</f>
        <v>120</v>
      </c>
      <c r="G320" s="22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90</v>
      </c>
      <c r="F321" s="1">
        <f>VLOOKUP(C321,dish_base!$B$4:$O$92,14,FALSE)</f>
        <v>120</v>
      </c>
      <c r="G321" s="22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60</v>
      </c>
      <c r="F322" s="1">
        <f>VLOOKUP(C322,dish_base!$B$4:$O$92,14,FALSE)</f>
        <v>120</v>
      </c>
      <c r="G322" s="22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60</v>
      </c>
      <c r="F323" s="1">
        <f>VLOOKUP(C323,dish_base!$B$4:$O$92,14,FALSE)</f>
        <v>120</v>
      </c>
      <c r="G323" s="22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90</v>
      </c>
      <c r="F324" s="1">
        <f>VLOOKUP(C324,dish_base!$B$4:$O$92,14,FALSE)</f>
        <v>120</v>
      </c>
      <c r="G324" s="22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90</v>
      </c>
      <c r="F325" s="1">
        <f>VLOOKUP(C325,dish_base!$B$4:$O$92,14,FALSE)</f>
        <v>120</v>
      </c>
      <c r="G325" s="22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60</v>
      </c>
      <c r="F326" s="1">
        <f>VLOOKUP(C326,dish_base!$B$4:$O$92,14,FALSE)</f>
        <v>120</v>
      </c>
      <c r="G326" s="22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90</v>
      </c>
      <c r="F327" s="1">
        <f>VLOOKUP(C327,dish_base!$B$4:$O$92,14,FALSE)</f>
        <v>80</v>
      </c>
      <c r="G327" s="22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90</v>
      </c>
      <c r="F328" s="1">
        <f>VLOOKUP(C328,dish_base!$B$4:$O$92,14,FALSE)</f>
        <v>80</v>
      </c>
      <c r="G328" s="22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60</v>
      </c>
      <c r="F329" s="1">
        <f>VLOOKUP(C329,dish_base!$B$4:$O$92,14,FALSE)</f>
        <v>90</v>
      </c>
      <c r="G329" s="22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60</v>
      </c>
      <c r="F330" s="1">
        <f>VLOOKUP(C330,dish_base!$B$4:$O$92,14,FALSE)</f>
        <v>190</v>
      </c>
      <c r="G330" s="22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60</v>
      </c>
      <c r="F331" s="1">
        <f>VLOOKUP(C331,dish_base!$B$4:$O$92,14,FALSE)</f>
        <v>160</v>
      </c>
      <c r="G331" s="22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60</v>
      </c>
      <c r="F332" s="1">
        <f>VLOOKUP(C332,dish_base!$B$4:$O$92,14,FALSE)</f>
        <v>260</v>
      </c>
      <c r="G332" s="22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L18" sqref="L18"/>
    </sheetView>
  </sheetViews>
  <sheetFormatPr defaultColWidth="9" defaultRowHeight="16.8" outlineLevelCol="6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3">
      <c r="B4" t="s">
        <v>26</v>
      </c>
      <c r="C4" t="s">
        <v>218</v>
      </c>
    </row>
    <row r="5" spans="2:3">
      <c r="B5" t="s">
        <v>31</v>
      </c>
      <c r="C5" t="s">
        <v>219</v>
      </c>
    </row>
    <row r="6" spans="2:3">
      <c r="B6" t="s">
        <v>34</v>
      </c>
      <c r="C6" t="s">
        <v>220</v>
      </c>
    </row>
    <row r="7" spans="2:3">
      <c r="B7" t="s">
        <v>37</v>
      </c>
      <c r="C7" t="s">
        <v>221</v>
      </c>
    </row>
    <row r="8" spans="2:3">
      <c r="B8" t="s">
        <v>40</v>
      </c>
      <c r="C8" t="s">
        <v>222</v>
      </c>
    </row>
    <row r="9" spans="2:3">
      <c r="B9" t="s">
        <v>43</v>
      </c>
      <c r="C9" t="s">
        <v>223</v>
      </c>
    </row>
    <row r="10" spans="2:3">
      <c r="B10" t="s">
        <v>46</v>
      </c>
      <c r="C10" t="s">
        <v>224</v>
      </c>
    </row>
    <row r="11" spans="2:3">
      <c r="B11" t="s">
        <v>49</v>
      </c>
      <c r="C11" t="s">
        <v>225</v>
      </c>
    </row>
    <row r="12" spans="2:3">
      <c r="B12" t="s">
        <v>52</v>
      </c>
      <c r="C12" t="s">
        <v>226</v>
      </c>
    </row>
    <row r="13" spans="2:3">
      <c r="B13" t="s">
        <v>56</v>
      </c>
      <c r="C13" t="s">
        <v>227</v>
      </c>
    </row>
    <row r="14" spans="2:3">
      <c r="B14" t="s">
        <v>60</v>
      </c>
      <c r="C14" t="s">
        <v>228</v>
      </c>
    </row>
    <row r="15" spans="2:3">
      <c r="B15" t="s">
        <v>64</v>
      </c>
      <c r="C15" t="s">
        <v>229</v>
      </c>
    </row>
    <row r="16" spans="2:3">
      <c r="B16" t="s">
        <v>68</v>
      </c>
      <c r="C16" t="s">
        <v>230</v>
      </c>
    </row>
    <row r="17" spans="2:3">
      <c r="B17" t="s">
        <v>72</v>
      </c>
      <c r="C17" t="s">
        <v>231</v>
      </c>
    </row>
    <row r="18" spans="2:7">
      <c r="B18" t="s">
        <v>76</v>
      </c>
      <c r="C18" t="s">
        <v>232</v>
      </c>
      <c r="G18" t="s">
        <v>233</v>
      </c>
    </row>
    <row r="19" spans="2:3">
      <c r="B19" t="s">
        <v>79</v>
      </c>
      <c r="C19" t="s">
        <v>234</v>
      </c>
    </row>
    <row r="20" spans="2:3">
      <c r="B20" t="s">
        <v>82</v>
      </c>
      <c r="C20" t="s">
        <v>235</v>
      </c>
    </row>
    <row r="21" spans="2:3">
      <c r="B21" t="s">
        <v>85</v>
      </c>
      <c r="C21" t="s">
        <v>236</v>
      </c>
    </row>
    <row r="22" spans="2:3">
      <c r="B22" t="s">
        <v>89</v>
      </c>
      <c r="C22" t="s">
        <v>237</v>
      </c>
    </row>
    <row r="23" spans="2:3">
      <c r="B23" t="s">
        <v>96</v>
      </c>
      <c r="C23" t="s">
        <v>238</v>
      </c>
    </row>
    <row r="24" spans="2:3">
      <c r="B24" t="s">
        <v>103</v>
      </c>
      <c r="C24" t="s">
        <v>239</v>
      </c>
    </row>
    <row r="25" spans="2:3">
      <c r="B25" t="s">
        <v>109</v>
      </c>
      <c r="C25" t="s">
        <v>240</v>
      </c>
    </row>
    <row r="26" spans="2:3">
      <c r="B26" t="s">
        <v>115</v>
      </c>
      <c r="C26" t="s">
        <v>241</v>
      </c>
    </row>
    <row r="27" spans="2:3">
      <c r="B27" t="s">
        <v>118</v>
      </c>
      <c r="C27" t="s">
        <v>242</v>
      </c>
    </row>
    <row r="28" spans="2:3">
      <c r="B28" t="s">
        <v>121</v>
      </c>
      <c r="C28" t="s">
        <v>243</v>
      </c>
    </row>
    <row r="29" spans="2:3">
      <c r="B29" t="s">
        <v>124</v>
      </c>
      <c r="C29" t="s">
        <v>244</v>
      </c>
    </row>
    <row r="30" spans="2:3">
      <c r="B30" t="s">
        <v>127</v>
      </c>
      <c r="C30" t="s">
        <v>245</v>
      </c>
    </row>
    <row r="31" spans="2:3">
      <c r="B31" t="s">
        <v>130</v>
      </c>
      <c r="C31" t="s">
        <v>246</v>
      </c>
    </row>
    <row r="32" spans="2:3">
      <c r="B32" t="s">
        <v>133</v>
      </c>
      <c r="C32" t="s">
        <v>247</v>
      </c>
    </row>
    <row r="33" spans="2:3">
      <c r="B33" t="s">
        <v>136</v>
      </c>
      <c r="C33" t="s">
        <v>248</v>
      </c>
    </row>
    <row r="34" spans="2:3">
      <c r="B34" t="s">
        <v>139</v>
      </c>
      <c r="C34" t="s">
        <v>249</v>
      </c>
    </row>
    <row r="35" spans="2:3">
      <c r="B35" t="s">
        <v>142</v>
      </c>
      <c r="C35" t="s">
        <v>250</v>
      </c>
    </row>
    <row r="36" spans="2:3">
      <c r="B36" t="s">
        <v>145</v>
      </c>
      <c r="C36" t="s">
        <v>251</v>
      </c>
    </row>
    <row r="37" spans="2:3">
      <c r="B37" t="s">
        <v>148</v>
      </c>
      <c r="C37" t="s">
        <v>252</v>
      </c>
    </row>
    <row r="38" spans="2:3">
      <c r="B38" t="s">
        <v>150</v>
      </c>
      <c r="C38" t="s">
        <v>253</v>
      </c>
    </row>
    <row r="39" spans="2:3">
      <c r="B39" t="s">
        <v>153</v>
      </c>
      <c r="C39" t="s">
        <v>254</v>
      </c>
    </row>
    <row r="40" spans="2:3">
      <c r="B40" t="s">
        <v>156</v>
      </c>
      <c r="C40" t="s">
        <v>255</v>
      </c>
    </row>
    <row r="41" spans="2:3">
      <c r="B41" t="s">
        <v>159</v>
      </c>
      <c r="C41" t="s">
        <v>256</v>
      </c>
    </row>
    <row r="42" spans="2:3">
      <c r="B42" t="s">
        <v>162</v>
      </c>
      <c r="C42" t="s">
        <v>257</v>
      </c>
    </row>
    <row r="43" spans="2:3">
      <c r="B43" t="s">
        <v>165</v>
      </c>
      <c r="C43" t="s">
        <v>258</v>
      </c>
    </row>
    <row r="44" spans="2:3">
      <c r="B44" t="s">
        <v>168</v>
      </c>
      <c r="C44" t="s">
        <v>259</v>
      </c>
    </row>
    <row r="45" spans="2:3">
      <c r="B45" t="s">
        <v>171</v>
      </c>
      <c r="C45" t="s">
        <v>260</v>
      </c>
    </row>
    <row r="46" spans="2:3">
      <c r="B46" t="s">
        <v>175</v>
      </c>
      <c r="C46" t="s">
        <v>261</v>
      </c>
    </row>
    <row r="47" spans="2:3">
      <c r="B47" t="s">
        <v>179</v>
      </c>
      <c r="C47" t="s">
        <v>262</v>
      </c>
    </row>
    <row r="48" spans="2:3">
      <c r="B48" t="s">
        <v>182</v>
      </c>
      <c r="C48" t="s">
        <v>263</v>
      </c>
    </row>
    <row r="49" spans="2:3">
      <c r="B49" t="s">
        <v>186</v>
      </c>
      <c r="C49" t="s">
        <v>264</v>
      </c>
    </row>
    <row r="50" spans="2:3">
      <c r="B50" t="s">
        <v>189</v>
      </c>
      <c r="C50" t="s">
        <v>265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266</v>
      </c>
      <c r="E1" s="1" t="s">
        <v>267</v>
      </c>
      <c r="F1" s="1" t="s">
        <v>268</v>
      </c>
      <c r="G1" s="1" t="s">
        <v>269</v>
      </c>
      <c r="H1" s="1" t="s">
        <v>270</v>
      </c>
    </row>
    <row r="2" spans="1:8">
      <c r="A2" s="1" t="s">
        <v>9</v>
      </c>
      <c r="B2" s="1" t="s">
        <v>271</v>
      </c>
      <c r="C2" s="1" t="s">
        <v>272</v>
      </c>
      <c r="D2" s="1" t="s">
        <v>273</v>
      </c>
      <c r="E2" s="1" t="s">
        <v>274</v>
      </c>
      <c r="F2" s="1" t="s">
        <v>275</v>
      </c>
      <c r="G2" s="1" t="s">
        <v>276</v>
      </c>
      <c r="H2" s="1" t="s">
        <v>277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278</v>
      </c>
      <c r="F3" s="1" t="s">
        <v>22</v>
      </c>
      <c r="G3" s="1" t="s">
        <v>279</v>
      </c>
      <c r="H3" s="1" t="s">
        <v>19</v>
      </c>
    </row>
    <row r="4" spans="2:9">
      <c r="B4" s="1" t="s">
        <v>209</v>
      </c>
      <c r="C4" s="1" t="s">
        <v>280</v>
      </c>
      <c r="D4" s="1" t="s">
        <v>281</v>
      </c>
      <c r="E4" s="1" t="s">
        <v>282</v>
      </c>
      <c r="G4" s="1" t="s">
        <v>283</v>
      </c>
      <c r="I4" s="1" t="s">
        <v>284</v>
      </c>
    </row>
    <row r="5" spans="2:9">
      <c r="B5" s="1" t="s">
        <v>210</v>
      </c>
      <c r="C5" s="1" t="s">
        <v>285</v>
      </c>
      <c r="D5" s="1" t="s">
        <v>286</v>
      </c>
      <c r="E5" s="1" t="s">
        <v>282</v>
      </c>
      <c r="G5" s="1" t="s">
        <v>287</v>
      </c>
      <c r="I5" s="1" t="s">
        <v>288</v>
      </c>
    </row>
    <row r="6" ht="34" spans="2:9">
      <c r="B6" s="1" t="s">
        <v>211</v>
      </c>
      <c r="C6" s="1" t="s">
        <v>289</v>
      </c>
      <c r="D6" s="21" t="s">
        <v>290</v>
      </c>
      <c r="E6" s="1" t="s">
        <v>291</v>
      </c>
      <c r="G6" s="1" t="s">
        <v>292</v>
      </c>
      <c r="I6" s="1" t="s">
        <v>293</v>
      </c>
    </row>
    <row r="7" spans="2:9">
      <c r="B7" s="1" t="s">
        <v>212</v>
      </c>
      <c r="C7" s="1" t="s">
        <v>294</v>
      </c>
      <c r="D7" s="1" t="s">
        <v>295</v>
      </c>
      <c r="E7" s="1" t="s">
        <v>296</v>
      </c>
      <c r="G7" s="1" t="s">
        <v>283</v>
      </c>
      <c r="I7" s="1" t="s">
        <v>297</v>
      </c>
    </row>
    <row r="8" ht="34" spans="2:9">
      <c r="B8" s="1" t="s">
        <v>213</v>
      </c>
      <c r="C8" s="1" t="s">
        <v>298</v>
      </c>
      <c r="D8" s="21" t="s">
        <v>299</v>
      </c>
      <c r="E8" s="1" t="s">
        <v>300</v>
      </c>
      <c r="G8" s="1" t="s">
        <v>301</v>
      </c>
      <c r="I8" s="1" t="s">
        <v>302</v>
      </c>
    </row>
    <row r="9" ht="51" spans="2:9">
      <c r="B9" s="1" t="s">
        <v>214</v>
      </c>
      <c r="C9" s="1" t="s">
        <v>303</v>
      </c>
      <c r="D9" s="21" t="s">
        <v>304</v>
      </c>
      <c r="E9" s="1" t="s">
        <v>305</v>
      </c>
      <c r="G9" s="1" t="s">
        <v>306</v>
      </c>
      <c r="I9" s="1" t="s">
        <v>307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308</v>
      </c>
      <c r="D1" t="s">
        <v>309</v>
      </c>
      <c r="E1" t="s">
        <v>6</v>
      </c>
      <c r="F1" t="s">
        <v>267</v>
      </c>
      <c r="G1" t="s">
        <v>310</v>
      </c>
      <c r="H1" t="s">
        <v>266</v>
      </c>
    </row>
    <row r="2" spans="1:8">
      <c r="A2" t="s">
        <v>9</v>
      </c>
      <c r="B2" t="s">
        <v>311</v>
      </c>
      <c r="C2" t="s">
        <v>312</v>
      </c>
      <c r="D2" t="s">
        <v>313</v>
      </c>
      <c r="E2" t="s">
        <v>314</v>
      </c>
      <c r="F2" t="s">
        <v>315</v>
      </c>
      <c r="G2" t="s">
        <v>316</v>
      </c>
      <c r="H2" t="s">
        <v>317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318</v>
      </c>
      <c r="G3" t="s">
        <v>205</v>
      </c>
      <c r="H3" t="s">
        <v>19</v>
      </c>
    </row>
    <row r="4" spans="2:8">
      <c r="B4" t="s">
        <v>319</v>
      </c>
      <c r="C4">
        <v>0</v>
      </c>
      <c r="D4">
        <v>1</v>
      </c>
      <c r="E4" t="s">
        <v>86</v>
      </c>
      <c r="F4" t="s">
        <v>320</v>
      </c>
      <c r="G4">
        <v>5</v>
      </c>
      <c r="H4" t="s">
        <v>321</v>
      </c>
    </row>
    <row r="5" spans="2:8">
      <c r="B5" t="s">
        <v>322</v>
      </c>
      <c r="C5">
        <v>1</v>
      </c>
      <c r="D5">
        <v>50</v>
      </c>
      <c r="E5" t="s">
        <v>86</v>
      </c>
      <c r="F5" t="s">
        <v>323</v>
      </c>
      <c r="G5">
        <v>0.1</v>
      </c>
      <c r="H5" t="s">
        <v>324</v>
      </c>
    </row>
    <row r="6" spans="2:8">
      <c r="B6" t="s">
        <v>325</v>
      </c>
      <c r="C6">
        <v>2</v>
      </c>
      <c r="D6">
        <v>100</v>
      </c>
      <c r="E6" t="s">
        <v>86</v>
      </c>
      <c r="F6" t="s">
        <v>326</v>
      </c>
      <c r="G6">
        <v>0.02</v>
      </c>
      <c r="H6" t="s">
        <v>327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zoomScale="85" zoomScaleNormal="85" topLeftCell="P2" workbookViewId="0">
      <selection activeCell="P28" sqref="P28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7" max="17" width="20.6923076923077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328</v>
      </c>
      <c r="D1" t="s">
        <v>329</v>
      </c>
      <c r="E1" t="s">
        <v>330</v>
      </c>
      <c r="F1" t="s">
        <v>331</v>
      </c>
      <c r="G1" t="s">
        <v>332</v>
      </c>
      <c r="H1" t="s">
        <v>333</v>
      </c>
      <c r="I1" t="s">
        <v>334</v>
      </c>
      <c r="J1" t="s">
        <v>335</v>
      </c>
      <c r="K1" t="s">
        <v>336</v>
      </c>
      <c r="L1" t="s">
        <v>337</v>
      </c>
      <c r="M1" t="s">
        <v>338</v>
      </c>
      <c r="N1" t="s">
        <v>339</v>
      </c>
      <c r="O1" t="s">
        <v>340</v>
      </c>
      <c r="P1" t="s">
        <v>341</v>
      </c>
      <c r="Q1" t="s">
        <v>270</v>
      </c>
    </row>
    <row r="2" spans="1:17">
      <c r="A2" t="s">
        <v>9</v>
      </c>
      <c r="B2" t="s">
        <v>342</v>
      </c>
      <c r="C2" t="s">
        <v>343</v>
      </c>
      <c r="D2" t="s">
        <v>344</v>
      </c>
      <c r="E2" t="s">
        <v>345</v>
      </c>
      <c r="F2" t="s">
        <v>346</v>
      </c>
      <c r="G2" t="s">
        <v>347</v>
      </c>
      <c r="H2" t="s">
        <v>348</v>
      </c>
      <c r="I2" t="s">
        <v>349</v>
      </c>
      <c r="J2" t="s">
        <v>350</v>
      </c>
      <c r="K2" t="s">
        <v>351</v>
      </c>
      <c r="L2" t="s">
        <v>352</v>
      </c>
      <c r="M2" t="s">
        <v>353</v>
      </c>
      <c r="N2" t="s">
        <v>354</v>
      </c>
      <c r="O2" t="s">
        <v>355</v>
      </c>
      <c r="P2" t="s">
        <v>356</v>
      </c>
      <c r="Q2" t="s">
        <v>357</v>
      </c>
    </row>
    <row r="3" spans="1:17">
      <c r="A3" t="s">
        <v>18</v>
      </c>
      <c r="B3" t="s">
        <v>19</v>
      </c>
      <c r="C3" t="s">
        <v>358</v>
      </c>
      <c r="D3" t="s">
        <v>359</v>
      </c>
      <c r="E3" t="s">
        <v>360</v>
      </c>
      <c r="F3" t="s">
        <v>361</v>
      </c>
      <c r="G3" t="s">
        <v>362</v>
      </c>
      <c r="H3" t="s">
        <v>19</v>
      </c>
      <c r="I3" t="s">
        <v>318</v>
      </c>
      <c r="J3" t="s">
        <v>360</v>
      </c>
      <c r="K3" t="s">
        <v>20</v>
      </c>
      <c r="L3" t="s">
        <v>279</v>
      </c>
      <c r="M3" t="s">
        <v>22</v>
      </c>
      <c r="N3" t="s">
        <v>21</v>
      </c>
      <c r="O3" t="s">
        <v>21</v>
      </c>
      <c r="P3" t="s">
        <v>19</v>
      </c>
      <c r="Q3" t="s">
        <v>19</v>
      </c>
    </row>
    <row r="4" ht="34" spans="2:16">
      <c r="B4" t="s">
        <v>218</v>
      </c>
      <c r="C4" t="s">
        <v>363</v>
      </c>
      <c r="D4" t="s">
        <v>364</v>
      </c>
      <c r="E4" t="s">
        <v>365</v>
      </c>
      <c r="F4" t="s">
        <v>366</v>
      </c>
      <c r="G4" t="s">
        <v>367</v>
      </c>
      <c r="I4" t="s">
        <v>323</v>
      </c>
      <c r="J4" t="s">
        <v>365</v>
      </c>
      <c r="K4">
        <v>0</v>
      </c>
      <c r="L4">
        <v>3</v>
      </c>
      <c r="N4" t="s">
        <v>25</v>
      </c>
      <c r="O4" t="s">
        <v>368</v>
      </c>
      <c r="P4" s="19" t="s">
        <v>369</v>
      </c>
    </row>
    <row r="5" ht="34" spans="2:16">
      <c r="B5" t="s">
        <v>370</v>
      </c>
      <c r="C5" t="s">
        <v>363</v>
      </c>
      <c r="D5" t="s">
        <v>371</v>
      </c>
      <c r="E5" t="s">
        <v>372</v>
      </c>
      <c r="F5" t="s">
        <v>373</v>
      </c>
      <c r="G5" t="s">
        <v>374</v>
      </c>
      <c r="I5" t="s">
        <v>320</v>
      </c>
      <c r="J5" t="s">
        <v>365</v>
      </c>
      <c r="K5">
        <v>0</v>
      </c>
      <c r="L5">
        <v>8</v>
      </c>
      <c r="N5" t="s">
        <v>25</v>
      </c>
      <c r="O5" t="s">
        <v>368</v>
      </c>
      <c r="P5" s="19" t="s">
        <v>375</v>
      </c>
    </row>
    <row r="6" spans="2:17">
      <c r="B6" t="s">
        <v>376</v>
      </c>
      <c r="C6" t="s">
        <v>363</v>
      </c>
      <c r="D6" t="s">
        <v>377</v>
      </c>
      <c r="E6" t="s">
        <v>365</v>
      </c>
      <c r="F6" t="s">
        <v>366</v>
      </c>
      <c r="G6" t="s">
        <v>374</v>
      </c>
      <c r="I6" t="s">
        <v>378</v>
      </c>
      <c r="J6" t="s">
        <v>379</v>
      </c>
      <c r="K6">
        <v>1</v>
      </c>
      <c r="L6">
        <v>0</v>
      </c>
      <c r="N6" t="s">
        <v>25</v>
      </c>
      <c r="O6" t="s">
        <v>25</v>
      </c>
      <c r="P6" t="s">
        <v>380</v>
      </c>
      <c r="Q6" t="s">
        <v>381</v>
      </c>
    </row>
    <row r="7" ht="34" spans="2:16">
      <c r="B7" t="s">
        <v>220</v>
      </c>
      <c r="C7" t="s">
        <v>363</v>
      </c>
      <c r="D7" t="s">
        <v>382</v>
      </c>
      <c r="E7" t="s">
        <v>372</v>
      </c>
      <c r="F7" t="s">
        <v>366</v>
      </c>
      <c r="G7" t="s">
        <v>374</v>
      </c>
      <c r="I7" t="s">
        <v>320</v>
      </c>
      <c r="J7" t="s">
        <v>365</v>
      </c>
      <c r="K7">
        <v>0</v>
      </c>
      <c r="L7">
        <v>-2</v>
      </c>
      <c r="N7" t="s">
        <v>25</v>
      </c>
      <c r="O7" t="s">
        <v>368</v>
      </c>
      <c r="P7" s="19" t="s">
        <v>383</v>
      </c>
    </row>
    <row r="8" ht="34" spans="2:17">
      <c r="B8" t="s">
        <v>221</v>
      </c>
      <c r="C8" t="s">
        <v>363</v>
      </c>
      <c r="D8" t="s">
        <v>371</v>
      </c>
      <c r="E8" t="s">
        <v>372</v>
      </c>
      <c r="F8" t="s">
        <v>366</v>
      </c>
      <c r="G8" t="s">
        <v>374</v>
      </c>
      <c r="I8" t="s">
        <v>384</v>
      </c>
      <c r="J8" t="s">
        <v>385</v>
      </c>
      <c r="K8">
        <v>0</v>
      </c>
      <c r="L8">
        <v>2</v>
      </c>
      <c r="N8" t="s">
        <v>25</v>
      </c>
      <c r="O8" t="s">
        <v>368</v>
      </c>
      <c r="P8" s="19" t="s">
        <v>386</v>
      </c>
      <c r="Q8" s="1" t="s">
        <v>387</v>
      </c>
    </row>
    <row r="9" ht="34" spans="2:16">
      <c r="B9" t="s">
        <v>222</v>
      </c>
      <c r="C9" t="s">
        <v>363</v>
      </c>
      <c r="D9" t="s">
        <v>388</v>
      </c>
      <c r="E9" t="s">
        <v>365</v>
      </c>
      <c r="F9" t="s">
        <v>366</v>
      </c>
      <c r="G9" t="s">
        <v>374</v>
      </c>
      <c r="I9" t="s">
        <v>389</v>
      </c>
      <c r="J9" t="s">
        <v>365</v>
      </c>
      <c r="K9">
        <v>0</v>
      </c>
      <c r="L9">
        <v>6</v>
      </c>
      <c r="N9" t="s">
        <v>25</v>
      </c>
      <c r="O9" t="s">
        <v>368</v>
      </c>
      <c r="P9" s="19" t="s">
        <v>390</v>
      </c>
    </row>
    <row r="10" ht="34" spans="2:16">
      <c r="B10" t="s">
        <v>223</v>
      </c>
      <c r="C10" t="s">
        <v>363</v>
      </c>
      <c r="D10" t="s">
        <v>371</v>
      </c>
      <c r="E10" t="s">
        <v>391</v>
      </c>
      <c r="F10" t="s">
        <v>366</v>
      </c>
      <c r="G10" t="s">
        <v>374</v>
      </c>
      <c r="I10" t="s">
        <v>323</v>
      </c>
      <c r="J10" t="s">
        <v>365</v>
      </c>
      <c r="K10">
        <v>0</v>
      </c>
      <c r="L10">
        <v>1</v>
      </c>
      <c r="N10" t="s">
        <v>25</v>
      </c>
      <c r="O10" t="s">
        <v>368</v>
      </c>
      <c r="P10" s="19" t="s">
        <v>392</v>
      </c>
    </row>
    <row r="11" ht="34" spans="2:16">
      <c r="B11" t="s">
        <v>224</v>
      </c>
      <c r="C11" t="s">
        <v>363</v>
      </c>
      <c r="D11" t="s">
        <v>371</v>
      </c>
      <c r="E11" t="s">
        <v>393</v>
      </c>
      <c r="F11" t="s">
        <v>366</v>
      </c>
      <c r="G11" t="s">
        <v>374</v>
      </c>
      <c r="I11" t="s">
        <v>320</v>
      </c>
      <c r="J11" t="s">
        <v>365</v>
      </c>
      <c r="K11">
        <v>0</v>
      </c>
      <c r="L11">
        <v>10</v>
      </c>
      <c r="N11" t="s">
        <v>25</v>
      </c>
      <c r="O11" t="s">
        <v>368</v>
      </c>
      <c r="P11" s="19" t="s">
        <v>375</v>
      </c>
    </row>
    <row r="12" ht="34" spans="2:16">
      <c r="B12" t="s">
        <v>225</v>
      </c>
      <c r="C12" t="s">
        <v>363</v>
      </c>
      <c r="D12" t="s">
        <v>394</v>
      </c>
      <c r="E12" t="s">
        <v>365</v>
      </c>
      <c r="F12" t="s">
        <v>366</v>
      </c>
      <c r="G12" t="s">
        <v>374</v>
      </c>
      <c r="I12" t="s">
        <v>389</v>
      </c>
      <c r="J12" t="s">
        <v>365</v>
      </c>
      <c r="K12">
        <v>0</v>
      </c>
      <c r="L12">
        <v>5</v>
      </c>
      <c r="N12" t="s">
        <v>25</v>
      </c>
      <c r="O12" t="s">
        <v>368</v>
      </c>
      <c r="P12" s="19" t="s">
        <v>395</v>
      </c>
    </row>
    <row r="13" ht="34" spans="2:16">
      <c r="B13" t="s">
        <v>226</v>
      </c>
      <c r="C13" t="s">
        <v>363</v>
      </c>
      <c r="D13" t="s">
        <v>371</v>
      </c>
      <c r="E13" t="s">
        <v>393</v>
      </c>
      <c r="F13" t="s">
        <v>373</v>
      </c>
      <c r="G13" t="s">
        <v>374</v>
      </c>
      <c r="I13" t="s">
        <v>323</v>
      </c>
      <c r="J13" t="s">
        <v>396</v>
      </c>
      <c r="K13">
        <v>0</v>
      </c>
      <c r="L13">
        <v>0.2</v>
      </c>
      <c r="N13" t="s">
        <v>25</v>
      </c>
      <c r="O13" t="s">
        <v>368</v>
      </c>
      <c r="P13" s="19" t="s">
        <v>392</v>
      </c>
    </row>
    <row r="14" spans="2:17">
      <c r="B14" t="s">
        <v>227</v>
      </c>
      <c r="C14" t="s">
        <v>363</v>
      </c>
      <c r="D14" t="s">
        <v>377</v>
      </c>
      <c r="E14" t="s">
        <v>365</v>
      </c>
      <c r="F14" t="s">
        <v>366</v>
      </c>
      <c r="G14" t="s">
        <v>374</v>
      </c>
      <c r="I14" t="s">
        <v>384</v>
      </c>
      <c r="J14" t="s">
        <v>385</v>
      </c>
      <c r="K14">
        <v>0</v>
      </c>
      <c r="L14">
        <v>5</v>
      </c>
      <c r="N14" t="s">
        <v>25</v>
      </c>
      <c r="O14" t="s">
        <v>368</v>
      </c>
      <c r="P14" t="s">
        <v>397</v>
      </c>
      <c r="Q14" s="1" t="s">
        <v>387</v>
      </c>
    </row>
    <row r="15" s="18" customFormat="1" spans="2:18">
      <c r="B15" s="18" t="s">
        <v>398</v>
      </c>
      <c r="C15" s="18" t="s">
        <v>363</v>
      </c>
      <c r="D15" s="18" t="s">
        <v>377</v>
      </c>
      <c r="E15" s="18" t="s">
        <v>365</v>
      </c>
      <c r="F15" s="18" t="s">
        <v>366</v>
      </c>
      <c r="G15" s="18" t="s">
        <v>374</v>
      </c>
      <c r="H15" s="18" t="s">
        <v>27</v>
      </c>
      <c r="I15" s="18" t="s">
        <v>399</v>
      </c>
      <c r="J15" s="18" t="s">
        <v>365</v>
      </c>
      <c r="K15" s="18">
        <v>0</v>
      </c>
      <c r="L15" s="18">
        <v>1</v>
      </c>
      <c r="M15" s="18" t="s">
        <v>27</v>
      </c>
      <c r="N15" s="18" t="s">
        <v>368</v>
      </c>
      <c r="O15" s="18" t="s">
        <v>25</v>
      </c>
      <c r="P15" s="18" t="s">
        <v>400</v>
      </c>
      <c r="R15" s="18" t="s">
        <v>401</v>
      </c>
    </row>
    <row r="16" spans="2:17">
      <c r="B16" t="s">
        <v>402</v>
      </c>
      <c r="C16" t="s">
        <v>363</v>
      </c>
      <c r="D16" t="s">
        <v>377</v>
      </c>
      <c r="E16" t="s">
        <v>365</v>
      </c>
      <c r="F16" t="s">
        <v>366</v>
      </c>
      <c r="G16" t="s">
        <v>374</v>
      </c>
      <c r="I16" t="s">
        <v>378</v>
      </c>
      <c r="J16" t="s">
        <v>403</v>
      </c>
      <c r="K16">
        <v>1</v>
      </c>
      <c r="L16">
        <v>0</v>
      </c>
      <c r="N16" t="s">
        <v>25</v>
      </c>
      <c r="O16" t="s">
        <v>25</v>
      </c>
      <c r="P16" t="s">
        <v>380</v>
      </c>
      <c r="Q16" t="s">
        <v>381</v>
      </c>
    </row>
    <row r="17" ht="34" spans="2:18">
      <c r="B17" t="s">
        <v>229</v>
      </c>
      <c r="C17" t="s">
        <v>363</v>
      </c>
      <c r="D17" t="s">
        <v>404</v>
      </c>
      <c r="E17" t="s">
        <v>372</v>
      </c>
      <c r="F17" t="s">
        <v>366</v>
      </c>
      <c r="G17" t="s">
        <v>367</v>
      </c>
      <c r="I17" t="s">
        <v>291</v>
      </c>
      <c r="J17" t="s">
        <v>365</v>
      </c>
      <c r="K17">
        <v>0</v>
      </c>
      <c r="L17">
        <v>30</v>
      </c>
      <c r="N17" t="s">
        <v>25</v>
      </c>
      <c r="O17" t="s">
        <v>25</v>
      </c>
      <c r="P17" s="19" t="s">
        <v>405</v>
      </c>
      <c r="R17" t="s">
        <v>406</v>
      </c>
    </row>
    <row r="18" ht="34" spans="2:17">
      <c r="B18" t="s">
        <v>230</v>
      </c>
      <c r="C18" t="s">
        <v>363</v>
      </c>
      <c r="D18" t="s">
        <v>404</v>
      </c>
      <c r="E18" t="s">
        <v>393</v>
      </c>
      <c r="F18" t="s">
        <v>366</v>
      </c>
      <c r="G18" t="s">
        <v>367</v>
      </c>
      <c r="I18" t="s">
        <v>384</v>
      </c>
      <c r="J18" t="s">
        <v>385</v>
      </c>
      <c r="K18">
        <v>0</v>
      </c>
      <c r="L18">
        <v>10</v>
      </c>
      <c r="N18" t="s">
        <v>25</v>
      </c>
      <c r="O18" t="s">
        <v>368</v>
      </c>
      <c r="P18" s="19" t="s">
        <v>407</v>
      </c>
      <c r="Q18" s="1" t="s">
        <v>387</v>
      </c>
    </row>
    <row r="19" ht="34" spans="2:16">
      <c r="B19" t="s">
        <v>408</v>
      </c>
      <c r="C19" t="s">
        <v>363</v>
      </c>
      <c r="D19" t="s">
        <v>371</v>
      </c>
      <c r="E19" t="s">
        <v>393</v>
      </c>
      <c r="F19" t="s">
        <v>366</v>
      </c>
      <c r="G19" t="s">
        <v>374</v>
      </c>
      <c r="I19" t="s">
        <v>323</v>
      </c>
      <c r="J19" t="s">
        <v>365</v>
      </c>
      <c r="K19">
        <v>0</v>
      </c>
      <c r="L19">
        <v>2</v>
      </c>
      <c r="N19" t="s">
        <v>25</v>
      </c>
      <c r="O19" t="s">
        <v>368</v>
      </c>
      <c r="P19" s="19" t="s">
        <v>392</v>
      </c>
    </row>
    <row r="20" spans="2:16">
      <c r="B20" t="s">
        <v>409</v>
      </c>
      <c r="C20" t="s">
        <v>363</v>
      </c>
      <c r="D20" t="s">
        <v>377</v>
      </c>
      <c r="E20" t="s">
        <v>365</v>
      </c>
      <c r="F20" t="s">
        <v>366</v>
      </c>
      <c r="G20" t="s">
        <v>374</v>
      </c>
      <c r="I20" t="s">
        <v>410</v>
      </c>
      <c r="J20" t="s">
        <v>365</v>
      </c>
      <c r="K20">
        <v>0</v>
      </c>
      <c r="L20">
        <v>1</v>
      </c>
      <c r="N20" t="s">
        <v>368</v>
      </c>
      <c r="O20" t="s">
        <v>25</v>
      </c>
      <c r="P20" t="s">
        <v>411</v>
      </c>
    </row>
    <row r="21" spans="2:17">
      <c r="B21" t="s">
        <v>232</v>
      </c>
      <c r="C21" t="s">
        <v>363</v>
      </c>
      <c r="D21" t="s">
        <v>377</v>
      </c>
      <c r="E21" t="s">
        <v>365</v>
      </c>
      <c r="F21" t="s">
        <v>366</v>
      </c>
      <c r="G21" t="s">
        <v>374</v>
      </c>
      <c r="I21" t="s">
        <v>384</v>
      </c>
      <c r="J21" t="s">
        <v>385</v>
      </c>
      <c r="K21">
        <v>0</v>
      </c>
      <c r="L21">
        <v>10</v>
      </c>
      <c r="N21" t="s">
        <v>25</v>
      </c>
      <c r="O21" t="s">
        <v>368</v>
      </c>
      <c r="P21" t="s">
        <v>397</v>
      </c>
      <c r="Q21" s="1" t="s">
        <v>387</v>
      </c>
    </row>
    <row r="22" s="18" customFormat="1" ht="34" spans="2:18">
      <c r="B22" s="18" t="s">
        <v>412</v>
      </c>
      <c r="C22" s="18" t="s">
        <v>413</v>
      </c>
      <c r="D22" s="18" t="s">
        <v>377</v>
      </c>
      <c r="E22" s="18" t="s">
        <v>365</v>
      </c>
      <c r="F22" s="18" t="s">
        <v>366</v>
      </c>
      <c r="G22" s="18" t="s">
        <v>374</v>
      </c>
      <c r="H22" s="18" t="s">
        <v>27</v>
      </c>
      <c r="I22" s="18" t="s">
        <v>414</v>
      </c>
      <c r="J22" s="18" t="s">
        <v>365</v>
      </c>
      <c r="K22" s="18">
        <v>0</v>
      </c>
      <c r="L22" s="18">
        <v>1</v>
      </c>
      <c r="M22" s="18" t="s">
        <v>27</v>
      </c>
      <c r="N22" s="18" t="s">
        <v>25</v>
      </c>
      <c r="O22" s="18" t="s">
        <v>25</v>
      </c>
      <c r="P22" s="20" t="s">
        <v>415</v>
      </c>
      <c r="R22" s="18" t="s">
        <v>416</v>
      </c>
    </row>
    <row r="23" ht="34" spans="2:16">
      <c r="B23" t="s">
        <v>417</v>
      </c>
      <c r="C23" t="s">
        <v>363</v>
      </c>
      <c r="D23" t="s">
        <v>418</v>
      </c>
      <c r="E23" t="s">
        <v>372</v>
      </c>
      <c r="F23" t="s">
        <v>366</v>
      </c>
      <c r="G23" t="s">
        <v>367</v>
      </c>
      <c r="H23" t="s">
        <v>419</v>
      </c>
      <c r="I23" t="s">
        <v>326</v>
      </c>
      <c r="J23" t="s">
        <v>365</v>
      </c>
      <c r="K23">
        <v>0</v>
      </c>
      <c r="L23">
        <v>1.5</v>
      </c>
      <c r="N23" t="s">
        <v>25</v>
      </c>
      <c r="O23" t="s">
        <v>25</v>
      </c>
      <c r="P23" s="19" t="s">
        <v>420</v>
      </c>
    </row>
    <row r="24" spans="2:17">
      <c r="B24" t="s">
        <v>421</v>
      </c>
      <c r="C24" t="s">
        <v>363</v>
      </c>
      <c r="D24" t="s">
        <v>377</v>
      </c>
      <c r="E24" t="s">
        <v>365</v>
      </c>
      <c r="F24" t="s">
        <v>366</v>
      </c>
      <c r="G24" t="s">
        <v>374</v>
      </c>
      <c r="I24" t="s">
        <v>378</v>
      </c>
      <c r="J24" t="s">
        <v>422</v>
      </c>
      <c r="K24">
        <v>2</v>
      </c>
      <c r="L24">
        <v>0</v>
      </c>
      <c r="N24" t="s">
        <v>25</v>
      </c>
      <c r="O24" t="s">
        <v>25</v>
      </c>
      <c r="P24" t="s">
        <v>380</v>
      </c>
      <c r="Q24" t="s">
        <v>381</v>
      </c>
    </row>
    <row r="25" ht="34" spans="2:16">
      <c r="B25" t="s">
        <v>423</v>
      </c>
      <c r="C25" t="s">
        <v>363</v>
      </c>
      <c r="D25" t="s">
        <v>371</v>
      </c>
      <c r="E25" t="s">
        <v>372</v>
      </c>
      <c r="F25" t="s">
        <v>366</v>
      </c>
      <c r="G25" t="s">
        <v>374</v>
      </c>
      <c r="I25" t="s">
        <v>326</v>
      </c>
      <c r="J25" t="s">
        <v>365</v>
      </c>
      <c r="K25">
        <v>0</v>
      </c>
      <c r="L25">
        <v>1.2</v>
      </c>
      <c r="N25" t="s">
        <v>25</v>
      </c>
      <c r="O25" t="s">
        <v>25</v>
      </c>
      <c r="P25" s="19" t="s">
        <v>424</v>
      </c>
    </row>
    <row r="26" spans="2:17">
      <c r="B26" t="s">
        <v>425</v>
      </c>
      <c r="C26" t="s">
        <v>363</v>
      </c>
      <c r="D26" t="s">
        <v>377</v>
      </c>
      <c r="E26" t="s">
        <v>365</v>
      </c>
      <c r="F26" t="s">
        <v>366</v>
      </c>
      <c r="G26" t="s">
        <v>374</v>
      </c>
      <c r="I26" t="s">
        <v>378</v>
      </c>
      <c r="J26" t="s">
        <v>372</v>
      </c>
      <c r="K26">
        <v>2</v>
      </c>
      <c r="L26">
        <v>0</v>
      </c>
      <c r="N26" t="s">
        <v>25</v>
      </c>
      <c r="O26" t="s">
        <v>25</v>
      </c>
      <c r="P26" t="s">
        <v>380</v>
      </c>
      <c r="Q26" t="s">
        <v>381</v>
      </c>
    </row>
    <row r="27" spans="2:16">
      <c r="B27" t="s">
        <v>426</v>
      </c>
      <c r="C27" t="s">
        <v>363</v>
      </c>
      <c r="D27" t="s">
        <v>377</v>
      </c>
      <c r="E27" t="s">
        <v>365</v>
      </c>
      <c r="F27" t="s">
        <v>366</v>
      </c>
      <c r="G27" t="s">
        <v>374</v>
      </c>
      <c r="I27" t="s">
        <v>427</v>
      </c>
      <c r="J27" t="s">
        <v>372</v>
      </c>
      <c r="K27">
        <v>0</v>
      </c>
      <c r="L27">
        <v>1</v>
      </c>
      <c r="N27" t="s">
        <v>25</v>
      </c>
      <c r="O27" t="s">
        <v>25</v>
      </c>
      <c r="P27" t="s">
        <v>428</v>
      </c>
    </row>
    <row r="28" ht="34" spans="2:17">
      <c r="B28" t="s">
        <v>429</v>
      </c>
      <c r="C28" t="s">
        <v>363</v>
      </c>
      <c r="D28" t="s">
        <v>394</v>
      </c>
      <c r="E28" t="s">
        <v>365</v>
      </c>
      <c r="F28" t="s">
        <v>366</v>
      </c>
      <c r="G28" t="s">
        <v>374</v>
      </c>
      <c r="I28" t="s">
        <v>384</v>
      </c>
      <c r="J28" t="s">
        <v>385</v>
      </c>
      <c r="K28">
        <v>0</v>
      </c>
      <c r="L28">
        <v>6</v>
      </c>
      <c r="N28" t="s">
        <v>25</v>
      </c>
      <c r="O28" t="s">
        <v>368</v>
      </c>
      <c r="P28" s="19" t="s">
        <v>430</v>
      </c>
      <c r="Q28" s="1" t="s">
        <v>387</v>
      </c>
    </row>
    <row r="29" spans="2:16">
      <c r="B29" t="s">
        <v>431</v>
      </c>
      <c r="C29" t="s">
        <v>363</v>
      </c>
      <c r="D29" t="s">
        <v>377</v>
      </c>
      <c r="E29" t="s">
        <v>365</v>
      </c>
      <c r="F29" t="s">
        <v>366</v>
      </c>
      <c r="G29" t="s">
        <v>374</v>
      </c>
      <c r="I29" t="s">
        <v>326</v>
      </c>
      <c r="J29" t="s">
        <v>365</v>
      </c>
      <c r="K29">
        <v>0</v>
      </c>
      <c r="L29">
        <v>1.5</v>
      </c>
      <c r="N29" t="s">
        <v>25</v>
      </c>
      <c r="O29" t="s">
        <v>25</v>
      </c>
      <c r="P29" t="s">
        <v>432</v>
      </c>
    </row>
    <row r="30" spans="2:16">
      <c r="B30" t="s">
        <v>433</v>
      </c>
      <c r="C30" t="s">
        <v>363</v>
      </c>
      <c r="D30" t="s">
        <v>377</v>
      </c>
      <c r="E30" t="s">
        <v>365</v>
      </c>
      <c r="F30" t="s">
        <v>366</v>
      </c>
      <c r="G30" t="s">
        <v>374</v>
      </c>
      <c r="I30" t="s">
        <v>389</v>
      </c>
      <c r="J30" t="s">
        <v>365</v>
      </c>
      <c r="K30">
        <v>0</v>
      </c>
      <c r="L30">
        <v>10</v>
      </c>
      <c r="N30" t="s">
        <v>25</v>
      </c>
      <c r="O30" t="s">
        <v>368</v>
      </c>
      <c r="P30" t="s">
        <v>434</v>
      </c>
    </row>
    <row r="31" spans="2:17">
      <c r="B31" t="s">
        <v>435</v>
      </c>
      <c r="C31" t="s">
        <v>363</v>
      </c>
      <c r="D31" t="s">
        <v>377</v>
      </c>
      <c r="E31" t="s">
        <v>365</v>
      </c>
      <c r="F31" t="s">
        <v>366</v>
      </c>
      <c r="G31" t="s">
        <v>374</v>
      </c>
      <c r="I31" t="s">
        <v>378</v>
      </c>
      <c r="J31" t="s">
        <v>403</v>
      </c>
      <c r="K31">
        <v>2</v>
      </c>
      <c r="L31">
        <v>0</v>
      </c>
      <c r="N31" t="s">
        <v>25</v>
      </c>
      <c r="O31" t="s">
        <v>25</v>
      </c>
      <c r="P31" t="s">
        <v>380</v>
      </c>
      <c r="Q31" t="s">
        <v>381</v>
      </c>
    </row>
    <row r="32" ht="34" spans="2:16">
      <c r="B32" t="s">
        <v>436</v>
      </c>
      <c r="C32" t="s">
        <v>363</v>
      </c>
      <c r="D32" t="s">
        <v>371</v>
      </c>
      <c r="E32" t="s">
        <v>437</v>
      </c>
      <c r="F32" t="s">
        <v>366</v>
      </c>
      <c r="G32" t="s">
        <v>374</v>
      </c>
      <c r="I32" t="s">
        <v>323</v>
      </c>
      <c r="J32" t="s">
        <v>365</v>
      </c>
      <c r="K32">
        <v>0</v>
      </c>
      <c r="L32">
        <v>0.2</v>
      </c>
      <c r="N32" t="s">
        <v>25</v>
      </c>
      <c r="O32" t="s">
        <v>368</v>
      </c>
      <c r="P32" s="19" t="s">
        <v>392</v>
      </c>
    </row>
    <row r="33" spans="2:16">
      <c r="B33" t="s">
        <v>438</v>
      </c>
      <c r="C33" t="s">
        <v>363</v>
      </c>
      <c r="D33" t="s">
        <v>377</v>
      </c>
      <c r="E33" t="s">
        <v>365</v>
      </c>
      <c r="F33" t="s">
        <v>366</v>
      </c>
      <c r="G33" t="s">
        <v>374</v>
      </c>
      <c r="I33" t="s">
        <v>410</v>
      </c>
      <c r="J33" t="s">
        <v>365</v>
      </c>
      <c r="K33">
        <v>0</v>
      </c>
      <c r="L33">
        <v>3</v>
      </c>
      <c r="N33" t="s">
        <v>368</v>
      </c>
      <c r="O33" t="s">
        <v>25</v>
      </c>
      <c r="P33" t="s">
        <v>411</v>
      </c>
    </row>
    <row r="34" spans="2:16">
      <c r="B34" t="s">
        <v>439</v>
      </c>
      <c r="C34" t="s">
        <v>363</v>
      </c>
      <c r="D34" t="s">
        <v>377</v>
      </c>
      <c r="E34" t="s">
        <v>365</v>
      </c>
      <c r="F34" t="s">
        <v>366</v>
      </c>
      <c r="G34" t="s">
        <v>374</v>
      </c>
      <c r="I34" t="s">
        <v>323</v>
      </c>
      <c r="J34" t="s">
        <v>396</v>
      </c>
      <c r="K34">
        <v>0</v>
      </c>
      <c r="L34">
        <v>5</v>
      </c>
      <c r="N34" t="s">
        <v>25</v>
      </c>
      <c r="O34" t="s">
        <v>368</v>
      </c>
      <c r="P34" t="s">
        <v>440</v>
      </c>
    </row>
    <row r="35" spans="2:17">
      <c r="B35" t="s">
        <v>441</v>
      </c>
      <c r="C35" t="s">
        <v>363</v>
      </c>
      <c r="D35" t="s">
        <v>377</v>
      </c>
      <c r="E35" t="s">
        <v>365</v>
      </c>
      <c r="F35" t="s">
        <v>366</v>
      </c>
      <c r="G35" t="s">
        <v>374</v>
      </c>
      <c r="I35" t="s">
        <v>378</v>
      </c>
      <c r="J35" t="s">
        <v>403</v>
      </c>
      <c r="K35">
        <v>3</v>
      </c>
      <c r="L35">
        <v>0</v>
      </c>
      <c r="N35" t="s">
        <v>25</v>
      </c>
      <c r="O35" t="s">
        <v>25</v>
      </c>
      <c r="P35" t="s">
        <v>380</v>
      </c>
      <c r="Q35" t="s">
        <v>381</v>
      </c>
    </row>
    <row r="36" spans="2:18">
      <c r="B36" t="s">
        <v>442</v>
      </c>
      <c r="C36" t="s">
        <v>363</v>
      </c>
      <c r="D36" t="s">
        <v>377</v>
      </c>
      <c r="E36" t="s">
        <v>365</v>
      </c>
      <c r="F36" t="s">
        <v>366</v>
      </c>
      <c r="G36" t="s">
        <v>374</v>
      </c>
      <c r="I36" t="s">
        <v>443</v>
      </c>
      <c r="J36" t="s">
        <v>385</v>
      </c>
      <c r="K36">
        <v>0</v>
      </c>
      <c r="L36">
        <v>10</v>
      </c>
      <c r="N36" t="s">
        <v>25</v>
      </c>
      <c r="O36" t="s">
        <v>25</v>
      </c>
      <c r="P36" t="s">
        <v>444</v>
      </c>
      <c r="Q36" s="1" t="s">
        <v>387</v>
      </c>
      <c r="R36" t="s">
        <v>391</v>
      </c>
    </row>
    <row r="37" spans="2:18">
      <c r="B37" t="s">
        <v>445</v>
      </c>
      <c r="C37" t="s">
        <v>363</v>
      </c>
      <c r="D37" t="s">
        <v>377</v>
      </c>
      <c r="E37" t="s">
        <v>365</v>
      </c>
      <c r="F37" t="s">
        <v>366</v>
      </c>
      <c r="G37" t="s">
        <v>374</v>
      </c>
      <c r="I37" t="s">
        <v>323</v>
      </c>
      <c r="J37" t="s">
        <v>365</v>
      </c>
      <c r="K37">
        <v>0</v>
      </c>
      <c r="L37">
        <v>5</v>
      </c>
      <c r="N37" t="s">
        <v>25</v>
      </c>
      <c r="O37" t="s">
        <v>368</v>
      </c>
      <c r="P37" t="s">
        <v>440</v>
      </c>
      <c r="R37" t="s">
        <v>396</v>
      </c>
    </row>
    <row r="38" spans="2:18">
      <c r="B38" t="s">
        <v>446</v>
      </c>
      <c r="C38" t="s">
        <v>363</v>
      </c>
      <c r="D38" t="s">
        <v>377</v>
      </c>
      <c r="E38" t="s">
        <v>365</v>
      </c>
      <c r="F38" t="s">
        <v>366</v>
      </c>
      <c r="G38" t="s">
        <v>374</v>
      </c>
      <c r="I38" t="s">
        <v>323</v>
      </c>
      <c r="J38" t="s">
        <v>391</v>
      </c>
      <c r="K38">
        <v>0</v>
      </c>
      <c r="L38">
        <v>3</v>
      </c>
      <c r="N38" t="s">
        <v>25</v>
      </c>
      <c r="O38" t="s">
        <v>368</v>
      </c>
      <c r="P38" t="s">
        <v>440</v>
      </c>
      <c r="R38" t="s">
        <v>393</v>
      </c>
    </row>
    <row r="39" spans="2:18">
      <c r="B39" t="s">
        <v>447</v>
      </c>
      <c r="C39" t="s">
        <v>363</v>
      </c>
      <c r="D39" t="s">
        <v>377</v>
      </c>
      <c r="E39" t="s">
        <v>365</v>
      </c>
      <c r="F39" t="s">
        <v>366</v>
      </c>
      <c r="G39" t="s">
        <v>374</v>
      </c>
      <c r="I39" t="s">
        <v>378</v>
      </c>
      <c r="J39" t="s">
        <v>379</v>
      </c>
      <c r="K39">
        <v>3</v>
      </c>
      <c r="L39">
        <v>0</v>
      </c>
      <c r="N39" t="s">
        <v>25</v>
      </c>
      <c r="O39" t="s">
        <v>25</v>
      </c>
      <c r="P39" t="s">
        <v>380</v>
      </c>
      <c r="Q39" t="s">
        <v>381</v>
      </c>
      <c r="R39" t="s">
        <v>403</v>
      </c>
    </row>
    <row r="40" ht="34" spans="2:18">
      <c r="B40" t="s">
        <v>244</v>
      </c>
      <c r="C40" t="s">
        <v>363</v>
      </c>
      <c r="D40" t="s">
        <v>377</v>
      </c>
      <c r="E40" t="s">
        <v>365</v>
      </c>
      <c r="F40" t="s">
        <v>366</v>
      </c>
      <c r="G40" t="s">
        <v>374</v>
      </c>
      <c r="I40" t="s">
        <v>384</v>
      </c>
      <c r="J40" t="s">
        <v>385</v>
      </c>
      <c r="K40">
        <v>0</v>
      </c>
      <c r="L40">
        <v>1.5</v>
      </c>
      <c r="M40" t="s">
        <v>448</v>
      </c>
      <c r="N40" t="s">
        <v>25</v>
      </c>
      <c r="O40" t="s">
        <v>25</v>
      </c>
      <c r="P40" s="19" t="s">
        <v>449</v>
      </c>
      <c r="Q40" s="1" t="s">
        <v>387</v>
      </c>
      <c r="R40" t="s">
        <v>450</v>
      </c>
    </row>
    <row r="41" ht="34" spans="2:16">
      <c r="B41" t="s">
        <v>245</v>
      </c>
      <c r="C41" t="s">
        <v>363</v>
      </c>
      <c r="D41" t="s">
        <v>371</v>
      </c>
      <c r="E41" t="s">
        <v>393</v>
      </c>
      <c r="F41" t="s">
        <v>366</v>
      </c>
      <c r="G41" t="s">
        <v>451</v>
      </c>
      <c r="H41" t="s">
        <v>452</v>
      </c>
      <c r="I41" t="s">
        <v>326</v>
      </c>
      <c r="J41" t="s">
        <v>393</v>
      </c>
      <c r="K41">
        <v>0</v>
      </c>
      <c r="L41">
        <v>0</v>
      </c>
      <c r="M41" t="s">
        <v>453</v>
      </c>
      <c r="N41" t="s">
        <v>25</v>
      </c>
      <c r="O41" t="s">
        <v>25</v>
      </c>
      <c r="P41" s="19" t="s">
        <v>454</v>
      </c>
    </row>
    <row r="42" spans="2:16">
      <c r="B42" t="s">
        <v>455</v>
      </c>
      <c r="C42" t="s">
        <v>363</v>
      </c>
      <c r="D42" t="s">
        <v>377</v>
      </c>
      <c r="E42" t="s">
        <v>365</v>
      </c>
      <c r="F42" t="s">
        <v>366</v>
      </c>
      <c r="G42" t="s">
        <v>374</v>
      </c>
      <c r="I42" t="s">
        <v>410</v>
      </c>
      <c r="J42" t="s">
        <v>365</v>
      </c>
      <c r="K42">
        <v>0</v>
      </c>
      <c r="L42">
        <v>4</v>
      </c>
      <c r="N42" t="s">
        <v>368</v>
      </c>
      <c r="O42" t="s">
        <v>25</v>
      </c>
      <c r="P42" t="s">
        <v>411</v>
      </c>
    </row>
    <row r="43" spans="2:16">
      <c r="B43" t="s">
        <v>456</v>
      </c>
      <c r="C43" t="s">
        <v>363</v>
      </c>
      <c r="D43" t="s">
        <v>377</v>
      </c>
      <c r="E43" t="s">
        <v>365</v>
      </c>
      <c r="F43" t="s">
        <v>366</v>
      </c>
      <c r="G43" t="s">
        <v>374</v>
      </c>
      <c r="I43" t="s">
        <v>326</v>
      </c>
      <c r="J43" t="s">
        <v>365</v>
      </c>
      <c r="K43">
        <v>0</v>
      </c>
      <c r="L43">
        <v>3</v>
      </c>
      <c r="N43" t="s">
        <v>25</v>
      </c>
      <c r="O43" t="s">
        <v>25</v>
      </c>
      <c r="P43" t="s">
        <v>432</v>
      </c>
    </row>
    <row r="44" ht="34" spans="2:16">
      <c r="B44" t="s">
        <v>457</v>
      </c>
      <c r="C44" t="s">
        <v>363</v>
      </c>
      <c r="D44" t="s">
        <v>404</v>
      </c>
      <c r="E44" t="s">
        <v>393</v>
      </c>
      <c r="F44" t="s">
        <v>366</v>
      </c>
      <c r="G44" t="s">
        <v>367</v>
      </c>
      <c r="I44" t="s">
        <v>410</v>
      </c>
      <c r="J44" t="s">
        <v>365</v>
      </c>
      <c r="K44">
        <v>0</v>
      </c>
      <c r="L44">
        <v>9</v>
      </c>
      <c r="N44" t="s">
        <v>368</v>
      </c>
      <c r="O44" t="s">
        <v>25</v>
      </c>
      <c r="P44" s="19" t="s">
        <v>458</v>
      </c>
    </row>
    <row r="45" spans="2:16">
      <c r="B45" t="s">
        <v>459</v>
      </c>
      <c r="C45" t="s">
        <v>363</v>
      </c>
      <c r="D45" t="s">
        <v>377</v>
      </c>
      <c r="E45" t="s">
        <v>365</v>
      </c>
      <c r="F45" t="s">
        <v>366</v>
      </c>
      <c r="G45" t="s">
        <v>374</v>
      </c>
      <c r="I45" t="s">
        <v>410</v>
      </c>
      <c r="J45" t="s">
        <v>391</v>
      </c>
      <c r="K45">
        <v>0</v>
      </c>
      <c r="L45">
        <v>2</v>
      </c>
      <c r="N45" t="s">
        <v>368</v>
      </c>
      <c r="O45" t="s">
        <v>25</v>
      </c>
      <c r="P45" t="s">
        <v>460</v>
      </c>
    </row>
    <row r="46" spans="2:16">
      <c r="B46" t="s">
        <v>461</v>
      </c>
      <c r="C46" t="s">
        <v>363</v>
      </c>
      <c r="D46" t="s">
        <v>377</v>
      </c>
      <c r="E46" t="s">
        <v>365</v>
      </c>
      <c r="F46" t="s">
        <v>366</v>
      </c>
      <c r="G46" t="s">
        <v>374</v>
      </c>
      <c r="I46" t="s">
        <v>323</v>
      </c>
      <c r="J46" t="s">
        <v>365</v>
      </c>
      <c r="K46">
        <v>0</v>
      </c>
      <c r="L46">
        <v>4</v>
      </c>
      <c r="N46" t="s">
        <v>25</v>
      </c>
      <c r="O46" t="s">
        <v>368</v>
      </c>
      <c r="P46" t="s">
        <v>440</v>
      </c>
    </row>
    <row r="47" ht="34" spans="2:16">
      <c r="B47" t="s">
        <v>462</v>
      </c>
      <c r="C47" t="s">
        <v>363</v>
      </c>
      <c r="D47" t="s">
        <v>377</v>
      </c>
      <c r="E47" t="s">
        <v>365</v>
      </c>
      <c r="F47" t="s">
        <v>366</v>
      </c>
      <c r="G47" t="s">
        <v>374</v>
      </c>
      <c r="I47" t="s">
        <v>320</v>
      </c>
      <c r="J47" t="s">
        <v>463</v>
      </c>
      <c r="K47">
        <v>0</v>
      </c>
      <c r="L47">
        <v>10</v>
      </c>
      <c r="M47" t="s">
        <v>464</v>
      </c>
      <c r="N47" t="s">
        <v>25</v>
      </c>
      <c r="O47" t="s">
        <v>368</v>
      </c>
      <c r="P47" s="19" t="s">
        <v>465</v>
      </c>
    </row>
    <row r="48" spans="2:17">
      <c r="B48" t="s">
        <v>466</v>
      </c>
      <c r="C48" t="s">
        <v>363</v>
      </c>
      <c r="D48" t="s">
        <v>377</v>
      </c>
      <c r="E48" t="s">
        <v>365</v>
      </c>
      <c r="F48" t="s">
        <v>366</v>
      </c>
      <c r="G48" t="s">
        <v>374</v>
      </c>
      <c r="I48" t="s">
        <v>384</v>
      </c>
      <c r="J48" t="s">
        <v>385</v>
      </c>
      <c r="K48">
        <v>0</v>
      </c>
      <c r="L48">
        <v>15</v>
      </c>
      <c r="N48" t="s">
        <v>25</v>
      </c>
      <c r="O48" t="s">
        <v>368</v>
      </c>
      <c r="P48" t="s">
        <v>397</v>
      </c>
      <c r="Q48" s="1" t="s">
        <v>387</v>
      </c>
    </row>
    <row r="49" ht="34" spans="2:16">
      <c r="B49" t="s">
        <v>467</v>
      </c>
      <c r="C49" t="s">
        <v>363</v>
      </c>
      <c r="D49" t="s">
        <v>394</v>
      </c>
      <c r="E49" t="s">
        <v>365</v>
      </c>
      <c r="F49" t="s">
        <v>366</v>
      </c>
      <c r="G49" t="s">
        <v>374</v>
      </c>
      <c r="I49" t="s">
        <v>323</v>
      </c>
      <c r="J49" t="s">
        <v>365</v>
      </c>
      <c r="K49">
        <v>0</v>
      </c>
      <c r="L49">
        <v>5</v>
      </c>
      <c r="N49" t="s">
        <v>25</v>
      </c>
      <c r="O49" t="s">
        <v>368</v>
      </c>
      <c r="P49" s="19" t="s">
        <v>468</v>
      </c>
    </row>
    <row r="50" spans="2:17">
      <c r="B50" t="s">
        <v>469</v>
      </c>
      <c r="C50" t="s">
        <v>363</v>
      </c>
      <c r="D50" t="s">
        <v>377</v>
      </c>
      <c r="E50" t="s">
        <v>365</v>
      </c>
      <c r="F50" t="s">
        <v>366</v>
      </c>
      <c r="G50" t="s">
        <v>374</v>
      </c>
      <c r="I50" t="s">
        <v>378</v>
      </c>
      <c r="J50" t="s">
        <v>422</v>
      </c>
      <c r="K50">
        <v>0</v>
      </c>
      <c r="L50">
        <v>0</v>
      </c>
      <c r="N50" t="s">
        <v>25</v>
      </c>
      <c r="O50" t="s">
        <v>25</v>
      </c>
      <c r="P50" t="s">
        <v>380</v>
      </c>
      <c r="Q50" t="s">
        <v>381</v>
      </c>
    </row>
    <row r="51" spans="2:16">
      <c r="B51" t="s">
        <v>470</v>
      </c>
      <c r="C51" t="s">
        <v>363</v>
      </c>
      <c r="D51" t="s">
        <v>377</v>
      </c>
      <c r="E51" t="s">
        <v>365</v>
      </c>
      <c r="F51" t="s">
        <v>366</v>
      </c>
      <c r="G51" t="s">
        <v>374</v>
      </c>
      <c r="I51" t="s">
        <v>410</v>
      </c>
      <c r="J51" t="s">
        <v>365</v>
      </c>
      <c r="K51">
        <v>0</v>
      </c>
      <c r="L51">
        <v>9</v>
      </c>
      <c r="N51" t="s">
        <v>368</v>
      </c>
      <c r="O51" t="s">
        <v>25</v>
      </c>
      <c r="P51" t="s">
        <v>411</v>
      </c>
    </row>
    <row r="52" spans="2:16">
      <c r="B52" t="s">
        <v>471</v>
      </c>
      <c r="C52" t="s">
        <v>363</v>
      </c>
      <c r="D52" t="s">
        <v>377</v>
      </c>
      <c r="E52" t="s">
        <v>365</v>
      </c>
      <c r="F52" t="s">
        <v>366</v>
      </c>
      <c r="G52" t="s">
        <v>374</v>
      </c>
      <c r="I52" t="s">
        <v>326</v>
      </c>
      <c r="J52" t="s">
        <v>391</v>
      </c>
      <c r="K52">
        <v>0</v>
      </c>
      <c r="L52">
        <v>2</v>
      </c>
      <c r="N52" t="s">
        <v>25</v>
      </c>
      <c r="O52" t="s">
        <v>25</v>
      </c>
      <c r="P52" t="s">
        <v>432</v>
      </c>
    </row>
    <row r="53" spans="2:17">
      <c r="B53" t="s">
        <v>472</v>
      </c>
      <c r="C53" t="s">
        <v>363</v>
      </c>
      <c r="D53" t="s">
        <v>377</v>
      </c>
      <c r="E53" t="s">
        <v>365</v>
      </c>
      <c r="F53" t="s">
        <v>366</v>
      </c>
      <c r="G53" t="s">
        <v>374</v>
      </c>
      <c r="I53" t="s">
        <v>384</v>
      </c>
      <c r="J53" t="s">
        <v>385</v>
      </c>
      <c r="K53">
        <v>0</v>
      </c>
      <c r="L53">
        <v>20</v>
      </c>
      <c r="N53" t="s">
        <v>25</v>
      </c>
      <c r="O53" t="s">
        <v>368</v>
      </c>
      <c r="P53" t="s">
        <v>397</v>
      </c>
      <c r="Q53" s="1" t="s">
        <v>387</v>
      </c>
    </row>
    <row r="54" spans="2:16">
      <c r="B54" t="s">
        <v>473</v>
      </c>
      <c r="C54" t="s">
        <v>363</v>
      </c>
      <c r="D54" t="s">
        <v>377</v>
      </c>
      <c r="E54" t="s">
        <v>365</v>
      </c>
      <c r="F54" t="s">
        <v>366</v>
      </c>
      <c r="G54" t="s">
        <v>374</v>
      </c>
      <c r="I54" t="s">
        <v>323</v>
      </c>
      <c r="J54" t="s">
        <v>437</v>
      </c>
      <c r="K54">
        <v>0</v>
      </c>
      <c r="L54">
        <v>0.5</v>
      </c>
      <c r="N54" t="s">
        <v>25</v>
      </c>
      <c r="O54" t="s">
        <v>368</v>
      </c>
      <c r="P54" t="s">
        <v>440</v>
      </c>
    </row>
    <row r="55" spans="2:16">
      <c r="B55" t="s">
        <v>474</v>
      </c>
      <c r="C55" t="s">
        <v>363</v>
      </c>
      <c r="D55" t="s">
        <v>377</v>
      </c>
      <c r="E55" t="s">
        <v>365</v>
      </c>
      <c r="F55" t="s">
        <v>366</v>
      </c>
      <c r="G55" t="s">
        <v>374</v>
      </c>
      <c r="I55" t="s">
        <v>427</v>
      </c>
      <c r="J55" t="s">
        <v>372</v>
      </c>
      <c r="K55">
        <v>0</v>
      </c>
      <c r="L55">
        <v>2</v>
      </c>
      <c r="N55" t="s">
        <v>25</v>
      </c>
      <c r="O55" t="s">
        <v>25</v>
      </c>
      <c r="P55" t="s">
        <v>428</v>
      </c>
    </row>
    <row r="56" spans="2:16">
      <c r="B56" t="s">
        <v>475</v>
      </c>
      <c r="C56" t="s">
        <v>363</v>
      </c>
      <c r="D56" t="s">
        <v>377</v>
      </c>
      <c r="E56" t="s">
        <v>365</v>
      </c>
      <c r="F56" t="s">
        <v>366</v>
      </c>
      <c r="G56" t="s">
        <v>374</v>
      </c>
      <c r="I56" t="s">
        <v>410</v>
      </c>
      <c r="J56" t="s">
        <v>365</v>
      </c>
      <c r="K56">
        <v>0</v>
      </c>
      <c r="L56">
        <v>7</v>
      </c>
      <c r="N56" t="s">
        <v>368</v>
      </c>
      <c r="O56" t="s">
        <v>25</v>
      </c>
      <c r="P56" t="s">
        <v>411</v>
      </c>
    </row>
    <row r="57" spans="2:16">
      <c r="B57" t="s">
        <v>476</v>
      </c>
      <c r="C57" t="s">
        <v>363</v>
      </c>
      <c r="D57" t="s">
        <v>377</v>
      </c>
      <c r="E57" t="s">
        <v>365</v>
      </c>
      <c r="F57" t="s">
        <v>366</v>
      </c>
      <c r="G57" t="s">
        <v>374</v>
      </c>
      <c r="I57" t="s">
        <v>323</v>
      </c>
      <c r="J57" t="s">
        <v>463</v>
      </c>
      <c r="K57">
        <v>0</v>
      </c>
      <c r="L57">
        <v>5</v>
      </c>
      <c r="M57" t="s">
        <v>464</v>
      </c>
      <c r="N57" t="s">
        <v>25</v>
      </c>
      <c r="O57" t="s">
        <v>368</v>
      </c>
      <c r="P57" t="s">
        <v>477</v>
      </c>
    </row>
    <row r="58" ht="34" spans="2:16">
      <c r="B58" t="s">
        <v>257</v>
      </c>
      <c r="C58" t="s">
        <v>363</v>
      </c>
      <c r="D58" t="s">
        <v>371</v>
      </c>
      <c r="E58" t="s">
        <v>393</v>
      </c>
      <c r="F58" t="s">
        <v>366</v>
      </c>
      <c r="G58" t="s">
        <v>374</v>
      </c>
      <c r="I58" t="s">
        <v>323</v>
      </c>
      <c r="J58" t="s">
        <v>396</v>
      </c>
      <c r="K58">
        <v>0</v>
      </c>
      <c r="L58">
        <v>0.3</v>
      </c>
      <c r="N58" t="s">
        <v>25</v>
      </c>
      <c r="O58" t="s">
        <v>368</v>
      </c>
      <c r="P58" s="19" t="s">
        <v>392</v>
      </c>
    </row>
    <row r="59" spans="2:16">
      <c r="B59" t="s">
        <v>478</v>
      </c>
      <c r="C59" t="s">
        <v>363</v>
      </c>
      <c r="D59" t="s">
        <v>377</v>
      </c>
      <c r="E59" t="s">
        <v>365</v>
      </c>
      <c r="F59" t="s">
        <v>366</v>
      </c>
      <c r="G59" t="s">
        <v>374</v>
      </c>
      <c r="I59" t="s">
        <v>326</v>
      </c>
      <c r="J59" t="s">
        <v>365</v>
      </c>
      <c r="K59">
        <v>0</v>
      </c>
      <c r="L59">
        <v>2</v>
      </c>
      <c r="N59" t="s">
        <v>25</v>
      </c>
      <c r="O59" t="s">
        <v>25</v>
      </c>
      <c r="P59" t="s">
        <v>432</v>
      </c>
    </row>
    <row r="60" ht="34" spans="2:17">
      <c r="B60" t="s">
        <v>479</v>
      </c>
      <c r="C60" t="s">
        <v>363</v>
      </c>
      <c r="D60" t="s">
        <v>480</v>
      </c>
      <c r="E60" t="s">
        <v>437</v>
      </c>
      <c r="F60" t="s">
        <v>366</v>
      </c>
      <c r="G60" t="s">
        <v>451</v>
      </c>
      <c r="H60" t="s">
        <v>481</v>
      </c>
      <c r="I60" t="s">
        <v>384</v>
      </c>
      <c r="J60" t="s">
        <v>385</v>
      </c>
      <c r="K60">
        <v>0</v>
      </c>
      <c r="L60">
        <v>0</v>
      </c>
      <c r="M60" t="s">
        <v>482</v>
      </c>
      <c r="N60" t="s">
        <v>25</v>
      </c>
      <c r="O60" t="s">
        <v>25</v>
      </c>
      <c r="P60" s="19" t="s">
        <v>483</v>
      </c>
      <c r="Q60" s="1" t="s">
        <v>387</v>
      </c>
    </row>
    <row r="61" ht="34" spans="2:17">
      <c r="B61" t="s">
        <v>259</v>
      </c>
      <c r="C61" t="s">
        <v>363</v>
      </c>
      <c r="D61" t="s">
        <v>484</v>
      </c>
      <c r="E61" t="s">
        <v>437</v>
      </c>
      <c r="F61" t="s">
        <v>373</v>
      </c>
      <c r="G61" t="s">
        <v>451</v>
      </c>
      <c r="H61" t="s">
        <v>485</v>
      </c>
      <c r="I61" t="s">
        <v>326</v>
      </c>
      <c r="J61" t="s">
        <v>437</v>
      </c>
      <c r="K61">
        <v>0</v>
      </c>
      <c r="L61">
        <v>0</v>
      </c>
      <c r="M61" t="s">
        <v>486</v>
      </c>
      <c r="N61" t="s">
        <v>25</v>
      </c>
      <c r="O61" t="s">
        <v>25</v>
      </c>
      <c r="P61" s="19" t="s">
        <v>487</v>
      </c>
      <c r="Q61" t="s">
        <v>381</v>
      </c>
    </row>
    <row r="62" ht="34" spans="2:17">
      <c r="B62" t="s">
        <v>260</v>
      </c>
      <c r="C62" t="s">
        <v>363</v>
      </c>
      <c r="D62" t="s">
        <v>371</v>
      </c>
      <c r="E62" t="s">
        <v>372</v>
      </c>
      <c r="F62" t="s">
        <v>373</v>
      </c>
      <c r="G62" t="s">
        <v>374</v>
      </c>
      <c r="I62" t="s">
        <v>384</v>
      </c>
      <c r="J62" t="s">
        <v>385</v>
      </c>
      <c r="K62">
        <v>0</v>
      </c>
      <c r="L62">
        <v>2</v>
      </c>
      <c r="N62" t="s">
        <v>25</v>
      </c>
      <c r="O62" t="s">
        <v>368</v>
      </c>
      <c r="P62" s="19" t="s">
        <v>386</v>
      </c>
      <c r="Q62" s="1" t="s">
        <v>387</v>
      </c>
    </row>
    <row r="63" spans="2:16">
      <c r="B63" t="s">
        <v>488</v>
      </c>
      <c r="C63" t="s">
        <v>363</v>
      </c>
      <c r="D63" t="s">
        <v>377</v>
      </c>
      <c r="E63" t="s">
        <v>365</v>
      </c>
      <c r="F63" t="s">
        <v>366</v>
      </c>
      <c r="G63" t="s">
        <v>374</v>
      </c>
      <c r="I63" t="s">
        <v>326</v>
      </c>
      <c r="J63" t="s">
        <v>396</v>
      </c>
      <c r="K63">
        <v>0</v>
      </c>
      <c r="L63">
        <v>1.5</v>
      </c>
      <c r="N63" t="s">
        <v>25</v>
      </c>
      <c r="O63" t="s">
        <v>25</v>
      </c>
      <c r="P63" t="s">
        <v>432</v>
      </c>
    </row>
    <row r="64" spans="2:16">
      <c r="B64" t="s">
        <v>489</v>
      </c>
      <c r="C64" t="s">
        <v>363</v>
      </c>
      <c r="D64" t="s">
        <v>377</v>
      </c>
      <c r="E64" t="s">
        <v>365</v>
      </c>
      <c r="F64" t="s">
        <v>366</v>
      </c>
      <c r="G64" t="s">
        <v>374</v>
      </c>
      <c r="I64" t="s">
        <v>326</v>
      </c>
      <c r="J64" t="s">
        <v>391</v>
      </c>
      <c r="K64">
        <v>0</v>
      </c>
      <c r="L64">
        <v>1.4</v>
      </c>
      <c r="N64" t="s">
        <v>25</v>
      </c>
      <c r="O64" t="s">
        <v>25</v>
      </c>
      <c r="P64" t="s">
        <v>432</v>
      </c>
    </row>
    <row r="65" spans="2:17">
      <c r="B65" t="s">
        <v>490</v>
      </c>
      <c r="C65" t="s">
        <v>363</v>
      </c>
      <c r="D65" t="s">
        <v>377</v>
      </c>
      <c r="E65" t="s">
        <v>365</v>
      </c>
      <c r="F65" t="s">
        <v>366</v>
      </c>
      <c r="G65" t="s">
        <v>374</v>
      </c>
      <c r="I65" t="s">
        <v>378</v>
      </c>
      <c r="J65" t="s">
        <v>372</v>
      </c>
      <c r="K65">
        <v>0</v>
      </c>
      <c r="L65">
        <v>0</v>
      </c>
      <c r="N65" t="s">
        <v>25</v>
      </c>
      <c r="O65" t="s">
        <v>25</v>
      </c>
      <c r="P65" t="s">
        <v>380</v>
      </c>
      <c r="Q65" t="s">
        <v>381</v>
      </c>
    </row>
    <row r="66" ht="34" spans="2:17">
      <c r="B66" t="s">
        <v>263</v>
      </c>
      <c r="C66" t="s">
        <v>363</v>
      </c>
      <c r="D66" t="s">
        <v>377</v>
      </c>
      <c r="E66" t="s">
        <v>365</v>
      </c>
      <c r="F66" t="s">
        <v>366</v>
      </c>
      <c r="G66" t="s">
        <v>374</v>
      </c>
      <c r="I66" t="s">
        <v>491</v>
      </c>
      <c r="J66" t="s">
        <v>437</v>
      </c>
      <c r="K66">
        <v>0</v>
      </c>
      <c r="L66">
        <v>0</v>
      </c>
      <c r="M66" t="s">
        <v>492</v>
      </c>
      <c r="N66" t="s">
        <v>25</v>
      </c>
      <c r="O66" t="s">
        <v>25</v>
      </c>
      <c r="P66" s="19" t="s">
        <v>493</v>
      </c>
      <c r="Q66" t="s">
        <v>381</v>
      </c>
    </row>
    <row r="67" ht="34" spans="2:16">
      <c r="B67" t="s">
        <v>494</v>
      </c>
      <c r="C67" t="s">
        <v>363</v>
      </c>
      <c r="D67" t="s">
        <v>394</v>
      </c>
      <c r="E67" t="s">
        <v>365</v>
      </c>
      <c r="F67" t="s">
        <v>366</v>
      </c>
      <c r="G67" t="s">
        <v>374</v>
      </c>
      <c r="I67" t="s">
        <v>326</v>
      </c>
      <c r="J67" t="s">
        <v>365</v>
      </c>
      <c r="K67">
        <v>0</v>
      </c>
      <c r="L67">
        <v>1.5</v>
      </c>
      <c r="N67" t="s">
        <v>25</v>
      </c>
      <c r="O67" t="s">
        <v>25</v>
      </c>
      <c r="P67" s="19" t="s">
        <v>495</v>
      </c>
    </row>
    <row r="68" spans="2:17">
      <c r="B68" t="s">
        <v>496</v>
      </c>
      <c r="C68" t="s">
        <v>363</v>
      </c>
      <c r="D68" t="s">
        <v>377</v>
      </c>
      <c r="E68" t="s">
        <v>365</v>
      </c>
      <c r="F68" t="s">
        <v>366</v>
      </c>
      <c r="G68" t="s">
        <v>374</v>
      </c>
      <c r="I68" t="s">
        <v>378</v>
      </c>
      <c r="J68" t="s">
        <v>379</v>
      </c>
      <c r="K68">
        <v>0</v>
      </c>
      <c r="L68">
        <v>0</v>
      </c>
      <c r="N68" t="s">
        <v>25</v>
      </c>
      <c r="O68" t="s">
        <v>25</v>
      </c>
      <c r="P68" t="s">
        <v>380</v>
      </c>
      <c r="Q68" t="s">
        <v>381</v>
      </c>
    </row>
    <row r="69" spans="2:16">
      <c r="B69" t="s">
        <v>265</v>
      </c>
      <c r="C69" t="s">
        <v>363</v>
      </c>
      <c r="D69" t="s">
        <v>377</v>
      </c>
      <c r="E69" t="s">
        <v>365</v>
      </c>
      <c r="F69" t="s">
        <v>366</v>
      </c>
      <c r="G69" t="s">
        <v>374</v>
      </c>
      <c r="I69" t="s">
        <v>427</v>
      </c>
      <c r="J69" t="s">
        <v>365</v>
      </c>
      <c r="K69">
        <v>0</v>
      </c>
      <c r="L69">
        <v>3</v>
      </c>
      <c r="M69" t="s">
        <v>464</v>
      </c>
      <c r="N69" t="s">
        <v>25</v>
      </c>
      <c r="O69" t="s">
        <v>25</v>
      </c>
      <c r="P69" t="s">
        <v>497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498</v>
      </c>
      <c r="C2" s="7" t="s">
        <v>499</v>
      </c>
      <c r="D2" s="7" t="s">
        <v>500</v>
      </c>
      <c r="E2" s="7" t="s">
        <v>501</v>
      </c>
      <c r="F2" s="7" t="s">
        <v>502</v>
      </c>
      <c r="G2" s="7" t="s">
        <v>503</v>
      </c>
      <c r="H2" s="7" t="s">
        <v>504</v>
      </c>
      <c r="I2" s="7" t="s">
        <v>505</v>
      </c>
      <c r="J2" s="7" t="s">
        <v>506</v>
      </c>
      <c r="M2" t="s">
        <v>507</v>
      </c>
    </row>
    <row r="3" ht="17.6" customHeight="1" spans="1:15">
      <c r="A3" s="1">
        <v>1</v>
      </c>
      <c r="B3" s="7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6" t="s">
        <v>513</v>
      </c>
    </row>
    <row r="4" ht="17.6" customHeight="1" spans="1:13">
      <c r="A4" s="1">
        <v>2</v>
      </c>
      <c r="B4" s="8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7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9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7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7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7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8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7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9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6" t="s">
        <v>538</v>
      </c>
    </row>
    <row r="13" ht="17.6" customHeight="1" spans="1:15">
      <c r="A13" s="1">
        <v>11</v>
      </c>
      <c r="B13" s="8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6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6" t="s">
        <v>550</v>
      </c>
    </row>
    <row r="15" spans="1:15">
      <c r="A15" s="1">
        <v>13</v>
      </c>
      <c r="B15" s="10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6" t="s">
        <v>553</v>
      </c>
    </row>
    <row r="16" ht="17.6" customHeight="1" spans="1:15">
      <c r="A16" s="1">
        <v>14</v>
      </c>
      <c r="B16" s="7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6" t="s">
        <v>558</v>
      </c>
    </row>
    <row r="17" ht="17.6" customHeight="1" spans="1:15">
      <c r="A17" s="1">
        <v>15</v>
      </c>
      <c r="B17" s="9" t="s">
        <v>75</v>
      </c>
      <c r="C17" s="1" t="s">
        <v>28</v>
      </c>
      <c r="D17" s="1">
        <v>20</v>
      </c>
      <c r="E17" s="12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6" t="s">
        <v>561</v>
      </c>
    </row>
    <row r="18" spans="3:15">
      <c r="C18" s="1" t="s">
        <v>28</v>
      </c>
      <c r="N18" s="1" t="s">
        <v>562</v>
      </c>
      <c r="O18" s="6" t="s">
        <v>563</v>
      </c>
    </row>
    <row r="19" ht="17.6" customHeight="1" spans="1:15">
      <c r="A19" s="1">
        <v>16</v>
      </c>
      <c r="B19" s="8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6" t="s">
        <v>566</v>
      </c>
    </row>
    <row r="20" ht="17.6" customHeight="1" spans="1:15">
      <c r="A20" s="1">
        <v>17</v>
      </c>
      <c r="B20" s="8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6" t="s">
        <v>570</v>
      </c>
    </row>
    <row r="21" ht="17.6" customHeight="1" spans="1:15">
      <c r="A21" s="1">
        <v>18</v>
      </c>
      <c r="B21" s="9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6" t="s">
        <v>574</v>
      </c>
    </row>
    <row r="22" ht="17.6" customHeight="1" spans="1:15">
      <c r="A22" s="1">
        <v>19</v>
      </c>
      <c r="B22" s="9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6" t="s">
        <v>577</v>
      </c>
    </row>
    <row r="23" spans="3:15">
      <c r="C23" s="1" t="s">
        <v>28</v>
      </c>
      <c r="M23" s="1" t="s">
        <v>578</v>
      </c>
      <c r="N23" s="1" t="s">
        <v>579</v>
      </c>
      <c r="O23" s="6" t="s">
        <v>580</v>
      </c>
    </row>
    <row r="24" ht="17.6" customHeight="1" spans="1:15">
      <c r="A24" s="1">
        <v>20</v>
      </c>
      <c r="B24" s="8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6" t="s">
        <v>584</v>
      </c>
    </row>
    <row r="25" spans="3:15">
      <c r="C25" s="1" t="s">
        <v>28</v>
      </c>
      <c r="N25" s="1" t="s">
        <v>583</v>
      </c>
      <c r="O25" s="6" t="s">
        <v>585</v>
      </c>
    </row>
    <row r="26" ht="17.6" customHeight="1" spans="1:15">
      <c r="A26" s="1">
        <v>21</v>
      </c>
      <c r="B26" s="8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6" t="s">
        <v>589</v>
      </c>
    </row>
    <row r="27" spans="3:15">
      <c r="C27" s="1" t="s">
        <v>28</v>
      </c>
      <c r="N27" s="1" t="s">
        <v>590</v>
      </c>
      <c r="O27" s="6" t="s">
        <v>591</v>
      </c>
    </row>
    <row r="28" ht="17.6" customHeight="1" spans="1:15">
      <c r="A28" s="1">
        <v>22</v>
      </c>
      <c r="B28" s="7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6" t="s">
        <v>595</v>
      </c>
    </row>
    <row r="29" ht="17.6" customHeight="1" spans="1:15">
      <c r="A29" s="1">
        <v>23</v>
      </c>
      <c r="B29" s="8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6" t="s">
        <v>599</v>
      </c>
    </row>
    <row r="30" ht="17.6" customHeight="1" spans="1:15">
      <c r="A30" s="1">
        <v>24</v>
      </c>
      <c r="B30" s="9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6" t="s">
        <v>602</v>
      </c>
    </row>
    <row r="31" spans="3:15">
      <c r="C31" s="1" t="s">
        <v>28</v>
      </c>
      <c r="N31" s="1" t="s">
        <v>601</v>
      </c>
      <c r="O31" s="6" t="s">
        <v>603</v>
      </c>
    </row>
    <row r="32" spans="3:15">
      <c r="C32" s="1" t="s">
        <v>28</v>
      </c>
      <c r="N32" s="1" t="s">
        <v>604</v>
      </c>
      <c r="O32" s="13" t="s">
        <v>605</v>
      </c>
    </row>
    <row r="33" ht="17.6" customHeight="1" spans="1:15">
      <c r="A33" s="1">
        <v>25</v>
      </c>
      <c r="B33" s="8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3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3" t="s">
        <v>612</v>
      </c>
    </row>
    <row r="35" spans="3:3">
      <c r="C35" s="1" t="s">
        <v>28</v>
      </c>
    </row>
    <row r="36" ht="17.6" customHeight="1" spans="1:9">
      <c r="A36" s="1">
        <v>26</v>
      </c>
      <c r="B36" s="9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6" t="s">
        <v>538</v>
      </c>
    </row>
    <row r="38" ht="17.6" customHeight="1" spans="1:15">
      <c r="A38" s="1">
        <v>27</v>
      </c>
      <c r="B38" s="7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6" t="s">
        <v>616</v>
      </c>
    </row>
    <row r="39" spans="3:15">
      <c r="C39" s="1" t="s">
        <v>73</v>
      </c>
      <c r="N39" s="1" t="s">
        <v>617</v>
      </c>
      <c r="O39" s="6" t="s">
        <v>618</v>
      </c>
    </row>
    <row r="40" ht="17.6" customHeight="1" spans="1:15">
      <c r="A40" s="1">
        <v>28</v>
      </c>
      <c r="B40" s="7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6" t="s">
        <v>621</v>
      </c>
    </row>
    <row r="41" ht="17.6" customHeight="1" spans="3:15">
      <c r="C41" s="1" t="s">
        <v>73</v>
      </c>
      <c r="N41" s="1" t="s">
        <v>622</v>
      </c>
      <c r="O41" s="6" t="s">
        <v>623</v>
      </c>
    </row>
    <row r="42" ht="17.6" customHeight="1" spans="1:9">
      <c r="A42" s="1">
        <v>29</v>
      </c>
      <c r="B42" s="7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6" t="s">
        <v>626</v>
      </c>
    </row>
    <row r="44" ht="17.6" customHeight="1" spans="1:15">
      <c r="A44" s="1">
        <v>30</v>
      </c>
      <c r="B44" s="7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6" t="s">
        <v>629</v>
      </c>
    </row>
    <row r="45" spans="3:15">
      <c r="C45" s="1" t="s">
        <v>73</v>
      </c>
      <c r="N45" s="1" t="s">
        <v>630</v>
      </c>
      <c r="O45" s="6" t="s">
        <v>631</v>
      </c>
    </row>
    <row r="46" ht="17.6" customHeight="1" spans="1:15">
      <c r="A46" s="1">
        <v>31</v>
      </c>
      <c r="B46" s="9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6" t="s">
        <v>634</v>
      </c>
    </row>
    <row r="47" spans="3:15">
      <c r="C47" s="1" t="s">
        <v>73</v>
      </c>
      <c r="N47" s="1" t="s">
        <v>635</v>
      </c>
      <c r="O47" s="6" t="s">
        <v>636</v>
      </c>
    </row>
    <row r="48" ht="17.6" customHeight="1" spans="1:15">
      <c r="A48" s="1">
        <v>32</v>
      </c>
      <c r="B48" s="9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6" t="s">
        <v>639</v>
      </c>
    </row>
    <row r="49" spans="3:15">
      <c r="C49" s="1" t="s">
        <v>73</v>
      </c>
      <c r="N49" s="1" t="s">
        <v>640</v>
      </c>
      <c r="O49" s="6" t="s">
        <v>641</v>
      </c>
    </row>
    <row r="50" ht="17.6" customHeight="1" spans="1:15">
      <c r="A50" s="1">
        <v>33</v>
      </c>
      <c r="B50" s="11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6" t="s">
        <v>644</v>
      </c>
    </row>
    <row r="51" spans="3:15">
      <c r="C51" s="1" t="s">
        <v>73</v>
      </c>
      <c r="N51" s="1" t="s">
        <v>645</v>
      </c>
      <c r="O51" s="6" t="s">
        <v>646</v>
      </c>
    </row>
    <row r="52" ht="17.6" customHeight="1" spans="1:15">
      <c r="A52" s="1">
        <v>34</v>
      </c>
      <c r="B52" s="7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6" t="s">
        <v>650</v>
      </c>
    </row>
    <row r="53" spans="3:15">
      <c r="C53" s="1" t="s">
        <v>110</v>
      </c>
      <c r="N53" s="1" t="s">
        <v>651</v>
      </c>
      <c r="O53" s="6" t="s">
        <v>652</v>
      </c>
    </row>
    <row r="54" ht="17.6" customHeight="1" spans="1:9">
      <c r="A54" s="1">
        <v>35</v>
      </c>
      <c r="B54" s="7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9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7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9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7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9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1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4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5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6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5"/>
      <c r="K76" s="17"/>
      <c r="L76" s="17"/>
    </row>
    <row r="77" ht="17.6" customHeight="1" spans="3:11">
      <c r="C77" s="1" t="s">
        <v>172</v>
      </c>
      <c r="K77" s="17"/>
    </row>
    <row r="78" ht="17.6" customHeight="1" spans="3:12">
      <c r="C78" s="1" t="s">
        <v>172</v>
      </c>
      <c r="K78" s="17"/>
      <c r="L78" s="17"/>
    </row>
    <row r="79" ht="17.6" customHeight="1" spans="1:9">
      <c r="A79" s="1">
        <v>45</v>
      </c>
      <c r="B79" s="16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7"/>
    </row>
    <row r="82" ht="17.6" customHeight="1" spans="3:12">
      <c r="C82" s="1" t="s">
        <v>183</v>
      </c>
      <c r="J82" s="17"/>
      <c r="K82" s="17"/>
      <c r="L82" s="17"/>
    </row>
    <row r="83" ht="17.6" customHeight="1" spans="3:12">
      <c r="C83" s="1" t="s">
        <v>183</v>
      </c>
      <c r="J83" s="17"/>
      <c r="K83" s="17"/>
      <c r="L83" s="17"/>
    </row>
    <row r="84" ht="17.6" customHeight="1" spans="1:12">
      <c r="A84" s="1">
        <v>46</v>
      </c>
      <c r="B84" s="16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7"/>
      <c r="K84" s="17"/>
      <c r="L84" s="17"/>
    </row>
    <row r="85" ht="17.6" customHeight="1" spans="3:12">
      <c r="C85" s="1" t="s">
        <v>110</v>
      </c>
      <c r="J85" s="17"/>
      <c r="K85" s="17"/>
      <c r="L85" s="17"/>
    </row>
    <row r="86" ht="17.6" customHeight="1" spans="3:12">
      <c r="C86" s="1" t="s">
        <v>110</v>
      </c>
      <c r="J86" s="17"/>
      <c r="K86" s="17"/>
      <c r="L86" s="17"/>
    </row>
    <row r="87" ht="17.6" customHeight="1" spans="1:12">
      <c r="A87" s="1">
        <v>47</v>
      </c>
      <c r="B87" s="14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7"/>
      <c r="L87" s="17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</row>
    <row r="6" customHeight="1" spans="8:18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</row>
    <row r="7" customHeight="1" spans="8:18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</row>
    <row r="8" customHeight="1" spans="8:18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</row>
    <row r="9" customHeight="1" spans="8:18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</row>
    <row r="10" customHeight="1" spans="8:18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2026-06-30T15:56:00Z</dcterms:created>
  <dcterms:modified xsi:type="dcterms:W3CDTF">2026-07-16T19:21:22Z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