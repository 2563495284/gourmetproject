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<sst xmlns="http://schemas.openxmlformats.org/spreadsheetml/2006/main" count="3026" uniqueCount="677">
  <si>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</si>
  <si>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</si>
  <si>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</si>
  <si>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</si>
  <si>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</si>
  <si>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</si>
  <si>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</si>
  <si>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</si>
  <si>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</si>
  <si>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</si>
  <si>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</si>
  <si>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</si>
  <si>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</si>
  <si>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</si>
  <si>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</si>
  <si>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</si>
  <si>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</si>
  <si>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</si>
  <si>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</si>
  <si>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</si>
  <si>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</si>
  <si>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</si>
  <si>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</si>
  <si>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</si>
  <si>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</si>
  <si>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</si>
  <si>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</si>
  <si>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</si>
  <si>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</si>
  <si>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</si>
  <si>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</si>
  <si>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</si>
  <si>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</si>
  <si>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</si>
  <si>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</si>
  <si>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</si>
  <si>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</si>
  <si>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</si>
  <si>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</si>
  <si>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</si>
  <si>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</si>
  <si>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</si>
  <si>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</si>
  <si>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</si>
  <si>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</si>
  <si>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</si>
  <si>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</si>
  <si>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</si>
  <si>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</si>
  <si>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</si>
  <si>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</si>
  <si>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</si>
  <si>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</si>
  <si>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</si>
  <si>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</si>
  <si>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</si>
  <si>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</si>
  <si>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</si>
  <si>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</si>
  <si>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</si>
  <si>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</si>
  <si>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</si>
  <si>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</si>
  <si>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</si>
  <si>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</si>
  <si>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</si>
  <si>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</si>
  <si>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</si>
  <si>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</si>
  <si>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</si>
  <si>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</si>
  <si>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</si>
  <si>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</si>
  <si>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</si>
  <si>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</si>
  <si>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</si>
  <si>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</si>
  <si>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</si>
  <si>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</si>
  <si>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</si>
  <si>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</si>
  <si>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</si>
  <si>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</si>
  <si>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</si>
  <si>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</si>
  <si>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</si>
  <si>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</si>
  <si>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</si>
  <si>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</si>
  <si>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</si>
  <si>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</si>
  <si>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</si>
  <si>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</si>
  <si>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</si>
  <si>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</si>
  <si>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</si>
  <si>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</si>
  <si>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</si>
  <si>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</si>
  <si>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</si>
  <si>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</si>
  <si>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</si>
  <si>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</si>
  <si>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</si>
  <si>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</si>
  <si>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</si>
  <si>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</si>
  <si>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</si>
  <si>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</si>
  <si>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</si>
  <si>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</si>
  <si>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</si>
  <si>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</si>
  <si>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</si>
  <si>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</si>
  <si>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</si>
  <si>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</si>
  <si>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</si>
  <si>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</si>
  <si>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</si>
  <si>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</si>
  <si>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</si>
  <si>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</si>
  <si>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</si>
  <si>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</si>
  <si>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</si>
  <si>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</si>
  <si>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</si>
  <si>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</si>
  <si>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</si>
  <si>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</si>
  <si>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</si>
  <si>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</si>
  <si>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</si>
  <si>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</si>
  <si>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</si>
  <si>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</si>
  <si>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</si>
  <si>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</si>
  <si>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</si>
  <si>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</si>
  <si>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</si>
  <si>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</si>
  <si>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</si>
  <si>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</si>
  <si>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</si>
  <si>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</si>
  <si>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</si>
  <si>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</si>
  <si>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</si>
  <si>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</si>
  <si>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</si>
  <si>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</si>
  <si>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</si>
  <si>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</si>
  <si>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</si>
  <si>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</si>
  <si>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</si>
  <si>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</si>
  <si>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</si>
  <si>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</si>
  <si>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</si>
  <si>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</si>
  <si>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</si>
  <si>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</si>
  <si>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</si>
  <si>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</si>
  <si>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</si>
  <si>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</si>
  <si>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</si>
  <si>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</si>
  <si>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</si>
  <si>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</si>
  <si>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</si>
  <si>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</si>
  <si>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</si>
  <si>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</si>
  <si>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</si>
  <si>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</si>
  <si>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</si>
  <si>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</si>
  <si>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</si>
  <si>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</si>
  <si>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</si>
  <si>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</si>
  <si>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</si>
  <si>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</si>
  <si>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</si>
  <si>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</si>
  <si>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</si>
  <si>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</si>
  <si>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</si>
  <si>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</si>
  <si>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</si>
  <si>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</si>
  <si>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</si>
  <si>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</si>
  <si>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</si>
  <si>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</si>
  <si>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</si>
  <si>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</si>
  <si>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</si>
  <si>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</si>
  <si>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</si>
  <si>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</si>
  <si>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</si>
  <si>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</si>
  <si>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</si>
  <si>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</si>
  <si>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</si>
  <si>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</si>
  <si>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</si>
  <si>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</si>
  <si>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</si>
  <si>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</si>
  <si>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</si>
  <si>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</si>
  <si>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</si>
  <si>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</si>
  <si>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</si>
  <si>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</si>
  <si>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</si>
  <si>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</si>
  <si>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</si>
  <si>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</si>
  <si>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</si>
  <si>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</si>
  <si>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</si>
  <si>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</si>
  <si>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</si>
  <si>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</si>
  <si>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</si>
  <si>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</si>
  <si>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</si>
  <si>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</si>
  <si>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</si>
  <si>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</si>
  <si>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</si>
  <si>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</si>
  <si>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</si>
  <si>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</si>
  <si>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</si>
  <si>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ss_mult_per_dish_adj_v1p2|ss_transfer_adj_n2</t>
  </si>
  <si>
    <t>ss_mult_per_dish_adj_v1p2</t>
  </si>
  <si>
    <t>ss_transfer_adj_n2</t>
  </si>
  <si>
    <t>ss_copy_skill_adj_v1|ss_layer_per_tag_v6</t>
  </si>
  <si>
    <t>ss_copy_skill_adj_v1</t>
  </si>
  <si>
    <t>ss_layer_per_tag_v6</t>
  </si>
  <si>
    <t>ss_mult_v1p5|ss_extra_settle_v1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</si>
  <si>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</si>
  <si>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</si>
  <si>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</si>
  <si>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</si>
  <si>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</si>
  <si>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</si>
  <si>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</si>
  <si>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</si>
  <si>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</si>
  <si>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</si>
  <si>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</si>
  <si>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ss_consume_layer_v10|ss_multflat_v5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</si>
  <si>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</si>
  <si>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</si>
  <si>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</si>
  <si>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</si>
  <si>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</si>
  <si>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</si>
  <si>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</si>
  <si>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</si>
  <si>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</si>
  <si>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</si>
  <si>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</si>
  <si>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</si>
  <si>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</si>
  <si>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</si>
  <si>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</si>
  <si>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</si>
  <si>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</si>
  <si>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</si>
  <si>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</si>
  <si>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</si>
  <si>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</si>
  <si>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</si>
  <si>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</si>
  <si>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</si>
  <si>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</si>
  <si>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</si>
  <si>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</si>
  <si>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</si>
  <si>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</si>
  <si>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</si>
  <si>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</si>
  <si>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</si>
  <si>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</si>
  <si>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</si>
  <si>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</si>
  <si>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</si>
  <si>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</si>
  <si>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</si>
  <si>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</si>
  <si>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</si>
  <si>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</si>
  <si>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</si>
  <si>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</si>
  <si>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</si>
  <si>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</si>
  <si>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</si>
  <si>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</si>
  <si>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</si>
  <si>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</si>
  <si>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</si>
  <si>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</si>
  <si>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</si>
  <si>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</si>
  <si>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</si>
  <si>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</si>
  <si>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</si>
  <si>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</si>
  <si>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</si>
  <si>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</si>
  <si>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</si>
  <si>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</si>
  <si>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</si>
  <si>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</si>
  <si>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</si>
  <si>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</si>
  <si>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</si>
  <si>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</si>
  <si>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</si>
  <si>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</si>
  <si>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</si>
  <si>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</si>
  <si>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</si>
  <si>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</si>
  <si>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</si>
  <si>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</si>
  <si>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</si>
  <si>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</si>
  <si>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</si>
  <si>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</si>
  <si>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</si>
  <si>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</si>
  <si>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</si>
  <si>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</si>
  <si>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</si>
  <si>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</si>
  <si>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</si>
  <si>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</si>
  <si>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</si>
  <si>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</si>
  <si>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</si>
  <si>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</si>
  <si>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</si>
  <si>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</si>
  <si>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</si>
  <si>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</si>
  <si>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</si>
  <si>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</si>
  <si>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</si>
  <si>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</si>
  <si>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</si>
  <si>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</si>
  <si>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</si>
  <si>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</si>
  <si>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</si>
  <si>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</si>
  <si>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</si>
  <si>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</si>
  <si>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</si>
  <si>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</si>
  <si>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</si>
  <si>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</si>
  <si>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</si>
  <si>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</si>
  <si>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</si>
  <si>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</si>
  <si>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</si>
  <si>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</si>
  <si>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</si>
  <si>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</si>
  <si>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</si>
  <si>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</si>
  <si>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</si>
  <si>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</si>
  <si>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</si>
  <si>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</si>
  <si>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</si>
  <si>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</si>
  <si>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</si>
  <si>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</si>
  <si>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</si>
  <si>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</si>
  <si>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</si>
  <si>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</si>
  <si>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</si>
  <si>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</si>
  <si>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</si>
  <si>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</si>
  <si>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</si>
  <si>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</si>
  <si>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</si>
  <si>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</si>
  <si>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</si>
  <si>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</si>
  <si>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</si>
  <si>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</si>
  <si>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</si>
  <si>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</si>
  <si>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</si>
  <si>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</si>
  <si>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</si>
  <si>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</si>
  <si>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</si>
  <si>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</si>
  <si>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</si>
  <si>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</si>
  <si>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</si>
  <si>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</si>
  <si>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</si>
  <si>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</si>
  <si>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</si>
  <si>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</si>
  <si>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</si>
  <si>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</si>
  <si>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</si>
  <si>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</si>
  <si>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</si>
  <si>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</si>
  <si>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</si>
  <si>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</si>
  <si>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</si>
  <si>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</si>
  <si>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</si>
  <si>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</si>
  <si>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</si>
  <si>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</si>
  <si>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</si>
  <si>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</si>
  <si>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</si>
  <si>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</si>
  <si>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</si>
  <si>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</si>
  <si>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</si>
  <si>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</si>
  <si>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</si>
  <si>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</si>
  <si>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</si>
  <si>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</si>
  <si>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</si>
  <si>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</si>
  <si>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</si>
  <si>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</si>
  <si>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</si>
  <si>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</si>
  <si>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</si>
  <si>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</si>
  <si>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</si>
  <si>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</si>
  <si>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</si>
  <si>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</si>
  <si>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</si>
  <si>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</si>
  <si>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</si>
  <si>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</si>
  <si>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</si>
  <si>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</si>
  <si>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</si>
  <si>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</si>
  <si>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</si>
  <si>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</si>
  <si>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</si>
  <si>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</si>
  <si>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</si>
  <si>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</si>
  <si>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</si>
  <si>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</si>
  <si>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</si>
  <si>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</si>
  <si>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若{cscope}被填满
{ascope}额外视为 {0} 个食物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</si>
  <si>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</si>
  <si>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</si>
  <si>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</si>
  <si>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</si>
  <si>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</si>
  <si>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</si>
  <si>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</si>
  <si>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</si>
  <si>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</si>
  <si>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</si>
  <si>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</si>
  <si>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</si>
  <si>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</si>
  <si>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</si>
  <si>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</si>
  <si>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</si>
  <si>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</si>
  <si>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</si>
  <si>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</si>
  <si>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</si>
  <si>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</si>
  <si>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</si>
  <si>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</si>
  <si>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</si>
  <si>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</si>
  <si>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</si>
  <si>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</si>
  <si>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</si>
  <si>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</si>
  <si>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</si>
  <si>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</si>
  <si>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</si>
  <si>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</si>
  <si>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</si>
  <si>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</si>
  <si>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</si>
  <si>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</si>
  <si>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</si>
  <si>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</si>
  <si>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</si>
  <si>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</si>
  <si>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</si>
  <si>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</si>
  <si>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</si>
  <si>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</si>
  <si>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</si>
  <si>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</si>
  <si>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</si>
  <si>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</si>
  <si>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</si>
  <si>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</si>
  <si>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</si>
  <si>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</si>
  <si>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</si>
  <si>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</si>
  <si>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</si>
  <si>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</si>
  <si>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</si>
  <si>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</si>
  <si>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</si>
  <si>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</si>
  <si>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</si>
  <si>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</si>
  <si>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</si>
  <si>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</si>
  <si>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</si>
  <si>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</si>
  <si>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</si>
  <si>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</si>
  <si>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</si>
  <si>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</si>
  <si>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</si>
  <si>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</si>
  <si>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</si>
  <si>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</si>
  <si>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</si>
  <si>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</si>
  <si>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</si>
  <si>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</si>
  <si>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</si>
  <si>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</si>
  <si>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</si>
  <si>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</si>
  <si>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</si>
  <si>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</si>
  <si>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</si>
  <si>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</si>
  <si>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</si>
  <si>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</si>
  <si>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</si>
  <si>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</si>
  <si>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</si>
  <si>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</si>
  <si>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</si>
  <si>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</si>
  <si>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</si>
  <si>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</si>
  <si>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</si>
  <si>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</si>
  <si>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</si>
  <si>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</si>
  <si>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</si>
  <si>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</si>
  <si>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</si>
  <si>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</si>
  <si>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</si>
  <si>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</si>
  <si>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</si>
  <si>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</si>
  <si>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</si>
  <si>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</si>
  <si>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</si>
  <si>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</si>
  <si>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</si>
  <si>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</si>
  <si>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</si>
  <si>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</si>
  <si>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</si>
  <si>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</si>
  <si>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</si>
  <si>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</si>
  <si>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</si>
  <si>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</si>
  <si>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</si>
  <si>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</si>
  <si>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</si>
  <si>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</si>
  <si>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</si>
  <si>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</si>
  <si>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</si>
  <si>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</si>
  <si>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</si>
  <si>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</si>
  <si>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</si>
  <si>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</si>
  <si>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</si>
  <si>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</si>
  <si>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</si>
  <si>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</si>
  <si>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</si>
  <si>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</si>
  <si>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</si>
  <si>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</si>
  <si>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</si>
  <si>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</si>
  <si>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</si>
  <si>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</si>
  <si>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</si>
  <si>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</si>
  <si>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</si>
  <si>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</si>
  <si>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</si>
  <si>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</si>
  <si>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</si>
  <si>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</si>
  <si>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</si>
  <si>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</si>
  <si>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</si>
  <si>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</si>
  <si>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</si>
  <si>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</si>
  <si>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</si>
  <si>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</si>
  <si>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</si>
  <si>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</si>
  <si>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</si>
  <si>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</si>
  <si>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</si>
  <si>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</si>
  <si>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</si>
  <si>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</si>
  <si>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</si>
  <si>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</si>
  <si>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</si>
  <si>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</si>
  <si>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</si>
  <si>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</si>
  <si>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</si>
  <si>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</si>
  <si>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</si>
  <si>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</si>
  <si>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</si>
  <si>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</si>
  <si>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</si>
  <si>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</si>
  <si>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</si>
  <si>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</si>
  <si>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</si>
  <si>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</si>
  <si>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</si>
  <si>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</si>
  <si>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</si>
  <si>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</si>
  <si>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</si>
  <si>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</si>
  <si>
    <t>下侧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</si>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</sst>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workbookViewId="0">
      <selection activeCell="D12" sqref="D12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2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2" t="s">
        <v>29</v>
      </c>
      <c r="C5" s="1" t="s">
        <v>30</v>
      </c>
      <c r="D5" s="1">
        <v>8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8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6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6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4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6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8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10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8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14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16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15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3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3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3" t="s">
        <v>112</v>
      </c>
    </row>
    <row r="30" spans="2:15">
      <c r="B30" s="22" t="s">
        <v>113</v>
      </c>
      <c r="C30" s="1" t="s">
        <v>114</v>
      </c>
      <c r="D30" s="1">
        <v>40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20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30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20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25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20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20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50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30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50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40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30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20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30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50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40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30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20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100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23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23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3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23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23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80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23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23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3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140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23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23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23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23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23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100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100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100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100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100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100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100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100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100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100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100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100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100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100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100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100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100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100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100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100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100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100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100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100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100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100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100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100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100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100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100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100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100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100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100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100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100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100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100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100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100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100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100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100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100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100</v>
      </c>
      <c r="F75" s="1">
        <f>VLOOKUP(C75,dish_base!$B$4:$O$92,14,FALSE)</f>
        <v>80</v>
      </c>
      <c r="G75" s="23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100</v>
      </c>
      <c r="F76" s="1">
        <f>VLOOKUP(C76,dish_base!$B$4:$O$92,14,FALSE)</f>
        <v>90</v>
      </c>
      <c r="G76" s="23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100</v>
      </c>
      <c r="F77" s="1">
        <f>VLOOKUP(C77,dish_base!$B$4:$O$92,14,FALSE)</f>
        <v>90</v>
      </c>
      <c r="G77" s="23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100</v>
      </c>
      <c r="F78" s="1">
        <f>VLOOKUP(C78,dish_base!$B$4:$O$92,14,FALSE)</f>
        <v>90</v>
      </c>
      <c r="G78" s="23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100</v>
      </c>
      <c r="F79" s="1">
        <f>VLOOKUP(C79,dish_base!$B$4:$O$92,14,FALSE)</f>
        <v>90</v>
      </c>
      <c r="G79" s="23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100</v>
      </c>
      <c r="F80" s="1">
        <f>VLOOKUP(C80,dish_base!$B$4:$O$92,14,FALSE)</f>
        <v>90</v>
      </c>
      <c r="G80" s="23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100</v>
      </c>
      <c r="F81" s="1">
        <f>VLOOKUP(C81,dish_base!$B$4:$O$92,14,FALSE)</f>
        <v>90</v>
      </c>
      <c r="G81" s="23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100</v>
      </c>
      <c r="F82" s="1">
        <f>VLOOKUP(C82,dish_base!$B$4:$O$92,14,FALSE)</f>
        <v>90</v>
      </c>
      <c r="G82" s="23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100</v>
      </c>
      <c r="F83" s="1">
        <f>VLOOKUP(C83,dish_base!$B$4:$O$92,14,FALSE)</f>
        <v>90</v>
      </c>
      <c r="G83" s="23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100</v>
      </c>
      <c r="F84" s="1">
        <f>VLOOKUP(C84,dish_base!$B$4:$O$92,14,FALSE)</f>
        <v>120</v>
      </c>
      <c r="G84" s="23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100</v>
      </c>
      <c r="F85" s="1">
        <f>VLOOKUP(C85,dish_base!$B$4:$O$92,14,FALSE)</f>
        <v>120</v>
      </c>
      <c r="G85" s="23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100</v>
      </c>
      <c r="F86" s="1">
        <f>VLOOKUP(C86,dish_base!$B$4:$O$92,14,FALSE)</f>
        <v>120</v>
      </c>
      <c r="G86" s="23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100</v>
      </c>
      <c r="F87" s="1">
        <f>VLOOKUP(C87,dish_base!$B$4:$O$92,14,FALSE)</f>
        <v>120</v>
      </c>
      <c r="G87" s="23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100</v>
      </c>
      <c r="F88" s="1">
        <f>VLOOKUP(C88,dish_base!$B$4:$O$92,14,FALSE)</f>
        <v>120</v>
      </c>
      <c r="G88" s="23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100</v>
      </c>
      <c r="F89" s="1">
        <f>VLOOKUP(C89,dish_base!$B$4:$O$92,14,FALSE)</f>
        <v>120</v>
      </c>
      <c r="G89" s="23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100</v>
      </c>
      <c r="F90" s="1">
        <f>VLOOKUP(C90,dish_base!$B$4:$O$92,14,FALSE)</f>
        <v>120</v>
      </c>
      <c r="G90" s="23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100</v>
      </c>
      <c r="F91" s="1">
        <f>VLOOKUP(C91,dish_base!$B$4:$O$92,14,FALSE)</f>
        <v>120</v>
      </c>
      <c r="G91" s="23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100</v>
      </c>
      <c r="F92" s="1">
        <f>VLOOKUP(C92,dish_base!$B$4:$O$92,14,FALSE)</f>
        <v>80</v>
      </c>
      <c r="G92" s="23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100</v>
      </c>
      <c r="F93" s="1">
        <f>VLOOKUP(C93,dish_base!$B$4:$O$92,14,FALSE)</f>
        <v>80</v>
      </c>
      <c r="G93" s="23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100</v>
      </c>
      <c r="F94" s="1">
        <f>VLOOKUP(C94,dish_base!$B$4:$O$92,14,FALSE)</f>
        <v>90</v>
      </c>
      <c r="G94" s="23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100</v>
      </c>
      <c r="F95" s="1">
        <f>VLOOKUP(C95,dish_base!$B$4:$O$92,14,FALSE)</f>
        <v>190</v>
      </c>
      <c r="G95" s="23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100</v>
      </c>
      <c r="F96" s="1">
        <f>VLOOKUP(C96,dish_base!$B$4:$O$92,14,FALSE)</f>
        <v>160</v>
      </c>
      <c r="G96" s="23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100</v>
      </c>
      <c r="F97" s="1">
        <f>VLOOKUP(C97,dish_base!$B$4:$O$92,14,FALSE)</f>
        <v>260</v>
      </c>
      <c r="G97" s="23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100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100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100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100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100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100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100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100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100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100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100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100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100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100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100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100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100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100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100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100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100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100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100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100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100</v>
      </c>
      <c r="F122" s="1">
        <f>VLOOKUP(C122,dish_base!$B$4:$O$92,14,FALSE)</f>
        <v>80</v>
      </c>
      <c r="G122" s="23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100</v>
      </c>
      <c r="F123" s="1">
        <f>VLOOKUP(C123,dish_base!$B$4:$O$92,14,FALSE)</f>
        <v>90</v>
      </c>
      <c r="G123" s="23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100</v>
      </c>
      <c r="F124" s="1">
        <f>VLOOKUP(C124,dish_base!$B$4:$O$92,14,FALSE)</f>
        <v>90</v>
      </c>
      <c r="G124" s="23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100</v>
      </c>
      <c r="F125" s="1">
        <f>VLOOKUP(C125,dish_base!$B$4:$O$92,14,FALSE)</f>
        <v>90</v>
      </c>
      <c r="G125" s="23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100</v>
      </c>
      <c r="F126" s="1">
        <f>VLOOKUP(C126,dish_base!$B$4:$O$92,14,FALSE)</f>
        <v>90</v>
      </c>
      <c r="G126" s="23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100</v>
      </c>
      <c r="F127" s="1">
        <f>VLOOKUP(C127,dish_base!$B$4:$O$92,14,FALSE)</f>
        <v>90</v>
      </c>
      <c r="G127" s="23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100</v>
      </c>
      <c r="F128" s="1">
        <f>VLOOKUP(C128,dish_base!$B$4:$O$92,14,FALSE)</f>
        <v>90</v>
      </c>
      <c r="G128" s="23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100</v>
      </c>
      <c r="F129" s="1">
        <f>VLOOKUP(C129,dish_base!$B$4:$O$92,14,FALSE)</f>
        <v>90</v>
      </c>
      <c r="G129" s="23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100</v>
      </c>
      <c r="F130" s="1">
        <f>VLOOKUP(C130,dish_base!$B$4:$O$92,14,FALSE)</f>
        <v>90</v>
      </c>
      <c r="G130" s="23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100</v>
      </c>
      <c r="F131" s="1">
        <f>VLOOKUP(C131,dish_base!$B$4:$O$92,14,FALSE)</f>
        <v>120</v>
      </c>
      <c r="G131" s="23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100</v>
      </c>
      <c r="F132" s="1">
        <f>VLOOKUP(C132,dish_base!$B$4:$O$92,14,FALSE)</f>
        <v>120</v>
      </c>
      <c r="G132" s="23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100</v>
      </c>
      <c r="F133" s="1">
        <f>VLOOKUP(C133,dish_base!$B$4:$O$92,14,FALSE)</f>
        <v>120</v>
      </c>
      <c r="G133" s="23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100</v>
      </c>
      <c r="F134" s="1">
        <f>VLOOKUP(C134,dish_base!$B$4:$O$92,14,FALSE)</f>
        <v>120</v>
      </c>
      <c r="G134" s="23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100</v>
      </c>
      <c r="F135" s="1">
        <f>VLOOKUP(C135,dish_base!$B$4:$O$92,14,FALSE)</f>
        <v>120</v>
      </c>
      <c r="G135" s="23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100</v>
      </c>
      <c r="F136" s="1">
        <f>VLOOKUP(C136,dish_base!$B$4:$O$92,14,FALSE)</f>
        <v>120</v>
      </c>
      <c r="G136" s="23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100</v>
      </c>
      <c r="F137" s="1">
        <f>VLOOKUP(C137,dish_base!$B$4:$O$92,14,FALSE)</f>
        <v>120</v>
      </c>
      <c r="G137" s="23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100</v>
      </c>
      <c r="F138" s="1">
        <f>VLOOKUP(C138,dish_base!$B$4:$O$92,14,FALSE)</f>
        <v>120</v>
      </c>
      <c r="G138" s="23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100</v>
      </c>
      <c r="F139" s="1">
        <f>VLOOKUP(C139,dish_base!$B$4:$O$92,14,FALSE)</f>
        <v>80</v>
      </c>
      <c r="G139" s="23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100</v>
      </c>
      <c r="F140" s="1">
        <f>VLOOKUP(C140,dish_base!$B$4:$O$92,14,FALSE)</f>
        <v>80</v>
      </c>
      <c r="G140" s="23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100</v>
      </c>
      <c r="F141" s="1">
        <f>VLOOKUP(C141,dish_base!$B$4:$O$92,14,FALSE)</f>
        <v>90</v>
      </c>
      <c r="G141" s="23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100</v>
      </c>
      <c r="F142" s="1">
        <f>VLOOKUP(C142,dish_base!$B$4:$O$92,14,FALSE)</f>
        <v>190</v>
      </c>
      <c r="G142" s="23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100</v>
      </c>
      <c r="F143" s="1">
        <f>VLOOKUP(C143,dish_base!$B$4:$O$92,14,FALSE)</f>
        <v>160</v>
      </c>
      <c r="G143" s="23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100</v>
      </c>
      <c r="F144" s="1">
        <f>VLOOKUP(C144,dish_base!$B$4:$O$92,14,FALSE)</f>
        <v>260</v>
      </c>
      <c r="G144" s="23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100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100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100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100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100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100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100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100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100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100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100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100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100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100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100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100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100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100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100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100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100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100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100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100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100</v>
      </c>
      <c r="F169" s="1">
        <f>VLOOKUP(C169,dish_base!$B$4:$O$92,14,FALSE)</f>
        <v>80</v>
      </c>
      <c r="G169" s="23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100</v>
      </c>
      <c r="F170" s="1">
        <f>VLOOKUP(C170,dish_base!$B$4:$O$92,14,FALSE)</f>
        <v>90</v>
      </c>
      <c r="G170" s="23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100</v>
      </c>
      <c r="F171" s="1">
        <f>VLOOKUP(C171,dish_base!$B$4:$O$92,14,FALSE)</f>
        <v>90</v>
      </c>
      <c r="G171" s="23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100</v>
      </c>
      <c r="F172" s="1">
        <f>VLOOKUP(C172,dish_base!$B$4:$O$92,14,FALSE)</f>
        <v>90</v>
      </c>
      <c r="G172" s="23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100</v>
      </c>
      <c r="F173" s="1">
        <f>VLOOKUP(C173,dish_base!$B$4:$O$92,14,FALSE)</f>
        <v>90</v>
      </c>
      <c r="G173" s="23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100</v>
      </c>
      <c r="F174" s="1">
        <f>VLOOKUP(C174,dish_base!$B$4:$O$92,14,FALSE)</f>
        <v>90</v>
      </c>
      <c r="G174" s="23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100</v>
      </c>
      <c r="F175" s="1">
        <f>VLOOKUP(C175,dish_base!$B$4:$O$92,14,FALSE)</f>
        <v>90</v>
      </c>
      <c r="G175" s="23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100</v>
      </c>
      <c r="F176" s="1">
        <f>VLOOKUP(C176,dish_base!$B$4:$O$92,14,FALSE)</f>
        <v>90</v>
      </c>
      <c r="G176" s="23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100</v>
      </c>
      <c r="F177" s="1">
        <f>VLOOKUP(C177,dish_base!$B$4:$O$92,14,FALSE)</f>
        <v>90</v>
      </c>
      <c r="G177" s="23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100</v>
      </c>
      <c r="F178" s="1">
        <f>VLOOKUP(C178,dish_base!$B$4:$O$92,14,FALSE)</f>
        <v>120</v>
      </c>
      <c r="G178" s="23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100</v>
      </c>
      <c r="F179" s="1">
        <f>VLOOKUP(C179,dish_base!$B$4:$O$92,14,FALSE)</f>
        <v>120</v>
      </c>
      <c r="G179" s="23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100</v>
      </c>
      <c r="F180" s="1">
        <f>VLOOKUP(C180,dish_base!$B$4:$O$92,14,FALSE)</f>
        <v>120</v>
      </c>
      <c r="G180" s="23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100</v>
      </c>
      <c r="F181" s="1">
        <f>VLOOKUP(C181,dish_base!$B$4:$O$92,14,FALSE)</f>
        <v>120</v>
      </c>
      <c r="G181" s="23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100</v>
      </c>
      <c r="F182" s="1">
        <f>VLOOKUP(C182,dish_base!$B$4:$O$92,14,FALSE)</f>
        <v>120</v>
      </c>
      <c r="G182" s="23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100</v>
      </c>
      <c r="F183" s="1">
        <f>VLOOKUP(C183,dish_base!$B$4:$O$92,14,FALSE)</f>
        <v>120</v>
      </c>
      <c r="G183" s="23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100</v>
      </c>
      <c r="F184" s="1">
        <f>VLOOKUP(C184,dish_base!$B$4:$O$92,14,FALSE)</f>
        <v>120</v>
      </c>
      <c r="G184" s="23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100</v>
      </c>
      <c r="F185" s="1">
        <f>VLOOKUP(C185,dish_base!$B$4:$O$92,14,FALSE)</f>
        <v>120</v>
      </c>
      <c r="G185" s="23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100</v>
      </c>
      <c r="F186" s="1">
        <f>VLOOKUP(C186,dish_base!$B$4:$O$92,14,FALSE)</f>
        <v>80</v>
      </c>
      <c r="G186" s="23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100</v>
      </c>
      <c r="F187" s="1">
        <f>VLOOKUP(C187,dish_base!$B$4:$O$92,14,FALSE)</f>
        <v>80</v>
      </c>
      <c r="G187" s="23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100</v>
      </c>
      <c r="F188" s="1">
        <f>VLOOKUP(C188,dish_base!$B$4:$O$92,14,FALSE)</f>
        <v>90</v>
      </c>
      <c r="G188" s="23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100</v>
      </c>
      <c r="F189" s="1">
        <f>VLOOKUP(C189,dish_base!$B$4:$O$92,14,FALSE)</f>
        <v>190</v>
      </c>
      <c r="G189" s="23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100</v>
      </c>
      <c r="F190" s="1">
        <f>VLOOKUP(C190,dish_base!$B$4:$O$92,14,FALSE)</f>
        <v>160</v>
      </c>
      <c r="G190" s="23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100</v>
      </c>
      <c r="F191" s="1">
        <f>VLOOKUP(C191,dish_base!$B$4:$O$92,14,FALSE)</f>
        <v>260</v>
      </c>
      <c r="G191" s="23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100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100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100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100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100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100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100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100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100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100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100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100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100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100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100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100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100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100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100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100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100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100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100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100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100</v>
      </c>
      <c r="F216" s="1">
        <f>VLOOKUP(C216,dish_base!$B$4:$O$92,14,FALSE)</f>
        <v>80</v>
      </c>
      <c r="G216" s="23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100</v>
      </c>
      <c r="F217" s="1">
        <f>VLOOKUP(C217,dish_base!$B$4:$O$92,14,FALSE)</f>
        <v>90</v>
      </c>
      <c r="G217" s="23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100</v>
      </c>
      <c r="F218" s="1">
        <f>VLOOKUP(C218,dish_base!$B$4:$O$92,14,FALSE)</f>
        <v>90</v>
      </c>
      <c r="G218" s="23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100</v>
      </c>
      <c r="F219" s="1">
        <f>VLOOKUP(C219,dish_base!$B$4:$O$92,14,FALSE)</f>
        <v>90</v>
      </c>
      <c r="G219" s="23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100</v>
      </c>
      <c r="F220" s="1">
        <f>VLOOKUP(C220,dish_base!$B$4:$O$92,14,FALSE)</f>
        <v>90</v>
      </c>
      <c r="G220" s="23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100</v>
      </c>
      <c r="F221" s="1">
        <f>VLOOKUP(C221,dish_base!$B$4:$O$92,14,FALSE)</f>
        <v>90</v>
      </c>
      <c r="G221" s="23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100</v>
      </c>
      <c r="F222" s="1">
        <f>VLOOKUP(C222,dish_base!$B$4:$O$92,14,FALSE)</f>
        <v>90</v>
      </c>
      <c r="G222" s="23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100</v>
      </c>
      <c r="F223" s="1">
        <f>VLOOKUP(C223,dish_base!$B$4:$O$92,14,FALSE)</f>
        <v>90</v>
      </c>
      <c r="G223" s="23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100</v>
      </c>
      <c r="F224" s="1">
        <f>VLOOKUP(C224,dish_base!$B$4:$O$92,14,FALSE)</f>
        <v>90</v>
      </c>
      <c r="G224" s="23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100</v>
      </c>
      <c r="F225" s="1">
        <f>VLOOKUP(C225,dish_base!$B$4:$O$92,14,FALSE)</f>
        <v>120</v>
      </c>
      <c r="G225" s="23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100</v>
      </c>
      <c r="F226" s="1">
        <f>VLOOKUP(C226,dish_base!$B$4:$O$92,14,FALSE)</f>
        <v>120</v>
      </c>
      <c r="G226" s="23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100</v>
      </c>
      <c r="F227" s="1">
        <f>VLOOKUP(C227,dish_base!$B$4:$O$92,14,FALSE)</f>
        <v>120</v>
      </c>
      <c r="G227" s="23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100</v>
      </c>
      <c r="F228" s="1">
        <f>VLOOKUP(C228,dish_base!$B$4:$O$92,14,FALSE)</f>
        <v>120</v>
      </c>
      <c r="G228" s="23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100</v>
      </c>
      <c r="F229" s="1">
        <f>VLOOKUP(C229,dish_base!$B$4:$O$92,14,FALSE)</f>
        <v>120</v>
      </c>
      <c r="G229" s="23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100</v>
      </c>
      <c r="F230" s="1">
        <f>VLOOKUP(C230,dish_base!$B$4:$O$92,14,FALSE)</f>
        <v>120</v>
      </c>
      <c r="G230" s="23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100</v>
      </c>
      <c r="F231" s="1">
        <f>VLOOKUP(C231,dish_base!$B$4:$O$92,14,FALSE)</f>
        <v>120</v>
      </c>
      <c r="G231" s="23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100</v>
      </c>
      <c r="F232" s="1">
        <f>VLOOKUP(C232,dish_base!$B$4:$O$92,14,FALSE)</f>
        <v>120</v>
      </c>
      <c r="G232" s="23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100</v>
      </c>
      <c r="F233" s="1">
        <f>VLOOKUP(C233,dish_base!$B$4:$O$92,14,FALSE)</f>
        <v>80</v>
      </c>
      <c r="G233" s="23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100</v>
      </c>
      <c r="F234" s="1">
        <f>VLOOKUP(C234,dish_base!$B$4:$O$92,14,FALSE)</f>
        <v>80</v>
      </c>
      <c r="G234" s="23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100</v>
      </c>
      <c r="F235" s="1">
        <f>VLOOKUP(C235,dish_base!$B$4:$O$92,14,FALSE)</f>
        <v>90</v>
      </c>
      <c r="G235" s="23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100</v>
      </c>
      <c r="F236" s="1">
        <f>VLOOKUP(C236,dish_base!$B$4:$O$92,14,FALSE)</f>
        <v>190</v>
      </c>
      <c r="G236" s="23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100</v>
      </c>
      <c r="F237" s="1">
        <f>VLOOKUP(C237,dish_base!$B$4:$O$92,14,FALSE)</f>
        <v>160</v>
      </c>
      <c r="G237" s="23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100</v>
      </c>
      <c r="F238" s="1">
        <f>VLOOKUP(C238,dish_base!$B$4:$O$92,14,FALSE)</f>
        <v>260</v>
      </c>
      <c r="G238" s="23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100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100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100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100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100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100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100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100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100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100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100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100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100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100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100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100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100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100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100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100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100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100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100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100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100</v>
      </c>
      <c r="F263" s="1">
        <f>VLOOKUP(C263,dish_base!$B$4:$O$92,14,FALSE)</f>
        <v>80</v>
      </c>
      <c r="G263" s="23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100</v>
      </c>
      <c r="F264" s="1">
        <f>VLOOKUP(C264,dish_base!$B$4:$O$92,14,FALSE)</f>
        <v>90</v>
      </c>
      <c r="G264" s="23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100</v>
      </c>
      <c r="F265" s="1">
        <f>VLOOKUP(C265,dish_base!$B$4:$O$92,14,FALSE)</f>
        <v>90</v>
      </c>
      <c r="G265" s="23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100</v>
      </c>
      <c r="F266" s="1">
        <f>VLOOKUP(C266,dish_base!$B$4:$O$92,14,FALSE)</f>
        <v>90</v>
      </c>
      <c r="G266" s="23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100</v>
      </c>
      <c r="F267" s="1">
        <f>VLOOKUP(C267,dish_base!$B$4:$O$92,14,FALSE)</f>
        <v>90</v>
      </c>
      <c r="G267" s="23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100</v>
      </c>
      <c r="F268" s="1">
        <f>VLOOKUP(C268,dish_base!$B$4:$O$92,14,FALSE)</f>
        <v>90</v>
      </c>
      <c r="G268" s="23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100</v>
      </c>
      <c r="F269" s="1">
        <f>VLOOKUP(C269,dish_base!$B$4:$O$92,14,FALSE)</f>
        <v>90</v>
      </c>
      <c r="G269" s="23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100</v>
      </c>
      <c r="F270" s="1">
        <f>VLOOKUP(C270,dish_base!$B$4:$O$92,14,FALSE)</f>
        <v>90</v>
      </c>
      <c r="G270" s="23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100</v>
      </c>
      <c r="F271" s="1">
        <f>VLOOKUP(C271,dish_base!$B$4:$O$92,14,FALSE)</f>
        <v>90</v>
      </c>
      <c r="G271" s="23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100</v>
      </c>
      <c r="F272" s="1">
        <f>VLOOKUP(C272,dish_base!$B$4:$O$92,14,FALSE)</f>
        <v>120</v>
      </c>
      <c r="G272" s="23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100</v>
      </c>
      <c r="F273" s="1">
        <f>VLOOKUP(C273,dish_base!$B$4:$O$92,14,FALSE)</f>
        <v>120</v>
      </c>
      <c r="G273" s="23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100</v>
      </c>
      <c r="F274" s="1">
        <f>VLOOKUP(C274,dish_base!$B$4:$O$92,14,FALSE)</f>
        <v>120</v>
      </c>
      <c r="G274" s="23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100</v>
      </c>
      <c r="F275" s="1">
        <f>VLOOKUP(C275,dish_base!$B$4:$O$92,14,FALSE)</f>
        <v>120</v>
      </c>
      <c r="G275" s="23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100</v>
      </c>
      <c r="F276" s="1">
        <f>VLOOKUP(C276,dish_base!$B$4:$O$92,14,FALSE)</f>
        <v>120</v>
      </c>
      <c r="G276" s="23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100</v>
      </c>
      <c r="F277" s="1">
        <f>VLOOKUP(C277,dish_base!$B$4:$O$92,14,FALSE)</f>
        <v>120</v>
      </c>
      <c r="G277" s="23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100</v>
      </c>
      <c r="F278" s="1">
        <f>VLOOKUP(C278,dish_base!$B$4:$O$92,14,FALSE)</f>
        <v>120</v>
      </c>
      <c r="G278" s="23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100</v>
      </c>
      <c r="F279" s="1">
        <f>VLOOKUP(C279,dish_base!$B$4:$O$92,14,FALSE)</f>
        <v>120</v>
      </c>
      <c r="G279" s="23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100</v>
      </c>
      <c r="F280" s="1">
        <f>VLOOKUP(C280,dish_base!$B$4:$O$92,14,FALSE)</f>
        <v>80</v>
      </c>
      <c r="G280" s="23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100</v>
      </c>
      <c r="F281" s="1">
        <f>VLOOKUP(C281,dish_base!$B$4:$O$92,14,FALSE)</f>
        <v>80</v>
      </c>
      <c r="G281" s="23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100</v>
      </c>
      <c r="F282" s="1">
        <f>VLOOKUP(C282,dish_base!$B$4:$O$92,14,FALSE)</f>
        <v>90</v>
      </c>
      <c r="G282" s="23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100</v>
      </c>
      <c r="F283" s="1">
        <f>VLOOKUP(C283,dish_base!$B$4:$O$92,14,FALSE)</f>
        <v>190</v>
      </c>
      <c r="G283" s="23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100</v>
      </c>
      <c r="F284" s="1">
        <f>VLOOKUP(C284,dish_base!$B$4:$O$92,14,FALSE)</f>
        <v>160</v>
      </c>
      <c r="G284" s="23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100</v>
      </c>
      <c r="F285" s="1">
        <f>VLOOKUP(C285,dish_base!$B$4:$O$92,14,FALSE)</f>
        <v>260</v>
      </c>
      <c r="G285" s="23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100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100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100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100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100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100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100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100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100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100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100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100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100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100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100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100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100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100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100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100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100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100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100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100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100</v>
      </c>
      <c r="F310" s="1">
        <f>VLOOKUP(C310,dish_base!$B$4:$O$92,14,FALSE)</f>
        <v>80</v>
      </c>
      <c r="G310" s="23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100</v>
      </c>
      <c r="F311" s="1">
        <f>VLOOKUP(C311,dish_base!$B$4:$O$92,14,FALSE)</f>
        <v>90</v>
      </c>
      <c r="G311" s="23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100</v>
      </c>
      <c r="F312" s="1">
        <f>VLOOKUP(C312,dish_base!$B$4:$O$92,14,FALSE)</f>
        <v>90</v>
      </c>
      <c r="G312" s="23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100</v>
      </c>
      <c r="F313" s="1">
        <f>VLOOKUP(C313,dish_base!$B$4:$O$92,14,FALSE)</f>
        <v>90</v>
      </c>
      <c r="G313" s="23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100</v>
      </c>
      <c r="F314" s="1">
        <f>VLOOKUP(C314,dish_base!$B$4:$O$92,14,FALSE)</f>
        <v>90</v>
      </c>
      <c r="G314" s="23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100</v>
      </c>
      <c r="F315" s="1">
        <f>VLOOKUP(C315,dish_base!$B$4:$O$92,14,FALSE)</f>
        <v>90</v>
      </c>
      <c r="G315" s="23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100</v>
      </c>
      <c r="F316" s="1">
        <f>VLOOKUP(C316,dish_base!$B$4:$O$92,14,FALSE)</f>
        <v>90</v>
      </c>
      <c r="G316" s="23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100</v>
      </c>
      <c r="F317" s="1">
        <f>VLOOKUP(C317,dish_base!$B$4:$O$92,14,FALSE)</f>
        <v>90</v>
      </c>
      <c r="G317" s="23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100</v>
      </c>
      <c r="F318" s="1">
        <f>VLOOKUP(C318,dish_base!$B$4:$O$92,14,FALSE)</f>
        <v>90</v>
      </c>
      <c r="G318" s="23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100</v>
      </c>
      <c r="F319" s="1">
        <f>VLOOKUP(C319,dish_base!$B$4:$O$92,14,FALSE)</f>
        <v>120</v>
      </c>
      <c r="G319" s="23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100</v>
      </c>
      <c r="F320" s="1">
        <f>VLOOKUP(C320,dish_base!$B$4:$O$92,14,FALSE)</f>
        <v>120</v>
      </c>
      <c r="G320" s="23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100</v>
      </c>
      <c r="F321" s="1">
        <f>VLOOKUP(C321,dish_base!$B$4:$O$92,14,FALSE)</f>
        <v>120</v>
      </c>
      <c r="G321" s="23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100</v>
      </c>
      <c r="F322" s="1">
        <f>VLOOKUP(C322,dish_base!$B$4:$O$92,14,FALSE)</f>
        <v>120</v>
      </c>
      <c r="G322" s="23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100</v>
      </c>
      <c r="F323" s="1">
        <f>VLOOKUP(C323,dish_base!$B$4:$O$92,14,FALSE)</f>
        <v>120</v>
      </c>
      <c r="G323" s="23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100</v>
      </c>
      <c r="F324" s="1">
        <f>VLOOKUP(C324,dish_base!$B$4:$O$92,14,FALSE)</f>
        <v>120</v>
      </c>
      <c r="G324" s="23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100</v>
      </c>
      <c r="F325" s="1">
        <f>VLOOKUP(C325,dish_base!$B$4:$O$92,14,FALSE)</f>
        <v>120</v>
      </c>
      <c r="G325" s="23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100</v>
      </c>
      <c r="F326" s="1">
        <f>VLOOKUP(C326,dish_base!$B$4:$O$92,14,FALSE)</f>
        <v>120</v>
      </c>
      <c r="G326" s="23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100</v>
      </c>
      <c r="F327" s="1">
        <f>VLOOKUP(C327,dish_base!$B$4:$O$92,14,FALSE)</f>
        <v>80</v>
      </c>
      <c r="G327" s="23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100</v>
      </c>
      <c r="F328" s="1">
        <f>VLOOKUP(C328,dish_base!$B$4:$O$92,14,FALSE)</f>
        <v>80</v>
      </c>
      <c r="G328" s="23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100</v>
      </c>
      <c r="F329" s="1">
        <f>VLOOKUP(C329,dish_base!$B$4:$O$92,14,FALSE)</f>
        <v>90</v>
      </c>
      <c r="G329" s="23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100</v>
      </c>
      <c r="F330" s="1">
        <f>VLOOKUP(C330,dish_base!$B$4:$O$92,14,FALSE)</f>
        <v>190</v>
      </c>
      <c r="G330" s="23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100</v>
      </c>
      <c r="F331" s="1">
        <f>VLOOKUP(C331,dish_base!$B$4:$O$92,14,FALSE)</f>
        <v>160</v>
      </c>
      <c r="G331" s="23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100</v>
      </c>
      <c r="F332" s="1">
        <f>VLOOKUP(C332,dish_base!$B$4:$O$92,14,FALSE)</f>
        <v>260</v>
      </c>
      <c r="G332" s="23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"/>
  <sheetViews>
    <sheetView workbookViewId="0">
      <selection activeCell="H5" sqref="H5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218</v>
      </c>
      <c r="G4" t="s">
        <v>218</v>
      </c>
      <c r="J4" t="s">
        <v>23</v>
      </c>
      <c r="K4" t="s">
        <v>24</v>
      </c>
    </row>
    <row r="5" spans="2:11">
      <c r="B5" t="s">
        <v>31</v>
      </c>
      <c r="C5" t="s">
        <v>219</v>
      </c>
      <c r="G5" t="s">
        <v>220</v>
      </c>
      <c r="H5" t="s">
        <v>221</v>
      </c>
      <c r="J5" t="s">
        <v>29</v>
      </c>
      <c r="K5" t="s">
        <v>30</v>
      </c>
    </row>
    <row r="6" spans="2:11">
      <c r="B6" t="s">
        <v>34</v>
      </c>
      <c r="C6" t="s">
        <v>222</v>
      </c>
      <c r="G6" t="s">
        <v>222</v>
      </c>
      <c r="J6" t="s">
        <v>32</v>
      </c>
      <c r="K6" t="s">
        <v>33</v>
      </c>
    </row>
    <row r="7" spans="2:11">
      <c r="B7" t="s">
        <v>37</v>
      </c>
      <c r="C7" t="s">
        <v>223</v>
      </c>
      <c r="G7" t="s">
        <v>223</v>
      </c>
      <c r="J7" t="s">
        <v>35</v>
      </c>
      <c r="K7" t="s">
        <v>36</v>
      </c>
    </row>
    <row r="8" spans="2:11">
      <c r="B8" t="s">
        <v>40</v>
      </c>
      <c r="C8" t="s">
        <v>224</v>
      </c>
      <c r="G8" t="s">
        <v>224</v>
      </c>
      <c r="J8" t="s">
        <v>38</v>
      </c>
      <c r="K8" t="s">
        <v>39</v>
      </c>
    </row>
    <row r="9" spans="2:11">
      <c r="B9" t="s">
        <v>43</v>
      </c>
      <c r="C9" t="s">
        <v>225</v>
      </c>
      <c r="G9" t="s">
        <v>225</v>
      </c>
      <c r="J9" t="s">
        <v>41</v>
      </c>
      <c r="K9" t="s">
        <v>42</v>
      </c>
    </row>
    <row r="10" spans="2:11">
      <c r="B10" t="s">
        <v>46</v>
      </c>
      <c r="C10" t="s">
        <v>226</v>
      </c>
      <c r="G10" t="s">
        <v>226</v>
      </c>
      <c r="J10" t="s">
        <v>44</v>
      </c>
      <c r="K10" t="s">
        <v>45</v>
      </c>
    </row>
    <row r="11" spans="2:11">
      <c r="B11" t="s">
        <v>49</v>
      </c>
      <c r="C11" t="s">
        <v>227</v>
      </c>
      <c r="G11" t="s">
        <v>227</v>
      </c>
      <c r="J11" t="s">
        <v>47</v>
      </c>
      <c r="K11" t="s">
        <v>48</v>
      </c>
    </row>
    <row r="12" spans="2:11">
      <c r="B12" t="s">
        <v>52</v>
      </c>
      <c r="C12" t="s">
        <v>228</v>
      </c>
      <c r="G12" t="s">
        <v>228</v>
      </c>
      <c r="J12" t="s">
        <v>50</v>
      </c>
      <c r="K12" t="s">
        <v>51</v>
      </c>
    </row>
    <row r="13" spans="2:11">
      <c r="B13" t="s">
        <v>56</v>
      </c>
      <c r="C13" t="s">
        <v>229</v>
      </c>
      <c r="G13" t="s">
        <v>229</v>
      </c>
      <c r="J13" t="s">
        <v>54</v>
      </c>
      <c r="K13" t="s">
        <v>55</v>
      </c>
    </row>
    <row r="14" spans="2:11">
      <c r="B14" t="s">
        <v>60</v>
      </c>
      <c r="C14" t="s">
        <v>230</v>
      </c>
      <c r="G14" t="s">
        <v>231</v>
      </c>
      <c r="H14" t="s">
        <v>232</v>
      </c>
      <c r="J14" t="s">
        <v>58</v>
      </c>
      <c r="K14" t="s">
        <v>59</v>
      </c>
    </row>
    <row r="15" spans="2:11">
      <c r="B15" t="s">
        <v>64</v>
      </c>
      <c r="C15" t="s">
        <v>233</v>
      </c>
      <c r="G15" t="s">
        <v>233</v>
      </c>
      <c r="J15" t="s">
        <v>62</v>
      </c>
      <c r="K15" t="s">
        <v>63</v>
      </c>
    </row>
    <row r="16" spans="2:11">
      <c r="B16" t="s">
        <v>68</v>
      </c>
      <c r="C16" t="s">
        <v>234</v>
      </c>
      <c r="G16" t="s">
        <v>234</v>
      </c>
      <c r="J16" t="s">
        <v>66</v>
      </c>
      <c r="K16" t="s">
        <v>67</v>
      </c>
    </row>
    <row r="17" spans="2:11">
      <c r="B17" t="s">
        <v>72</v>
      </c>
      <c r="C17" t="s">
        <v>235</v>
      </c>
      <c r="G17" t="s">
        <v>236</v>
      </c>
      <c r="H17" t="s">
        <v>237</v>
      </c>
      <c r="J17" t="s">
        <v>70</v>
      </c>
      <c r="K17" t="s">
        <v>71</v>
      </c>
    </row>
    <row r="18" spans="2:11">
      <c r="B18" t="s">
        <v>76</v>
      </c>
      <c r="C18" t="s">
        <v>238</v>
      </c>
      <c r="G18" t="s">
        <v>238</v>
      </c>
      <c r="J18" t="s">
        <v>74</v>
      </c>
      <c r="K18" t="s">
        <v>75</v>
      </c>
    </row>
    <row r="19" spans="2:11">
      <c r="B19" t="s">
        <v>79</v>
      </c>
      <c r="C19" t="s">
        <v>239</v>
      </c>
      <c r="G19" t="s">
        <v>240</v>
      </c>
      <c r="H19" t="s">
        <v>241</v>
      </c>
      <c r="J19" t="s">
        <v>77</v>
      </c>
      <c r="K19" t="s">
        <v>78</v>
      </c>
    </row>
    <row r="20" spans="2:11">
      <c r="B20" t="s">
        <v>82</v>
      </c>
      <c r="C20" t="s">
        <v>242</v>
      </c>
      <c r="G20" t="s">
        <v>243</v>
      </c>
      <c r="H20" t="s">
        <v>244</v>
      </c>
      <c r="J20" t="s">
        <v>80</v>
      </c>
      <c r="K20" t="s">
        <v>81</v>
      </c>
    </row>
    <row r="21" spans="2:11">
      <c r="B21" t="s">
        <v>85</v>
      </c>
      <c r="C21" t="s">
        <v>245</v>
      </c>
      <c r="G21" t="s">
        <v>246</v>
      </c>
      <c r="H21" t="s">
        <v>247</v>
      </c>
      <c r="J21" t="s">
        <v>83</v>
      </c>
      <c r="K21" t="s">
        <v>84</v>
      </c>
    </row>
    <row r="22" spans="2:11">
      <c r="B22" t="s">
        <v>89</v>
      </c>
      <c r="C22" t="s">
        <v>248</v>
      </c>
      <c r="G22" t="s">
        <v>249</v>
      </c>
      <c r="H22" t="s">
        <v>231</v>
      </c>
      <c r="J22" t="s">
        <v>87</v>
      </c>
      <c r="K22" t="s">
        <v>88</v>
      </c>
    </row>
    <row r="23" spans="2:11">
      <c r="B23" t="s">
        <v>96</v>
      </c>
      <c r="C23" t="s">
        <v>250</v>
      </c>
      <c r="G23" t="s">
        <v>251</v>
      </c>
      <c r="H23" t="s">
        <v>252</v>
      </c>
      <c r="J23" t="s">
        <v>94</v>
      </c>
      <c r="K23" t="s">
        <v>95</v>
      </c>
    </row>
    <row r="24" spans="2:11">
      <c r="B24" t="s">
        <v>103</v>
      </c>
      <c r="C24" t="s">
        <v>253</v>
      </c>
      <c r="G24" t="s">
        <v>231</v>
      </c>
      <c r="H24" t="s">
        <v>244</v>
      </c>
      <c r="J24" t="s">
        <v>101</v>
      </c>
      <c r="K24" t="s">
        <v>102</v>
      </c>
    </row>
    <row r="25" spans="2:11">
      <c r="B25" t="s">
        <v>109</v>
      </c>
      <c r="C25" t="s">
        <v>254</v>
      </c>
      <c r="G25" t="s">
        <v>255</v>
      </c>
      <c r="H25" t="s">
        <v>256</v>
      </c>
      <c r="J25" t="s">
        <v>107</v>
      </c>
      <c r="K25" t="s">
        <v>108</v>
      </c>
    </row>
    <row r="26" spans="2:11">
      <c r="B26" t="s">
        <v>115</v>
      </c>
      <c r="C26" t="s">
        <v>257</v>
      </c>
      <c r="G26" t="s">
        <v>258</v>
      </c>
      <c r="H26" t="s">
        <v>259</v>
      </c>
      <c r="J26" t="s">
        <v>113</v>
      </c>
      <c r="K26" t="s">
        <v>114</v>
      </c>
    </row>
    <row r="27" spans="2:11">
      <c r="B27" t="s">
        <v>118</v>
      </c>
      <c r="C27" t="s">
        <v>260</v>
      </c>
      <c r="G27" t="s">
        <v>261</v>
      </c>
      <c r="H27" t="s">
        <v>262</v>
      </c>
      <c r="J27" t="s">
        <v>116</v>
      </c>
      <c r="K27" t="s">
        <v>117</v>
      </c>
    </row>
    <row r="28" spans="2:11">
      <c r="B28" t="s">
        <v>121</v>
      </c>
      <c r="C28" t="s">
        <v>263</v>
      </c>
      <c r="G28" t="s">
        <v>264</v>
      </c>
      <c r="H28" t="s">
        <v>265</v>
      </c>
      <c r="J28" t="s">
        <v>119</v>
      </c>
      <c r="K28" t="s">
        <v>120</v>
      </c>
    </row>
    <row r="29" spans="2:11">
      <c r="B29" t="s">
        <v>124</v>
      </c>
      <c r="C29" t="s">
        <v>266</v>
      </c>
      <c r="G29" t="s">
        <v>266</v>
      </c>
      <c r="J29" t="s">
        <v>122</v>
      </c>
      <c r="K29" t="s">
        <v>123</v>
      </c>
    </row>
    <row r="30" spans="2:11">
      <c r="B30" t="s">
        <v>127</v>
      </c>
      <c r="C30" t="s">
        <v>267</v>
      </c>
      <c r="G30" t="s">
        <v>267</v>
      </c>
      <c r="J30" t="s">
        <v>125</v>
      </c>
      <c r="K30" t="s">
        <v>126</v>
      </c>
    </row>
    <row r="31" spans="2:11">
      <c r="B31" t="s">
        <v>130</v>
      </c>
      <c r="C31" t="s">
        <v>268</v>
      </c>
      <c r="G31" t="s">
        <v>246</v>
      </c>
      <c r="H31" t="s">
        <v>269</v>
      </c>
      <c r="J31" t="s">
        <v>128</v>
      </c>
      <c r="K31" t="s">
        <v>129</v>
      </c>
    </row>
    <row r="32" spans="2:11">
      <c r="B32" t="s">
        <v>133</v>
      </c>
      <c r="C32" t="s">
        <v>270</v>
      </c>
      <c r="G32" t="s">
        <v>271</v>
      </c>
      <c r="H32" t="s">
        <v>272</v>
      </c>
      <c r="J32" t="s">
        <v>131</v>
      </c>
      <c r="K32" t="s">
        <v>132</v>
      </c>
    </row>
    <row r="33" spans="2:11">
      <c r="B33" t="s">
        <v>136</v>
      </c>
      <c r="C33" t="s">
        <v>273</v>
      </c>
      <c r="G33" t="s">
        <v>274</v>
      </c>
      <c r="H33" t="s">
        <v>275</v>
      </c>
      <c r="J33" t="s">
        <v>134</v>
      </c>
      <c r="K33" t="s">
        <v>135</v>
      </c>
    </row>
    <row r="34" spans="2:11">
      <c r="B34" t="s">
        <v>139</v>
      </c>
      <c r="C34" t="s">
        <v>276</v>
      </c>
      <c r="G34" t="s">
        <v>251</v>
      </c>
      <c r="H34" t="s">
        <v>277</v>
      </c>
      <c r="J34" t="s">
        <v>137</v>
      </c>
      <c r="K34" t="s">
        <v>138</v>
      </c>
    </row>
    <row r="35" spans="2:11">
      <c r="B35" t="s">
        <v>142</v>
      </c>
      <c r="C35" t="s">
        <v>278</v>
      </c>
      <c r="G35" t="s">
        <v>279</v>
      </c>
      <c r="H35" t="s">
        <v>262</v>
      </c>
      <c r="J35" t="s">
        <v>140</v>
      </c>
      <c r="K35" t="s">
        <v>141</v>
      </c>
    </row>
    <row r="36" spans="2:11">
      <c r="B36" t="s">
        <v>145</v>
      </c>
      <c r="C36" t="s">
        <v>280</v>
      </c>
      <c r="G36" t="s">
        <v>281</v>
      </c>
      <c r="H36" t="s">
        <v>282</v>
      </c>
      <c r="J36" t="s">
        <v>143</v>
      </c>
      <c r="K36" t="s">
        <v>144</v>
      </c>
    </row>
    <row r="37" spans="2:11">
      <c r="B37" t="s">
        <v>148</v>
      </c>
      <c r="C37" t="s">
        <v>283</v>
      </c>
      <c r="G37" t="s">
        <v>243</v>
      </c>
      <c r="H37" t="s">
        <v>284</v>
      </c>
      <c r="J37" t="s">
        <v>146</v>
      </c>
      <c r="K37" t="s">
        <v>147</v>
      </c>
    </row>
    <row r="38" spans="2:11">
      <c r="B38" t="s">
        <v>150</v>
      </c>
      <c r="C38" t="s">
        <v>285</v>
      </c>
      <c r="G38" t="s">
        <v>286</v>
      </c>
      <c r="H38" t="s">
        <v>269</v>
      </c>
      <c r="J38" t="s">
        <v>149</v>
      </c>
      <c r="K38" t="s">
        <v>71</v>
      </c>
    </row>
    <row r="39" spans="2:11">
      <c r="B39" t="s">
        <v>153</v>
      </c>
      <c r="C39" t="s">
        <v>287</v>
      </c>
      <c r="G39" t="s">
        <v>288</v>
      </c>
      <c r="H39" t="s">
        <v>289</v>
      </c>
      <c r="J39" t="s">
        <v>151</v>
      </c>
      <c r="K39" t="s">
        <v>152</v>
      </c>
    </row>
    <row r="40" spans="2:11">
      <c r="B40" t="s">
        <v>156</v>
      </c>
      <c r="C40" t="s">
        <v>290</v>
      </c>
      <c r="G40" t="s">
        <v>291</v>
      </c>
      <c r="H40" t="s">
        <v>292</v>
      </c>
      <c r="J40" t="s">
        <v>154</v>
      </c>
      <c r="K40" t="s">
        <v>155</v>
      </c>
    </row>
    <row r="41" spans="2:11">
      <c r="B41" t="s">
        <v>159</v>
      </c>
      <c r="C41" t="s">
        <v>293</v>
      </c>
      <c r="G41" t="s">
        <v>262</v>
      </c>
      <c r="H41" t="s">
        <v>294</v>
      </c>
      <c r="J41" t="s">
        <v>295</v>
      </c>
      <c r="K41" t="e">
        <v>#N/A</v>
      </c>
    </row>
    <row r="42" spans="2:11">
      <c r="B42" t="s">
        <v>162</v>
      </c>
      <c r="C42" t="s">
        <v>296</v>
      </c>
      <c r="G42" t="s">
        <v>296</v>
      </c>
      <c r="J42" t="s">
        <v>160</v>
      </c>
      <c r="K42" t="s">
        <v>161</v>
      </c>
    </row>
    <row r="43" spans="2:11">
      <c r="B43" t="s">
        <v>165</v>
      </c>
      <c r="C43" t="s">
        <v>297</v>
      </c>
      <c r="G43" t="s">
        <v>298</v>
      </c>
      <c r="H43" t="s">
        <v>299</v>
      </c>
      <c r="J43" t="s">
        <v>163</v>
      </c>
      <c r="K43" t="s">
        <v>164</v>
      </c>
    </row>
    <row r="44" spans="2:11">
      <c r="B44" t="s">
        <v>168</v>
      </c>
      <c r="C44" t="s">
        <v>300</v>
      </c>
      <c r="G44" t="s">
        <v>300</v>
      </c>
      <c r="J44" t="s">
        <v>166</v>
      </c>
      <c r="K44" t="s">
        <v>167</v>
      </c>
    </row>
    <row r="45" spans="2:11">
      <c r="B45" t="s">
        <v>171</v>
      </c>
      <c r="C45" t="s">
        <v>301</v>
      </c>
      <c r="G45" t="s">
        <v>301</v>
      </c>
      <c r="J45" t="s">
        <v>169</v>
      </c>
      <c r="K45" t="s">
        <v>170</v>
      </c>
    </row>
    <row r="46" spans="2:11">
      <c r="B46" t="s">
        <v>175</v>
      </c>
      <c r="C46" t="s">
        <v>302</v>
      </c>
      <c r="G46" t="s">
        <v>303</v>
      </c>
      <c r="H46" t="s">
        <v>256</v>
      </c>
      <c r="J46" t="s">
        <v>173</v>
      </c>
      <c r="K46" t="s">
        <v>174</v>
      </c>
    </row>
    <row r="47" spans="2:11">
      <c r="B47" t="s">
        <v>179</v>
      </c>
      <c r="C47" t="s">
        <v>304</v>
      </c>
      <c r="G47" t="s">
        <v>305</v>
      </c>
      <c r="H47" t="s">
        <v>306</v>
      </c>
      <c r="J47" t="s">
        <v>177</v>
      </c>
      <c r="K47" t="s">
        <v>178</v>
      </c>
    </row>
    <row r="48" spans="2:11">
      <c r="B48" t="s">
        <v>182</v>
      </c>
      <c r="C48" t="s">
        <v>307</v>
      </c>
      <c r="G48" t="s">
        <v>307</v>
      </c>
      <c r="J48" t="s">
        <v>180</v>
      </c>
      <c r="K48" t="s">
        <v>181</v>
      </c>
    </row>
    <row r="49" spans="2:11">
      <c r="B49" t="s">
        <v>186</v>
      </c>
      <c r="C49" t="s">
        <v>308</v>
      </c>
      <c r="G49" t="s">
        <v>309</v>
      </c>
      <c r="H49" t="s">
        <v>310</v>
      </c>
      <c r="J49" t="s">
        <v>184</v>
      </c>
      <c r="K49" t="s">
        <v>185</v>
      </c>
    </row>
    <row r="50" spans="2:11">
      <c r="B50" t="s">
        <v>189</v>
      </c>
      <c r="C50" t="s">
        <v>311</v>
      </c>
      <c r="G50" t="s">
        <v>311</v>
      </c>
      <c r="J50" t="s">
        <v>187</v>
      </c>
      <c r="K50" t="s">
        <v>188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</row>
    <row r="2" spans="1:8">
      <c r="A2" s="1" t="s">
        <v>9</v>
      </c>
      <c r="B2" s="1" t="s">
        <v>317</v>
      </c>
      <c r="C2" s="1" t="s">
        <v>318</v>
      </c>
      <c r="D2" s="1" t="s">
        <v>319</v>
      </c>
      <c r="E2" s="1" t="s">
        <v>320</v>
      </c>
      <c r="F2" s="1" t="s">
        <v>321</v>
      </c>
      <c r="G2" s="1" t="s">
        <v>322</v>
      </c>
      <c r="H2" s="1" t="s">
        <v>323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324</v>
      </c>
      <c r="F3" s="1" t="s">
        <v>22</v>
      </c>
      <c r="G3" s="1" t="s">
        <v>325</v>
      </c>
      <c r="H3" s="1" t="s">
        <v>19</v>
      </c>
    </row>
    <row r="4" spans="2:9">
      <c r="B4" s="1" t="s">
        <v>209</v>
      </c>
      <c r="C4" s="1" t="s">
        <v>326</v>
      </c>
      <c r="D4" s="1" t="s">
        <v>327</v>
      </c>
      <c r="E4" s="1" t="s">
        <v>328</v>
      </c>
      <c r="G4" s="1" t="s">
        <v>329</v>
      </c>
      <c r="I4" s="1" t="s">
        <v>330</v>
      </c>
    </row>
    <row r="5" spans="2:9">
      <c r="B5" s="1" t="s">
        <v>210</v>
      </c>
      <c r="C5" s="1" t="s">
        <v>331</v>
      </c>
      <c r="D5" s="1" t="s">
        <v>332</v>
      </c>
      <c r="E5" s="1" t="s">
        <v>328</v>
      </c>
      <c r="G5" s="1" t="s">
        <v>333</v>
      </c>
      <c r="I5" s="1" t="s">
        <v>334</v>
      </c>
    </row>
    <row r="6" ht="34" spans="2:9">
      <c r="B6" s="1" t="s">
        <v>211</v>
      </c>
      <c r="C6" s="1" t="s">
        <v>335</v>
      </c>
      <c r="D6" s="20" t="s">
        <v>336</v>
      </c>
      <c r="E6" s="1" t="s">
        <v>337</v>
      </c>
      <c r="G6" s="1" t="s">
        <v>338</v>
      </c>
      <c r="I6" s="1" t="s">
        <v>339</v>
      </c>
    </row>
    <row r="7" spans="2:9">
      <c r="B7" s="1" t="s">
        <v>212</v>
      </c>
      <c r="C7" s="1" t="s">
        <v>340</v>
      </c>
      <c r="D7" s="1" t="s">
        <v>341</v>
      </c>
      <c r="E7" s="1" t="s">
        <v>342</v>
      </c>
      <c r="G7" s="1" t="s">
        <v>329</v>
      </c>
      <c r="I7" s="1" t="s">
        <v>343</v>
      </c>
    </row>
    <row r="8" ht="34" spans="2:9">
      <c r="B8" s="1" t="s">
        <v>213</v>
      </c>
      <c r="C8" s="1" t="s">
        <v>344</v>
      </c>
      <c r="D8" s="20" t="s">
        <v>345</v>
      </c>
      <c r="E8" s="1" t="s">
        <v>346</v>
      </c>
      <c r="G8" s="1" t="s">
        <v>347</v>
      </c>
      <c r="I8" s="1" t="s">
        <v>348</v>
      </c>
    </row>
    <row r="9" ht="51" spans="2:9">
      <c r="B9" s="1" t="s">
        <v>214</v>
      </c>
      <c r="C9" s="1" t="s">
        <v>349</v>
      </c>
      <c r="D9" s="20" t="s">
        <v>350</v>
      </c>
      <c r="E9" s="1" t="s">
        <v>351</v>
      </c>
      <c r="G9" s="1" t="s">
        <v>352</v>
      </c>
      <c r="I9" s="1" t="s">
        <v>353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354</v>
      </c>
      <c r="D1" t="s">
        <v>355</v>
      </c>
      <c r="E1" t="s">
        <v>6</v>
      </c>
      <c r="F1" t="s">
        <v>313</v>
      </c>
      <c r="G1" t="s">
        <v>356</v>
      </c>
      <c r="H1" t="s">
        <v>312</v>
      </c>
    </row>
    <row r="2" spans="1:8">
      <c r="A2" t="s">
        <v>9</v>
      </c>
      <c r="B2" t="s">
        <v>357</v>
      </c>
      <c r="C2" t="s">
        <v>358</v>
      </c>
      <c r="D2" t="s">
        <v>359</v>
      </c>
      <c r="E2" t="s">
        <v>360</v>
      </c>
      <c r="F2" t="s">
        <v>361</v>
      </c>
      <c r="G2" t="s">
        <v>362</v>
      </c>
      <c r="H2" t="s">
        <v>363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364</v>
      </c>
      <c r="G3" t="s">
        <v>205</v>
      </c>
      <c r="H3" t="s">
        <v>19</v>
      </c>
    </row>
    <row r="4" spans="2:8">
      <c r="B4" t="s">
        <v>365</v>
      </c>
      <c r="C4">
        <v>0</v>
      </c>
      <c r="D4">
        <v>1</v>
      </c>
      <c r="E4" t="s">
        <v>86</v>
      </c>
      <c r="F4" t="s">
        <v>366</v>
      </c>
      <c r="G4">
        <v>5</v>
      </c>
      <c r="H4" t="s">
        <v>367</v>
      </c>
    </row>
    <row r="5" spans="2:8">
      <c r="B5" t="s">
        <v>368</v>
      </c>
      <c r="C5">
        <v>1</v>
      </c>
      <c r="D5">
        <v>50</v>
      </c>
      <c r="E5" t="s">
        <v>86</v>
      </c>
      <c r="F5" t="s">
        <v>369</v>
      </c>
      <c r="G5">
        <v>0.1</v>
      </c>
      <c r="H5" t="s">
        <v>370</v>
      </c>
    </row>
    <row r="6" spans="2:8">
      <c r="B6" t="s">
        <v>371</v>
      </c>
      <c r="C6">
        <v>2</v>
      </c>
      <c r="D6">
        <v>100</v>
      </c>
      <c r="E6" t="s">
        <v>86</v>
      </c>
      <c r="F6" t="s">
        <v>372</v>
      </c>
      <c r="G6">
        <v>0.02</v>
      </c>
      <c r="H6" t="s">
        <v>373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9"/>
  <sheetViews>
    <sheetView tabSelected="1" zoomScale="55" zoomScaleNormal="55" workbookViewId="0">
      <selection activeCell="S8" sqref="P8:S8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384</v>
      </c>
      <c r="N1" s="1" t="s">
        <v>385</v>
      </c>
      <c r="O1" s="1" t="s">
        <v>386</v>
      </c>
      <c r="P1" s="1" t="s">
        <v>387</v>
      </c>
      <c r="Q1" s="1" t="s">
        <v>316</v>
      </c>
    </row>
    <row r="2" spans="1:17">
      <c r="A2" s="1" t="s">
        <v>9</v>
      </c>
      <c r="B2" s="1" t="s">
        <v>388</v>
      </c>
      <c r="C2" s="1" t="s">
        <v>389</v>
      </c>
      <c r="D2" s="1" t="s">
        <v>390</v>
      </c>
      <c r="E2" s="1" t="s">
        <v>391</v>
      </c>
      <c r="F2" s="1" t="s">
        <v>392</v>
      </c>
      <c r="G2" s="1" t="s">
        <v>393</v>
      </c>
      <c r="H2" s="1" t="s">
        <v>394</v>
      </c>
      <c r="I2" s="1" t="s">
        <v>395</v>
      </c>
      <c r="J2" s="1" t="s">
        <v>396</v>
      </c>
      <c r="K2" s="1" t="s">
        <v>397</v>
      </c>
      <c r="L2" s="1" t="s">
        <v>398</v>
      </c>
      <c r="M2" s="1" t="s">
        <v>399</v>
      </c>
      <c r="N2" s="1" t="s">
        <v>400</v>
      </c>
      <c r="O2" s="1" t="s">
        <v>401</v>
      </c>
      <c r="P2" s="1" t="s">
        <v>402</v>
      </c>
      <c r="Q2" s="1" t="s">
        <v>403</v>
      </c>
    </row>
    <row r="3" spans="1:20">
      <c r="A3" s="1" t="s">
        <v>18</v>
      </c>
      <c r="B3" s="1" t="s">
        <v>19</v>
      </c>
      <c r="C3" s="1" t="s">
        <v>404</v>
      </c>
      <c r="D3" s="1" t="s">
        <v>405</v>
      </c>
      <c r="E3" s="1" t="s">
        <v>406</v>
      </c>
      <c r="F3" s="1" t="s">
        <v>407</v>
      </c>
      <c r="G3" s="1" t="s">
        <v>408</v>
      </c>
      <c r="H3" s="1" t="s">
        <v>19</v>
      </c>
      <c r="I3" s="1" t="s">
        <v>364</v>
      </c>
      <c r="J3" s="1" t="s">
        <v>406</v>
      </c>
      <c r="K3" s="1" t="s">
        <v>20</v>
      </c>
      <c r="L3" s="1" t="s">
        <v>325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409</v>
      </c>
      <c r="T3" s="1" t="s">
        <v>409</v>
      </c>
    </row>
    <row r="4" ht="34" spans="2:20">
      <c r="B4" s="1" t="s">
        <v>218</v>
      </c>
      <c r="C4" s="1" t="s">
        <v>410</v>
      </c>
      <c r="D4" s="1" t="s">
        <v>411</v>
      </c>
      <c r="E4" s="1" t="s">
        <v>412</v>
      </c>
      <c r="F4" s="1" t="s">
        <v>413</v>
      </c>
      <c r="G4" s="1" t="s">
        <v>414</v>
      </c>
      <c r="I4" s="1" t="s">
        <v>369</v>
      </c>
      <c r="J4" s="1" t="s">
        <v>412</v>
      </c>
      <c r="K4" s="1">
        <v>0</v>
      </c>
      <c r="L4" s="1">
        <v>3</v>
      </c>
      <c r="N4" s="1" t="s">
        <v>25</v>
      </c>
      <c r="O4" s="1" t="s">
        <v>415</v>
      </c>
      <c r="P4" s="20" t="s">
        <v>416</v>
      </c>
      <c r="S4" s="22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220</v>
      </c>
      <c r="C5" s="1" t="s">
        <v>410</v>
      </c>
      <c r="D5" s="1" t="s">
        <v>417</v>
      </c>
      <c r="E5" s="1" t="s">
        <v>418</v>
      </c>
      <c r="F5" s="1" t="s">
        <v>419</v>
      </c>
      <c r="G5" s="1" t="s">
        <v>420</v>
      </c>
      <c r="I5" s="1" t="s">
        <v>366</v>
      </c>
      <c r="J5" s="1" t="s">
        <v>412</v>
      </c>
      <c r="K5" s="1">
        <v>0</v>
      </c>
      <c r="L5" s="1">
        <v>8</v>
      </c>
      <c r="N5" s="1" t="s">
        <v>25</v>
      </c>
      <c r="O5" s="1" t="s">
        <v>415</v>
      </c>
      <c r="P5" s="20" t="s">
        <v>421</v>
      </c>
      <c r="S5" s="22" t="str">
        <f>IFERROR(VLOOKUP(B5,skill!$G$4:$K$50,5,FALSE),"")</f>
        <v>马卡龙</v>
      </c>
      <c r="T5" s="22" t="str">
        <f>IFERROR(VLOOKUP(B5,skill!$H$4:$K$50,4,FALSE),"")</f>
        <v/>
      </c>
    </row>
    <row r="6" spans="2:20">
      <c r="B6" s="1" t="s">
        <v>221</v>
      </c>
      <c r="C6" s="1" t="s">
        <v>410</v>
      </c>
      <c r="D6" s="1" t="s">
        <v>422</v>
      </c>
      <c r="E6" s="1" t="s">
        <v>412</v>
      </c>
      <c r="F6" s="1" t="s">
        <v>413</v>
      </c>
      <c r="G6" s="1" t="s">
        <v>420</v>
      </c>
      <c r="I6" s="1" t="s">
        <v>423</v>
      </c>
      <c r="J6" s="1" t="s">
        <v>424</v>
      </c>
      <c r="K6" s="1">
        <v>1</v>
      </c>
      <c r="L6" s="1">
        <v>0</v>
      </c>
      <c r="N6" s="1" t="s">
        <v>25</v>
      </c>
      <c r="O6" s="1" t="s">
        <v>25</v>
      </c>
      <c r="P6" s="1" t="s">
        <v>425</v>
      </c>
      <c r="Q6" s="1" t="s">
        <v>426</v>
      </c>
      <c r="S6" s="22" t="str">
        <f>IFERROR(VLOOKUP(B6,skill!$G$4:$K$50,5,FALSE),"")</f>
        <v/>
      </c>
      <c r="T6" s="22" t="str">
        <f>IFERROR(VLOOKUP(B6,skill!$H$4:$K$50,4,FALSE),"")</f>
        <v>马卡龙</v>
      </c>
    </row>
    <row r="7" ht="34" spans="2:20">
      <c r="B7" s="1" t="s">
        <v>222</v>
      </c>
      <c r="C7" s="1" t="s">
        <v>410</v>
      </c>
      <c r="D7" s="1" t="s">
        <v>427</v>
      </c>
      <c r="E7" s="1" t="s">
        <v>418</v>
      </c>
      <c r="F7" s="1" t="s">
        <v>413</v>
      </c>
      <c r="G7" s="1" t="s">
        <v>420</v>
      </c>
      <c r="I7" s="1" t="s">
        <v>366</v>
      </c>
      <c r="J7" s="1" t="s">
        <v>412</v>
      </c>
      <c r="K7" s="1">
        <v>0</v>
      </c>
      <c r="L7" s="1">
        <v>-2</v>
      </c>
      <c r="N7" s="1" t="s">
        <v>25</v>
      </c>
      <c r="O7" s="1" t="s">
        <v>415</v>
      </c>
      <c r="P7" s="20" t="s">
        <v>428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223</v>
      </c>
      <c r="C8" s="1" t="s">
        <v>410</v>
      </c>
      <c r="D8" s="1" t="s">
        <v>417</v>
      </c>
      <c r="E8" s="1" t="s">
        <v>418</v>
      </c>
      <c r="F8" s="1" t="s">
        <v>413</v>
      </c>
      <c r="G8" s="1" t="s">
        <v>420</v>
      </c>
      <c r="I8" s="1" t="s">
        <v>429</v>
      </c>
      <c r="J8" s="1" t="s">
        <v>430</v>
      </c>
      <c r="K8" s="1">
        <v>0</v>
      </c>
      <c r="L8" s="1">
        <v>2</v>
      </c>
      <c r="N8" s="1" t="s">
        <v>25</v>
      </c>
      <c r="O8" s="1" t="s">
        <v>415</v>
      </c>
      <c r="P8" s="20" t="s">
        <v>431</v>
      </c>
      <c r="Q8" s="1" t="s">
        <v>432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224</v>
      </c>
      <c r="C9" s="1" t="s">
        <v>410</v>
      </c>
      <c r="D9" s="1" t="s">
        <v>422</v>
      </c>
      <c r="E9" s="1" t="s">
        <v>412</v>
      </c>
      <c r="F9" s="1" t="s">
        <v>413</v>
      </c>
      <c r="G9" s="1" t="s">
        <v>414</v>
      </c>
      <c r="I9" s="1" t="s">
        <v>433</v>
      </c>
      <c r="J9" s="1" t="s">
        <v>412</v>
      </c>
      <c r="K9" s="1">
        <v>0</v>
      </c>
      <c r="L9" s="1">
        <v>8</v>
      </c>
      <c r="N9" s="1" t="s">
        <v>25</v>
      </c>
      <c r="O9" s="1" t="s">
        <v>415</v>
      </c>
      <c r="P9" s="20" t="s">
        <v>434</v>
      </c>
      <c r="S9" s="22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225</v>
      </c>
      <c r="C10" s="1" t="s">
        <v>410</v>
      </c>
      <c r="D10" s="1" t="s">
        <v>417</v>
      </c>
      <c r="E10" s="1" t="s">
        <v>435</v>
      </c>
      <c r="F10" s="1" t="s">
        <v>413</v>
      </c>
      <c r="G10" s="1" t="s">
        <v>420</v>
      </c>
      <c r="I10" s="1" t="s">
        <v>369</v>
      </c>
      <c r="J10" s="1" t="s">
        <v>412</v>
      </c>
      <c r="K10" s="1">
        <v>0</v>
      </c>
      <c r="L10" s="1">
        <v>1</v>
      </c>
      <c r="N10" s="1" t="s">
        <v>25</v>
      </c>
      <c r="O10" s="1" t="s">
        <v>415</v>
      </c>
      <c r="P10" s="20" t="s">
        <v>436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226</v>
      </c>
      <c r="C11" s="1" t="s">
        <v>410</v>
      </c>
      <c r="D11" s="1" t="s">
        <v>417</v>
      </c>
      <c r="E11" s="1" t="s">
        <v>437</v>
      </c>
      <c r="F11" s="1" t="s">
        <v>413</v>
      </c>
      <c r="G11" s="1" t="s">
        <v>420</v>
      </c>
      <c r="I11" s="1" t="s">
        <v>366</v>
      </c>
      <c r="J11" s="1" t="s">
        <v>412</v>
      </c>
      <c r="K11" s="1">
        <v>0</v>
      </c>
      <c r="L11" s="1">
        <v>10</v>
      </c>
      <c r="N11" s="1" t="s">
        <v>25</v>
      </c>
      <c r="O11" s="1" t="s">
        <v>415</v>
      </c>
      <c r="P11" s="20" t="s">
        <v>421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227</v>
      </c>
      <c r="C12" s="1" t="s">
        <v>410</v>
      </c>
      <c r="D12" s="1" t="s">
        <v>438</v>
      </c>
      <c r="E12" s="1" t="s">
        <v>412</v>
      </c>
      <c r="F12" s="1" t="s">
        <v>413</v>
      </c>
      <c r="G12" s="1" t="s">
        <v>420</v>
      </c>
      <c r="I12" s="1" t="s">
        <v>433</v>
      </c>
      <c r="J12" s="1" t="s">
        <v>412</v>
      </c>
      <c r="K12" s="1">
        <v>0</v>
      </c>
      <c r="L12" s="1">
        <v>5</v>
      </c>
      <c r="N12" s="1" t="s">
        <v>25</v>
      </c>
      <c r="O12" s="1" t="s">
        <v>415</v>
      </c>
      <c r="P12" s="20" t="s">
        <v>439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228</v>
      </c>
      <c r="C13" s="1" t="s">
        <v>410</v>
      </c>
      <c r="D13" s="1" t="s">
        <v>417</v>
      </c>
      <c r="E13" s="1" t="s">
        <v>437</v>
      </c>
      <c r="F13" s="1" t="s">
        <v>419</v>
      </c>
      <c r="G13" s="1" t="s">
        <v>420</v>
      </c>
      <c r="I13" s="1" t="s">
        <v>369</v>
      </c>
      <c r="J13" s="1" t="s">
        <v>440</v>
      </c>
      <c r="K13" s="1">
        <v>0</v>
      </c>
      <c r="L13" s="1">
        <v>0.2</v>
      </c>
      <c r="N13" s="1" t="s">
        <v>25</v>
      </c>
      <c r="O13" s="1" t="s">
        <v>415</v>
      </c>
      <c r="P13" s="20" t="s">
        <v>436</v>
      </c>
      <c r="S13" s="22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229</v>
      </c>
      <c r="C14" s="1" t="s">
        <v>410</v>
      </c>
      <c r="D14" s="1" t="s">
        <v>422</v>
      </c>
      <c r="E14" s="1" t="s">
        <v>412</v>
      </c>
      <c r="F14" s="1" t="s">
        <v>413</v>
      </c>
      <c r="G14" s="1" t="s">
        <v>420</v>
      </c>
      <c r="I14" s="1" t="s">
        <v>429</v>
      </c>
      <c r="J14" s="1" t="s">
        <v>430</v>
      </c>
      <c r="K14" s="1">
        <v>0</v>
      </c>
      <c r="L14" s="1">
        <v>5</v>
      </c>
      <c r="N14" s="1" t="s">
        <v>25</v>
      </c>
      <c r="O14" s="1" t="s">
        <v>415</v>
      </c>
      <c r="P14" s="1" t="s">
        <v>441</v>
      </c>
      <c r="Q14" s="1" t="s">
        <v>432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14" customFormat="1" spans="2:20">
      <c r="B15" s="14" t="s">
        <v>231</v>
      </c>
      <c r="C15" s="14" t="s">
        <v>410</v>
      </c>
      <c r="D15" s="14" t="s">
        <v>422</v>
      </c>
      <c r="E15" s="14" t="s">
        <v>412</v>
      </c>
      <c r="F15" s="14" t="s">
        <v>413</v>
      </c>
      <c r="G15" s="14" t="s">
        <v>420</v>
      </c>
      <c r="H15" s="14" t="s">
        <v>27</v>
      </c>
      <c r="I15" s="14" t="s">
        <v>442</v>
      </c>
      <c r="J15" s="14" t="s">
        <v>412</v>
      </c>
      <c r="K15" s="14">
        <v>0</v>
      </c>
      <c r="L15" s="14">
        <v>1</v>
      </c>
      <c r="M15" s="14" t="s">
        <v>27</v>
      </c>
      <c r="N15" s="14" t="s">
        <v>415</v>
      </c>
      <c r="O15" s="14" t="s">
        <v>25</v>
      </c>
      <c r="P15" s="14" t="s">
        <v>443</v>
      </c>
      <c r="R15" s="14" t="s">
        <v>444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232</v>
      </c>
      <c r="C16" s="1" t="s">
        <v>410</v>
      </c>
      <c r="D16" s="1" t="s">
        <v>422</v>
      </c>
      <c r="E16" s="1" t="s">
        <v>412</v>
      </c>
      <c r="F16" s="1" t="s">
        <v>413</v>
      </c>
      <c r="G16" s="1" t="s">
        <v>420</v>
      </c>
      <c r="I16" s="1" t="s">
        <v>423</v>
      </c>
      <c r="J16" s="1" t="s">
        <v>445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425</v>
      </c>
      <c r="Q16" s="1" t="s">
        <v>426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233</v>
      </c>
      <c r="C17" s="1" t="s">
        <v>410</v>
      </c>
      <c r="D17" s="1" t="s">
        <v>446</v>
      </c>
      <c r="E17" s="1" t="s">
        <v>418</v>
      </c>
      <c r="F17" s="1" t="s">
        <v>413</v>
      </c>
      <c r="G17" s="1" t="s">
        <v>414</v>
      </c>
      <c r="I17" s="1" t="s">
        <v>337</v>
      </c>
      <c r="J17" s="1" t="s">
        <v>412</v>
      </c>
      <c r="K17" s="1">
        <v>0</v>
      </c>
      <c r="L17" s="1">
        <v>30</v>
      </c>
      <c r="N17" s="1" t="s">
        <v>25</v>
      </c>
      <c r="O17" s="1" t="s">
        <v>25</v>
      </c>
      <c r="P17" s="20" t="s">
        <v>447</v>
      </c>
      <c r="R17" s="1" t="s">
        <v>448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234</v>
      </c>
      <c r="C18" s="1" t="s">
        <v>410</v>
      </c>
      <c r="D18" s="1" t="s">
        <v>446</v>
      </c>
      <c r="E18" s="1" t="s">
        <v>437</v>
      </c>
      <c r="F18" s="1" t="s">
        <v>413</v>
      </c>
      <c r="G18" s="1" t="s">
        <v>414</v>
      </c>
      <c r="I18" s="1" t="s">
        <v>429</v>
      </c>
      <c r="J18" s="1" t="s">
        <v>430</v>
      </c>
      <c r="K18" s="1">
        <v>0</v>
      </c>
      <c r="L18" s="1">
        <v>10</v>
      </c>
      <c r="N18" s="1" t="s">
        <v>25</v>
      </c>
      <c r="O18" s="1" t="s">
        <v>415</v>
      </c>
      <c r="P18" s="20" t="s">
        <v>449</v>
      </c>
      <c r="Q18" s="1" t="s">
        <v>432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236</v>
      </c>
      <c r="C19" s="1" t="s">
        <v>410</v>
      </c>
      <c r="D19" s="1" t="s">
        <v>417</v>
      </c>
      <c r="E19" s="1" t="s">
        <v>437</v>
      </c>
      <c r="F19" s="1" t="s">
        <v>413</v>
      </c>
      <c r="G19" s="1" t="s">
        <v>420</v>
      </c>
      <c r="I19" s="1" t="s">
        <v>369</v>
      </c>
      <c r="J19" s="1" t="s">
        <v>412</v>
      </c>
      <c r="K19" s="1">
        <v>0</v>
      </c>
      <c r="L19" s="1">
        <v>1</v>
      </c>
      <c r="N19" s="1" t="s">
        <v>25</v>
      </c>
      <c r="O19" s="1" t="s">
        <v>415</v>
      </c>
      <c r="P19" s="20" t="s">
        <v>436</v>
      </c>
      <c r="S19" s="22" t="str">
        <f>IFERROR(VLOOKUP(B19,skill!$G$4:$K$50,5,FALSE),"")</f>
        <v>圣代</v>
      </c>
      <c r="T19" s="22" t="str">
        <f>IFERROR(VLOOKUP(B19,skill!$H$4:$K$50,4,FALSE),"")</f>
        <v/>
      </c>
    </row>
    <row r="20" spans="2:20">
      <c r="B20" s="1" t="s">
        <v>237</v>
      </c>
      <c r="C20" s="1" t="s">
        <v>410</v>
      </c>
      <c r="D20" s="1" t="s">
        <v>422</v>
      </c>
      <c r="E20" s="1" t="s">
        <v>412</v>
      </c>
      <c r="F20" s="1" t="s">
        <v>413</v>
      </c>
      <c r="G20" s="1" t="s">
        <v>420</v>
      </c>
      <c r="I20" s="1" t="s">
        <v>450</v>
      </c>
      <c r="J20" s="1" t="s">
        <v>412</v>
      </c>
      <c r="K20" s="1">
        <v>0</v>
      </c>
      <c r="L20" s="1">
        <v>1</v>
      </c>
      <c r="N20" s="1" t="s">
        <v>415</v>
      </c>
      <c r="O20" s="1" t="s">
        <v>25</v>
      </c>
      <c r="P20" s="1" t="s">
        <v>451</v>
      </c>
      <c r="S20" s="22" t="str">
        <f>IFERROR(VLOOKUP(B20,skill!$G$4:$K$50,5,FALSE),"")</f>
        <v/>
      </c>
      <c r="T20" s="22" t="str">
        <f>IFERROR(VLOOKUP(B20,skill!$H$4:$K$50,4,FALSE),"")</f>
        <v>圣代</v>
      </c>
    </row>
    <row r="21" spans="2:20">
      <c r="B21" s="1" t="s">
        <v>238</v>
      </c>
      <c r="C21" s="1" t="s">
        <v>410</v>
      </c>
      <c r="D21" s="1" t="s">
        <v>422</v>
      </c>
      <c r="E21" s="1" t="s">
        <v>412</v>
      </c>
      <c r="F21" s="1" t="s">
        <v>413</v>
      </c>
      <c r="G21" s="1" t="s">
        <v>420</v>
      </c>
      <c r="I21" s="1" t="s">
        <v>429</v>
      </c>
      <c r="J21" s="1" t="s">
        <v>430</v>
      </c>
      <c r="K21" s="1">
        <v>0</v>
      </c>
      <c r="L21" s="1">
        <v>10</v>
      </c>
      <c r="N21" s="1" t="s">
        <v>25</v>
      </c>
      <c r="O21" s="1" t="s">
        <v>415</v>
      </c>
      <c r="P21" s="1" t="s">
        <v>441</v>
      </c>
      <c r="Q21" s="1" t="s">
        <v>432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14" customFormat="1" ht="34" spans="2:20">
      <c r="B22" s="14" t="s">
        <v>452</v>
      </c>
      <c r="C22" s="14" t="s">
        <v>453</v>
      </c>
      <c r="D22" s="14" t="s">
        <v>422</v>
      </c>
      <c r="E22" s="14" t="s">
        <v>412</v>
      </c>
      <c r="F22" s="14" t="s">
        <v>413</v>
      </c>
      <c r="G22" s="14" t="s">
        <v>420</v>
      </c>
      <c r="H22" s="14" t="s">
        <v>27</v>
      </c>
      <c r="I22" s="14" t="s">
        <v>454</v>
      </c>
      <c r="J22" s="14" t="s">
        <v>412</v>
      </c>
      <c r="K22" s="14">
        <v>0</v>
      </c>
      <c r="L22" s="14">
        <v>1</v>
      </c>
      <c r="M22" s="14" t="s">
        <v>27</v>
      </c>
      <c r="N22" s="14" t="s">
        <v>25</v>
      </c>
      <c r="O22" s="14" t="s">
        <v>25</v>
      </c>
      <c r="P22" s="21" t="s">
        <v>455</v>
      </c>
      <c r="R22" s="14" t="s">
        <v>456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240</v>
      </c>
      <c r="C23" s="1" t="s">
        <v>410</v>
      </c>
      <c r="D23" s="1" t="s">
        <v>457</v>
      </c>
      <c r="E23" s="1" t="s">
        <v>418</v>
      </c>
      <c r="F23" s="1" t="s">
        <v>413</v>
      </c>
      <c r="G23" s="1" t="s">
        <v>414</v>
      </c>
      <c r="H23" s="1" t="s">
        <v>458</v>
      </c>
      <c r="I23" s="1" t="s">
        <v>372</v>
      </c>
      <c r="J23" s="1" t="s">
        <v>412</v>
      </c>
      <c r="K23" s="1">
        <v>0</v>
      </c>
      <c r="L23" s="1">
        <v>1.5</v>
      </c>
      <c r="N23" s="1" t="s">
        <v>25</v>
      </c>
      <c r="O23" s="1" t="s">
        <v>25</v>
      </c>
      <c r="P23" s="20" t="s">
        <v>459</v>
      </c>
      <c r="S23" s="1" t="str">
        <f>IFERROR(VLOOKUP(B23,skill!$G$4:$K$50,5,FALSE),"")</f>
        <v>棒棒糖</v>
      </c>
      <c r="T23" s="1" t="str">
        <f>IFERROR(VLOOKUP(B23,skill!$H$4:$K$50,4,FALSE),"")</f>
        <v/>
      </c>
    </row>
    <row r="24" spans="2:20">
      <c r="B24" s="1" t="s">
        <v>241</v>
      </c>
      <c r="C24" s="1" t="s">
        <v>410</v>
      </c>
      <c r="D24" s="1" t="s">
        <v>422</v>
      </c>
      <c r="E24" s="1" t="s">
        <v>412</v>
      </c>
      <c r="F24" s="1" t="s">
        <v>413</v>
      </c>
      <c r="G24" s="1" t="s">
        <v>420</v>
      </c>
      <c r="I24" s="1" t="s">
        <v>423</v>
      </c>
      <c r="J24" s="1" t="s">
        <v>460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425</v>
      </c>
      <c r="Q24" s="1" t="s">
        <v>426</v>
      </c>
      <c r="S24" s="1" t="str">
        <f>IFERROR(VLOOKUP(B24,skill!$G$4:$K$50,5,FALSE),"")</f>
        <v/>
      </c>
      <c r="T24" s="1" t="str">
        <f>IFERROR(VLOOKUP(B24,skill!$H$4:$K$50,4,FALSE),"")</f>
        <v>棒棒糖</v>
      </c>
    </row>
    <row r="25" ht="34" spans="2:20">
      <c r="B25" s="1" t="s">
        <v>243</v>
      </c>
      <c r="C25" s="1" t="s">
        <v>410</v>
      </c>
      <c r="D25" s="1" t="s">
        <v>417</v>
      </c>
      <c r="E25" s="1" t="s">
        <v>418</v>
      </c>
      <c r="F25" s="1" t="s">
        <v>413</v>
      </c>
      <c r="G25" s="1" t="s">
        <v>420</v>
      </c>
      <c r="I25" s="1" t="s">
        <v>372</v>
      </c>
      <c r="J25" s="1" t="s">
        <v>412</v>
      </c>
      <c r="K25" s="1">
        <v>0</v>
      </c>
      <c r="L25" s="1">
        <v>1.2</v>
      </c>
      <c r="N25" s="1" t="s">
        <v>25</v>
      </c>
      <c r="O25" s="1" t="s">
        <v>25</v>
      </c>
      <c r="P25" s="20" t="s">
        <v>461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244</v>
      </c>
      <c r="C26" s="1" t="s">
        <v>410</v>
      </c>
      <c r="D26" s="1" t="s">
        <v>422</v>
      </c>
      <c r="E26" s="1" t="s">
        <v>412</v>
      </c>
      <c r="F26" s="1" t="s">
        <v>413</v>
      </c>
      <c r="G26" s="1" t="s">
        <v>420</v>
      </c>
      <c r="I26" s="1" t="s">
        <v>423</v>
      </c>
      <c r="J26" s="1" t="s">
        <v>418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425</v>
      </c>
      <c r="Q26" s="1" t="s">
        <v>426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246</v>
      </c>
      <c r="C27" s="1" t="s">
        <v>410</v>
      </c>
      <c r="D27" s="1" t="s">
        <v>422</v>
      </c>
      <c r="E27" s="1" t="s">
        <v>412</v>
      </c>
      <c r="F27" s="1" t="s">
        <v>413</v>
      </c>
      <c r="G27" s="1" t="s">
        <v>420</v>
      </c>
      <c r="I27" s="1" t="s">
        <v>462</v>
      </c>
      <c r="J27" s="1" t="s">
        <v>418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463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247</v>
      </c>
      <c r="C28" s="1" t="s">
        <v>410</v>
      </c>
      <c r="D28" s="1" t="s">
        <v>438</v>
      </c>
      <c r="E28" s="1" t="s">
        <v>412</v>
      </c>
      <c r="F28" s="1" t="s">
        <v>413</v>
      </c>
      <c r="G28" s="1" t="s">
        <v>420</v>
      </c>
      <c r="I28" s="1" t="s">
        <v>429</v>
      </c>
      <c r="J28" s="1" t="s">
        <v>430</v>
      </c>
      <c r="K28" s="1">
        <v>0</v>
      </c>
      <c r="L28" s="1">
        <v>6</v>
      </c>
      <c r="N28" s="1" t="s">
        <v>25</v>
      </c>
      <c r="O28" s="1" t="s">
        <v>415</v>
      </c>
      <c r="P28" s="20" t="s">
        <v>464</v>
      </c>
      <c r="Q28" s="1" t="s">
        <v>432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249</v>
      </c>
      <c r="C29" s="1" t="s">
        <v>410</v>
      </c>
      <c r="D29" s="1" t="s">
        <v>422</v>
      </c>
      <c r="E29" s="1" t="s">
        <v>412</v>
      </c>
      <c r="F29" s="1" t="s">
        <v>413</v>
      </c>
      <c r="G29" s="1" t="s">
        <v>420</v>
      </c>
      <c r="I29" s="1" t="s">
        <v>372</v>
      </c>
      <c r="J29" s="1" t="s">
        <v>412</v>
      </c>
      <c r="K29" s="1">
        <v>0</v>
      </c>
      <c r="L29" s="1">
        <v>1.5</v>
      </c>
      <c r="N29" s="1" t="s">
        <v>25</v>
      </c>
      <c r="O29" s="1" t="s">
        <v>25</v>
      </c>
      <c r="P29" s="1" t="s">
        <v>465</v>
      </c>
      <c r="S29" s="1" t="str">
        <f>IFERROR(VLOOKUP(B29,skill!$G$4:$K$50,5,FALSE),"")</f>
        <v>慕斯蛋糕</v>
      </c>
      <c r="T29" s="1" t="str">
        <f>IFERROR(VLOOKUP(B29,skill!$H$4:$K$50,4,FALSE),"")</f>
        <v/>
      </c>
    </row>
    <row r="30" spans="2:20">
      <c r="B30" s="1" t="s">
        <v>251</v>
      </c>
      <c r="C30" s="1" t="s">
        <v>410</v>
      </c>
      <c r="D30" s="1" t="s">
        <v>422</v>
      </c>
      <c r="E30" s="1" t="s">
        <v>412</v>
      </c>
      <c r="F30" s="1" t="s">
        <v>413</v>
      </c>
      <c r="G30" s="1" t="s">
        <v>420</v>
      </c>
      <c r="I30" s="1" t="s">
        <v>433</v>
      </c>
      <c r="J30" s="1" t="s">
        <v>440</v>
      </c>
      <c r="K30" s="1">
        <v>0</v>
      </c>
      <c r="L30" s="1">
        <v>3</v>
      </c>
      <c r="N30" s="1" t="s">
        <v>25</v>
      </c>
      <c r="O30" s="1" t="s">
        <v>415</v>
      </c>
      <c r="P30" s="1" t="s">
        <v>466</v>
      </c>
      <c r="S30" s="22" t="str">
        <f>IFERROR(VLOOKUP(B30,skill!$G$4:$K$50,5,FALSE),"")</f>
        <v>太妃糖</v>
      </c>
      <c r="T30" s="22" t="str">
        <f>IFERROR(VLOOKUP(B30,skill!$H$4:$K$50,4,FALSE),"")</f>
        <v/>
      </c>
    </row>
    <row r="31" spans="2:20">
      <c r="B31" s="1" t="s">
        <v>252</v>
      </c>
      <c r="C31" s="1" t="s">
        <v>410</v>
      </c>
      <c r="D31" s="1" t="s">
        <v>422</v>
      </c>
      <c r="E31" s="1" t="s">
        <v>412</v>
      </c>
      <c r="F31" s="1" t="s">
        <v>413</v>
      </c>
      <c r="G31" s="1" t="s">
        <v>420</v>
      </c>
      <c r="I31" s="1" t="s">
        <v>423</v>
      </c>
      <c r="J31" s="1" t="s">
        <v>445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425</v>
      </c>
      <c r="Q31" s="1" t="s">
        <v>426</v>
      </c>
      <c r="S31" s="22" t="str">
        <f>IFERROR(VLOOKUP(B31,skill!$G$4:$K$50,5,FALSE),"")</f>
        <v/>
      </c>
      <c r="T31" s="22" t="str">
        <f>IFERROR(VLOOKUP(B31,skill!$H$4:$K$50,4,FALSE),"")</f>
        <v>太妃糖</v>
      </c>
    </row>
    <row r="32" ht="34" spans="2:20">
      <c r="B32" s="1" t="s">
        <v>255</v>
      </c>
      <c r="C32" s="1" t="s">
        <v>410</v>
      </c>
      <c r="D32" s="1" t="s">
        <v>417</v>
      </c>
      <c r="E32" s="1" t="s">
        <v>467</v>
      </c>
      <c r="F32" s="1" t="s">
        <v>413</v>
      </c>
      <c r="G32" s="1" t="s">
        <v>420</v>
      </c>
      <c r="I32" s="1" t="s">
        <v>369</v>
      </c>
      <c r="J32" s="1" t="s">
        <v>412</v>
      </c>
      <c r="K32" s="1">
        <v>0</v>
      </c>
      <c r="L32" s="1">
        <v>0.2</v>
      </c>
      <c r="N32" s="1" t="s">
        <v>25</v>
      </c>
      <c r="O32" s="1" t="s">
        <v>415</v>
      </c>
      <c r="P32" s="20" t="s">
        <v>436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256</v>
      </c>
      <c r="C33" s="1" t="s">
        <v>410</v>
      </c>
      <c r="D33" s="1" t="s">
        <v>422</v>
      </c>
      <c r="E33" s="1" t="s">
        <v>412</v>
      </c>
      <c r="F33" s="1" t="s">
        <v>413</v>
      </c>
      <c r="G33" s="1" t="s">
        <v>420</v>
      </c>
      <c r="I33" s="1" t="s">
        <v>450</v>
      </c>
      <c r="J33" s="1" t="s">
        <v>412</v>
      </c>
      <c r="K33" s="1">
        <v>0</v>
      </c>
      <c r="L33" s="1">
        <v>3</v>
      </c>
      <c r="N33" s="1" t="s">
        <v>415</v>
      </c>
      <c r="O33" s="1" t="s">
        <v>25</v>
      </c>
      <c r="P33" s="1" t="s">
        <v>451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258</v>
      </c>
      <c r="C34" s="1" t="s">
        <v>410</v>
      </c>
      <c r="D34" s="1" t="s">
        <v>422</v>
      </c>
      <c r="E34" s="1" t="s">
        <v>412</v>
      </c>
      <c r="F34" s="1" t="s">
        <v>413</v>
      </c>
      <c r="G34" s="1" t="s">
        <v>420</v>
      </c>
      <c r="I34" s="1" t="s">
        <v>369</v>
      </c>
      <c r="J34" s="1" t="s">
        <v>440</v>
      </c>
      <c r="K34" s="1">
        <v>0</v>
      </c>
      <c r="L34" s="1">
        <v>3</v>
      </c>
      <c r="N34" s="1" t="s">
        <v>25</v>
      </c>
      <c r="O34" s="1" t="s">
        <v>415</v>
      </c>
      <c r="P34" s="1" t="s">
        <v>468</v>
      </c>
      <c r="S34" s="22" t="str">
        <f>IFERROR(VLOOKUP(B34,skill!$G$4:$K$50,5,FALSE),"")</f>
        <v>巧克力棒</v>
      </c>
      <c r="T34" s="22" t="str">
        <f>IFERROR(VLOOKUP(B34,skill!$H$4:$K$50,4,FALSE),"")</f>
        <v/>
      </c>
    </row>
    <row r="35" spans="2:20">
      <c r="B35" s="1" t="s">
        <v>259</v>
      </c>
      <c r="C35" s="1" t="s">
        <v>410</v>
      </c>
      <c r="D35" s="1" t="s">
        <v>422</v>
      </c>
      <c r="E35" s="1" t="s">
        <v>412</v>
      </c>
      <c r="F35" s="1" t="s">
        <v>413</v>
      </c>
      <c r="G35" s="1" t="s">
        <v>420</v>
      </c>
      <c r="I35" s="1" t="s">
        <v>423</v>
      </c>
      <c r="J35" s="1" t="s">
        <v>445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425</v>
      </c>
      <c r="Q35" s="1" t="s">
        <v>426</v>
      </c>
      <c r="S35" s="22" t="str">
        <f>IFERROR(VLOOKUP(B35,skill!$G$4:$K$50,5,FALSE),"")</f>
        <v/>
      </c>
      <c r="T35" s="22" t="str">
        <f>IFERROR(VLOOKUP(B35,skill!$H$4:$K$50,4,FALSE),"")</f>
        <v>巧克力棒</v>
      </c>
    </row>
    <row r="36" spans="2:20">
      <c r="B36" s="1" t="s">
        <v>261</v>
      </c>
      <c r="C36" s="1" t="s">
        <v>410</v>
      </c>
      <c r="D36" s="1" t="s">
        <v>422</v>
      </c>
      <c r="E36" s="1" t="s">
        <v>412</v>
      </c>
      <c r="F36" s="1" t="s">
        <v>413</v>
      </c>
      <c r="G36" s="1" t="s">
        <v>420</v>
      </c>
      <c r="I36" s="1" t="s">
        <v>469</v>
      </c>
      <c r="J36" s="1" t="s">
        <v>430</v>
      </c>
      <c r="K36" s="1">
        <v>0</v>
      </c>
      <c r="L36" s="1">
        <v>10</v>
      </c>
      <c r="N36" s="1" t="s">
        <v>25</v>
      </c>
      <c r="O36" s="1" t="s">
        <v>25</v>
      </c>
      <c r="P36" s="1" t="s">
        <v>470</v>
      </c>
      <c r="Q36" s="1" t="s">
        <v>432</v>
      </c>
      <c r="R36" s="1" t="s">
        <v>435</v>
      </c>
      <c r="S36" s="22" t="str">
        <f>IFERROR(VLOOKUP(B36,skill!$G$4:$K$50,5,FALSE),"")</f>
        <v>闪电泡芙</v>
      </c>
      <c r="T36" s="22" t="str">
        <f>IFERROR(VLOOKUP(B36,skill!$H$4:$K$50,4,FALSE),"")</f>
        <v/>
      </c>
    </row>
    <row r="37" spans="2:20">
      <c r="B37" s="1" t="s">
        <v>262</v>
      </c>
      <c r="C37" s="1" t="s">
        <v>410</v>
      </c>
      <c r="D37" s="1" t="s">
        <v>422</v>
      </c>
      <c r="E37" s="1" t="s">
        <v>412</v>
      </c>
      <c r="F37" s="1" t="s">
        <v>413</v>
      </c>
      <c r="G37" s="1" t="s">
        <v>420</v>
      </c>
      <c r="I37" s="1" t="s">
        <v>369</v>
      </c>
      <c r="J37" s="1" t="s">
        <v>412</v>
      </c>
      <c r="K37" s="1">
        <v>0</v>
      </c>
      <c r="L37" s="1">
        <v>5</v>
      </c>
      <c r="N37" s="1" t="s">
        <v>25</v>
      </c>
      <c r="O37" s="1" t="s">
        <v>415</v>
      </c>
      <c r="P37" s="1" t="s">
        <v>468</v>
      </c>
      <c r="R37" s="1" t="s">
        <v>440</v>
      </c>
      <c r="S37" s="22" t="str">
        <f>IFERROR(VLOOKUP(B37,skill!$G$4:$K$50,5,FALSE),"")</f>
        <v/>
      </c>
      <c r="T37" s="22" t="str">
        <f>IFERROR(VLOOKUP(B37,skill!$H$4:$K$50,4,FALSE),"")</f>
        <v>闪电泡芙</v>
      </c>
    </row>
    <row r="38" spans="2:20">
      <c r="B38" s="1" t="s">
        <v>264</v>
      </c>
      <c r="C38" s="1" t="s">
        <v>410</v>
      </c>
      <c r="D38" s="1" t="s">
        <v>422</v>
      </c>
      <c r="E38" s="1" t="s">
        <v>412</v>
      </c>
      <c r="F38" s="1" t="s">
        <v>413</v>
      </c>
      <c r="G38" s="1" t="s">
        <v>420</v>
      </c>
      <c r="I38" s="1" t="s">
        <v>369</v>
      </c>
      <c r="J38" s="1" t="s">
        <v>435</v>
      </c>
      <c r="K38" s="1">
        <v>0</v>
      </c>
      <c r="L38" s="1">
        <v>3</v>
      </c>
      <c r="N38" s="1" t="s">
        <v>25</v>
      </c>
      <c r="O38" s="1" t="s">
        <v>415</v>
      </c>
      <c r="P38" s="1" t="s">
        <v>468</v>
      </c>
      <c r="R38" s="1" t="s">
        <v>437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265</v>
      </c>
      <c r="C39" s="1" t="s">
        <v>410</v>
      </c>
      <c r="D39" s="1" t="s">
        <v>422</v>
      </c>
      <c r="E39" s="1" t="s">
        <v>412</v>
      </c>
      <c r="F39" s="1" t="s">
        <v>413</v>
      </c>
      <c r="G39" s="1" t="s">
        <v>420</v>
      </c>
      <c r="I39" s="1" t="s">
        <v>423</v>
      </c>
      <c r="J39" s="1" t="s">
        <v>424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425</v>
      </c>
      <c r="Q39" s="1" t="s">
        <v>426</v>
      </c>
      <c r="R39" s="1" t="s">
        <v>445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266</v>
      </c>
      <c r="C40" s="1" t="s">
        <v>410</v>
      </c>
      <c r="D40" s="1" t="s">
        <v>422</v>
      </c>
      <c r="E40" s="1" t="s">
        <v>412</v>
      </c>
      <c r="F40" s="1" t="s">
        <v>413</v>
      </c>
      <c r="G40" s="1" t="s">
        <v>420</v>
      </c>
      <c r="I40" s="1" t="s">
        <v>429</v>
      </c>
      <c r="J40" s="1" t="s">
        <v>430</v>
      </c>
      <c r="K40" s="1">
        <v>0</v>
      </c>
      <c r="L40" s="1">
        <v>1.5</v>
      </c>
      <c r="M40" s="1" t="s">
        <v>471</v>
      </c>
      <c r="N40" s="1" t="s">
        <v>25</v>
      </c>
      <c r="O40" s="1" t="s">
        <v>25</v>
      </c>
      <c r="P40" s="20" t="s">
        <v>472</v>
      </c>
      <c r="Q40" s="1" t="s">
        <v>432</v>
      </c>
      <c r="R40" s="1" t="s">
        <v>473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267</v>
      </c>
      <c r="C41" s="1" t="s">
        <v>410</v>
      </c>
      <c r="D41" s="1" t="s">
        <v>417</v>
      </c>
      <c r="E41" s="1" t="s">
        <v>437</v>
      </c>
      <c r="F41" s="1" t="s">
        <v>413</v>
      </c>
      <c r="G41" s="1" t="s">
        <v>474</v>
      </c>
      <c r="H41" s="1" t="s">
        <v>475</v>
      </c>
      <c r="I41" s="1" t="s">
        <v>372</v>
      </c>
      <c r="J41" s="1" t="s">
        <v>437</v>
      </c>
      <c r="K41" s="1">
        <v>0</v>
      </c>
      <c r="L41" s="1">
        <v>0</v>
      </c>
      <c r="M41" s="1" t="s">
        <v>476</v>
      </c>
      <c r="N41" s="1" t="s">
        <v>25</v>
      </c>
      <c r="O41" s="1" t="s">
        <v>25</v>
      </c>
      <c r="P41" s="20" t="s">
        <v>477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269</v>
      </c>
      <c r="C42" s="1" t="s">
        <v>410</v>
      </c>
      <c r="D42" s="1" t="s">
        <v>422</v>
      </c>
      <c r="E42" s="1" t="s">
        <v>412</v>
      </c>
      <c r="F42" s="1" t="s">
        <v>413</v>
      </c>
      <c r="G42" s="1" t="s">
        <v>420</v>
      </c>
      <c r="I42" s="1" t="s">
        <v>450</v>
      </c>
      <c r="J42" s="1" t="s">
        <v>412</v>
      </c>
      <c r="K42" s="1">
        <v>0</v>
      </c>
      <c r="L42" s="1">
        <v>4</v>
      </c>
      <c r="N42" s="1" t="s">
        <v>415</v>
      </c>
      <c r="O42" s="1" t="s">
        <v>25</v>
      </c>
      <c r="P42" s="1" t="s">
        <v>451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spans="2:20">
      <c r="B43" s="1" t="s">
        <v>271</v>
      </c>
      <c r="C43" s="1" t="s">
        <v>410</v>
      </c>
      <c r="D43" s="1" t="s">
        <v>422</v>
      </c>
      <c r="E43" s="1" t="s">
        <v>412</v>
      </c>
      <c r="F43" s="1" t="s">
        <v>413</v>
      </c>
      <c r="G43" s="1" t="s">
        <v>420</v>
      </c>
      <c r="I43" s="1" t="s">
        <v>372</v>
      </c>
      <c r="J43" s="1" t="s">
        <v>412</v>
      </c>
      <c r="K43" s="1">
        <v>0</v>
      </c>
      <c r="L43" s="1">
        <v>3</v>
      </c>
      <c r="N43" s="1" t="s">
        <v>25</v>
      </c>
      <c r="O43" s="1" t="s">
        <v>25</v>
      </c>
      <c r="P43" s="1" t="s">
        <v>465</v>
      </c>
      <c r="S43" s="1" t="str">
        <f>IFERROR(VLOOKUP(B43,skill!$G$4:$K$50,5,FALSE),"")</f>
        <v>华夫饼</v>
      </c>
      <c r="T43" s="1" t="str">
        <f>IFERROR(VLOOKUP(B43,skill!$H$4:$K$50,4,FALSE),"")</f>
        <v/>
      </c>
    </row>
    <row r="44" ht="34" spans="2:20">
      <c r="B44" s="1" t="s">
        <v>272</v>
      </c>
      <c r="C44" s="1" t="s">
        <v>410</v>
      </c>
      <c r="D44" s="1" t="s">
        <v>446</v>
      </c>
      <c r="E44" s="1" t="s">
        <v>437</v>
      </c>
      <c r="F44" s="1" t="s">
        <v>413</v>
      </c>
      <c r="G44" s="1" t="s">
        <v>414</v>
      </c>
      <c r="I44" s="1" t="s">
        <v>450</v>
      </c>
      <c r="J44" s="1" t="s">
        <v>412</v>
      </c>
      <c r="K44" s="1">
        <v>0</v>
      </c>
      <c r="L44" s="1">
        <v>9</v>
      </c>
      <c r="N44" s="1" t="s">
        <v>415</v>
      </c>
      <c r="O44" s="1" t="s">
        <v>25</v>
      </c>
      <c r="P44" s="20" t="s">
        <v>478</v>
      </c>
      <c r="S44" s="1" t="str">
        <f>IFERROR(VLOOKUP(B44,skill!$G$4:$K$50,5,FALSE),"")</f>
        <v/>
      </c>
      <c r="T44" s="1" t="str">
        <f>IFERROR(VLOOKUP(B44,skill!$H$4:$K$50,4,FALSE),"")</f>
        <v>华夫饼</v>
      </c>
    </row>
    <row r="45" spans="2:20">
      <c r="B45" s="1" t="s">
        <v>274</v>
      </c>
      <c r="C45" s="1" t="s">
        <v>410</v>
      </c>
      <c r="D45" s="1" t="s">
        <v>422</v>
      </c>
      <c r="E45" s="1" t="s">
        <v>412</v>
      </c>
      <c r="F45" s="1" t="s">
        <v>413</v>
      </c>
      <c r="G45" s="1" t="s">
        <v>420</v>
      </c>
      <c r="I45" s="1" t="s">
        <v>450</v>
      </c>
      <c r="J45" s="1" t="s">
        <v>435</v>
      </c>
      <c r="K45" s="1">
        <v>0</v>
      </c>
      <c r="L45" s="1">
        <v>2</v>
      </c>
      <c r="N45" s="1" t="s">
        <v>415</v>
      </c>
      <c r="O45" s="1" t="s">
        <v>25</v>
      </c>
      <c r="P45" s="1" t="s">
        <v>479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275</v>
      </c>
      <c r="C46" s="1" t="s">
        <v>410</v>
      </c>
      <c r="D46" s="1" t="s">
        <v>422</v>
      </c>
      <c r="E46" s="1" t="s">
        <v>412</v>
      </c>
      <c r="F46" s="1" t="s">
        <v>413</v>
      </c>
      <c r="G46" s="1" t="s">
        <v>420</v>
      </c>
      <c r="I46" s="1" t="s">
        <v>369</v>
      </c>
      <c r="J46" s="1" t="s">
        <v>412</v>
      </c>
      <c r="K46" s="1">
        <v>0</v>
      </c>
      <c r="L46" s="1">
        <v>4</v>
      </c>
      <c r="N46" s="1" t="s">
        <v>25</v>
      </c>
      <c r="O46" s="1" t="s">
        <v>415</v>
      </c>
      <c r="P46" s="1" t="s">
        <v>468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277</v>
      </c>
      <c r="C47" s="1" t="s">
        <v>410</v>
      </c>
      <c r="D47" s="1" t="s">
        <v>422</v>
      </c>
      <c r="E47" s="1" t="s">
        <v>412</v>
      </c>
      <c r="F47" s="1" t="s">
        <v>413</v>
      </c>
      <c r="G47" s="1" t="s">
        <v>420</v>
      </c>
      <c r="I47" s="1" t="s">
        <v>366</v>
      </c>
      <c r="J47" s="1" t="s">
        <v>480</v>
      </c>
      <c r="K47" s="1">
        <v>0</v>
      </c>
      <c r="L47" s="1">
        <v>10</v>
      </c>
      <c r="M47" s="1" t="s">
        <v>481</v>
      </c>
      <c r="N47" s="1" t="s">
        <v>25</v>
      </c>
      <c r="O47" s="1" t="s">
        <v>415</v>
      </c>
      <c r="P47" s="20" t="s">
        <v>482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279</v>
      </c>
      <c r="C48" s="1" t="s">
        <v>410</v>
      </c>
      <c r="D48" s="1" t="s">
        <v>422</v>
      </c>
      <c r="E48" s="1" t="s">
        <v>412</v>
      </c>
      <c r="F48" s="1" t="s">
        <v>413</v>
      </c>
      <c r="G48" s="1" t="s">
        <v>420</v>
      </c>
      <c r="I48" s="1" t="s">
        <v>429</v>
      </c>
      <c r="J48" s="1" t="s">
        <v>430</v>
      </c>
      <c r="K48" s="1">
        <v>0</v>
      </c>
      <c r="L48" s="1">
        <v>15</v>
      </c>
      <c r="N48" s="1" t="s">
        <v>25</v>
      </c>
      <c r="O48" s="1" t="s">
        <v>415</v>
      </c>
      <c r="P48" s="1" t="s">
        <v>441</v>
      </c>
      <c r="Q48" s="1" t="s">
        <v>432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281</v>
      </c>
      <c r="C49" s="1" t="s">
        <v>410</v>
      </c>
      <c r="D49" s="1" t="s">
        <v>438</v>
      </c>
      <c r="E49" s="1" t="s">
        <v>412</v>
      </c>
      <c r="F49" s="1" t="s">
        <v>413</v>
      </c>
      <c r="G49" s="1" t="s">
        <v>420</v>
      </c>
      <c r="I49" s="1" t="s">
        <v>369</v>
      </c>
      <c r="J49" s="1" t="s">
        <v>412</v>
      </c>
      <c r="K49" s="1">
        <v>0</v>
      </c>
      <c r="L49" s="1">
        <v>5</v>
      </c>
      <c r="N49" s="1" t="s">
        <v>25</v>
      </c>
      <c r="O49" s="1" t="s">
        <v>415</v>
      </c>
      <c r="P49" s="20" t="s">
        <v>483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282</v>
      </c>
      <c r="C50" s="1" t="s">
        <v>410</v>
      </c>
      <c r="D50" s="1" t="s">
        <v>422</v>
      </c>
      <c r="E50" s="1" t="s">
        <v>412</v>
      </c>
      <c r="F50" s="1" t="s">
        <v>413</v>
      </c>
      <c r="G50" s="1" t="s">
        <v>420</v>
      </c>
      <c r="I50" s="1" t="s">
        <v>423</v>
      </c>
      <c r="J50" s="1" t="s">
        <v>460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425</v>
      </c>
      <c r="Q50" s="1" t="s">
        <v>426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284</v>
      </c>
      <c r="C51" s="1" t="s">
        <v>410</v>
      </c>
      <c r="D51" s="1" t="s">
        <v>422</v>
      </c>
      <c r="E51" s="1" t="s">
        <v>412</v>
      </c>
      <c r="F51" s="1" t="s">
        <v>413</v>
      </c>
      <c r="G51" s="1" t="s">
        <v>420</v>
      </c>
      <c r="I51" s="1" t="s">
        <v>450</v>
      </c>
      <c r="J51" s="1" t="s">
        <v>412</v>
      </c>
      <c r="K51" s="1">
        <v>0</v>
      </c>
      <c r="L51" s="1">
        <v>9</v>
      </c>
      <c r="N51" s="1" t="s">
        <v>415</v>
      </c>
      <c r="O51" s="1" t="s">
        <v>25</v>
      </c>
      <c r="P51" s="1" t="s">
        <v>451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286</v>
      </c>
      <c r="C52" s="1" t="s">
        <v>410</v>
      </c>
      <c r="D52" s="1" t="s">
        <v>422</v>
      </c>
      <c r="E52" s="1" t="s">
        <v>412</v>
      </c>
      <c r="F52" s="1" t="s">
        <v>413</v>
      </c>
      <c r="G52" s="1" t="s">
        <v>420</v>
      </c>
      <c r="I52" s="1" t="s">
        <v>372</v>
      </c>
      <c r="J52" s="1" t="s">
        <v>435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465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288</v>
      </c>
      <c r="C53" s="1" t="s">
        <v>410</v>
      </c>
      <c r="D53" s="1" t="s">
        <v>422</v>
      </c>
      <c r="E53" s="1" t="s">
        <v>412</v>
      </c>
      <c r="F53" s="1" t="s">
        <v>413</v>
      </c>
      <c r="G53" s="1" t="s">
        <v>420</v>
      </c>
      <c r="I53" s="1" t="s">
        <v>429</v>
      </c>
      <c r="J53" s="1" t="s">
        <v>430</v>
      </c>
      <c r="K53" s="1">
        <v>0</v>
      </c>
      <c r="L53" s="1">
        <v>20</v>
      </c>
      <c r="N53" s="1" t="s">
        <v>25</v>
      </c>
      <c r="O53" s="1" t="s">
        <v>415</v>
      </c>
      <c r="P53" s="1" t="s">
        <v>441</v>
      </c>
      <c r="Q53" s="1" t="s">
        <v>432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289</v>
      </c>
      <c r="C54" s="1" t="s">
        <v>410</v>
      </c>
      <c r="D54" s="1" t="s">
        <v>422</v>
      </c>
      <c r="E54" s="1" t="s">
        <v>412</v>
      </c>
      <c r="F54" s="1" t="s">
        <v>413</v>
      </c>
      <c r="G54" s="1" t="s">
        <v>420</v>
      </c>
      <c r="I54" s="1" t="s">
        <v>369</v>
      </c>
      <c r="J54" s="1" t="s">
        <v>467</v>
      </c>
      <c r="K54" s="1">
        <v>0</v>
      </c>
      <c r="L54" s="1">
        <v>0.5</v>
      </c>
      <c r="N54" s="1" t="s">
        <v>25</v>
      </c>
      <c r="O54" s="1" t="s">
        <v>415</v>
      </c>
      <c r="P54" s="1" t="s">
        <v>468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291</v>
      </c>
      <c r="C55" s="1" t="s">
        <v>410</v>
      </c>
      <c r="D55" s="1" t="s">
        <v>422</v>
      </c>
      <c r="E55" s="1" t="s">
        <v>412</v>
      </c>
      <c r="F55" s="1" t="s">
        <v>413</v>
      </c>
      <c r="G55" s="1" t="s">
        <v>420</v>
      </c>
      <c r="I55" s="1" t="s">
        <v>462</v>
      </c>
      <c r="J55" s="1" t="s">
        <v>418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463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292</v>
      </c>
      <c r="C56" s="1" t="s">
        <v>410</v>
      </c>
      <c r="D56" s="1" t="s">
        <v>422</v>
      </c>
      <c r="E56" s="1" t="s">
        <v>412</v>
      </c>
      <c r="F56" s="1" t="s">
        <v>413</v>
      </c>
      <c r="G56" s="1" t="s">
        <v>420</v>
      </c>
      <c r="I56" s="1" t="s">
        <v>450</v>
      </c>
      <c r="J56" s="1" t="s">
        <v>412</v>
      </c>
      <c r="K56" s="1">
        <v>0</v>
      </c>
      <c r="L56" s="1">
        <v>7</v>
      </c>
      <c r="N56" s="1" t="s">
        <v>415</v>
      </c>
      <c r="O56" s="1" t="s">
        <v>25</v>
      </c>
      <c r="P56" s="1" t="s">
        <v>451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294</v>
      </c>
      <c r="C57" s="1" t="s">
        <v>410</v>
      </c>
      <c r="D57" s="1" t="s">
        <v>422</v>
      </c>
      <c r="E57" s="1" t="s">
        <v>412</v>
      </c>
      <c r="F57" s="1" t="s">
        <v>413</v>
      </c>
      <c r="G57" s="1" t="s">
        <v>420</v>
      </c>
      <c r="I57" s="1" t="s">
        <v>369</v>
      </c>
      <c r="J57" s="1" t="s">
        <v>480</v>
      </c>
      <c r="K57" s="1">
        <v>0</v>
      </c>
      <c r="L57" s="1">
        <v>5</v>
      </c>
      <c r="M57" s="1" t="s">
        <v>481</v>
      </c>
      <c r="N57" s="1" t="s">
        <v>25</v>
      </c>
      <c r="O57" s="1" t="s">
        <v>415</v>
      </c>
      <c r="P57" s="1" t="s">
        <v>484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296</v>
      </c>
      <c r="C58" s="1" t="s">
        <v>410</v>
      </c>
      <c r="D58" s="1" t="s">
        <v>417</v>
      </c>
      <c r="E58" s="1" t="s">
        <v>437</v>
      </c>
      <c r="F58" s="1" t="s">
        <v>413</v>
      </c>
      <c r="G58" s="1" t="s">
        <v>420</v>
      </c>
      <c r="I58" s="1" t="s">
        <v>369</v>
      </c>
      <c r="J58" s="1" t="s">
        <v>440</v>
      </c>
      <c r="K58" s="1">
        <v>0</v>
      </c>
      <c r="L58" s="1">
        <v>0.3</v>
      </c>
      <c r="N58" s="1" t="s">
        <v>25</v>
      </c>
      <c r="O58" s="1" t="s">
        <v>415</v>
      </c>
      <c r="P58" s="20" t="s">
        <v>436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298</v>
      </c>
      <c r="C59" s="1" t="s">
        <v>410</v>
      </c>
      <c r="D59" s="1" t="s">
        <v>422</v>
      </c>
      <c r="E59" s="1" t="s">
        <v>412</v>
      </c>
      <c r="F59" s="1" t="s">
        <v>413</v>
      </c>
      <c r="G59" s="1" t="s">
        <v>420</v>
      </c>
      <c r="I59" s="1" t="s">
        <v>372</v>
      </c>
      <c r="J59" s="1" t="s">
        <v>412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465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299</v>
      </c>
      <c r="C60" s="1" t="s">
        <v>410</v>
      </c>
      <c r="D60" s="1" t="s">
        <v>485</v>
      </c>
      <c r="E60" s="1" t="s">
        <v>467</v>
      </c>
      <c r="F60" s="1" t="s">
        <v>413</v>
      </c>
      <c r="G60" s="1" t="s">
        <v>474</v>
      </c>
      <c r="H60" s="1" t="s">
        <v>486</v>
      </c>
      <c r="I60" s="1" t="s">
        <v>429</v>
      </c>
      <c r="J60" s="1" t="s">
        <v>430</v>
      </c>
      <c r="K60" s="1">
        <v>0</v>
      </c>
      <c r="L60" s="1">
        <v>0</v>
      </c>
      <c r="M60" s="1" t="s">
        <v>487</v>
      </c>
      <c r="N60" s="1" t="s">
        <v>25</v>
      </c>
      <c r="O60" s="1" t="s">
        <v>25</v>
      </c>
      <c r="P60" s="20" t="s">
        <v>488</v>
      </c>
      <c r="Q60" s="1" t="s">
        <v>432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300</v>
      </c>
      <c r="C61" s="1" t="s">
        <v>410</v>
      </c>
      <c r="D61" s="1" t="s">
        <v>489</v>
      </c>
      <c r="E61" s="1" t="s">
        <v>467</v>
      </c>
      <c r="F61" s="1" t="s">
        <v>419</v>
      </c>
      <c r="G61" s="1" t="s">
        <v>474</v>
      </c>
      <c r="H61" s="1" t="s">
        <v>490</v>
      </c>
      <c r="I61" s="1" t="s">
        <v>372</v>
      </c>
      <c r="J61" s="1" t="s">
        <v>467</v>
      </c>
      <c r="K61" s="1">
        <v>0</v>
      </c>
      <c r="L61" s="1">
        <v>0</v>
      </c>
      <c r="M61" s="1" t="s">
        <v>491</v>
      </c>
      <c r="N61" s="1" t="s">
        <v>25</v>
      </c>
      <c r="O61" s="1" t="s">
        <v>25</v>
      </c>
      <c r="P61" s="20" t="s">
        <v>492</v>
      </c>
      <c r="Q61" s="1" t="s">
        <v>426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301</v>
      </c>
      <c r="C62" s="1" t="s">
        <v>410</v>
      </c>
      <c r="D62" s="1" t="s">
        <v>417</v>
      </c>
      <c r="E62" s="1" t="s">
        <v>418</v>
      </c>
      <c r="F62" s="1" t="s">
        <v>419</v>
      </c>
      <c r="G62" s="1" t="s">
        <v>420</v>
      </c>
      <c r="I62" s="1" t="s">
        <v>429</v>
      </c>
      <c r="J62" s="1" t="s">
        <v>430</v>
      </c>
      <c r="K62" s="1">
        <v>0</v>
      </c>
      <c r="L62" s="1">
        <v>2</v>
      </c>
      <c r="N62" s="1" t="s">
        <v>25</v>
      </c>
      <c r="O62" s="1" t="s">
        <v>415</v>
      </c>
      <c r="P62" s="20" t="s">
        <v>431</v>
      </c>
      <c r="Q62" s="1" t="s">
        <v>432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303</v>
      </c>
      <c r="C63" s="1" t="s">
        <v>410</v>
      </c>
      <c r="D63" s="1" t="s">
        <v>422</v>
      </c>
      <c r="E63" s="1" t="s">
        <v>412</v>
      </c>
      <c r="F63" s="1" t="s">
        <v>413</v>
      </c>
      <c r="G63" s="1" t="s">
        <v>420</v>
      </c>
      <c r="I63" s="1" t="s">
        <v>372</v>
      </c>
      <c r="J63" s="1" t="s">
        <v>440</v>
      </c>
      <c r="K63" s="1">
        <v>0</v>
      </c>
      <c r="L63" s="1">
        <v>1.5</v>
      </c>
      <c r="N63" s="1" t="s">
        <v>25</v>
      </c>
      <c r="O63" s="1" t="s">
        <v>25</v>
      </c>
      <c r="P63" s="1" t="s">
        <v>465</v>
      </c>
      <c r="S63" s="22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305</v>
      </c>
      <c r="C64" s="1" t="s">
        <v>410</v>
      </c>
      <c r="D64" s="1" t="s">
        <v>422</v>
      </c>
      <c r="E64" s="1" t="s">
        <v>412</v>
      </c>
      <c r="F64" s="1" t="s">
        <v>413</v>
      </c>
      <c r="G64" s="1" t="s">
        <v>420</v>
      </c>
      <c r="I64" s="1" t="s">
        <v>372</v>
      </c>
      <c r="J64" s="1" t="s">
        <v>435</v>
      </c>
      <c r="K64" s="1">
        <v>0</v>
      </c>
      <c r="L64" s="1">
        <v>1.4</v>
      </c>
      <c r="N64" s="1" t="s">
        <v>25</v>
      </c>
      <c r="O64" s="1" t="s">
        <v>25</v>
      </c>
      <c r="P64" s="1" t="s">
        <v>465</v>
      </c>
      <c r="S64" s="1" t="str">
        <f>IFERROR(VLOOKUP(B64,skill!$G$4:$K$50,5,FALSE),"")</f>
        <v>拐杖糖</v>
      </c>
      <c r="T64" s="1" t="str">
        <f>IFERROR(VLOOKUP(B64,skill!$H$4:$K$50,4,FALSE),"")</f>
        <v/>
      </c>
    </row>
    <row r="65" spans="2:20">
      <c r="B65" s="1" t="s">
        <v>306</v>
      </c>
      <c r="C65" s="1" t="s">
        <v>410</v>
      </c>
      <c r="D65" s="1" t="s">
        <v>422</v>
      </c>
      <c r="E65" s="1" t="s">
        <v>412</v>
      </c>
      <c r="F65" s="1" t="s">
        <v>413</v>
      </c>
      <c r="G65" s="1" t="s">
        <v>420</v>
      </c>
      <c r="I65" s="1" t="s">
        <v>423</v>
      </c>
      <c r="J65" s="1" t="s">
        <v>418</v>
      </c>
      <c r="K65" s="1">
        <v>0</v>
      </c>
      <c r="L65" s="1">
        <v>0</v>
      </c>
      <c r="N65" s="1" t="s">
        <v>25</v>
      </c>
      <c r="O65" s="1" t="s">
        <v>25</v>
      </c>
      <c r="P65" s="1" t="s">
        <v>425</v>
      </c>
      <c r="Q65" s="1" t="s">
        <v>426</v>
      </c>
      <c r="S65" s="1" t="str">
        <f>IFERROR(VLOOKUP(B65,skill!$G$4:$K$50,5,FALSE),"")</f>
        <v/>
      </c>
      <c r="T65" s="1" t="str">
        <f>IFERROR(VLOOKUP(B65,skill!$H$4:$K$50,4,FALSE),"")</f>
        <v>拐杖糖</v>
      </c>
    </row>
    <row r="66" ht="34" spans="2:20">
      <c r="B66" s="1" t="s">
        <v>307</v>
      </c>
      <c r="C66" s="1" t="s">
        <v>410</v>
      </c>
      <c r="D66" s="1" t="s">
        <v>422</v>
      </c>
      <c r="E66" s="1" t="s">
        <v>412</v>
      </c>
      <c r="F66" s="1" t="s">
        <v>413</v>
      </c>
      <c r="G66" s="1" t="s">
        <v>420</v>
      </c>
      <c r="I66" s="1" t="s">
        <v>493</v>
      </c>
      <c r="J66" s="1" t="s">
        <v>467</v>
      </c>
      <c r="K66" s="1">
        <v>0</v>
      </c>
      <c r="L66" s="1">
        <v>0</v>
      </c>
      <c r="M66" s="1" t="s">
        <v>494</v>
      </c>
      <c r="N66" s="1" t="s">
        <v>25</v>
      </c>
      <c r="O66" s="1" t="s">
        <v>25</v>
      </c>
      <c r="P66" s="20" t="s">
        <v>495</v>
      </c>
      <c r="Q66" s="1" t="s">
        <v>426</v>
      </c>
      <c r="S66" s="1" t="str">
        <f>IFERROR(VLOOKUP(B66,skill!$G$4:$K$50,5,FALSE),"")</f>
        <v>大棒棒糖</v>
      </c>
      <c r="T66" s="1" t="str">
        <f>IFERROR(VLOOKUP(B66,skill!$H$4:$K$50,4,FALSE),"")</f>
        <v/>
      </c>
    </row>
    <row r="67" ht="34" spans="2:20">
      <c r="B67" s="1" t="s">
        <v>309</v>
      </c>
      <c r="C67" s="1" t="s">
        <v>410</v>
      </c>
      <c r="D67" s="1" t="s">
        <v>438</v>
      </c>
      <c r="E67" s="1" t="s">
        <v>412</v>
      </c>
      <c r="F67" s="1" t="s">
        <v>413</v>
      </c>
      <c r="G67" s="1" t="s">
        <v>420</v>
      </c>
      <c r="I67" s="1" t="s">
        <v>372</v>
      </c>
      <c r="J67" s="1" t="s">
        <v>412</v>
      </c>
      <c r="K67" s="1">
        <v>0</v>
      </c>
      <c r="L67" s="1">
        <v>1.5</v>
      </c>
      <c r="N67" s="1" t="s">
        <v>25</v>
      </c>
      <c r="O67" s="1" t="s">
        <v>25</v>
      </c>
      <c r="P67" s="20" t="s">
        <v>496</v>
      </c>
      <c r="S67" s="1" t="str">
        <f>IFERROR(VLOOKUP(B67,skill!$G$4:$K$50,5,FALSE),"")</f>
        <v>棉花糖</v>
      </c>
      <c r="T67" s="1" t="str">
        <f>IFERROR(VLOOKUP(B67,skill!$H$4:$K$50,4,FALSE),"")</f>
        <v/>
      </c>
    </row>
    <row r="68" spans="2:20">
      <c r="B68" s="1" t="s">
        <v>310</v>
      </c>
      <c r="C68" s="1" t="s">
        <v>410</v>
      </c>
      <c r="D68" s="1" t="s">
        <v>422</v>
      </c>
      <c r="E68" s="1" t="s">
        <v>412</v>
      </c>
      <c r="F68" s="1" t="s">
        <v>413</v>
      </c>
      <c r="G68" s="1" t="s">
        <v>420</v>
      </c>
      <c r="I68" s="1" t="s">
        <v>423</v>
      </c>
      <c r="J68" s="1" t="s">
        <v>424</v>
      </c>
      <c r="K68" s="1">
        <v>0</v>
      </c>
      <c r="L68" s="1">
        <v>0</v>
      </c>
      <c r="N68" s="1" t="s">
        <v>25</v>
      </c>
      <c r="O68" s="1" t="s">
        <v>25</v>
      </c>
      <c r="P68" s="1" t="s">
        <v>425</v>
      </c>
      <c r="Q68" s="1" t="s">
        <v>426</v>
      </c>
      <c r="S68" s="1" t="str">
        <f>IFERROR(VLOOKUP(B68,skill!$G$4:$K$50,5,FALSE),"")</f>
        <v/>
      </c>
      <c r="T68" s="1" t="str">
        <f>IFERROR(VLOOKUP(B68,skill!$H$4:$K$50,4,FALSE),"")</f>
        <v>棉花糖</v>
      </c>
    </row>
    <row r="69" spans="2:20">
      <c r="B69" s="1" t="s">
        <v>311</v>
      </c>
      <c r="C69" s="1" t="s">
        <v>410</v>
      </c>
      <c r="D69" s="1" t="s">
        <v>422</v>
      </c>
      <c r="E69" s="1" t="s">
        <v>412</v>
      </c>
      <c r="F69" s="1" t="s">
        <v>413</v>
      </c>
      <c r="G69" s="1" t="s">
        <v>420</v>
      </c>
      <c r="I69" s="1" t="s">
        <v>462</v>
      </c>
      <c r="J69" s="1" t="s">
        <v>412</v>
      </c>
      <c r="K69" s="1">
        <v>0</v>
      </c>
      <c r="L69" s="1">
        <v>3</v>
      </c>
      <c r="M69" s="1" t="s">
        <v>481</v>
      </c>
      <c r="N69" s="1" t="s">
        <v>25</v>
      </c>
      <c r="O69" s="1" t="s">
        <v>25</v>
      </c>
      <c r="P69" s="1" t="s">
        <v>497</v>
      </c>
      <c r="T69" s="1" t="str">
        <f>IFERROR(VLOOKUP(B69,skill!$H$4:$K$50,4,FALSE),"")</f>
        <v/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B28" sqref="B28:B30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8" customWidth="1"/>
    <col min="16" max="16384" width="9.23076923076923" style="1" customWidth="1"/>
  </cols>
  <sheetData>
    <row r="2" ht="18" customHeight="1" spans="1:13">
      <c r="A2" s="1" t="s">
        <v>1</v>
      </c>
      <c r="B2" s="9" t="s">
        <v>498</v>
      </c>
      <c r="C2" s="9" t="s">
        <v>499</v>
      </c>
      <c r="D2" s="9" t="s">
        <v>500</v>
      </c>
      <c r="E2" s="9" t="s">
        <v>501</v>
      </c>
      <c r="F2" s="9" t="s">
        <v>502</v>
      </c>
      <c r="G2" s="9" t="s">
        <v>503</v>
      </c>
      <c r="H2" s="9" t="s">
        <v>504</v>
      </c>
      <c r="I2" s="9" t="s">
        <v>505</v>
      </c>
      <c r="J2" s="9" t="s">
        <v>506</v>
      </c>
      <c r="M2" t="s">
        <v>507</v>
      </c>
    </row>
    <row r="3" ht="17.6" customHeight="1" spans="1:15">
      <c r="A3" s="1">
        <v>1</v>
      </c>
      <c r="B3" s="9" t="s">
        <v>24</v>
      </c>
      <c r="C3" s="1" t="s">
        <v>28</v>
      </c>
      <c r="D3" s="1">
        <v>10</v>
      </c>
      <c r="E3" s="1" t="s">
        <v>508</v>
      </c>
      <c r="G3" s="1" t="s">
        <v>509</v>
      </c>
      <c r="H3" s="1" t="s">
        <v>510</v>
      </c>
      <c r="I3" s="1" t="s">
        <v>511</v>
      </c>
      <c r="M3" t="s">
        <v>512</v>
      </c>
      <c r="O3" s="8" t="s">
        <v>513</v>
      </c>
    </row>
    <row r="4" ht="17.6" customHeight="1" spans="1:13">
      <c r="A4" s="1">
        <v>2</v>
      </c>
      <c r="B4" s="10" t="s">
        <v>30</v>
      </c>
      <c r="C4" s="1" t="s">
        <v>28</v>
      </c>
      <c r="D4" s="1">
        <v>8</v>
      </c>
      <c r="E4" s="1" t="s">
        <v>514</v>
      </c>
      <c r="G4" s="1" t="s">
        <v>515</v>
      </c>
      <c r="H4" s="1" t="s">
        <v>510</v>
      </c>
      <c r="I4" s="1" t="s">
        <v>516</v>
      </c>
      <c r="M4" t="s">
        <v>517</v>
      </c>
    </row>
    <row r="5" ht="17.6" customHeight="1" spans="1:13">
      <c r="A5" s="1">
        <v>3</v>
      </c>
      <c r="B5" s="9" t="s">
        <v>33</v>
      </c>
      <c r="C5" s="1" t="s">
        <v>28</v>
      </c>
      <c r="D5" s="1">
        <v>30</v>
      </c>
      <c r="E5" s="1" t="s">
        <v>518</v>
      </c>
      <c r="G5" s="1" t="s">
        <v>515</v>
      </c>
      <c r="H5" s="1" t="s">
        <v>510</v>
      </c>
      <c r="I5" s="1" t="s">
        <v>511</v>
      </c>
      <c r="K5" s="1" t="s">
        <v>519</v>
      </c>
      <c r="M5" t="s">
        <v>520</v>
      </c>
    </row>
    <row r="6" ht="17.6" customHeight="1" spans="1:13">
      <c r="A6" s="1">
        <v>4</v>
      </c>
      <c r="B6" s="11" t="s">
        <v>36</v>
      </c>
      <c r="C6" s="1" t="s">
        <v>28</v>
      </c>
      <c r="D6" s="1">
        <v>8</v>
      </c>
      <c r="E6" s="1" t="s">
        <v>521</v>
      </c>
      <c r="G6" s="1" t="s">
        <v>522</v>
      </c>
      <c r="H6" s="1" t="s">
        <v>510</v>
      </c>
      <c r="I6" s="1" t="s">
        <v>523</v>
      </c>
      <c r="M6" t="s">
        <v>524</v>
      </c>
    </row>
    <row r="7" ht="17.6" customHeight="1" spans="1:13">
      <c r="A7" s="1">
        <v>5</v>
      </c>
      <c r="B7" s="9" t="s">
        <v>39</v>
      </c>
      <c r="C7" s="1" t="s">
        <v>28</v>
      </c>
      <c r="D7" s="1">
        <v>6</v>
      </c>
      <c r="E7" s="1" t="s">
        <v>525</v>
      </c>
      <c r="G7" s="1" t="s">
        <v>515</v>
      </c>
      <c r="H7" s="1" t="s">
        <v>510</v>
      </c>
      <c r="I7" s="1" t="s">
        <v>511</v>
      </c>
      <c r="M7" t="s">
        <v>526</v>
      </c>
    </row>
    <row r="8" ht="17.6" customHeight="1" spans="1:9">
      <c r="A8" s="1">
        <v>6</v>
      </c>
      <c r="B8" s="9" t="s">
        <v>42</v>
      </c>
      <c r="C8" s="1" t="s">
        <v>28</v>
      </c>
      <c r="D8" s="1">
        <v>10</v>
      </c>
      <c r="E8" s="1" t="s">
        <v>527</v>
      </c>
      <c r="G8" s="1" t="s">
        <v>528</v>
      </c>
      <c r="H8" s="1" t="s">
        <v>529</v>
      </c>
      <c r="I8" s="1" t="s">
        <v>511</v>
      </c>
    </row>
    <row r="9" ht="17.6" customHeight="1" spans="1:9">
      <c r="A9" s="1">
        <v>7</v>
      </c>
      <c r="B9" s="9" t="s">
        <v>45</v>
      </c>
      <c r="C9" s="1" t="s">
        <v>28</v>
      </c>
      <c r="D9" s="1">
        <v>6</v>
      </c>
      <c r="E9" s="1" t="s">
        <v>530</v>
      </c>
      <c r="G9" s="1" t="s">
        <v>515</v>
      </c>
      <c r="H9" s="1" t="s">
        <v>510</v>
      </c>
      <c r="I9" s="1" t="s">
        <v>511</v>
      </c>
    </row>
    <row r="10" ht="17.6" customHeight="1" spans="1:14">
      <c r="A10" s="1">
        <v>8</v>
      </c>
      <c r="B10" s="10" t="s">
        <v>48</v>
      </c>
      <c r="C10" s="1" t="s">
        <v>28</v>
      </c>
      <c r="D10" s="1">
        <v>10</v>
      </c>
      <c r="E10" s="1" t="s">
        <v>531</v>
      </c>
      <c r="G10" s="1" t="s">
        <v>532</v>
      </c>
      <c r="H10" s="1" t="s">
        <v>529</v>
      </c>
      <c r="I10" s="1" t="s">
        <v>516</v>
      </c>
      <c r="N10" s="1" t="s">
        <v>533</v>
      </c>
    </row>
    <row r="11" ht="17.6" customHeight="1" spans="1:9">
      <c r="A11" s="1">
        <v>9</v>
      </c>
      <c r="B11" s="9" t="s">
        <v>51</v>
      </c>
      <c r="C11" s="1" t="s">
        <v>28</v>
      </c>
      <c r="D11" s="1">
        <v>4</v>
      </c>
      <c r="E11" s="1" t="s">
        <v>534</v>
      </c>
      <c r="G11" s="1" t="s">
        <v>509</v>
      </c>
      <c r="H11" s="1" t="s">
        <v>510</v>
      </c>
      <c r="I11" s="1" t="s">
        <v>511</v>
      </c>
    </row>
    <row r="12" ht="17.6" customHeight="1" spans="1:15">
      <c r="A12" s="1">
        <v>10</v>
      </c>
      <c r="B12" s="11" t="s">
        <v>55</v>
      </c>
      <c r="C12" s="1" t="s">
        <v>28</v>
      </c>
      <c r="D12" s="1">
        <v>10</v>
      </c>
      <c r="E12" s="1" t="s">
        <v>535</v>
      </c>
      <c r="G12" s="1" t="s">
        <v>522</v>
      </c>
      <c r="H12" s="1" t="s">
        <v>510</v>
      </c>
      <c r="I12" s="1" t="s">
        <v>523</v>
      </c>
      <c r="M12" s="1" t="s">
        <v>536</v>
      </c>
      <c r="N12" s="1" t="s">
        <v>537</v>
      </c>
      <c r="O12" s="8" t="s">
        <v>538</v>
      </c>
    </row>
    <row r="13" ht="17.6" customHeight="1" spans="1:15">
      <c r="A13" s="1">
        <v>11</v>
      </c>
      <c r="B13" s="10" t="s">
        <v>59</v>
      </c>
      <c r="C13" s="1" t="s">
        <v>28</v>
      </c>
      <c r="D13" s="1">
        <v>10</v>
      </c>
      <c r="E13" s="1" t="s">
        <v>539</v>
      </c>
      <c r="G13" s="1" t="s">
        <v>540</v>
      </c>
      <c r="H13" s="1" t="s">
        <v>541</v>
      </c>
      <c r="I13" s="1" t="s">
        <v>516</v>
      </c>
      <c r="J13" s="1" t="s">
        <v>542</v>
      </c>
      <c r="M13" s="1" t="s">
        <v>543</v>
      </c>
      <c r="N13" s="1" t="s">
        <v>544</v>
      </c>
      <c r="O13" s="8" t="s">
        <v>545</v>
      </c>
    </row>
    <row r="14" spans="1:15">
      <c r="A14" s="1">
        <v>12</v>
      </c>
      <c r="B14" s="1" t="s">
        <v>63</v>
      </c>
      <c r="C14" s="1" t="s">
        <v>28</v>
      </c>
      <c r="D14" s="1">
        <v>6</v>
      </c>
      <c r="E14" s="1" t="s">
        <v>546</v>
      </c>
      <c r="G14" s="1" t="s">
        <v>547</v>
      </c>
      <c r="H14" s="1" t="s">
        <v>529</v>
      </c>
      <c r="I14" s="1" t="s">
        <v>548</v>
      </c>
      <c r="N14" s="1" t="s">
        <v>549</v>
      </c>
      <c r="O14" s="8" t="s">
        <v>550</v>
      </c>
    </row>
    <row r="15" spans="1:15">
      <c r="A15" s="1">
        <v>13</v>
      </c>
      <c r="B15" s="12" t="s">
        <v>67</v>
      </c>
      <c r="C15" s="1" t="s">
        <v>28</v>
      </c>
      <c r="D15" s="1">
        <v>8</v>
      </c>
      <c r="E15" s="1" t="s">
        <v>551</v>
      </c>
      <c r="G15" s="1" t="s">
        <v>522</v>
      </c>
      <c r="H15" s="1" t="s">
        <v>529</v>
      </c>
      <c r="I15" s="1" t="s">
        <v>523</v>
      </c>
      <c r="N15" s="1" t="s">
        <v>552</v>
      </c>
      <c r="O15" s="8" t="s">
        <v>553</v>
      </c>
    </row>
    <row r="16" ht="17.6" customHeight="1" spans="1:15">
      <c r="A16" s="1">
        <v>14</v>
      </c>
      <c r="B16" s="9" t="s">
        <v>71</v>
      </c>
      <c r="C16" s="1" t="s">
        <v>73</v>
      </c>
      <c r="D16" s="1">
        <v>20</v>
      </c>
      <c r="E16" s="1" t="s">
        <v>554</v>
      </c>
      <c r="G16" s="1" t="s">
        <v>509</v>
      </c>
      <c r="H16" s="1" t="s">
        <v>555</v>
      </c>
      <c r="I16" s="1" t="s">
        <v>511</v>
      </c>
      <c r="M16" s="1" t="s">
        <v>556</v>
      </c>
      <c r="N16" s="1" t="s">
        <v>557</v>
      </c>
      <c r="O16" s="8" t="s">
        <v>558</v>
      </c>
    </row>
    <row r="17" ht="17.6" customHeight="1" spans="1:15">
      <c r="A17" s="1">
        <v>15</v>
      </c>
      <c r="B17" s="11" t="s">
        <v>75</v>
      </c>
      <c r="C17" s="1" t="s">
        <v>28</v>
      </c>
      <c r="D17" s="1">
        <v>20</v>
      </c>
      <c r="E17" s="14" t="s">
        <v>559</v>
      </c>
      <c r="G17" s="1" t="s">
        <v>522</v>
      </c>
      <c r="H17" s="1" t="s">
        <v>555</v>
      </c>
      <c r="I17" s="1" t="s">
        <v>523</v>
      </c>
      <c r="N17" s="1" t="s">
        <v>560</v>
      </c>
      <c r="O17" s="8" t="s">
        <v>561</v>
      </c>
    </row>
    <row r="18" spans="3:15">
      <c r="C18" s="1" t="s">
        <v>28</v>
      </c>
      <c r="N18" s="1" t="s">
        <v>562</v>
      </c>
      <c r="O18" s="8" t="s">
        <v>563</v>
      </c>
    </row>
    <row r="19" ht="17.6" customHeight="1" spans="1:15">
      <c r="A19" s="1">
        <v>16</v>
      </c>
      <c r="B19" s="10" t="s">
        <v>78</v>
      </c>
      <c r="C19" s="1" t="s">
        <v>73</v>
      </c>
      <c r="D19" s="1">
        <v>10</v>
      </c>
      <c r="E19" s="1" t="s">
        <v>564</v>
      </c>
      <c r="G19" s="1" t="s">
        <v>528</v>
      </c>
      <c r="H19" s="1" t="s">
        <v>555</v>
      </c>
      <c r="I19" s="1" t="s">
        <v>516</v>
      </c>
      <c r="N19" s="1" t="s">
        <v>565</v>
      </c>
      <c r="O19" s="8" t="s">
        <v>566</v>
      </c>
    </row>
    <row r="20" ht="17.6" customHeight="1" spans="1:15">
      <c r="A20" s="1">
        <v>17</v>
      </c>
      <c r="B20" s="10" t="s">
        <v>81</v>
      </c>
      <c r="C20" s="1" t="s">
        <v>73</v>
      </c>
      <c r="E20" s="1" t="s">
        <v>567</v>
      </c>
      <c r="G20" s="1" t="s">
        <v>528</v>
      </c>
      <c r="H20" s="1" t="s">
        <v>555</v>
      </c>
      <c r="I20" s="1" t="s">
        <v>516</v>
      </c>
      <c r="M20" s="1" t="s">
        <v>568</v>
      </c>
      <c r="N20" s="1" t="s">
        <v>569</v>
      </c>
      <c r="O20" s="8" t="s">
        <v>570</v>
      </c>
    </row>
    <row r="21" ht="17.6" customHeight="1" spans="1:15">
      <c r="A21" s="1">
        <v>18</v>
      </c>
      <c r="B21" s="11" t="s">
        <v>84</v>
      </c>
      <c r="C21" s="1" t="s">
        <v>73</v>
      </c>
      <c r="D21" s="1">
        <v>14</v>
      </c>
      <c r="E21" s="1" t="s">
        <v>571</v>
      </c>
      <c r="G21" s="1" t="s">
        <v>522</v>
      </c>
      <c r="H21" s="1" t="s">
        <v>572</v>
      </c>
      <c r="I21" s="1" t="s">
        <v>523</v>
      </c>
      <c r="N21" s="1" t="s">
        <v>573</v>
      </c>
      <c r="O21" s="8" t="s">
        <v>574</v>
      </c>
    </row>
    <row r="22" ht="17.6" customHeight="1" spans="1:15">
      <c r="A22" s="1">
        <v>19</v>
      </c>
      <c r="B22" s="11" t="s">
        <v>88</v>
      </c>
      <c r="C22" s="1" t="s">
        <v>28</v>
      </c>
      <c r="D22" s="1">
        <v>16</v>
      </c>
      <c r="E22" s="1" t="s">
        <v>575</v>
      </c>
      <c r="G22" s="1" t="s">
        <v>528</v>
      </c>
      <c r="H22" s="1" t="s">
        <v>572</v>
      </c>
      <c r="I22" s="1" t="s">
        <v>523</v>
      </c>
      <c r="N22" s="1" t="s">
        <v>576</v>
      </c>
      <c r="O22" s="8" t="s">
        <v>577</v>
      </c>
    </row>
    <row r="23" spans="3:15">
      <c r="C23" s="1" t="s">
        <v>28</v>
      </c>
      <c r="M23" s="1" t="s">
        <v>578</v>
      </c>
      <c r="N23" s="1" t="s">
        <v>579</v>
      </c>
      <c r="O23" s="8" t="s">
        <v>580</v>
      </c>
    </row>
    <row r="24" ht="17.6" customHeight="1" spans="1:15">
      <c r="A24" s="1">
        <v>20</v>
      </c>
      <c r="B24" s="10" t="s">
        <v>95</v>
      </c>
      <c r="C24" s="1" t="s">
        <v>28</v>
      </c>
      <c r="D24" s="1">
        <v>15</v>
      </c>
      <c r="E24" s="1" t="s">
        <v>581</v>
      </c>
      <c r="G24" s="1" t="s">
        <v>582</v>
      </c>
      <c r="H24" s="1" t="s">
        <v>555</v>
      </c>
      <c r="I24" s="1" t="s">
        <v>516</v>
      </c>
      <c r="M24" s="1" t="s">
        <v>499</v>
      </c>
      <c r="N24" s="1" t="s">
        <v>583</v>
      </c>
      <c r="O24" s="8" t="s">
        <v>584</v>
      </c>
    </row>
    <row r="25" spans="3:15">
      <c r="C25" s="1" t="s">
        <v>28</v>
      </c>
      <c r="N25" s="1" t="s">
        <v>583</v>
      </c>
      <c r="O25" s="8" t="s">
        <v>585</v>
      </c>
    </row>
    <row r="26" ht="17.6" customHeight="1" spans="1:15">
      <c r="A26" s="1">
        <v>21</v>
      </c>
      <c r="B26" s="10" t="s">
        <v>102</v>
      </c>
      <c r="C26" s="1" t="s">
        <v>28</v>
      </c>
      <c r="D26" s="1">
        <v>20</v>
      </c>
      <c r="E26" s="1" t="s">
        <v>586</v>
      </c>
      <c r="G26" s="1" t="s">
        <v>540</v>
      </c>
      <c r="H26" s="1" t="s">
        <v>555</v>
      </c>
      <c r="I26" s="1" t="s">
        <v>516</v>
      </c>
      <c r="M26" s="1" t="s">
        <v>587</v>
      </c>
      <c r="N26" s="1" t="s">
        <v>588</v>
      </c>
      <c r="O26" s="8" t="s">
        <v>589</v>
      </c>
    </row>
    <row r="27" spans="3:15">
      <c r="C27" s="1" t="s">
        <v>28</v>
      </c>
      <c r="N27" s="1" t="s">
        <v>590</v>
      </c>
      <c r="O27" s="8" t="s">
        <v>591</v>
      </c>
    </row>
    <row r="28" ht="17.6" customHeight="1" spans="1:15">
      <c r="A28" s="1">
        <v>22</v>
      </c>
      <c r="B28" s="9" t="s">
        <v>108</v>
      </c>
      <c r="C28" s="1" t="s">
        <v>110</v>
      </c>
      <c r="D28" s="1">
        <v>30</v>
      </c>
      <c r="E28" s="1" t="s">
        <v>592</v>
      </c>
      <c r="G28" s="1" t="s">
        <v>509</v>
      </c>
      <c r="H28" s="1" t="s">
        <v>555</v>
      </c>
      <c r="I28" s="1" t="s">
        <v>511</v>
      </c>
      <c r="M28" s="1" t="s">
        <v>593</v>
      </c>
      <c r="N28" s="1" t="s">
        <v>594</v>
      </c>
      <c r="O28" s="8" t="s">
        <v>595</v>
      </c>
    </row>
    <row r="29" ht="17.6" customHeight="1" spans="1:15">
      <c r="A29" s="1">
        <v>23</v>
      </c>
      <c r="B29" s="10" t="s">
        <v>114</v>
      </c>
      <c r="C29" s="1" t="s">
        <v>110</v>
      </c>
      <c r="D29" s="1">
        <v>40</v>
      </c>
      <c r="E29" s="1" t="s">
        <v>596</v>
      </c>
      <c r="G29" s="1" t="s">
        <v>597</v>
      </c>
      <c r="H29" s="1" t="s">
        <v>555</v>
      </c>
      <c r="I29" s="1" t="s">
        <v>516</v>
      </c>
      <c r="N29" s="1" t="s">
        <v>598</v>
      </c>
      <c r="O29" s="8" t="s">
        <v>599</v>
      </c>
    </row>
    <row r="30" ht="17.6" customHeight="1" spans="1:15">
      <c r="A30" s="1">
        <v>24</v>
      </c>
      <c r="B30" s="11" t="s">
        <v>117</v>
      </c>
      <c r="C30" s="1" t="s">
        <v>28</v>
      </c>
      <c r="D30" s="1">
        <v>30</v>
      </c>
      <c r="E30" s="1" t="s">
        <v>600</v>
      </c>
      <c r="G30" s="1" t="s">
        <v>540</v>
      </c>
      <c r="H30" s="1" t="s">
        <v>555</v>
      </c>
      <c r="I30" s="1" t="s">
        <v>523</v>
      </c>
      <c r="M30" s="1" t="s">
        <v>516</v>
      </c>
      <c r="N30" s="1" t="s">
        <v>601</v>
      </c>
      <c r="O30" s="8" t="s">
        <v>602</v>
      </c>
    </row>
    <row r="31" spans="3:15">
      <c r="C31" s="1" t="s">
        <v>28</v>
      </c>
      <c r="N31" s="1" t="s">
        <v>601</v>
      </c>
      <c r="O31" s="8" t="s">
        <v>603</v>
      </c>
    </row>
    <row r="32" spans="3:15">
      <c r="C32" s="1" t="s">
        <v>28</v>
      </c>
      <c r="N32" s="1" t="s">
        <v>604</v>
      </c>
      <c r="O32" s="15" t="s">
        <v>605</v>
      </c>
    </row>
    <row r="33" ht="17.6" customHeight="1" spans="1:15">
      <c r="A33" s="1">
        <v>25</v>
      </c>
      <c r="B33" s="10" t="s">
        <v>120</v>
      </c>
      <c r="C33" s="1" t="s">
        <v>28</v>
      </c>
      <c r="D33" s="1">
        <v>20</v>
      </c>
      <c r="E33" s="1" t="s">
        <v>606</v>
      </c>
      <c r="G33" s="1" t="s">
        <v>509</v>
      </c>
      <c r="H33" s="1" t="s">
        <v>555</v>
      </c>
      <c r="I33" s="1" t="s">
        <v>516</v>
      </c>
      <c r="M33" s="1" t="s">
        <v>607</v>
      </c>
      <c r="N33" s="1" t="s">
        <v>608</v>
      </c>
      <c r="O33" s="15" t="s">
        <v>609</v>
      </c>
    </row>
    <row r="34" spans="3:15">
      <c r="C34" s="1" t="s">
        <v>28</v>
      </c>
      <c r="M34" s="1" t="s">
        <v>610</v>
      </c>
      <c r="N34" s="1" t="s">
        <v>611</v>
      </c>
      <c r="O34" s="15" t="s">
        <v>612</v>
      </c>
    </row>
    <row r="35" spans="3:3">
      <c r="C35" s="1" t="s">
        <v>28</v>
      </c>
    </row>
    <row r="36" ht="17.6" customHeight="1" spans="1:9">
      <c r="A36" s="1">
        <v>26</v>
      </c>
      <c r="B36" s="11" t="s">
        <v>123</v>
      </c>
      <c r="C36" s="1" t="s">
        <v>73</v>
      </c>
      <c r="D36" s="1">
        <v>30</v>
      </c>
      <c r="E36" s="1" t="s">
        <v>613</v>
      </c>
      <c r="G36" s="1" t="s">
        <v>522</v>
      </c>
      <c r="H36" s="1" t="s">
        <v>555</v>
      </c>
      <c r="I36" s="1" t="s">
        <v>523</v>
      </c>
    </row>
    <row r="37" spans="3:15">
      <c r="C37" s="1" t="s">
        <v>73</v>
      </c>
      <c r="N37" s="1" t="s">
        <v>536</v>
      </c>
      <c r="O37" s="8" t="s">
        <v>538</v>
      </c>
    </row>
    <row r="38" ht="17.6" customHeight="1" spans="1:15">
      <c r="A38" s="1">
        <v>27</v>
      </c>
      <c r="B38" s="9" t="s">
        <v>126</v>
      </c>
      <c r="C38" s="1" t="s">
        <v>73</v>
      </c>
      <c r="D38" s="1">
        <v>20</v>
      </c>
      <c r="E38" s="1" t="s">
        <v>614</v>
      </c>
      <c r="G38" s="1" t="s">
        <v>528</v>
      </c>
      <c r="H38" s="1" t="s">
        <v>572</v>
      </c>
      <c r="I38" s="1" t="s">
        <v>511</v>
      </c>
      <c r="N38" s="1" t="s">
        <v>615</v>
      </c>
      <c r="O38" s="8" t="s">
        <v>616</v>
      </c>
    </row>
    <row r="39" spans="3:15">
      <c r="C39" s="1" t="s">
        <v>73</v>
      </c>
      <c r="N39" s="1" t="s">
        <v>617</v>
      </c>
      <c r="O39" s="8" t="s">
        <v>618</v>
      </c>
    </row>
    <row r="40" ht="17.6" customHeight="1" spans="1:15">
      <c r="A40" s="1">
        <v>28</v>
      </c>
      <c r="B40" s="9" t="s">
        <v>129</v>
      </c>
      <c r="C40" s="1" t="s">
        <v>73</v>
      </c>
      <c r="D40" s="1">
        <v>25</v>
      </c>
      <c r="E40" s="1" t="s">
        <v>619</v>
      </c>
      <c r="G40" s="1" t="s">
        <v>501</v>
      </c>
      <c r="H40" s="1" t="s">
        <v>572</v>
      </c>
      <c r="I40" s="1" t="s">
        <v>511</v>
      </c>
      <c r="N40" s="1" t="s">
        <v>620</v>
      </c>
      <c r="O40" s="8" t="s">
        <v>621</v>
      </c>
    </row>
    <row r="41" ht="17.6" customHeight="1" spans="3:15">
      <c r="C41" s="1" t="s">
        <v>73</v>
      </c>
      <c r="N41" s="1" t="s">
        <v>622</v>
      </c>
      <c r="O41" s="8" t="s">
        <v>623</v>
      </c>
    </row>
    <row r="42" ht="17.6" customHeight="1" spans="1:9">
      <c r="A42" s="1">
        <v>29</v>
      </c>
      <c r="B42" s="9" t="s">
        <v>132</v>
      </c>
      <c r="C42" s="1" t="s">
        <v>73</v>
      </c>
      <c r="D42" s="1">
        <v>20</v>
      </c>
      <c r="E42" s="1" t="s">
        <v>624</v>
      </c>
      <c r="G42" s="1" t="s">
        <v>528</v>
      </c>
      <c r="H42" s="1" t="s">
        <v>572</v>
      </c>
      <c r="I42" s="1" t="s">
        <v>511</v>
      </c>
    </row>
    <row r="43" spans="3:15">
      <c r="C43" s="1" t="s">
        <v>73</v>
      </c>
      <c r="N43" s="1" t="s">
        <v>625</v>
      </c>
      <c r="O43" s="8" t="s">
        <v>626</v>
      </c>
    </row>
    <row r="44" ht="17.6" customHeight="1" spans="1:15">
      <c r="A44" s="1">
        <v>30</v>
      </c>
      <c r="B44" s="9" t="s">
        <v>135</v>
      </c>
      <c r="C44" s="1" t="s">
        <v>73</v>
      </c>
      <c r="D44" s="1">
        <v>20</v>
      </c>
      <c r="E44" s="1" t="s">
        <v>627</v>
      </c>
      <c r="G44" s="1" t="s">
        <v>509</v>
      </c>
      <c r="H44" s="1" t="s">
        <v>572</v>
      </c>
      <c r="I44" s="1" t="s">
        <v>511</v>
      </c>
      <c r="N44" s="1" t="s">
        <v>628</v>
      </c>
      <c r="O44" s="8" t="s">
        <v>629</v>
      </c>
    </row>
    <row r="45" spans="3:15">
      <c r="C45" s="1" t="s">
        <v>73</v>
      </c>
      <c r="N45" s="1" t="s">
        <v>630</v>
      </c>
      <c r="O45" s="8" t="s">
        <v>631</v>
      </c>
    </row>
    <row r="46" ht="17.6" customHeight="1" spans="1:15">
      <c r="A46" s="1">
        <v>31</v>
      </c>
      <c r="B46" s="11" t="s">
        <v>138</v>
      </c>
      <c r="C46" s="1" t="s">
        <v>73</v>
      </c>
      <c r="D46" s="1">
        <v>50</v>
      </c>
      <c r="E46" s="1" t="s">
        <v>632</v>
      </c>
      <c r="G46" s="1" t="s">
        <v>515</v>
      </c>
      <c r="H46" s="1" t="s">
        <v>572</v>
      </c>
      <c r="I46" s="1" t="s">
        <v>523</v>
      </c>
      <c r="N46" s="1" t="s">
        <v>633</v>
      </c>
      <c r="O46" s="8" t="s">
        <v>634</v>
      </c>
    </row>
    <row r="47" spans="3:15">
      <c r="C47" s="1" t="s">
        <v>73</v>
      </c>
      <c r="N47" s="1" t="s">
        <v>635</v>
      </c>
      <c r="O47" s="8" t="s">
        <v>636</v>
      </c>
    </row>
    <row r="48" ht="17.6" customHeight="1" spans="1:15">
      <c r="A48" s="1">
        <v>32</v>
      </c>
      <c r="B48" s="11" t="s">
        <v>141</v>
      </c>
      <c r="C48" s="1" t="s">
        <v>73</v>
      </c>
      <c r="D48" s="1">
        <v>40</v>
      </c>
      <c r="E48" s="1" t="s">
        <v>637</v>
      </c>
      <c r="G48" s="1" t="s">
        <v>522</v>
      </c>
      <c r="H48" s="1" t="s">
        <v>572</v>
      </c>
      <c r="I48" s="1" t="s">
        <v>523</v>
      </c>
      <c r="N48" s="1" t="s">
        <v>638</v>
      </c>
      <c r="O48" s="8" t="s">
        <v>639</v>
      </c>
    </row>
    <row r="49" spans="3:15">
      <c r="C49" s="1" t="s">
        <v>73</v>
      </c>
      <c r="N49" s="1" t="s">
        <v>640</v>
      </c>
      <c r="O49" s="8" t="s">
        <v>641</v>
      </c>
    </row>
    <row r="50" ht="17.6" customHeight="1" spans="1:15">
      <c r="A50" s="1">
        <v>33</v>
      </c>
      <c r="B50" s="13" t="s">
        <v>144</v>
      </c>
      <c r="C50" s="1" t="s">
        <v>73</v>
      </c>
      <c r="D50" s="1">
        <v>30</v>
      </c>
      <c r="E50" s="1" t="s">
        <v>642</v>
      </c>
      <c r="G50" s="1" t="s">
        <v>509</v>
      </c>
      <c r="H50" s="1" t="s">
        <v>555</v>
      </c>
      <c r="I50" s="1" t="s">
        <v>516</v>
      </c>
      <c r="N50" s="1" t="s">
        <v>643</v>
      </c>
      <c r="O50" s="8" t="s">
        <v>644</v>
      </c>
    </row>
    <row r="51" spans="3:15">
      <c r="C51" s="1" t="s">
        <v>73</v>
      </c>
      <c r="N51" s="1" t="s">
        <v>645</v>
      </c>
      <c r="O51" s="8" t="s">
        <v>646</v>
      </c>
    </row>
    <row r="52" ht="17.6" customHeight="1" spans="1:15">
      <c r="A52" s="1">
        <v>34</v>
      </c>
      <c r="B52" s="9" t="s">
        <v>147</v>
      </c>
      <c r="C52" s="1" t="s">
        <v>110</v>
      </c>
      <c r="D52" s="1">
        <v>50</v>
      </c>
      <c r="E52" s="1" t="s">
        <v>647</v>
      </c>
      <c r="G52" s="1" t="s">
        <v>528</v>
      </c>
      <c r="H52" s="1" t="s">
        <v>648</v>
      </c>
      <c r="I52" s="1" t="s">
        <v>511</v>
      </c>
      <c r="N52" s="1" t="s">
        <v>649</v>
      </c>
      <c r="O52" s="8" t="s">
        <v>650</v>
      </c>
    </row>
    <row r="53" spans="3:15">
      <c r="C53" s="1" t="s">
        <v>110</v>
      </c>
      <c r="N53" s="1" t="s">
        <v>651</v>
      </c>
      <c r="O53" s="8" t="s">
        <v>652</v>
      </c>
    </row>
    <row r="54" ht="17.6" customHeight="1" spans="1:9">
      <c r="A54" s="1">
        <v>35</v>
      </c>
      <c r="B54" s="9" t="s">
        <v>71</v>
      </c>
      <c r="C54" s="1" t="s">
        <v>73</v>
      </c>
      <c r="D54" s="1">
        <v>40</v>
      </c>
      <c r="E54" s="1" t="s">
        <v>653</v>
      </c>
      <c r="G54" s="1" t="s">
        <v>528</v>
      </c>
      <c r="H54" s="1" t="s">
        <v>648</v>
      </c>
      <c r="I54" s="1" t="s">
        <v>511</v>
      </c>
    </row>
    <row r="55" spans="3:3">
      <c r="C55" s="1" t="s">
        <v>73</v>
      </c>
    </row>
    <row r="56" spans="3:3">
      <c r="C56" s="1" t="s">
        <v>73</v>
      </c>
    </row>
    <row r="57" ht="17.6" customHeight="1" spans="1:9">
      <c r="A57" s="1">
        <v>36</v>
      </c>
      <c r="B57" s="11" t="s">
        <v>152</v>
      </c>
      <c r="C57" s="1" t="s">
        <v>73</v>
      </c>
      <c r="D57" s="1">
        <v>30</v>
      </c>
      <c r="E57" s="1" t="s">
        <v>654</v>
      </c>
      <c r="G57" s="1" t="s">
        <v>509</v>
      </c>
      <c r="H57" s="1" t="s">
        <v>555</v>
      </c>
      <c r="I57" s="1" t="s">
        <v>523</v>
      </c>
    </row>
    <row r="58" spans="3:3">
      <c r="C58" s="1" t="s">
        <v>73</v>
      </c>
    </row>
    <row r="59" spans="3:3">
      <c r="C59" s="1" t="s">
        <v>73</v>
      </c>
    </row>
    <row r="60" ht="17.6" customHeight="1" spans="1:9">
      <c r="A60" s="1">
        <v>37</v>
      </c>
      <c r="B60" s="9" t="s">
        <v>155</v>
      </c>
      <c r="C60" s="1" t="s">
        <v>110</v>
      </c>
      <c r="D60" s="1">
        <v>20</v>
      </c>
      <c r="E60" s="1" t="s">
        <v>655</v>
      </c>
      <c r="G60" s="1" t="s">
        <v>501</v>
      </c>
      <c r="H60" s="1" t="s">
        <v>572</v>
      </c>
      <c r="I60" s="1" t="s">
        <v>511</v>
      </c>
    </row>
    <row r="61" spans="3:3">
      <c r="C61" s="1" t="s">
        <v>110</v>
      </c>
    </row>
    <row r="62" ht="17.6" customHeight="1" spans="1:9">
      <c r="A62" s="1">
        <v>38</v>
      </c>
      <c r="B62" s="11" t="s">
        <v>158</v>
      </c>
      <c r="C62" s="1" t="s">
        <v>110</v>
      </c>
      <c r="D62" s="1">
        <v>30</v>
      </c>
      <c r="E62" s="1" t="s">
        <v>656</v>
      </c>
      <c r="G62" s="1" t="s">
        <v>509</v>
      </c>
      <c r="H62" s="1" t="s">
        <v>572</v>
      </c>
      <c r="I62" s="1" t="s">
        <v>523</v>
      </c>
    </row>
    <row r="63" spans="3:3">
      <c r="C63" s="1" t="s">
        <v>110</v>
      </c>
    </row>
    <row r="64" ht="17.6" customHeight="1" spans="1:9">
      <c r="A64" s="1">
        <v>39</v>
      </c>
      <c r="B64" s="9" t="s">
        <v>161</v>
      </c>
      <c r="C64" s="1" t="s">
        <v>73</v>
      </c>
      <c r="D64" s="1">
        <v>50</v>
      </c>
      <c r="E64" s="1" t="s">
        <v>657</v>
      </c>
      <c r="G64" s="1" t="s">
        <v>509</v>
      </c>
      <c r="H64" s="1" t="s">
        <v>555</v>
      </c>
      <c r="I64" s="1" t="s">
        <v>511</v>
      </c>
    </row>
    <row r="65" spans="3:3">
      <c r="C65" s="1" t="s">
        <v>73</v>
      </c>
    </row>
    <row r="66" spans="3:3">
      <c r="C66" s="1" t="s">
        <v>73</v>
      </c>
    </row>
    <row r="67" ht="17.6" customHeight="1" spans="1:9">
      <c r="A67" s="1">
        <v>40</v>
      </c>
      <c r="B67" s="11" t="s">
        <v>164</v>
      </c>
      <c r="C67" s="1" t="s">
        <v>73</v>
      </c>
      <c r="D67" s="1">
        <v>40</v>
      </c>
      <c r="E67" s="1" t="s">
        <v>658</v>
      </c>
      <c r="G67" s="1" t="s">
        <v>522</v>
      </c>
      <c r="H67" s="1" t="s">
        <v>555</v>
      </c>
      <c r="I67" s="1" t="s">
        <v>523</v>
      </c>
    </row>
    <row r="68" spans="3:3">
      <c r="C68" s="1" t="s">
        <v>73</v>
      </c>
    </row>
    <row r="69" spans="3:3">
      <c r="C69" s="1" t="s">
        <v>73</v>
      </c>
    </row>
    <row r="70" ht="17.6" customHeight="1" spans="1:9">
      <c r="A70" s="1">
        <v>41</v>
      </c>
      <c r="B70" s="13" t="s">
        <v>167</v>
      </c>
      <c r="C70" s="1" t="s">
        <v>110</v>
      </c>
      <c r="D70" s="1">
        <v>30</v>
      </c>
      <c r="E70" s="1" t="s">
        <v>659</v>
      </c>
      <c r="G70" s="1" t="s">
        <v>528</v>
      </c>
      <c r="H70" s="1" t="s">
        <v>572</v>
      </c>
      <c r="I70" s="1" t="s">
        <v>516</v>
      </c>
    </row>
    <row r="71" spans="3:3">
      <c r="C71" s="1" t="s">
        <v>110</v>
      </c>
    </row>
    <row r="72" ht="17.6" customHeight="1" spans="1:9">
      <c r="A72" s="1">
        <v>42</v>
      </c>
      <c r="B72" s="16" t="s">
        <v>170</v>
      </c>
      <c r="C72" s="1" t="s">
        <v>73</v>
      </c>
      <c r="D72" s="1">
        <v>20</v>
      </c>
      <c r="E72" s="1" t="s">
        <v>660</v>
      </c>
      <c r="G72" s="1" t="s">
        <v>522</v>
      </c>
      <c r="H72" s="1" t="s">
        <v>555</v>
      </c>
      <c r="I72" s="1" t="s">
        <v>523</v>
      </c>
    </row>
    <row r="73" spans="3:3">
      <c r="C73" s="1" t="s">
        <v>172</v>
      </c>
    </row>
    <row r="74" ht="17.6" customHeight="1" spans="1:9">
      <c r="A74" s="1">
        <v>43</v>
      </c>
      <c r="B74" s="17" t="s">
        <v>174</v>
      </c>
      <c r="C74" s="1" t="s">
        <v>176</v>
      </c>
      <c r="D74" s="1">
        <v>30</v>
      </c>
      <c r="E74" s="1" t="s">
        <v>661</v>
      </c>
      <c r="G74" s="1" t="s">
        <v>528</v>
      </c>
      <c r="H74" s="1" t="s">
        <v>555</v>
      </c>
      <c r="I74" s="1" t="s">
        <v>511</v>
      </c>
    </row>
    <row r="75" spans="3:3">
      <c r="C75" s="1" t="s">
        <v>73</v>
      </c>
    </row>
    <row r="76" ht="17.6" customHeight="1" spans="1:12">
      <c r="A76" s="1">
        <v>44</v>
      </c>
      <c r="B76" s="18" t="s">
        <v>178</v>
      </c>
      <c r="C76" s="1" t="s">
        <v>73</v>
      </c>
      <c r="D76" s="1">
        <v>40</v>
      </c>
      <c r="E76" s="1" t="s">
        <v>662</v>
      </c>
      <c r="G76" s="1" t="s">
        <v>528</v>
      </c>
      <c r="H76" s="1" t="s">
        <v>572</v>
      </c>
      <c r="I76" s="1" t="s">
        <v>516</v>
      </c>
      <c r="J76" s="17"/>
      <c r="K76" s="19"/>
      <c r="L76" s="19"/>
    </row>
    <row r="77" ht="17.6" customHeight="1" spans="3:11">
      <c r="C77" s="1" t="s">
        <v>172</v>
      </c>
      <c r="K77" s="19"/>
    </row>
    <row r="78" ht="17.6" customHeight="1" spans="3:12">
      <c r="C78" s="1" t="s">
        <v>172</v>
      </c>
      <c r="K78" s="19"/>
      <c r="L78" s="19"/>
    </row>
    <row r="79" ht="17.6" customHeight="1" spans="1:9">
      <c r="A79" s="1">
        <v>45</v>
      </c>
      <c r="B79" s="18" t="s">
        <v>181</v>
      </c>
      <c r="C79" s="1" t="s">
        <v>110</v>
      </c>
      <c r="D79" s="1">
        <v>100</v>
      </c>
      <c r="E79" s="1" t="s">
        <v>663</v>
      </c>
      <c r="G79" s="1" t="s">
        <v>501</v>
      </c>
      <c r="H79" s="1" t="s">
        <v>648</v>
      </c>
      <c r="I79" s="1" t="s">
        <v>516</v>
      </c>
    </row>
    <row r="80" spans="3:3">
      <c r="C80" s="1" t="s">
        <v>110</v>
      </c>
    </row>
    <row r="81" ht="17.6" customHeight="1" spans="3:11">
      <c r="C81" s="1" t="s">
        <v>110</v>
      </c>
      <c r="K81" s="19"/>
    </row>
    <row r="82" ht="17.6" customHeight="1" spans="3:12">
      <c r="C82" s="1" t="s">
        <v>183</v>
      </c>
      <c r="J82" s="19"/>
      <c r="K82" s="19"/>
      <c r="L82" s="19"/>
    </row>
    <row r="83" ht="17.6" customHeight="1" spans="3:12">
      <c r="C83" s="1" t="s">
        <v>183</v>
      </c>
      <c r="J83" s="19"/>
      <c r="K83" s="19"/>
      <c r="L83" s="19"/>
    </row>
    <row r="84" ht="17.6" customHeight="1" spans="1:12">
      <c r="A84" s="1">
        <v>46</v>
      </c>
      <c r="B84" s="18" t="s">
        <v>185</v>
      </c>
      <c r="C84" s="1" t="s">
        <v>110</v>
      </c>
      <c r="D84" s="1">
        <v>80</v>
      </c>
      <c r="E84" s="1" t="s">
        <v>664</v>
      </c>
      <c r="G84" s="1" t="s">
        <v>528</v>
      </c>
      <c r="H84" s="1" t="s">
        <v>648</v>
      </c>
      <c r="I84" s="1" t="s">
        <v>511</v>
      </c>
      <c r="J84" s="19"/>
      <c r="K84" s="19"/>
      <c r="L84" s="19"/>
    </row>
    <row r="85" ht="17.6" customHeight="1" spans="3:12">
      <c r="C85" s="1" t="s">
        <v>110</v>
      </c>
      <c r="J85" s="19"/>
      <c r="K85" s="19"/>
      <c r="L85" s="19"/>
    </row>
    <row r="86" ht="17.6" customHeight="1" spans="3:12">
      <c r="C86" s="1" t="s">
        <v>110</v>
      </c>
      <c r="J86" s="19"/>
      <c r="K86" s="19"/>
      <c r="L86" s="19"/>
    </row>
    <row r="87" ht="17.6" customHeight="1" spans="1:12">
      <c r="A87" s="1">
        <v>47</v>
      </c>
      <c r="B87" s="16" t="s">
        <v>188</v>
      </c>
      <c r="C87" s="1" t="s">
        <v>190</v>
      </c>
      <c r="D87" s="1">
        <v>140</v>
      </c>
      <c r="E87" s="1" t="s">
        <v>665</v>
      </c>
      <c r="G87" s="1" t="s">
        <v>501</v>
      </c>
      <c r="H87" s="1" t="s">
        <v>648</v>
      </c>
      <c r="I87" s="1" t="s">
        <v>523</v>
      </c>
      <c r="K87" s="19"/>
      <c r="L87" s="19"/>
    </row>
    <row r="88" spans="3:3">
      <c r="C88" s="1" t="s">
        <v>190</v>
      </c>
    </row>
    <row r="89" spans="3:3">
      <c r="C89" s="1" t="s">
        <v>191</v>
      </c>
    </row>
    <row r="90" spans="3:3">
      <c r="C90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topLeftCell="Q1" workbookViewId="0">
      <selection activeCell="AA14" sqref="AA1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666</v>
      </c>
      <c r="N4" s="3" t="s">
        <v>666</v>
      </c>
      <c r="O4" s="3" t="s">
        <v>666</v>
      </c>
      <c r="P4" s="3" t="s">
        <v>666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666</v>
      </c>
      <c r="N5" s="3" t="s">
        <v>666</v>
      </c>
      <c r="O5" s="3" t="s">
        <v>667</v>
      </c>
      <c r="P5" s="3" t="s">
        <v>667</v>
      </c>
      <c r="Q5" s="3" t="s">
        <v>668</v>
      </c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669</v>
      </c>
      <c r="K6" s="3" t="s">
        <v>669</v>
      </c>
      <c r="L6" s="3" t="s">
        <v>669</v>
      </c>
      <c r="M6" s="4" t="s">
        <v>670</v>
      </c>
      <c r="N6" s="4" t="s">
        <v>670</v>
      </c>
      <c r="O6" s="3" t="s">
        <v>671</v>
      </c>
      <c r="P6" s="5"/>
      <c r="Q6" s="3" t="s">
        <v>672</v>
      </c>
      <c r="R6" s="3" t="s">
        <v>669</v>
      </c>
      <c r="V6" s="6"/>
      <c r="W6" s="6"/>
      <c r="X6" s="6"/>
      <c r="Y6" s="7"/>
      <c r="Z6" s="7"/>
      <c r="AA6" s="7"/>
      <c r="AB6" s="6"/>
      <c r="AC6" s="6"/>
      <c r="AD6" s="6"/>
      <c r="AG6" s="6"/>
      <c r="AH6" s="6"/>
      <c r="AI6" s="6"/>
      <c r="AJ6" s="7"/>
      <c r="AK6" s="7"/>
      <c r="AL6" s="7"/>
      <c r="AM6" s="6"/>
      <c r="AN6" s="6"/>
      <c r="AO6" s="6"/>
    </row>
    <row r="7" customHeight="1" spans="8:41">
      <c r="H7" s="2"/>
      <c r="I7" s="2"/>
      <c r="J7" s="3" t="s">
        <v>669</v>
      </c>
      <c r="K7" s="3" t="s">
        <v>669</v>
      </c>
      <c r="L7" s="3" t="s">
        <v>673</v>
      </c>
      <c r="M7" s="4" t="s">
        <v>671</v>
      </c>
      <c r="N7" s="4" t="s">
        <v>671</v>
      </c>
      <c r="O7" s="3" t="s">
        <v>671</v>
      </c>
      <c r="P7" s="5"/>
      <c r="Q7" s="3" t="s">
        <v>672</v>
      </c>
      <c r="R7" s="3" t="s">
        <v>669</v>
      </c>
      <c r="V7" s="6"/>
      <c r="W7" s="6"/>
      <c r="X7" s="6"/>
      <c r="Y7" s="7"/>
      <c r="Z7" s="6"/>
      <c r="AA7" s="7"/>
      <c r="AB7" s="6"/>
      <c r="AC7" s="6"/>
      <c r="AD7" s="6"/>
      <c r="AG7" s="6"/>
      <c r="AH7" s="6"/>
      <c r="AI7" s="6"/>
      <c r="AJ7" s="7"/>
      <c r="AK7" s="6"/>
      <c r="AL7" s="7"/>
      <c r="AM7" s="6"/>
      <c r="AN7" s="6"/>
      <c r="AO7" s="6"/>
    </row>
    <row r="8" customHeight="1" spans="8:41">
      <c r="H8" s="3" t="s">
        <v>669</v>
      </c>
      <c r="I8" s="3" t="s">
        <v>669</v>
      </c>
      <c r="J8" s="3" t="s">
        <v>669</v>
      </c>
      <c r="K8" s="3" t="s">
        <v>669</v>
      </c>
      <c r="L8" s="3" t="s">
        <v>672</v>
      </c>
      <c r="M8" s="5"/>
      <c r="N8" s="5"/>
      <c r="O8" s="5"/>
      <c r="P8" s="5"/>
      <c r="Q8" s="3" t="s">
        <v>672</v>
      </c>
      <c r="R8" s="3" t="s">
        <v>669</v>
      </c>
      <c r="V8" s="6"/>
      <c r="W8" s="6"/>
      <c r="X8" s="6"/>
      <c r="Y8" s="7"/>
      <c r="Z8" s="7"/>
      <c r="AA8" s="7"/>
      <c r="AB8" s="6"/>
      <c r="AC8" s="6"/>
      <c r="AD8" s="6"/>
      <c r="AG8" s="6"/>
      <c r="AH8" s="6"/>
      <c r="AI8" s="6"/>
      <c r="AJ8" s="7"/>
      <c r="AK8" s="7"/>
      <c r="AL8" s="7"/>
      <c r="AM8" s="6"/>
      <c r="AN8" s="6"/>
      <c r="AO8" s="6"/>
    </row>
    <row r="9" customHeight="1" spans="8:41">
      <c r="H9" s="3"/>
      <c r="I9" s="3"/>
      <c r="J9" s="3"/>
      <c r="K9" s="3"/>
      <c r="L9" s="3" t="s">
        <v>668</v>
      </c>
      <c r="M9" s="3" t="s">
        <v>667</v>
      </c>
      <c r="N9" s="3" t="s">
        <v>667</v>
      </c>
      <c r="O9" s="3" t="s">
        <v>667</v>
      </c>
      <c r="P9" s="3" t="s">
        <v>667</v>
      </c>
      <c r="Q9" s="3" t="s">
        <v>668</v>
      </c>
      <c r="R9" s="3"/>
      <c r="V9" s="6"/>
      <c r="W9" s="6"/>
      <c r="X9" s="6"/>
      <c r="Y9" s="6" t="s">
        <v>674</v>
      </c>
      <c r="Z9" s="6" t="s">
        <v>674</v>
      </c>
      <c r="AA9" s="6" t="s">
        <v>674</v>
      </c>
      <c r="AB9" s="6"/>
      <c r="AC9" s="6"/>
      <c r="AD9" s="6"/>
      <c r="AG9" s="6"/>
      <c r="AH9" s="6"/>
      <c r="AI9" s="6"/>
      <c r="AJ9" s="2" t="s">
        <v>675</v>
      </c>
      <c r="AK9" s="2" t="s">
        <v>675</v>
      </c>
      <c r="AL9" s="2" t="s">
        <v>675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666</v>
      </c>
      <c r="N10" s="3" t="s">
        <v>666</v>
      </c>
      <c r="O10" s="3" t="s">
        <v>666</v>
      </c>
      <c r="P10" s="3" t="s">
        <v>666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676</v>
      </c>
      <c r="AK10" s="2" t="s">
        <v>676</v>
      </c>
      <c r="AL10" s="2" t="s">
        <v>676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666</v>
      </c>
      <c r="N11" s="3" t="s">
        <v>666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676</v>
      </c>
      <c r="AK11" s="2" t="s">
        <v>676</v>
      </c>
      <c r="AL11" s="2" t="s">
        <v>676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666</v>
      </c>
      <c r="N12" s="3" t="s">
        <v>666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2026-07-02T07:56:00Z</dcterms:created>
  <dcterms:modified xsi:type="dcterms:W3CDTF">2026-07-20T16:50:05Z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</Properties>
</file>