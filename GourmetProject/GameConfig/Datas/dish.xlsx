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40" activeTab="1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" sheetId="7" r:id="rId7"/>
    <sheet name="定义" sheetId="8" r:id="rId8"/>
  </sheets>
  <definedNames>
    <definedName name="_xlnm._FilterDatabase" localSheetId="0" hidden="1">dish_base!$B$1:$B$101</definedName>
  </definedNames>
  <calcPr calcId="144525"/>
</workbook>
</file>

<file path=xl/sharedStrings.xml><?xml version="1.0" encoding="utf-8"?>
<sst xmlns="http://schemas.openxmlformats.org/spreadsheetml/2006/main" count="3230" uniqueCount="732">
  <si>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</si>
  <si>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</si>
  <si>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</si>
  <si>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</si>
  <si>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</si>
  <si>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</si>
  <si>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</si>
  <si>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</si>
  <si>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</si>
  <si>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##comment</t>
  </si>
  <si>
    <t>菜品基础ID</t>
  </si>
  <si>
    <t>菜品名称</t>
  </si>
  <si>
    <t>基础美味度</t>
  </si>
  <si>
    <t>是否允许旋转摆放</t>
  </si>
  <si>
    <t>技能ID列表(| 分隔)</t>
  </si>
  <si>
    <t>菜品分类(如cake;空=无)</t>
  </si>
  <si>
    <t>视为食物数(默认1)</t>
  </si>
  <si>
    <t>菜品形状行列表</t>
  </si>
  <si>
    <t>##type</t>
  </si>
  <si>
    <t>string</t>
  </si>
  <si>
    <t>int</t>
  </si>
  <si>
    <t>bool</t>
  </si>
  <si>
    <t>list,string</t>
  </si>
  <si>
    <t>cookie</t>
  </si>
  <si>
    <t>曲奇</t>
  </si>
  <si>
    <t>false</t>
  </si>
  <si>
    <t>sk_cookie</t>
  </si>
  <si>
    <t/>
  </si>
  <si>
    <t>X</t>
  </si>
  <si>
    <t>macaron</t>
  </si>
  <si>
    <t>马卡龙</t>
  </si>
  <si>
    <t>sk_macaron</t>
  </si>
  <si>
    <t>pudding</t>
  </si>
  <si>
    <t>布丁</t>
  </si>
  <si>
    <t>sk_pudding</t>
  </si>
  <si>
    <t>puff</t>
  </si>
  <si>
    <t>泡芙</t>
  </si>
  <si>
    <t>sk_puff</t>
  </si>
  <si>
    <t>eggtart</t>
  </si>
  <si>
    <t>蛋挞</t>
  </si>
  <si>
    <t>sk_eggtart</t>
  </si>
  <si>
    <t>mochi</t>
  </si>
  <si>
    <t>麻薯</t>
  </si>
  <si>
    <t>sk_mochi</t>
  </si>
  <si>
    <t>daifuku</t>
  </si>
  <si>
    <t>大福</t>
  </si>
  <si>
    <t>sk_daifuku</t>
  </si>
  <si>
    <t>choco_candy</t>
  </si>
  <si>
    <t>巧克力糖</t>
  </si>
  <si>
    <t>sk_choco_candy</t>
  </si>
  <si>
    <t>jelly</t>
  </si>
  <si>
    <t>果冻</t>
  </si>
  <si>
    <t>sk_jelly</t>
  </si>
  <si>
    <t>0周</t>
  </si>
  <si>
    <t>cream_cell</t>
  </si>
  <si>
    <t>奶油小格</t>
  </si>
  <si>
    <t>sk_cream_cell</t>
  </si>
  <si>
    <t>1周</t>
  </si>
  <si>
    <t>sugarbean</t>
  </si>
  <si>
    <t>糖豆</t>
  </si>
  <si>
    <t>sk_sugarbean</t>
  </si>
  <si>
    <t>2周</t>
  </si>
  <si>
    <t>gold_choco</t>
  </si>
  <si>
    <t>金巧克力</t>
  </si>
  <si>
    <t>sk_gold_choco</t>
  </si>
  <si>
    <t>3周</t>
  </si>
  <si>
    <t>milk_slice</t>
  </si>
  <si>
    <t>奶片</t>
  </si>
  <si>
    <t>sk_milk_slice</t>
  </si>
  <si>
    <t>4周</t>
  </si>
  <si>
    <t>sundae</t>
  </si>
  <si>
    <t>圣代</t>
  </si>
  <si>
    <t>sk_sundae</t>
  </si>
  <si>
    <t>XX</t>
  </si>
  <si>
    <t>cone</t>
  </si>
  <si>
    <t>甜筒</t>
  </si>
  <si>
    <t>sk_cone</t>
  </si>
  <si>
    <t>lollipop</t>
  </si>
  <si>
    <t>棒棒糖</t>
  </si>
  <si>
    <t>sk_lollipop</t>
  </si>
  <si>
    <t>gummy</t>
  </si>
  <si>
    <t>软糖</t>
  </si>
  <si>
    <t>sk_gummy</t>
  </si>
  <si>
    <t>cupcake</t>
  </si>
  <si>
    <t>糖霜蛋糕</t>
  </si>
  <si>
    <t>sk_cupcake</t>
  </si>
  <si>
    <t>cake</t>
  </si>
  <si>
    <t>mousse</t>
  </si>
  <si>
    <t>慕斯蛋糕</t>
  </si>
  <si>
    <t>sk_mousse</t>
  </si>
  <si>
    <t>普通</t>
  </si>
  <si>
    <t>加强</t>
  </si>
  <si>
    <t>10,40</t>
  </si>
  <si>
    <t>40,80</t>
  </si>
  <si>
    <t>toffee</t>
  </si>
  <si>
    <t>太妃糖</t>
  </si>
  <si>
    <t>sk_toffee</t>
  </si>
  <si>
    <t>10,45</t>
  </si>
  <si>
    <t>45,80</t>
  </si>
  <si>
    <t>20,60</t>
  </si>
  <si>
    <t>50,90</t>
  </si>
  <si>
    <t>nougat</t>
  </si>
  <si>
    <t>牛轧糖</t>
  </si>
  <si>
    <t>sk_nougat</t>
  </si>
  <si>
    <t>30,75</t>
  </si>
  <si>
    <t>55,100</t>
  </si>
  <si>
    <t>40,90</t>
  </si>
  <si>
    <t>70,120</t>
  </si>
  <si>
    <t>eggroll</t>
  </si>
  <si>
    <t>蛋卷</t>
  </si>
  <si>
    <t>sk_eggroll</t>
  </si>
  <si>
    <t>XXX</t>
  </si>
  <si>
    <t>9+</t>
  </si>
  <si>
    <t>80,130</t>
  </si>
  <si>
    <t>choco_bar</t>
  </si>
  <si>
    <t>巧克力棒</t>
  </si>
  <si>
    <t>sk_choco_bar</t>
  </si>
  <si>
    <t>eclair</t>
  </si>
  <si>
    <t>闪电泡芙</t>
  </si>
  <si>
    <t>sk_eclair</t>
  </si>
  <si>
    <t>tanghulu</t>
  </si>
  <si>
    <t>糖葫芦</t>
  </si>
  <si>
    <t>sk_tanghulu</t>
  </si>
  <si>
    <t>souffle</t>
  </si>
  <si>
    <t>舒芙蕾</t>
  </si>
  <si>
    <t>sk_souffle</t>
  </si>
  <si>
    <t>maple_sugar</t>
  </si>
  <si>
    <t>枫糖</t>
  </si>
  <si>
    <t>sk_maple_sugar</t>
  </si>
  <si>
    <t>taosu</t>
  </si>
  <si>
    <t>桃酥</t>
  </si>
  <si>
    <t>sk_taosu</t>
  </si>
  <si>
    <t>mooncake</t>
  </si>
  <si>
    <t>月饼</t>
  </si>
  <si>
    <t>sk_mooncake</t>
  </si>
  <si>
    <t>waffle</t>
  </si>
  <si>
    <t>华夫饼</t>
  </si>
  <si>
    <t>sk_waffle</t>
  </si>
  <si>
    <t>dorayaki</t>
  </si>
  <si>
    <t>铜锣烧</t>
  </si>
  <si>
    <t>sk_dorayaki</t>
  </si>
  <si>
    <t>cream_cake</t>
  </si>
  <si>
    <t>奶油蛋糕</t>
  </si>
  <si>
    <t>sk_cream_cake</t>
  </si>
  <si>
    <t>donut</t>
  </si>
  <si>
    <t>甜甜圈</t>
  </si>
  <si>
    <t>sk_donut</t>
  </si>
  <si>
    <t>pengtang</t>
  </si>
  <si>
    <t>椪糖</t>
  </si>
  <si>
    <t>sk_pengtang</t>
  </si>
  <si>
    <t>parfait</t>
  </si>
  <si>
    <t>芭菲</t>
  </si>
  <si>
    <t>sk_parfait</t>
  </si>
  <si>
    <t>sundae_big</t>
  </si>
  <si>
    <t>大圣代</t>
  </si>
  <si>
    <t>sk_sundae_big</t>
  </si>
  <si>
    <t>swiss_roll</t>
  </si>
  <si>
    <t>瑞士卷</t>
  </si>
  <si>
    <t>sk_swiss_roll</t>
  </si>
  <si>
    <t>mango_sago</t>
  </si>
  <si>
    <t>杨枝甘露</t>
  </si>
  <si>
    <t>sk_mango_sago</t>
  </si>
  <si>
    <t>chiffion</t>
  </si>
  <si>
    <t>戚风蛋糕</t>
  </si>
  <si>
    <t>sk_chiffon</t>
  </si>
  <si>
    <t>apple_pie</t>
  </si>
  <si>
    <t>苹果派</t>
  </si>
  <si>
    <t>sk_apple_pie</t>
  </si>
  <si>
    <t>fruit_cake</t>
  </si>
  <si>
    <t>水果蛋糕</t>
  </si>
  <si>
    <t>sk_fruit_cake</t>
  </si>
  <si>
    <t>chocolate</t>
  </si>
  <si>
    <t>巧克力</t>
  </si>
  <si>
    <t>sk_chocolate</t>
  </si>
  <si>
    <t>croissant</t>
  </si>
  <si>
    <t>牛角包</t>
  </si>
  <si>
    <t>sk_croissant</t>
  </si>
  <si>
    <t>X.</t>
  </si>
  <si>
    <t>palmier</t>
  </si>
  <si>
    <t>蝴蝶酥</t>
  </si>
  <si>
    <t>sk_palmier</t>
  </si>
  <si>
    <t>.X</t>
  </si>
  <si>
    <t>candycane</t>
  </si>
  <si>
    <t>拐杖糖</t>
  </si>
  <si>
    <t>sk_candycane</t>
  </si>
  <si>
    <t>big_lollipop</t>
  </si>
  <si>
    <t>大棒棒糖</t>
  </si>
  <si>
    <t>sk_big_lollipop</t>
  </si>
  <si>
    <t>.X.</t>
  </si>
  <si>
    <t>marshmallow</t>
  </si>
  <si>
    <t>棉花糖</t>
  </si>
  <si>
    <t>sk_marshmallow</t>
  </si>
  <si>
    <t>double_cake</t>
  </si>
  <si>
    <t>双层蛋糕</t>
  </si>
  <si>
    <t>sk_double_cake</t>
  </si>
  <si>
    <t>.XXX.</t>
  </si>
  <si>
    <t>XXXXX</t>
  </si>
  <si>
    <t>baseId</t>
  </si>
  <si>
    <t>flavorId</t>
  </si>
  <si>
    <t>baseWeight</t>
  </si>
  <si>
    <t>price</t>
  </si>
  <si>
    <t>hiddenRange</t>
  </si>
  <si>
    <t>rotation</t>
  </si>
  <si>
    <t>菜品变体ID</t>
  </si>
  <si>
    <t>引用的菜品基础ID</t>
  </si>
  <si>
    <t>风味标签ID(可空,单槽)</t>
  </si>
  <si>
    <t>随机基础权重</t>
  </si>
  <si>
    <t>商店价格</t>
  </si>
  <si>
    <t>出现隐藏分区间(单元格: min,max)</t>
  </si>
  <si>
    <t>固定旋转朝向(整格四向)</t>
  </si>
  <si>
    <t>float</t>
  </si>
  <si>
    <t>HiddenRange</t>
  </si>
  <si>
    <t>DishRotation</t>
  </si>
  <si>
    <t>Deg0</t>
  </si>
  <si>
    <t>t_sweet</t>
  </si>
  <si>
    <t>t_bitter</t>
  </si>
  <si>
    <t>t_rust</t>
  </si>
  <si>
    <t>t_numb</t>
  </si>
  <si>
    <t>t_salty</t>
  </si>
  <si>
    <t>t_sour</t>
  </si>
  <si>
    <t>subSkills</t>
  </si>
  <si>
    <t>技能ID</t>
  </si>
  <si>
    <t>本技能独占的有序子技能ID列表（| 分隔，命名为 skillId_序号）</t>
  </si>
  <si>
    <t>sk_cookie_1</t>
  </si>
  <si>
    <t>sk_macaron_1|sk_macaron_2</t>
  </si>
  <si>
    <t>sk_macaron_1</t>
  </si>
  <si>
    <t>sk_macaron_2</t>
  </si>
  <si>
    <t>sk_pudding_1</t>
  </si>
  <si>
    <t>sk_puff_1</t>
  </si>
  <si>
    <t>sk_eggtart_1</t>
  </si>
  <si>
    <t>sk_mochi_1</t>
  </si>
  <si>
    <t>sk_daifuku_1</t>
  </si>
  <si>
    <t>sk_choco_candy_1</t>
  </si>
  <si>
    <t>sk_jelly_1</t>
  </si>
  <si>
    <t>sk_cream_cell_1</t>
  </si>
  <si>
    <t>sk_sugarbean_1|sk_sugarbean_2</t>
  </si>
  <si>
    <t>sk_sugarbean_1</t>
  </si>
  <si>
    <t>sk_sugarbean_2</t>
  </si>
  <si>
    <t>sk_gold_choco_1</t>
  </si>
  <si>
    <t>sk_milk_slice_1</t>
  </si>
  <si>
    <t>sk_sundae_1|sk_sundae_2</t>
  </si>
  <si>
    <t>sk_sundae_1</t>
  </si>
  <si>
    <t>sk_sundae_2</t>
  </si>
  <si>
    <t>sk_cone_1|sk_cone_2</t>
  </si>
  <si>
    <t>sk_cone_1</t>
  </si>
  <si>
    <t>sk_lollipop_1|sk_lollipop_2</t>
  </si>
  <si>
    <t>sk_lollipop_1</t>
  </si>
  <si>
    <t>sk_lollipop_2</t>
  </si>
  <si>
    <t>sk_gummy_1|sk_gummy_2</t>
  </si>
  <si>
    <t>sk_gummy_1</t>
  </si>
  <si>
    <t>sk_gummy_2</t>
  </si>
  <si>
    <t>sk_cupcake_1|sk_cupcake_2</t>
  </si>
  <si>
    <t>sk_cupcake_1</t>
  </si>
  <si>
    <t>sk_cupcake_2</t>
  </si>
  <si>
    <t>杯子蛋糕</t>
  </si>
  <si>
    <t>sk_mousse_1|sk_mousse_2</t>
  </si>
  <si>
    <t>sk_mousse_1</t>
  </si>
  <si>
    <t>sk_mousse_2</t>
  </si>
  <si>
    <t>sk_toffee_1|sk_toffee_2</t>
  </si>
  <si>
    <t>sk_toffee_1</t>
  </si>
  <si>
    <t>sk_toffee_2</t>
  </si>
  <si>
    <t>sk_nougat_1|sk_nougat_2</t>
  </si>
  <si>
    <t>sk_nougat_1</t>
  </si>
  <si>
    <t>sk_nougat_2</t>
  </si>
  <si>
    <t>sk_eggroll_1|sk_eggroll_2</t>
  </si>
  <si>
    <t>sk_eggroll_1</t>
  </si>
  <si>
    <t>sk_eggroll_2</t>
  </si>
  <si>
    <t>sk_choco_bar_1|sk_choco_bar_2</t>
  </si>
  <si>
    <t>sk_choco_bar_1</t>
  </si>
  <si>
    <t>sk_choco_bar_2</t>
  </si>
  <si>
    <t>sk_eclair_1|sk_eclair_2</t>
  </si>
  <si>
    <t>sk_eclair_1</t>
  </si>
  <si>
    <t>sk_eclair_2</t>
  </si>
  <si>
    <t>sk_tanghulu_1|sk_tanghulu_2</t>
  </si>
  <si>
    <t>sk_tanghulu_1</t>
  </si>
  <si>
    <t>sk_tanghulu_2</t>
  </si>
  <si>
    <t>sk_souffle_1</t>
  </si>
  <si>
    <t>sk_taosu_1|sk_taosu_2</t>
  </si>
  <si>
    <t>sk_taosu_1</t>
  </si>
  <si>
    <t>sk_mooncake_1|sk_mooncake_2</t>
  </si>
  <si>
    <t>sk_mooncake_1</t>
  </si>
  <si>
    <t>sk_mooncake_2</t>
  </si>
  <si>
    <t>sk_waffle_1|sk_waffle_2</t>
  </si>
  <si>
    <t>sk_waffle_1</t>
  </si>
  <si>
    <t>sk_waffle_2</t>
  </si>
  <si>
    <t>sk_dorayaki_1|sk_dorayaki_2</t>
  </si>
  <si>
    <t>sk_dorayaki_1</t>
  </si>
  <si>
    <t>sk_dorayaki_2</t>
  </si>
  <si>
    <t>sk_cream_cake_1|sk_cream_cake_2</t>
  </si>
  <si>
    <t>sk_cream_cake_1</t>
  </si>
  <si>
    <t>sk_cream_cake_2</t>
  </si>
  <si>
    <t>sk_donut_1</t>
  </si>
  <si>
    <t>sk_donut_2</t>
  </si>
  <si>
    <t>sk_pengtang_1|sk_pengtang_2</t>
  </si>
  <si>
    <t>sk_pengtang_1</t>
  </si>
  <si>
    <t>sk_pengtang_2</t>
  </si>
  <si>
    <t>sk_parfait_1|sk_parfait_2</t>
  </si>
  <si>
    <t>sk_parfait_1</t>
  </si>
  <si>
    <t>sk_parfait_2</t>
  </si>
  <si>
    <t>sk_sundae_big_1|sk_sundae_big_2</t>
  </si>
  <si>
    <t>sk_sundae_big_1</t>
  </si>
  <si>
    <t>sk_sundae_big_2</t>
  </si>
  <si>
    <t>sk_swiss_roll_1|sk_swiss_roll_2</t>
  </si>
  <si>
    <t>sk_swiss_roll_1</t>
  </si>
  <si>
    <t>sk_swiss_roll_2</t>
  </si>
  <si>
    <t>sk_mango_sago_1|sk_mango_sago_2</t>
  </si>
  <si>
    <t>sk_mango_sago_1</t>
  </si>
  <si>
    <t>sk_mango_sago_2</t>
  </si>
  <si>
    <t>sk_chiffon_1|sk_chiffon_2</t>
  </si>
  <si>
    <t>sk_chiffon_1</t>
  </si>
  <si>
    <t>sk_chiffon_2</t>
  </si>
  <si>
    <t>chiffon</t>
  </si>
  <si>
    <t>sk_apple_pie_1</t>
  </si>
  <si>
    <t>sk_fruit_cake_1|sk_fruit_cake_2</t>
  </si>
  <si>
    <t>sk_fruit_cake_1</t>
  </si>
  <si>
    <t>sk_fruit_cake_2</t>
  </si>
  <si>
    <t>sk_chocolate_1</t>
  </si>
  <si>
    <t>sk_croissant_1</t>
  </si>
  <si>
    <t>sk_palmier_1|sk_palmier_2</t>
  </si>
  <si>
    <t>sk_palmier_1</t>
  </si>
  <si>
    <t>sk_palmier_2</t>
  </si>
  <si>
    <t>sk_candycane_1|sk_candycane_2</t>
  </si>
  <si>
    <t>sk_candycane_1</t>
  </si>
  <si>
    <t>sk_candycane_2</t>
  </si>
  <si>
    <t>sk_big_lollipop_1</t>
  </si>
  <si>
    <t>sk_marshmallow_1|sk_marshmallow_2</t>
  </si>
  <si>
    <t>sk_marshmallow_1</t>
  </si>
  <si>
    <t>sk_marshmallow_2</t>
  </si>
  <si>
    <t>sk_double_cake_1</t>
  </si>
  <si>
    <t>sk_maple_sugar_1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</si>
  <si>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</si>
  <si>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</si>
  <si>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</si>
  <si>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</si>
  <si>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</si>
  <si>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</si>
  <si>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</si>
  <si>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</si>
  <si>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</si>
  <si>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</si>
  <si>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</si>
  <si>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</si>
  <si>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</si>
  <si>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</si>
  <si>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甜</t>
  </si>
  <si>
    <t>优先结算</t>
  </si>
  <si>
    <t>SettlementLayer</t>
  </si>
  <si>
    <t>1</t>
  </si>
  <si>
    <t>结算优先级 +1 层，越先结算。</t>
  </si>
  <si>
    <t>苦</t>
  </si>
  <si>
    <t>后置结算</t>
  </si>
  <si>
    <t>-1</t>
  </si>
  <si>
    <t>结算优先级 -1 层，越后结算。</t>
  </si>
  <si>
    <t>鲜</t>
  </si>
  <si>
    <t>结算时
+5金币</t>
  </si>
  <si>
    <t>GrantGold</t>
  </si>
  <si>
    <t>5</t>
  </si>
  <si>
    <t>结算时获得 5 金币。</t>
  </si>
  <si>
    <t>麻</t>
  </si>
  <si>
    <t>食物旋转90度</t>
  </si>
  <si>
    <t>Rotate</t>
  </si>
  <si>
    <t>上菜时逆时针旋转 90 度（可叠加）。</t>
  </si>
  <si>
    <t>酸</t>
  </si>
  <si>
    <t>结算时若未上菜
场上同菜谱食物倍率 ×1.5</t>
  </si>
  <si>
    <t>SourRecipeMult</t>
  </si>
  <si>
    <t>1.5</t>
  </si>
  <si>
    <t>整体结算末尾，若未上菜，则场上同菜谱食物倍率 ×1.5。</t>
  </si>
  <si>
    <t>咸</t>
  </si>
  <si>
    <t>结算时若未上菜
场上每有一个同菜谱食物
 +2 金币</t>
  </si>
  <si>
    <t>SaltyRecipeGold</t>
  </si>
  <si>
    <t>2</t>
  </si>
  <si>
    <t>整体结算末尾，若未上菜，则场上每个同菜谱食物 +2 金币。</t>
  </si>
  <si>
    <t>order</t>
  </si>
  <si>
    <t>threshold</t>
  </si>
  <si>
    <t>valuePerLayer</t>
  </si>
  <si>
    <t>档位ID</t>
  </si>
  <si>
    <t>执行顺序</t>
  </si>
  <si>
    <t>层数阈值(&gt;=生效)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</si>
  <si>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</si>
  <si>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</si>
  <si>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</si>
  <si>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</si>
  <si>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</si>
  <si>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</si>
  <si>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</si>
  <si>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欢乐蛋糕≥1层：所有蛋糕基础分 +5×层数。</t>
  </si>
  <si>
    <t>clb_multflat</t>
  </si>
  <si>
    <t>AddMultFlat</t>
  </si>
  <si>
    <t>欢乐蛋糕≥50层：所有蛋糕倍率 +0.1×层数。</t>
  </si>
  <si>
    <t>clb_mult</t>
  </si>
  <si>
    <t>AddMult</t>
  </si>
  <si>
    <t>欢乐蛋糕≥100层：所有蛋糕倍率 ×(0.02×层数)。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</si>
  <si>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</si>
  <si>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</si>
  <si>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</si>
  <si>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</si>
  <si>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</si>
  <si>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</si>
  <si>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</si>
  <si>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</si>
  <si>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</si>
  <si>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</si>
  <si>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</si>
  <si>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</si>
  <si>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</si>
  <si>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</si>
  <si>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</si>
  <si>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</si>
  <si>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</si>
  <si>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</si>
  <si>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</si>
  <si>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</si>
  <si>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</si>
  <si>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</si>
  <si>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</si>
  <si>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</si>
  <si>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</si>
  <si>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</si>
  <si>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</si>
  <si>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</si>
  <si>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</si>
  <si>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</si>
  <si>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</si>
  <si>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</si>
  <si>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</si>
  <si>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</si>
  <si>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</si>
  <si>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反找食物</t>
  </si>
  <si>
    <t>OnSettle</t>
  </si>
  <si>
    <t>Edge</t>
  </si>
  <si>
    <t>Self</t>
  </si>
  <si>
    <t>Instances</t>
  </si>
  <si>
    <t>Gate</t>
  </si>
  <si>
    <t>true</t>
  </si>
  <si>
    <t>处在棋盘边缘时
{ascope}倍率 {0}</t>
  </si>
  <si>
    <t>DishCount</t>
  </si>
  <si>
    <t>Round</t>
  </si>
  <si>
    <t>Kinds</t>
  </si>
  <si>
    <t>Per</t>
  </si>
  <si>
    <t>{cscope}每有 1 {unit}食物
{ascope}分数 {0}</t>
  </si>
  <si>
    <t>None</t>
  </si>
  <si>
    <t>TransferSkills</t>
  </si>
  <si>
    <t>Row</t>
  </si>
  <si>
    <t>甜蜜传递至{ascope}食物</t>
  </si>
  <si>
    <t>term_sweet_transfer</t>
  </si>
  <si>
    <t>EmptyCell</t>
  </si>
  <si>
    <t>{cscope}每有 1 个空格
{ascope}分数 {0}</t>
  </si>
  <si>
    <t>AddLayer</t>
  </si>
  <si>
    <t>CakeBuff</t>
  </si>
  <si>
    <t>{cscope}每有 1 {unit}食物
欢乐蛋糕 {0} 层</t>
  </si>
  <si>
    <t>clb</t>
  </si>
  <si>
    <t>PermanentAddFlat</t>
  </si>
  <si>
    <t>结算时
{ascope}分数永久 {0}</t>
  </si>
  <si>
    <t>ColumnAndSelf</t>
  </si>
  <si>
    <t>{cscope}每有 1 {unit}食物
{ascope}倍率 {0}</t>
  </si>
  <si>
    <t>RowAndSelf</t>
  </si>
  <si>
    <t>TagCount</t>
  </si>
  <si>
    <t>每有1个技能
{ascope}分数永久 {0}</t>
  </si>
  <si>
    <t>RoundAndSelf</t>
  </si>
  <si>
    <t>欢乐蛋糕 {0} 层</t>
  </si>
  <si>
    <t>PositionFilled</t>
  </si>
  <si>
    <t>若{cscope}被填满
+{0} 金币</t>
  </si>
  <si>
    <t>若{cscope}被填满
欢乐蛋糕 {0} 层</t>
  </si>
  <si>
    <t>AddCountAs</t>
  </si>
  <si>
    <t>{ascope}额外视为 {countas} 个食物</t>
  </si>
  <si>
    <t>sk_cone_2</t>
  </si>
  <si>
    <t>ShapeMatch</t>
  </si>
  <si>
    <t>1x1</t>
  </si>
  <si>
    <t>{cscope}有占 1 格的食物时
{ascope}倍率 ×{0}</t>
  </si>
  <si>
    <t>{ascope}食物分数 {0}</t>
  </si>
  <si>
    <t>Column</t>
  </si>
  <si>
    <t>每有 1 个技能
欢乐蛋糕 {0} 层</t>
  </si>
  <si>
    <t>Category</t>
  </si>
  <si>
    <t>cat:cake</t>
  </si>
  <si>
    <t>所有{cat}倍率 ×{0}</t>
  </si>
  <si>
    <t>{ascope}分数永久 {0}</t>
  </si>
  <si>
    <t>{ascope}分数 {0}</t>
  </si>
  <si>
    <t>All</t>
  </si>
  <si>
    <t>{ascope}视为 {countas} 个食物</t>
  </si>
  <si>
    <t>{ascope}倍率 {0}</t>
  </si>
  <si>
    <t>Other</t>
  </si>
  <si>
    <t>ConsumeLayer</t>
  </si>
  <si>
    <t>消耗 {0} 层欢乐蛋糕</t>
  </si>
  <si>
    <t>LayerCount</t>
  </si>
  <si>
    <t>每消耗一层
{ascope}倍率 {0}</t>
  </si>
  <si>
    <t>multfloor:10</t>
  </si>
  <si>
    <t>欢乐蛋糕 ×{0} 层
至少 +{floor} 层</t>
  </si>
  <si>
    <t>sk_taosu_2</t>
  </si>
  <si>
    <t>Reach</t>
  </si>
  <si>
    <t>tiers:10|18|25</t>
  </si>
  <si>
    <t>tiervals:2|3|4</t>
  </si>
  <si>
    <t>{cscope}食物达 {tiers} 个时
{ascope}倍率 ×{tiervals}</t>
  </si>
  <si>
    <t>{ascope}额外视为 {0} 个食物</t>
  </si>
  <si>
    <t>{ascope}食物
额外视为 {0} 个食物</t>
  </si>
  <si>
    <t>{ascope}
分数永久 {0}</t>
  </si>
  <si>
    <t>AddCurrentScore</t>
  </si>
  <si>
    <t>将自身当前分数添加到所有{cat}食物</t>
  </si>
  <si>
    <t>{cscope}每有 1 个技能
{ascope}倍率 {0}</t>
  </si>
  <si>
    <t>{cscope}每有 1 {unit}食物
{ascope}倍率 ×{0}</t>
  </si>
  <si>
    <t>{ascope}倍率 ×{0}</t>
  </si>
  <si>
    <t>{ascope}食物倍率 {0}</t>
  </si>
  <si>
    <t>AddCurrentMult</t>
  </si>
  <si>
    <t>source:one-cell</t>
  </si>
  <si>
    <t>所有占 1 格食物的倍率
添加到自身</t>
  </si>
  <si>
    <t>将自身倍率添加到所有{cat}食物</t>
  </si>
  <si>
    <t>CategoryCount</t>
  </si>
  <si>
    <t>cake;tiers:3|5|8</t>
  </si>
  <si>
    <t>tiervals:30|50|80</t>
  </si>
  <si>
    <t>蛋糕数量达 {tiers} 时
欢乐蛋糕 +{tiervals} 层</t>
  </si>
  <si>
    <t>SkillTypeCount</t>
  </si>
  <si>
    <t>TransferSkills;tiers:3|5|8</t>
  </si>
  <si>
    <t>tiervals:2|3|4;skilltype:TransferSkills</t>
  </si>
  <si>
    <t>带甜蜜传递的食物达 {tiers} 种时
此类食物倍率 ×{tiervals}</t>
  </si>
  <si>
    <t>TriggerSweetTransfer</t>
  </si>
  <si>
    <t>axis:rowcol;skilltype:TransferSkills</t>
  </si>
  <si>
    <t>同行同列带甜蜜传递的食物
各执行一次它们的甜蜜传递</t>
  </si>
  <si>
    <t>{cscope}每有 1 个技能
{ascope}倍率 ×{0}</t>
  </si>
  <si>
    <t>CopySkill</t>
  </si>
  <si>
    <t>{ascope}获得 {0} 种不同的{cat}技能</t>
  </si>
  <si>
    <t>skilltype:TransferSkills</t>
  </si>
  <si>
    <t>使 1 个带甜蜜传递的食物
执行 1 次甜蜜传递</t>
  </si>
  <si>
    <t>菜品</t>
  </si>
  <si>
    <t>形状</t>
  </si>
  <si>
    <t>美味度</t>
  </si>
  <si>
    <t>技能</t>
  </si>
  <si>
    <t>作用乘区</t>
  </si>
  <si>
    <t>（前期/中期/后期）</t>
  </si>
  <si>
    <t>所属build</t>
  </si>
  <si>
    <t>目标</t>
  </si>
  <si>
    <t>分析</t>
  </si>
  <si>
    <t>数值</t>
  </si>
  <si>
    <t>处在棋盘边缘时
倍率 +3</t>
  </si>
  <si>
    <t>加倍率</t>
  </si>
  <si>
    <t>前</t>
  </si>
  <si>
    <t>小而多</t>
  </si>
  <si>
    <t>自己</t>
  </si>
  <si>
    <t>有条件（前期易达成），自身加倍率</t>
  </si>
  <si>
    <t>周围每有 1 种食物
分数 +5
甜蜜传递至同行 1 个食物</t>
  </si>
  <si>
    <t>分数</t>
  </si>
  <si>
    <t>传递</t>
  </si>
  <si>
    <t>自己与另一</t>
  </si>
  <si>
    <t>前期更易，自身和另一个同行的加分数</t>
  </si>
  <si>
    <t>周围每有1个空格
分数-2</t>
  </si>
  <si>
    <t>保证空格少</t>
  </si>
  <si>
    <t>周围每有 1 个食物
欢乐蛋糕 +2层</t>
  </si>
  <si>
    <t>buff</t>
  </si>
  <si>
    <t>前中后</t>
  </si>
  <si>
    <t>攒Buff/小而多</t>
  </si>
  <si>
    <t>都适用，加层4～8+</t>
  </si>
  <si>
    <t>结算时
分数永久+8</t>
  </si>
  <si>
    <t>自身永久加分数</t>
  </si>
  <si>
    <t>4回合回本</t>
  </si>
  <si>
    <t>本列每有1个食物
倍率+0.4</t>
  </si>
  <si>
    <t>前中</t>
  </si>
  <si>
    <t>列检测数量，加倍率</t>
  </si>
  <si>
    <t>本行每有1个食物
分数+8</t>
  </si>
  <si>
    <t>行检测数量，加分数</t>
  </si>
  <si>
    <t>每有1个技能
分数永久+5</t>
  </si>
  <si>
    <t>永久加分数</t>
  </si>
  <si>
    <t>技能检测数量，永久加分数</t>
  </si>
  <si>
    <t>前提</t>
  </si>
  <si>
    <t>本行每有1种食物
周围及自身
倍率+0.15</t>
  </si>
  <si>
    <t>自己及周围</t>
  </si>
  <si>
    <t>行检测种数，范围加倍率</t>
  </si>
  <si>
    <t>欢乐蛋糕+8层</t>
  </si>
  <si>
    <t>攒Buff</t>
  </si>
  <si>
    <t>加层数</t>
  </si>
  <si>
    <t>类别</t>
  </si>
  <si>
    <t>技能机制</t>
  </si>
  <si>
    <t>技能详情</t>
  </si>
  <si>
    <t>周围每有1个食物
倍率+0.2
甜蜜传递至周围1个食物</t>
  </si>
  <si>
    <t>周围检测数量，加倍率，传递到周围</t>
  </si>
  <si>
    <t>空间</t>
  </si>
  <si>
    <t>位置检测</t>
  </si>
  <si>
    <t>如果（同行/同列/周围/全部）被填满</t>
  </si>
  <si>
    <t>若周围被填满
获得10个金币</t>
  </si>
  <si>
    <t>金币</t>
  </si>
  <si>
    <t>通用</t>
  </si>
  <si>
    <t>加钱</t>
  </si>
  <si>
    <t>乘倍率</t>
  </si>
  <si>
    <t>空格检测</t>
  </si>
  <si>
    <t>（周围/同列/同行/空）每有1个空格</t>
  </si>
  <si>
    <t>若本行被填满
欢乐蛋糕+10层</t>
  </si>
  <si>
    <t>有条件加层数</t>
  </si>
  <si>
    <t>1格</t>
  </si>
  <si>
    <t>边缘检测</t>
  </si>
  <si>
    <t>若本食物处在边缘</t>
  </si>
  <si>
    <t>额外视为 1 个食物
本行每有 1 个食物
倍率 +0.5</t>
  </si>
  <si>
    <t>中</t>
  </si>
  <si>
    <t>行检测数量，加自身倍率</t>
  </si>
  <si>
    <t>2格</t>
  </si>
  <si>
    <t>数量</t>
  </si>
  <si>
    <t>检测数量</t>
  </si>
  <si>
    <t>（周围/同列/同行/空）每有1（种/个）食物</t>
  </si>
  <si>
    <t>蛋糕+15层
额外视为2个食物</t>
  </si>
  <si>
    <t>加层数，过度</t>
  </si>
  <si>
    <t>3格</t>
  </si>
  <si>
    <t>阶梯数量</t>
  </si>
  <si>
    <t>（周围/同列/同行/空）食物数量达到[2/5/10]时</t>
  </si>
  <si>
    <t>4格</t>
  </si>
  <si>
    <t>大小检测</t>
  </si>
  <si>
    <t>（周围/同列/同行/空）每有1（种/个）（大于等于/小于等于）3格的食物</t>
  </si>
  <si>
    <t>周围有占1格的食物时
倍率x1.5
甜蜜传递至同行2个食物</t>
  </si>
  <si>
    <t>传递/小而多</t>
  </si>
  <si>
    <t>自己与另二</t>
  </si>
  <si>
    <t>周围检测，同列传递</t>
  </si>
  <si>
    <t>顺序检测</t>
  </si>
  <si>
    <t>（前面/后面）每有1个食物</t>
  </si>
  <si>
    <t>本行食物
分数+10
甜蜜传递至同列1个食物</t>
  </si>
  <si>
    <t>加分数</t>
  </si>
  <si>
    <t>中后</t>
  </si>
  <si>
    <t>本行</t>
  </si>
  <si>
    <t>种类</t>
  </si>
  <si>
    <t>空间相同检测</t>
  </si>
  <si>
    <t>（周围/同列/同行/空）每有1（种/个）相同的食物</t>
  </si>
  <si>
    <t>每有1个技能
欢乐蛋糕+6层
甜蜜传递至同行1个食物</t>
  </si>
  <si>
    <t>buff/传递</t>
  </si>
  <si>
    <t>技能转层数</t>
  </si>
  <si>
    <t>大局相同检测</t>
  </si>
  <si>
    <t>本局每结算过一次本种菜品</t>
  </si>
  <si>
    <t>蛋糕食物
倍率x1.2
欢乐蛋糕+5层</t>
  </si>
  <si>
    <t>蛋糕</t>
  </si>
  <si>
    <t>一类乘倍率，加buff</t>
  </si>
  <si>
    <t>小局相同检测</t>
  </si>
  <si>
    <t>本次美食品鉴，每（结算过一次/有一个）本种菜品</t>
  </si>
  <si>
    <t>标签</t>
  </si>
  <si>
    <t>标签检测</t>
  </si>
  <si>
    <t>本食物每有1（种/个）技能</t>
  </si>
  <si>
    <t>分数永久+10
甜蜜传递至同列2个食物</t>
  </si>
  <si>
    <t>分数永久加</t>
  </si>
  <si>
    <t>形状检测</t>
  </si>
  <si>
    <t>（周围/同列/同行/空）每有1（种/个）1*1的食物</t>
  </si>
  <si>
    <t>若（周围/全部）存在xx形状的空格</t>
  </si>
  <si>
    <t>周围及自身
分数+10
甜蜜传递至同行2个食物</t>
  </si>
  <si>
    <t>结算</t>
  </si>
  <si>
    <t>周围加，同行传</t>
  </si>
  <si>
    <t>上菜</t>
  </si>
  <si>
    <t>上菜时检测</t>
  </si>
  <si>
    <t>上菜时，（同行/同列/周围/全部）每有1（种/个）食物</t>
  </si>
  <si>
    <t>上菜检测</t>
  </si>
  <si>
    <t>上菜时</t>
  </si>
  <si>
    <t>额外视为3个食物
全场每有1个食物
倍率+0.2</t>
  </si>
  <si>
    <t>全场检测加自身倍率</t>
  </si>
  <si>
    <t>菜谱</t>
  </si>
  <si>
    <t>菜谱检测</t>
  </si>
  <si>
    <t>菜谱中食物（大于等于/小于等于）3（种/个）时</t>
  </si>
  <si>
    <t>周围及自身
倍率+1.5
甜蜜传递1个食物</t>
  </si>
  <si>
    <t>倍率</t>
  </si>
  <si>
    <t>周围加倍率，随机传</t>
  </si>
  <si>
    <t>特定种类检测</t>
  </si>
  <si>
    <t>带有“蛋糕”的食物数量达到4（种/个）时</t>
  </si>
  <si>
    <t>最多消耗5层欢乐蛋糕
每消耗一层
本行倍率+0.8</t>
  </si>
  <si>
    <t>本行倍率加</t>
  </si>
  <si>
    <t>传递检测</t>
  </si>
  <si>
    <t>本食物每有1个被传递的技能</t>
  </si>
  <si>
    <t>本食物有被传递的技能时</t>
  </si>
  <si>
    <t>传递次数检测</t>
  </si>
  <si>
    <t>本局传递次数达到10次时</t>
  </si>
  <si>
    <t>本列食物
倍率+1
甜蜜传递至同行2个食物</t>
  </si>
  <si>
    <t>本列</t>
  </si>
  <si>
    <t>本列倍率加</t>
  </si>
  <si>
    <t>层数检测</t>
  </si>
  <si>
    <t>欢乐蛋糕层数小于等于10层时</t>
  </si>
  <si>
    <t>状态</t>
  </si>
  <si>
    <t>特殊状态检测</t>
  </si>
  <si>
    <t>（周围/同列/同行/空）有n个（失效/消耗）的食物时</t>
  </si>
  <si>
    <t>欢乐蛋糕x1.5层
至少+10层</t>
  </si>
  <si>
    <t>使1个带有甜蜜传递的食物
额外结算1次甜蜜传递</t>
  </si>
  <si>
    <t>本行倍率乘</t>
  </si>
  <si>
    <t>层数消耗</t>
  </si>
  <si>
    <t>消耗（5层/所有）欢乐蛋糕层数</t>
  </si>
  <si>
    <t>层数转化分数</t>
  </si>
  <si>
    <t>每10层使（周围/同列/同行/空/下一个结算）（全部/随机两个）食物分数（x1.5/+10）</t>
  </si>
  <si>
    <t>额外视为5个食物
本行食物达「10/18/25」个时
本行倍率x「2/3/4」</t>
  </si>
  <si>
    <t>周围倍率乘</t>
  </si>
  <si>
    <t>层数转化结算</t>
  </si>
  <si>
    <t>每10层使（周围/同列/同行/空/下一个结算）（全部/随机两个）食物额外结算1次</t>
  </si>
  <si>
    <t>层数增加</t>
  </si>
  <si>
    <t>欢乐蛋糕层数（x1.5/+10）</t>
  </si>
  <si>
    <t>额外视为4个食物
周围及自身倍率x2.5</t>
  </si>
  <si>
    <t>周围倍率加</t>
  </si>
  <si>
    <t>多次结算</t>
  </si>
  <si>
    <t>（周围/同列/同行/全部/本/下一个结算）（随机2个/空）食物，（周围/同列/同行/全部/本）（随机2个/空）额外结算1次</t>
  </si>
  <si>
    <t>额外视为7个食物
周围及自身
倍率+5</t>
  </si>
  <si>
    <t>分数增加</t>
  </si>
  <si>
    <t>（周围/同列/同行/空/下一个结算）（全部/随机两个）食物分数（x1.5/+10）</t>
  </si>
  <si>
    <t>分数传递</t>
  </si>
  <si>
    <t>将（所有/1个）（周围/同列/同行/任意/下一个结算）食物分数（的1/3），加至（本/n个/所有）（同列/周围/同行/任意/下一个结算）食物上</t>
  </si>
  <si>
    <t>本列食物
额外被视为2个食物
本列食物分数+50</t>
  </si>
  <si>
    <t>经济运营</t>
  </si>
  <si>
    <t>获得5个金币</t>
  </si>
  <si>
    <t>临时复制</t>
  </si>
  <si>
    <t>临时复制（周围/同列/同行/空/下一个结算）（全部/随机两个）食物的到空格中</t>
  </si>
  <si>
    <t>分数永久+10
将本食物的分数加至蛋糕食物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</si>
  <si>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</si>
  <si>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</si>
  <si>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</si>
  <si>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消耗（周围/同列/同行/全部/本/下一个结算）（随机2个/空）食物</t>
  </si>
  <si>
    <t>蛋糕层数+40</t>
  </si>
  <si>
    <t>自身</t>
  </si>
  <si>
    <t>技能复制</t>
  </si>
  <si>
    <t>复制（周围/同列/同行/全部/本/下一个结算）（随机2个/空）食物的任意一个技能</t>
  </si>
  <si>
    <t>技能获得</t>
  </si>
  <si>
    <t>（周围/同列/同行/全部/本/下一个结算）（随机2个/空）食物获得技能</t>
  </si>
  <si>
    <t>每有1个技能
倍率+3
甜蜜传递至同列3个食物</t>
  </si>
  <si>
    <t>后</t>
  </si>
  <si>
    <t>失效食物</t>
  </si>
  <si>
    <t>使（周围/同列/同行/全部/本/下一个结算）（随机2个/空）食物技能在本局失效</t>
  </si>
  <si>
    <t>多数菜</t>
  </si>
  <si>
    <t>本菜视为2种菜</t>
  </si>
  <si>
    <t>额外视为9个食物
周围每有1个食物
周围及自身倍率x1.2</t>
  </si>
  <si>
    <t>额外视为4个食物
本行倍率x3</t>
  </si>
  <si>
    <t>蛋糕层数+20
所有食物倍率+1</t>
  </si>
  <si>
    <t>额外视为7个食物
将所有占1格食物的倍率
添加到自身</t>
  </si>
  <si>
    <t>倍率+8
将倍率加到蛋糕食物上</t>
  </si>
  <si>
    <t>本行每有1个食物
周围及自身
倍率+0.5</t>
  </si>
  <si>
    <t>蛋糕食物倍率x2
蛋糕数量达3/5/8时
蛋糕层数+30/50/80</t>
  </si>
  <si>
    <t>甜蜜传递食物达「3/5/8」种
此类食物倍率x「2/3/4」</t>
  </si>
  <si>
    <t>周围每有1种食物
蛋糕层数+10层</t>
  </si>
  <si>
    <t>额外视为3个食物
周围及自身倍率x1.5</t>
  </si>
  <si>
    <t>本列食物倍率x1.3
甜蜜传递至周围1个食物</t>
  </si>
  <si>
    <t>同行同列带有甜蜜传递的食物
执行一次它们的甜蜜传递</t>
  </si>
  <si>
    <t>每有1个技能
倍率x2
甜蜜传递至同行食物</t>
  </si>
  <si>
    <t>获得3种不同的蛋糕技能</t>
  </si>
  <si>
    <t>同列</t>
  </si>
  <si>
    <t>周围/同列</t>
  </si>
  <si>
    <t>同行</t>
  </si>
  <si>
    <t>同行/同列</t>
  </si>
  <si>
    <t>周围/同行/同列</t>
  </si>
  <si>
    <t>周围/同行</t>
  </si>
  <si>
    <t>下侧所有/下侧</t>
  </si>
  <si>
    <t>下侧所有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</si>
</sst>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2"/>
      <name val="宋体-简"/>
      <charset val="134"/>
    </font>
    <font>
      <sz val="12"/>
      <color rgb="FF101418"/>
      <name val="宋体"/>
      <charset val="134"/>
    </font>
    <font>
      <sz val="11"/>
      <name val="宋体"/>
      <charset val="134"/>
    </font>
    <font>
      <sz val="12"/>
      <name val="Calibri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1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12" borderId="5">
      <alignment vertical="center"/>
    </xf>
    <xf numFmtId="0" fontId="14" fillId="13" borderId="6">
      <alignment vertical="center"/>
    </xf>
    <xf numFmtId="0" fontId="15" fillId="13" borderId="5">
      <alignment vertical="center"/>
    </xf>
    <xf numFmtId="0" fontId="16" fillId="14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15" borderId="0">
      <alignment vertical="center"/>
    </xf>
    <xf numFmtId="0" fontId="20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0" fillId="35" borderId="0">
      <alignment vertical="center"/>
    </xf>
    <xf numFmtId="0" fontId="0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0" fillId="39" borderId="0">
      <alignment vertical="center"/>
    </xf>
    <xf numFmtId="0" fontId="0" fillId="40" borderId="0">
      <alignment vertical="center"/>
    </xf>
    <xf numFmtId="0" fontId="22" fillId="41" borderId="0">
      <alignment vertical="center"/>
    </xf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Y101"/>
  <sheetViews>
    <sheetView topLeftCell="A16" workbookViewId="0">
      <selection activeCell="B4" sqref="B4:B90"/>
    </sheetView>
  </sheetViews>
  <sheetFormatPr defaultColWidth="9" defaultRowHeight="16.8"/>
  <cols>
    <col min="1" max="1" width="13.0769230769231" style="1" customWidth="1"/>
    <col min="2" max="2" width="14.1538461538462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1" width="9" style="1" customWidth="1"/>
    <col min="12" max="13" width="11.6923076923077" style="1" customWidth="1"/>
    <col min="14" max="15" width="6.89423076923077" style="1" customWidth="1"/>
    <col min="16" max="21" width="7.04807692307692" style="1" customWidth="1"/>
    <col min="22" max="16381" width="9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K1" s="1" t="str">
        <f>""</f>
        <v/>
      </c>
    </row>
    <row r="2" spans="1:11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K2" s="1" t="str">
        <f>""</f>
        <v/>
      </c>
    </row>
    <row r="3" spans="1:11">
      <c r="A3" s="1" t="s">
        <v>18</v>
      </c>
      <c r="B3" s="1" t="s">
        <v>19</v>
      </c>
      <c r="C3" s="1" t="s">
        <v>19</v>
      </c>
      <c r="D3" s="1" t="s">
        <v>20</v>
      </c>
      <c r="E3" s="1" t="s">
        <v>21</v>
      </c>
      <c r="F3" s="1" t="s">
        <v>19</v>
      </c>
      <c r="G3" s="1" t="s">
        <v>19</v>
      </c>
      <c r="H3" s="1" t="s">
        <v>20</v>
      </c>
      <c r="I3" s="1" t="s">
        <v>22</v>
      </c>
      <c r="K3" s="1" t="str">
        <f>""</f>
        <v/>
      </c>
    </row>
    <row r="4" spans="2:15">
      <c r="B4" s="27" t="s">
        <v>23</v>
      </c>
      <c r="C4" s="1" t="s">
        <v>24</v>
      </c>
      <c r="D4" s="1">
        <v>10</v>
      </c>
      <c r="E4" s="1" t="s">
        <v>25</v>
      </c>
      <c r="F4" s="1" t="s">
        <v>26</v>
      </c>
      <c r="G4" s="1" t="s">
        <v>27</v>
      </c>
      <c r="H4" s="1">
        <v>1</v>
      </c>
      <c r="I4" s="1" t="s">
        <v>28</v>
      </c>
      <c r="K4" s="1">
        <v>1</v>
      </c>
      <c r="L4" s="1" t="str">
        <f>VLOOKUP(K4,$R$24:$U$29,3,FALSE)</f>
        <v>10,40</v>
      </c>
      <c r="M4" s="1" t="str">
        <f>VLOOKUP(K4,$R$24:$U$29,4,FALSE)</f>
        <v>40,80</v>
      </c>
      <c r="N4" s="1">
        <f>K4*15</f>
        <v>15</v>
      </c>
      <c r="O4" s="1">
        <f>ROUNDUP(N4*1.4+30,-1)</f>
        <v>60</v>
      </c>
    </row>
    <row r="5" spans="2:15">
      <c r="B5" s="27" t="s">
        <v>29</v>
      </c>
      <c r="C5" s="1" t="s">
        <v>30</v>
      </c>
      <c r="D5" s="1">
        <v>10</v>
      </c>
      <c r="E5" s="1" t="s">
        <v>25</v>
      </c>
      <c r="F5" s="1" t="s">
        <v>31</v>
      </c>
      <c r="G5" s="1" t="s">
        <v>27</v>
      </c>
      <c r="H5" s="1">
        <v>1</v>
      </c>
      <c r="I5" s="1" t="s">
        <v>28</v>
      </c>
      <c r="K5" s="1">
        <v>1</v>
      </c>
      <c r="L5" s="1" t="str">
        <f t="shared" ref="L5:L38" si="0">VLOOKUP(K5,$R$24:$U$29,3,FALSE)</f>
        <v>10,40</v>
      </c>
      <c r="M5" s="1" t="str">
        <f t="shared" ref="M5:M38" si="1">VLOOKUP(K5,$R$24:$U$29,4,FALSE)</f>
        <v>40,80</v>
      </c>
      <c r="N5" s="1">
        <f t="shared" ref="N5:N36" si="2">K5*15</f>
        <v>15</v>
      </c>
      <c r="O5" s="1">
        <f t="shared" ref="O5:O38" si="3">ROUNDUP(N5*1.4+30,-1)</f>
        <v>60</v>
      </c>
    </row>
    <row r="6" spans="2:15">
      <c r="B6" s="1" t="s">
        <v>32</v>
      </c>
      <c r="C6" s="1" t="s">
        <v>33</v>
      </c>
      <c r="D6" s="1">
        <v>30</v>
      </c>
      <c r="E6" s="1" t="s">
        <v>25</v>
      </c>
      <c r="F6" s="1" t="s">
        <v>34</v>
      </c>
      <c r="G6" s="1" t="s">
        <v>27</v>
      </c>
      <c r="H6" s="1">
        <v>1</v>
      </c>
      <c r="I6" s="1" t="s">
        <v>28</v>
      </c>
      <c r="K6" s="1">
        <v>1</v>
      </c>
      <c r="L6" s="1" t="str">
        <f t="shared" si="0"/>
        <v>10,40</v>
      </c>
      <c r="M6" s="1" t="str">
        <f t="shared" si="1"/>
        <v>40,80</v>
      </c>
      <c r="N6" s="1">
        <f t="shared" si="2"/>
        <v>15</v>
      </c>
      <c r="O6" s="1">
        <f t="shared" si="3"/>
        <v>60</v>
      </c>
    </row>
    <row r="7" spans="2:15">
      <c r="B7" s="1" t="s">
        <v>35</v>
      </c>
      <c r="C7" s="1" t="s">
        <v>36</v>
      </c>
      <c r="D7" s="1">
        <v>10</v>
      </c>
      <c r="E7" s="1" t="s">
        <v>25</v>
      </c>
      <c r="F7" s="1" t="s">
        <v>37</v>
      </c>
      <c r="G7" s="1" t="s">
        <v>27</v>
      </c>
      <c r="H7" s="1">
        <v>1</v>
      </c>
      <c r="I7" s="1" t="s">
        <v>28</v>
      </c>
      <c r="K7" s="1">
        <v>1</v>
      </c>
      <c r="L7" s="1" t="str">
        <f t="shared" si="0"/>
        <v>10,40</v>
      </c>
      <c r="M7" s="1" t="str">
        <f t="shared" si="1"/>
        <v>40,80</v>
      </c>
      <c r="N7" s="1">
        <f t="shared" si="2"/>
        <v>15</v>
      </c>
      <c r="O7" s="1">
        <f t="shared" si="3"/>
        <v>60</v>
      </c>
    </row>
    <row r="8" spans="2:15">
      <c r="B8" s="1" t="s">
        <v>38</v>
      </c>
      <c r="C8" s="1" t="s">
        <v>39</v>
      </c>
      <c r="D8" s="1">
        <v>10</v>
      </c>
      <c r="E8" s="1" t="s">
        <v>25</v>
      </c>
      <c r="F8" s="1" t="s">
        <v>40</v>
      </c>
      <c r="G8"/>
      <c r="H8" s="1">
        <v>1</v>
      </c>
      <c r="I8" s="1" t="s">
        <v>28</v>
      </c>
      <c r="K8" s="1">
        <v>1</v>
      </c>
      <c r="L8" s="1" t="str">
        <f t="shared" si="0"/>
        <v>10,40</v>
      </c>
      <c r="M8" s="1" t="str">
        <f t="shared" si="1"/>
        <v>40,80</v>
      </c>
      <c r="N8" s="1">
        <f t="shared" si="2"/>
        <v>15</v>
      </c>
      <c r="O8" s="1">
        <f t="shared" si="3"/>
        <v>60</v>
      </c>
    </row>
    <row r="9" spans="2:15">
      <c r="B9" s="1" t="s">
        <v>41</v>
      </c>
      <c r="C9" s="1" t="s">
        <v>42</v>
      </c>
      <c r="D9" s="1">
        <v>10</v>
      </c>
      <c r="E9" s="1" t="s">
        <v>25</v>
      </c>
      <c r="F9" s="1" t="s">
        <v>43</v>
      </c>
      <c r="G9"/>
      <c r="H9" s="1">
        <v>1</v>
      </c>
      <c r="I9" s="1" t="s">
        <v>28</v>
      </c>
      <c r="K9" s="1">
        <v>1</v>
      </c>
      <c r="L9" s="1" t="str">
        <f t="shared" si="0"/>
        <v>10,40</v>
      </c>
      <c r="M9" s="1" t="str">
        <f t="shared" si="1"/>
        <v>40,80</v>
      </c>
      <c r="N9" s="1">
        <f t="shared" si="2"/>
        <v>15</v>
      </c>
      <c r="O9" s="1">
        <f t="shared" si="3"/>
        <v>60</v>
      </c>
    </row>
    <row r="10" spans="2:15">
      <c r="B10" s="1" t="s">
        <v>44</v>
      </c>
      <c r="C10" s="1" t="s">
        <v>45</v>
      </c>
      <c r="D10" s="1">
        <v>10</v>
      </c>
      <c r="E10" s="1" t="s">
        <v>25</v>
      </c>
      <c r="F10" s="1" t="s">
        <v>46</v>
      </c>
      <c r="G10"/>
      <c r="H10" s="1">
        <v>1</v>
      </c>
      <c r="I10" s="1" t="s">
        <v>28</v>
      </c>
      <c r="K10" s="1">
        <v>1</v>
      </c>
      <c r="L10" s="1" t="str">
        <f t="shared" si="0"/>
        <v>10,40</v>
      </c>
      <c r="M10" s="1" t="str">
        <f t="shared" si="1"/>
        <v>40,80</v>
      </c>
      <c r="N10" s="1">
        <f t="shared" si="2"/>
        <v>15</v>
      </c>
      <c r="O10" s="1">
        <f t="shared" si="3"/>
        <v>60</v>
      </c>
    </row>
    <row r="11" spans="2:15">
      <c r="B11" s="1" t="s">
        <v>47</v>
      </c>
      <c r="C11" s="1" t="s">
        <v>48</v>
      </c>
      <c r="D11" s="1">
        <v>10</v>
      </c>
      <c r="E11" s="1" t="s">
        <v>25</v>
      </c>
      <c r="F11" s="1" t="s">
        <v>49</v>
      </c>
      <c r="G11"/>
      <c r="H11" s="1">
        <v>1</v>
      </c>
      <c r="I11" s="1" t="s">
        <v>28</v>
      </c>
      <c r="K11" s="1">
        <v>1</v>
      </c>
      <c r="L11" s="1" t="str">
        <f t="shared" si="0"/>
        <v>10,40</v>
      </c>
      <c r="M11" s="1" t="str">
        <f t="shared" si="1"/>
        <v>40,80</v>
      </c>
      <c r="N11" s="1">
        <f t="shared" si="2"/>
        <v>15</v>
      </c>
      <c r="O11" s="1">
        <f t="shared" si="3"/>
        <v>60</v>
      </c>
    </row>
    <row r="12" spans="2:25">
      <c r="B12" s="1" t="s">
        <v>50</v>
      </c>
      <c r="C12" s="1" t="s">
        <v>51</v>
      </c>
      <c r="D12" s="1">
        <v>10</v>
      </c>
      <c r="E12" s="1" t="s">
        <v>25</v>
      </c>
      <c r="F12" s="1" t="s">
        <v>52</v>
      </c>
      <c r="G12"/>
      <c r="H12" s="1">
        <v>1</v>
      </c>
      <c r="I12" s="1" t="s">
        <v>28</v>
      </c>
      <c r="K12" s="1">
        <v>1</v>
      </c>
      <c r="L12" s="1" t="str">
        <f t="shared" si="0"/>
        <v>10,40</v>
      </c>
      <c r="M12" s="1" t="str">
        <f t="shared" si="1"/>
        <v>40,80</v>
      </c>
      <c r="N12" s="1">
        <f t="shared" si="2"/>
        <v>15</v>
      </c>
      <c r="O12" s="1">
        <f t="shared" si="3"/>
        <v>60</v>
      </c>
      <c r="Q12" s="1" t="s">
        <v>53</v>
      </c>
      <c r="R12" s="1">
        <v>10</v>
      </c>
      <c r="S12" s="1">
        <v>11</v>
      </c>
      <c r="T12" s="1">
        <v>12</v>
      </c>
      <c r="U12" s="1">
        <v>13</v>
      </c>
      <c r="V12" s="1">
        <v>14</v>
      </c>
      <c r="W12" s="1">
        <v>15</v>
      </c>
      <c r="X12" s="1">
        <v>16</v>
      </c>
      <c r="Y12" s="1">
        <v>17</v>
      </c>
    </row>
    <row r="13" spans="2:25">
      <c r="B13" s="1" t="s">
        <v>54</v>
      </c>
      <c r="C13" s="1" t="s">
        <v>55</v>
      </c>
      <c r="D13" s="1">
        <v>10</v>
      </c>
      <c r="E13" s="1" t="s">
        <v>25</v>
      </c>
      <c r="F13" s="1" t="s">
        <v>56</v>
      </c>
      <c r="G13"/>
      <c r="H13" s="1">
        <v>1</v>
      </c>
      <c r="I13" s="1" t="s">
        <v>28</v>
      </c>
      <c r="K13" s="1">
        <v>1</v>
      </c>
      <c r="L13" s="1" t="str">
        <f t="shared" si="0"/>
        <v>10,40</v>
      </c>
      <c r="M13" s="1" t="str">
        <f t="shared" si="1"/>
        <v>40,80</v>
      </c>
      <c r="N13" s="1">
        <f t="shared" si="2"/>
        <v>15</v>
      </c>
      <c r="O13" s="1">
        <f t="shared" si="3"/>
        <v>60</v>
      </c>
      <c r="Q13" s="1" t="s">
        <v>57</v>
      </c>
      <c r="R13" s="1">
        <v>20</v>
      </c>
      <c r="S13" s="1">
        <v>21</v>
      </c>
      <c r="T13" s="1">
        <v>22</v>
      </c>
      <c r="U13" s="1">
        <v>23</v>
      </c>
      <c r="V13" s="1">
        <v>24</v>
      </c>
      <c r="W13" s="1">
        <v>25</v>
      </c>
      <c r="X13" s="1">
        <v>26</v>
      </c>
      <c r="Y13" s="1">
        <v>27</v>
      </c>
    </row>
    <row r="14" spans="2:25">
      <c r="B14" s="1" t="s">
        <v>58</v>
      </c>
      <c r="C14" s="1" t="s">
        <v>59</v>
      </c>
      <c r="D14" s="1">
        <v>10</v>
      </c>
      <c r="E14" s="1" t="s">
        <v>25</v>
      </c>
      <c r="F14" s="1" t="s">
        <v>60</v>
      </c>
      <c r="G14"/>
      <c r="H14" s="1">
        <v>1</v>
      </c>
      <c r="I14" s="1" t="s">
        <v>28</v>
      </c>
      <c r="K14" s="1">
        <v>1</v>
      </c>
      <c r="L14" s="1" t="str">
        <f t="shared" si="0"/>
        <v>10,40</v>
      </c>
      <c r="M14" s="1" t="str">
        <f t="shared" si="1"/>
        <v>40,80</v>
      </c>
      <c r="N14" s="1">
        <f t="shared" si="2"/>
        <v>15</v>
      </c>
      <c r="O14" s="1">
        <f t="shared" si="3"/>
        <v>60</v>
      </c>
      <c r="Q14" s="1" t="s">
        <v>61</v>
      </c>
      <c r="R14" s="1">
        <v>30</v>
      </c>
      <c r="S14" s="1">
        <v>31</v>
      </c>
      <c r="T14" s="1">
        <v>32</v>
      </c>
      <c r="U14" s="1">
        <v>33</v>
      </c>
      <c r="V14" s="1">
        <v>34</v>
      </c>
      <c r="W14" s="1">
        <v>35</v>
      </c>
      <c r="X14" s="1">
        <v>36</v>
      </c>
      <c r="Y14" s="1">
        <v>37</v>
      </c>
    </row>
    <row r="15" spans="2:25">
      <c r="B15" s="1" t="s">
        <v>62</v>
      </c>
      <c r="C15" s="1" t="s">
        <v>63</v>
      </c>
      <c r="D15" s="1">
        <v>10</v>
      </c>
      <c r="E15" s="1" t="s">
        <v>25</v>
      </c>
      <c r="F15" s="1" t="s">
        <v>64</v>
      </c>
      <c r="G15"/>
      <c r="H15" s="1">
        <v>1</v>
      </c>
      <c r="I15" s="1" t="s">
        <v>28</v>
      </c>
      <c r="K15" s="1">
        <v>1</v>
      </c>
      <c r="L15" s="1" t="str">
        <f t="shared" si="0"/>
        <v>10,40</v>
      </c>
      <c r="M15" s="1" t="str">
        <f t="shared" si="1"/>
        <v>40,80</v>
      </c>
      <c r="N15" s="1">
        <f t="shared" si="2"/>
        <v>15</v>
      </c>
      <c r="O15" s="1">
        <f t="shared" si="3"/>
        <v>60</v>
      </c>
      <c r="Q15" s="1" t="s">
        <v>65</v>
      </c>
      <c r="R15" s="1">
        <v>40</v>
      </c>
      <c r="S15" s="1">
        <v>41</v>
      </c>
      <c r="T15" s="1">
        <v>42</v>
      </c>
      <c r="U15" s="1">
        <v>43</v>
      </c>
      <c r="V15" s="1">
        <v>44</v>
      </c>
      <c r="W15" s="1">
        <v>45</v>
      </c>
      <c r="X15" s="1">
        <v>46</v>
      </c>
      <c r="Y15" s="1">
        <v>47</v>
      </c>
    </row>
    <row r="16" spans="2:25">
      <c r="B16" s="1" t="s">
        <v>66</v>
      </c>
      <c r="C16" s="1" t="s">
        <v>67</v>
      </c>
      <c r="D16" s="1">
        <v>10</v>
      </c>
      <c r="E16" s="1" t="s">
        <v>25</v>
      </c>
      <c r="F16" s="1" t="s">
        <v>68</v>
      </c>
      <c r="G16"/>
      <c r="H16" s="1">
        <v>1</v>
      </c>
      <c r="I16" s="1" t="s">
        <v>28</v>
      </c>
      <c r="K16" s="1">
        <v>1</v>
      </c>
      <c r="L16" s="1" t="str">
        <f t="shared" si="0"/>
        <v>10,40</v>
      </c>
      <c r="M16" s="1" t="str">
        <f t="shared" si="1"/>
        <v>40,80</v>
      </c>
      <c r="N16" s="1">
        <f t="shared" si="2"/>
        <v>15</v>
      </c>
      <c r="O16" s="1">
        <f t="shared" si="3"/>
        <v>60</v>
      </c>
      <c r="Q16" s="1" t="s">
        <v>69</v>
      </c>
      <c r="R16" s="1">
        <v>50</v>
      </c>
      <c r="S16" s="1">
        <v>51</v>
      </c>
      <c r="T16" s="1">
        <v>52</v>
      </c>
      <c r="U16" s="1">
        <v>53</v>
      </c>
      <c r="V16" s="1">
        <v>54</v>
      </c>
      <c r="W16" s="1">
        <v>55</v>
      </c>
      <c r="X16" s="1">
        <v>56</v>
      </c>
      <c r="Y16" s="1">
        <v>57</v>
      </c>
    </row>
    <row r="17" spans="2:15">
      <c r="B17" s="1" t="s">
        <v>70</v>
      </c>
      <c r="C17" s="1" t="s">
        <v>71</v>
      </c>
      <c r="D17" s="1">
        <v>20</v>
      </c>
      <c r="E17" s="1" t="s">
        <v>25</v>
      </c>
      <c r="F17" s="1" t="s">
        <v>72</v>
      </c>
      <c r="G17"/>
      <c r="H17" s="1">
        <v>1</v>
      </c>
      <c r="I17" s="1" t="s">
        <v>73</v>
      </c>
      <c r="K17" s="1">
        <v>2</v>
      </c>
      <c r="L17" s="1" t="str">
        <f t="shared" si="0"/>
        <v>10,45</v>
      </c>
      <c r="M17" s="1" t="str">
        <f t="shared" si="1"/>
        <v>45,80</v>
      </c>
      <c r="N17" s="1">
        <f t="shared" si="2"/>
        <v>30</v>
      </c>
      <c r="O17" s="1">
        <f t="shared" si="3"/>
        <v>80</v>
      </c>
    </row>
    <row r="18" spans="2:15">
      <c r="B18" s="1" t="s">
        <v>74</v>
      </c>
      <c r="C18" s="1" t="s">
        <v>75</v>
      </c>
      <c r="D18" s="1">
        <v>20</v>
      </c>
      <c r="E18" s="1" t="s">
        <v>25</v>
      </c>
      <c r="F18" s="1" t="s">
        <v>76</v>
      </c>
      <c r="G18"/>
      <c r="H18" s="1">
        <v>1</v>
      </c>
      <c r="I18" s="1" t="s">
        <v>28</v>
      </c>
      <c r="K18" s="1">
        <v>2</v>
      </c>
      <c r="L18" s="1" t="str">
        <f t="shared" si="0"/>
        <v>10,45</v>
      </c>
      <c r="M18" s="1" t="str">
        <f t="shared" si="1"/>
        <v>45,80</v>
      </c>
      <c r="N18" s="1">
        <f t="shared" si="2"/>
        <v>30</v>
      </c>
      <c r="O18" s="1">
        <f t="shared" si="3"/>
        <v>80</v>
      </c>
    </row>
    <row r="19" hidden="1" spans="7:15">
      <c r="G19"/>
      <c r="I19" s="1" t="s">
        <v>28</v>
      </c>
      <c r="K19" s="1">
        <v>2</v>
      </c>
      <c r="L19" s="1" t="str">
        <f t="shared" si="0"/>
        <v>10,45</v>
      </c>
      <c r="M19" s="1" t="str">
        <f t="shared" si="1"/>
        <v>45,80</v>
      </c>
      <c r="N19" s="1">
        <f t="shared" si="2"/>
        <v>30</v>
      </c>
      <c r="O19" s="1">
        <f t="shared" si="3"/>
        <v>80</v>
      </c>
    </row>
    <row r="20" spans="2:15">
      <c r="B20" s="1" t="s">
        <v>77</v>
      </c>
      <c r="C20" s="1" t="s">
        <v>78</v>
      </c>
      <c r="D20" s="1">
        <v>20</v>
      </c>
      <c r="E20" s="1" t="s">
        <v>25</v>
      </c>
      <c r="F20" s="1" t="s">
        <v>79</v>
      </c>
      <c r="G20" s="1" t="s">
        <v>27</v>
      </c>
      <c r="H20" s="1">
        <v>1</v>
      </c>
      <c r="I20" s="1" t="s">
        <v>73</v>
      </c>
      <c r="K20" s="1">
        <v>2</v>
      </c>
      <c r="L20" s="1" t="str">
        <f t="shared" si="0"/>
        <v>10,45</v>
      </c>
      <c r="M20" s="1" t="str">
        <f t="shared" si="1"/>
        <v>45,80</v>
      </c>
      <c r="N20" s="1">
        <f t="shared" si="2"/>
        <v>30</v>
      </c>
      <c r="O20" s="1">
        <f t="shared" si="3"/>
        <v>80</v>
      </c>
    </row>
    <row r="21" spans="2:15">
      <c r="B21" s="1" t="s">
        <v>80</v>
      </c>
      <c r="C21" s="1" t="s">
        <v>81</v>
      </c>
      <c r="D21" s="1">
        <v>20</v>
      </c>
      <c r="E21" s="1" t="s">
        <v>25</v>
      </c>
      <c r="F21" s="1" t="s">
        <v>82</v>
      </c>
      <c r="G21" s="1" t="s">
        <v>27</v>
      </c>
      <c r="H21" s="1">
        <v>1</v>
      </c>
      <c r="I21" s="1" t="s">
        <v>73</v>
      </c>
      <c r="K21" s="1">
        <v>2</v>
      </c>
      <c r="L21" s="1" t="str">
        <f t="shared" si="0"/>
        <v>10,45</v>
      </c>
      <c r="M21" s="1" t="str">
        <f t="shared" si="1"/>
        <v>45,80</v>
      </c>
      <c r="N21" s="1">
        <f t="shared" si="2"/>
        <v>30</v>
      </c>
      <c r="O21" s="1">
        <f t="shared" si="3"/>
        <v>80</v>
      </c>
    </row>
    <row r="22" spans="2:15">
      <c r="B22" s="1" t="s">
        <v>83</v>
      </c>
      <c r="C22" s="1" t="s">
        <v>84</v>
      </c>
      <c r="D22" s="1">
        <v>20</v>
      </c>
      <c r="E22" s="1" t="s">
        <v>25</v>
      </c>
      <c r="F22" s="1" t="s">
        <v>85</v>
      </c>
      <c r="G22" s="1" t="s">
        <v>86</v>
      </c>
      <c r="H22" s="1">
        <v>1</v>
      </c>
      <c r="I22" s="1" t="s">
        <v>73</v>
      </c>
      <c r="K22" s="1">
        <v>2</v>
      </c>
      <c r="L22" s="1" t="str">
        <f t="shared" si="0"/>
        <v>10,45</v>
      </c>
      <c r="M22" s="1" t="str">
        <f t="shared" si="1"/>
        <v>45,80</v>
      </c>
      <c r="N22" s="1">
        <f t="shared" si="2"/>
        <v>30</v>
      </c>
      <c r="O22" s="1">
        <f t="shared" si="3"/>
        <v>80</v>
      </c>
    </row>
    <row r="23" spans="2:21">
      <c r="B23" s="1" t="s">
        <v>87</v>
      </c>
      <c r="C23" s="1" t="s">
        <v>88</v>
      </c>
      <c r="D23" s="1">
        <v>20</v>
      </c>
      <c r="E23" s="1" t="s">
        <v>25</v>
      </c>
      <c r="F23" s="1" t="s">
        <v>89</v>
      </c>
      <c r="G23" s="1" t="s">
        <v>86</v>
      </c>
      <c r="H23" s="1">
        <v>1</v>
      </c>
      <c r="I23" s="1" t="s">
        <v>28</v>
      </c>
      <c r="K23" s="1">
        <v>2</v>
      </c>
      <c r="L23" s="1" t="str">
        <f t="shared" si="0"/>
        <v>10,45</v>
      </c>
      <c r="M23" s="1" t="str">
        <f t="shared" si="1"/>
        <v>45,80</v>
      </c>
      <c r="N23" s="1">
        <f t="shared" si="2"/>
        <v>30</v>
      </c>
      <c r="O23" s="1">
        <f t="shared" si="3"/>
        <v>80</v>
      </c>
      <c r="T23" s="1" t="s">
        <v>90</v>
      </c>
      <c r="U23" s="1" t="s">
        <v>91</v>
      </c>
    </row>
    <row r="24" hidden="1" spans="7:21">
      <c r="G24"/>
      <c r="I24" s="1" t="s">
        <v>28</v>
      </c>
      <c r="K24" s="1">
        <v>2</v>
      </c>
      <c r="L24" s="1" t="str">
        <f t="shared" si="0"/>
        <v>10,45</v>
      </c>
      <c r="M24" s="1" t="str">
        <f t="shared" si="1"/>
        <v>45,80</v>
      </c>
      <c r="N24" s="1">
        <f t="shared" si="2"/>
        <v>30</v>
      </c>
      <c r="O24" s="1">
        <f t="shared" si="3"/>
        <v>80</v>
      </c>
      <c r="R24" s="1">
        <v>1</v>
      </c>
      <c r="T24" s="1" t="s">
        <v>92</v>
      </c>
      <c r="U24" s="1" t="s">
        <v>93</v>
      </c>
    </row>
    <row r="25" spans="2:21">
      <c r="B25" s="1" t="s">
        <v>94</v>
      </c>
      <c r="C25" s="1" t="s">
        <v>95</v>
      </c>
      <c r="D25" s="1">
        <v>20</v>
      </c>
      <c r="E25" s="1" t="s">
        <v>25</v>
      </c>
      <c r="F25" s="1" t="s">
        <v>96</v>
      </c>
      <c r="G25" s="1" t="s">
        <v>27</v>
      </c>
      <c r="H25" s="1">
        <v>1</v>
      </c>
      <c r="I25" s="1" t="s">
        <v>28</v>
      </c>
      <c r="K25" s="1">
        <v>2</v>
      </c>
      <c r="L25" s="1" t="str">
        <f t="shared" si="0"/>
        <v>10,45</v>
      </c>
      <c r="M25" s="1" t="str">
        <f t="shared" si="1"/>
        <v>45,80</v>
      </c>
      <c r="N25" s="1">
        <f t="shared" si="2"/>
        <v>30</v>
      </c>
      <c r="O25" s="1">
        <f t="shared" si="3"/>
        <v>80</v>
      </c>
      <c r="R25" s="1">
        <v>2</v>
      </c>
      <c r="T25" s="1" t="s">
        <v>97</v>
      </c>
      <c r="U25" s="1" t="s">
        <v>98</v>
      </c>
    </row>
    <row r="26" hidden="1" spans="7:21">
      <c r="G26"/>
      <c r="I26" s="1" t="s">
        <v>28</v>
      </c>
      <c r="K26" s="1">
        <v>2</v>
      </c>
      <c r="L26" s="1" t="str">
        <f t="shared" si="0"/>
        <v>10,45</v>
      </c>
      <c r="M26" s="1" t="str">
        <f t="shared" si="1"/>
        <v>45,80</v>
      </c>
      <c r="N26" s="1">
        <f t="shared" si="2"/>
        <v>30</v>
      </c>
      <c r="O26" s="1">
        <f t="shared" si="3"/>
        <v>80</v>
      </c>
      <c r="R26" s="1">
        <v>3</v>
      </c>
      <c r="T26" s="1" t="s">
        <v>99</v>
      </c>
      <c r="U26" s="1" t="s">
        <v>100</v>
      </c>
    </row>
    <row r="27" spans="2:21">
      <c r="B27" s="1" t="s">
        <v>101</v>
      </c>
      <c r="C27" s="1" t="s">
        <v>102</v>
      </c>
      <c r="D27" s="1">
        <v>20</v>
      </c>
      <c r="E27" s="1" t="s">
        <v>25</v>
      </c>
      <c r="F27" s="1" t="s">
        <v>103</v>
      </c>
      <c r="G27" s="1" t="s">
        <v>27</v>
      </c>
      <c r="H27" s="1">
        <v>1</v>
      </c>
      <c r="I27" s="1" t="s">
        <v>28</v>
      </c>
      <c r="K27" s="1">
        <v>2</v>
      </c>
      <c r="L27" s="1" t="str">
        <f t="shared" si="0"/>
        <v>10,45</v>
      </c>
      <c r="M27" s="1" t="str">
        <f t="shared" si="1"/>
        <v>45,80</v>
      </c>
      <c r="N27" s="1">
        <f t="shared" si="2"/>
        <v>30</v>
      </c>
      <c r="O27" s="1">
        <f t="shared" si="3"/>
        <v>80</v>
      </c>
      <c r="R27" s="1">
        <v>4</v>
      </c>
      <c r="T27" s="1" t="s">
        <v>104</v>
      </c>
      <c r="U27" s="30" t="s">
        <v>105</v>
      </c>
    </row>
    <row r="28" hidden="1" spans="7:21">
      <c r="G28"/>
      <c r="I28" s="1" t="s">
        <v>28</v>
      </c>
      <c r="K28" s="1">
        <v>2</v>
      </c>
      <c r="L28" s="1" t="str">
        <f t="shared" si="0"/>
        <v>10,45</v>
      </c>
      <c r="M28" s="1" t="str">
        <f t="shared" si="1"/>
        <v>45,80</v>
      </c>
      <c r="N28" s="1">
        <f t="shared" si="2"/>
        <v>30</v>
      </c>
      <c r="O28" s="1">
        <f t="shared" si="3"/>
        <v>80</v>
      </c>
      <c r="R28" s="1">
        <v>6</v>
      </c>
      <c r="T28" s="1" t="s">
        <v>106</v>
      </c>
      <c r="U28" s="30" t="s">
        <v>107</v>
      </c>
    </row>
    <row r="29" spans="2:21">
      <c r="B29" s="1" t="s">
        <v>108</v>
      </c>
      <c r="C29" s="1" t="s">
        <v>109</v>
      </c>
      <c r="D29" s="1">
        <v>30</v>
      </c>
      <c r="E29" s="1" t="s">
        <v>25</v>
      </c>
      <c r="F29" s="1" t="s">
        <v>110</v>
      </c>
      <c r="G29"/>
      <c r="H29" s="1">
        <v>1</v>
      </c>
      <c r="I29" s="1" t="s">
        <v>111</v>
      </c>
      <c r="K29" s="1">
        <v>3</v>
      </c>
      <c r="L29" s="1" t="str">
        <f t="shared" si="0"/>
        <v>20,60</v>
      </c>
      <c r="M29" s="1" t="str">
        <f t="shared" si="1"/>
        <v>50,90</v>
      </c>
      <c r="N29" s="1">
        <f t="shared" si="2"/>
        <v>45</v>
      </c>
      <c r="O29" s="1">
        <f t="shared" si="3"/>
        <v>100</v>
      </c>
      <c r="R29" s="1" t="s">
        <v>112</v>
      </c>
      <c r="T29" s="31">
        <v>45100</v>
      </c>
      <c r="U29" s="30" t="s">
        <v>113</v>
      </c>
    </row>
    <row r="30" spans="2:15">
      <c r="B30" s="27" t="s">
        <v>114</v>
      </c>
      <c r="C30" s="1" t="s">
        <v>115</v>
      </c>
      <c r="D30" s="1">
        <v>30</v>
      </c>
      <c r="E30" s="1" t="s">
        <v>25</v>
      </c>
      <c r="F30" s="1" t="s">
        <v>116</v>
      </c>
      <c r="G30"/>
      <c r="H30" s="1">
        <v>1</v>
      </c>
      <c r="I30" s="1" t="s">
        <v>111</v>
      </c>
      <c r="K30" s="1">
        <v>3</v>
      </c>
      <c r="L30" s="1" t="str">
        <f t="shared" si="0"/>
        <v>20,60</v>
      </c>
      <c r="M30" s="1" t="str">
        <f t="shared" si="1"/>
        <v>50,90</v>
      </c>
      <c r="N30" s="1">
        <f t="shared" si="2"/>
        <v>45</v>
      </c>
      <c r="O30" s="1">
        <f t="shared" si="3"/>
        <v>100</v>
      </c>
    </row>
    <row r="31" spans="2:15">
      <c r="B31" s="1" t="s">
        <v>117</v>
      </c>
      <c r="C31" s="1" t="s">
        <v>118</v>
      </c>
      <c r="D31" s="1">
        <v>30</v>
      </c>
      <c r="E31" s="1" t="s">
        <v>25</v>
      </c>
      <c r="F31" s="1" t="s">
        <v>119</v>
      </c>
      <c r="G31"/>
      <c r="H31" s="1">
        <v>1</v>
      </c>
      <c r="I31" s="1" t="s">
        <v>28</v>
      </c>
      <c r="K31" s="1">
        <v>3</v>
      </c>
      <c r="L31" s="1" t="str">
        <f t="shared" si="0"/>
        <v>20,60</v>
      </c>
      <c r="M31" s="1" t="str">
        <f t="shared" si="1"/>
        <v>50,90</v>
      </c>
      <c r="N31" s="1">
        <f t="shared" si="2"/>
        <v>45</v>
      </c>
      <c r="O31" s="1">
        <f t="shared" si="3"/>
        <v>100</v>
      </c>
    </row>
    <row r="32" hidden="1" spans="7:15">
      <c r="G32"/>
      <c r="I32" s="1" t="s">
        <v>28</v>
      </c>
      <c r="K32" s="1">
        <v>3</v>
      </c>
      <c r="L32" s="1" t="str">
        <f t="shared" si="0"/>
        <v>20,60</v>
      </c>
      <c r="M32" s="1" t="str">
        <f t="shared" si="1"/>
        <v>50,90</v>
      </c>
      <c r="N32" s="1">
        <f t="shared" si="2"/>
        <v>45</v>
      </c>
      <c r="O32" s="1">
        <f t="shared" si="3"/>
        <v>100</v>
      </c>
    </row>
    <row r="33" hidden="1" spans="7:15">
      <c r="G33"/>
      <c r="I33" s="1" t="s">
        <v>28</v>
      </c>
      <c r="K33" s="1">
        <v>3</v>
      </c>
      <c r="L33" s="1" t="str">
        <f t="shared" si="0"/>
        <v>20,60</v>
      </c>
      <c r="M33" s="1" t="str">
        <f t="shared" si="1"/>
        <v>50,90</v>
      </c>
      <c r="N33" s="1">
        <f t="shared" si="2"/>
        <v>45</v>
      </c>
      <c r="O33" s="1">
        <f t="shared" si="3"/>
        <v>100</v>
      </c>
    </row>
    <row r="34" spans="2:15">
      <c r="B34" s="1" t="s">
        <v>120</v>
      </c>
      <c r="C34" s="1" t="s">
        <v>121</v>
      </c>
      <c r="D34" s="1">
        <v>30</v>
      </c>
      <c r="E34" s="1" t="s">
        <v>25</v>
      </c>
      <c r="F34" s="1" t="s">
        <v>122</v>
      </c>
      <c r="G34" s="1" t="s">
        <v>27</v>
      </c>
      <c r="H34" s="1">
        <v>1</v>
      </c>
      <c r="I34" s="1" t="s">
        <v>28</v>
      </c>
      <c r="K34" s="1">
        <v>3</v>
      </c>
      <c r="L34" s="1" t="str">
        <f t="shared" si="0"/>
        <v>20,60</v>
      </c>
      <c r="M34" s="1" t="str">
        <f t="shared" si="1"/>
        <v>50,90</v>
      </c>
      <c r="N34" s="1">
        <f t="shared" si="2"/>
        <v>45</v>
      </c>
      <c r="O34" s="1">
        <f t="shared" si="3"/>
        <v>100</v>
      </c>
    </row>
    <row r="35" hidden="1" spans="7:15">
      <c r="G35"/>
      <c r="I35" s="1" t="s">
        <v>28</v>
      </c>
      <c r="K35" s="1">
        <v>3</v>
      </c>
      <c r="L35" s="1" t="str">
        <f t="shared" si="0"/>
        <v>20,60</v>
      </c>
      <c r="M35" s="1" t="str">
        <f t="shared" si="1"/>
        <v>50,90</v>
      </c>
      <c r="N35" s="1">
        <f t="shared" si="2"/>
        <v>45</v>
      </c>
      <c r="O35" s="1">
        <f t="shared" si="3"/>
        <v>100</v>
      </c>
    </row>
    <row r="36" hidden="1" spans="7:15">
      <c r="G36"/>
      <c r="I36" s="1" t="s">
        <v>28</v>
      </c>
      <c r="K36" s="1">
        <v>3</v>
      </c>
      <c r="L36" s="1" t="str">
        <f t="shared" si="0"/>
        <v>20,60</v>
      </c>
      <c r="M36" s="1" t="str">
        <f t="shared" si="1"/>
        <v>50,90</v>
      </c>
      <c r="N36" s="1">
        <f t="shared" si="2"/>
        <v>45</v>
      </c>
      <c r="O36" s="1">
        <f t="shared" si="3"/>
        <v>100</v>
      </c>
    </row>
    <row r="37" spans="2:15">
      <c r="B37" s="1" t="s">
        <v>123</v>
      </c>
      <c r="C37" s="1" t="s">
        <v>124</v>
      </c>
      <c r="D37" s="1">
        <v>40</v>
      </c>
      <c r="E37" s="1" t="s">
        <v>25</v>
      </c>
      <c r="F37" s="1" t="s">
        <v>125</v>
      </c>
      <c r="G37"/>
      <c r="H37" s="1">
        <v>1</v>
      </c>
      <c r="I37" s="1" t="s">
        <v>73</v>
      </c>
      <c r="K37" s="1">
        <v>4</v>
      </c>
      <c r="L37" s="1" t="str">
        <f t="shared" si="0"/>
        <v>30,75</v>
      </c>
      <c r="M37" s="1" t="str">
        <f t="shared" si="1"/>
        <v>55,100</v>
      </c>
      <c r="N37" s="1">
        <f t="shared" ref="N37:N68" si="4">K37*15</f>
        <v>60</v>
      </c>
      <c r="O37" s="1">
        <f t="shared" si="3"/>
        <v>120</v>
      </c>
    </row>
    <row r="38" hidden="1" spans="7:15">
      <c r="G38"/>
      <c r="I38" s="1" t="s">
        <v>73</v>
      </c>
      <c r="K38" s="1">
        <v>4</v>
      </c>
      <c r="L38" s="1" t="str">
        <f t="shared" si="0"/>
        <v>30,75</v>
      </c>
      <c r="M38" s="1" t="str">
        <f t="shared" si="1"/>
        <v>55,100</v>
      </c>
      <c r="N38" s="1">
        <f t="shared" si="4"/>
        <v>60</v>
      </c>
      <c r="O38" s="1">
        <f t="shared" si="3"/>
        <v>120</v>
      </c>
    </row>
    <row r="39" spans="2:15">
      <c r="B39" s="1" t="s">
        <v>126</v>
      </c>
      <c r="C39" s="1" t="s">
        <v>127</v>
      </c>
      <c r="D39" s="1">
        <v>40</v>
      </c>
      <c r="E39" s="1" t="s">
        <v>25</v>
      </c>
      <c r="F39" s="1" t="s">
        <v>128</v>
      </c>
      <c r="G39"/>
      <c r="H39" s="1">
        <v>1</v>
      </c>
      <c r="I39" s="1" t="s">
        <v>73</v>
      </c>
      <c r="K39" s="1">
        <v>4</v>
      </c>
      <c r="L39" s="1" t="str">
        <f>VLOOKUP(K39,$R$24:$U$29,3,FALSE)</f>
        <v>30,75</v>
      </c>
      <c r="M39" s="1" t="str">
        <f>VLOOKUP(K39,$R$24:$U$29,4,FALSE)</f>
        <v>55,100</v>
      </c>
      <c r="N39" s="1">
        <f t="shared" si="4"/>
        <v>60</v>
      </c>
      <c r="O39" s="1">
        <f>ROUNDUP(N39*1.4+30,-1)</f>
        <v>120</v>
      </c>
    </row>
    <row r="40" hidden="1" spans="7:15">
      <c r="G40"/>
      <c r="I40" s="1" t="s">
        <v>73</v>
      </c>
      <c r="K40" s="1">
        <v>4</v>
      </c>
      <c r="L40" s="1" t="str">
        <f>VLOOKUP(K40,$R$24:$U$29,3,FALSE)</f>
        <v>30,75</v>
      </c>
      <c r="M40" s="1" t="str">
        <f>VLOOKUP(K40,$R$24:$U$29,4,FALSE)</f>
        <v>55,100</v>
      </c>
      <c r="N40" s="1">
        <f t="shared" si="4"/>
        <v>60</v>
      </c>
      <c r="O40" s="1">
        <f>ROUNDUP(N40*1.4+30,-1)</f>
        <v>120</v>
      </c>
    </row>
    <row r="41" spans="2:15">
      <c r="B41" s="1" t="s">
        <v>129</v>
      </c>
      <c r="C41" s="1" t="s">
        <v>130</v>
      </c>
      <c r="D41" s="1">
        <v>40</v>
      </c>
      <c r="E41" s="1" t="s">
        <v>25</v>
      </c>
      <c r="F41" s="1" t="s">
        <v>131</v>
      </c>
      <c r="G41" s="1" t="s">
        <v>27</v>
      </c>
      <c r="H41" s="1">
        <v>1</v>
      </c>
      <c r="I41" s="1" t="s">
        <v>73</v>
      </c>
      <c r="K41" s="1">
        <v>4</v>
      </c>
      <c r="L41" s="1" t="str">
        <f t="shared" ref="L41:L81" si="5">VLOOKUP(K41,$R$24:$U$29,3,FALSE)</f>
        <v>30,75</v>
      </c>
      <c r="M41" s="1" t="str">
        <f t="shared" ref="M41:M81" si="6">VLOOKUP(K41,$R$24:$U$29,4,FALSE)</f>
        <v>55,100</v>
      </c>
      <c r="N41" s="1">
        <f t="shared" si="4"/>
        <v>60</v>
      </c>
      <c r="O41" s="1">
        <f t="shared" ref="O41:O70" si="7">ROUNDUP(N41*1.4+30,-1)</f>
        <v>120</v>
      </c>
    </row>
    <row r="42" hidden="1" spans="7:15">
      <c r="G42"/>
      <c r="I42" s="1" t="s">
        <v>73</v>
      </c>
      <c r="K42" s="1">
        <v>4</v>
      </c>
      <c r="L42" s="1" t="str">
        <f t="shared" si="5"/>
        <v>30,75</v>
      </c>
      <c r="M42" s="1" t="str">
        <f t="shared" si="6"/>
        <v>55,100</v>
      </c>
      <c r="N42" s="1">
        <f t="shared" si="4"/>
        <v>60</v>
      </c>
      <c r="O42" s="1">
        <f t="shared" si="7"/>
        <v>120</v>
      </c>
    </row>
    <row r="43" spans="2:15">
      <c r="B43" s="1" t="s">
        <v>132</v>
      </c>
      <c r="C43" s="1" t="s">
        <v>133</v>
      </c>
      <c r="D43" s="1">
        <v>40</v>
      </c>
      <c r="E43" s="1" t="s">
        <v>25</v>
      </c>
      <c r="F43" s="1" t="s">
        <v>134</v>
      </c>
      <c r="G43" s="1" t="s">
        <v>27</v>
      </c>
      <c r="H43" s="1">
        <v>1</v>
      </c>
      <c r="I43" s="1" t="s">
        <v>73</v>
      </c>
      <c r="K43" s="1">
        <v>4</v>
      </c>
      <c r="L43" s="1" t="str">
        <f t="shared" si="5"/>
        <v>30,75</v>
      </c>
      <c r="M43" s="1" t="str">
        <f t="shared" si="6"/>
        <v>55,100</v>
      </c>
      <c r="N43" s="1">
        <f t="shared" si="4"/>
        <v>60</v>
      </c>
      <c r="O43" s="1">
        <f t="shared" si="7"/>
        <v>120</v>
      </c>
    </row>
    <row r="44" hidden="1" spans="7:15">
      <c r="G44"/>
      <c r="I44" s="1" t="s">
        <v>73</v>
      </c>
      <c r="K44" s="1">
        <v>4</v>
      </c>
      <c r="L44" s="1" t="str">
        <f t="shared" si="5"/>
        <v>30,75</v>
      </c>
      <c r="M44" s="1" t="str">
        <f t="shared" si="6"/>
        <v>55,100</v>
      </c>
      <c r="N44" s="1">
        <f t="shared" si="4"/>
        <v>60</v>
      </c>
      <c r="O44" s="1">
        <f t="shared" si="7"/>
        <v>120</v>
      </c>
    </row>
    <row r="45" spans="2:15">
      <c r="B45" s="1" t="s">
        <v>135</v>
      </c>
      <c r="C45" s="1" t="s">
        <v>136</v>
      </c>
      <c r="D45" s="1">
        <v>40</v>
      </c>
      <c r="E45" s="1" t="s">
        <v>25</v>
      </c>
      <c r="F45" s="1" t="s">
        <v>137</v>
      </c>
      <c r="G45" s="1" t="s">
        <v>27</v>
      </c>
      <c r="H45" s="1">
        <v>1</v>
      </c>
      <c r="I45" s="1" t="s">
        <v>73</v>
      </c>
      <c r="K45" s="1">
        <v>4</v>
      </c>
      <c r="L45" s="1" t="str">
        <f t="shared" si="5"/>
        <v>30,75</v>
      </c>
      <c r="M45" s="1" t="str">
        <f t="shared" si="6"/>
        <v>55,100</v>
      </c>
      <c r="N45" s="1">
        <f t="shared" si="4"/>
        <v>60</v>
      </c>
      <c r="O45" s="1">
        <f t="shared" si="7"/>
        <v>120</v>
      </c>
    </row>
    <row r="46" hidden="1" spans="7:15">
      <c r="G46"/>
      <c r="I46" s="1" t="s">
        <v>73</v>
      </c>
      <c r="K46" s="1">
        <v>4</v>
      </c>
      <c r="L46" s="1" t="str">
        <f t="shared" si="5"/>
        <v>30,75</v>
      </c>
      <c r="M46" s="1" t="str">
        <f t="shared" si="6"/>
        <v>55,100</v>
      </c>
      <c r="N46" s="1">
        <f t="shared" si="4"/>
        <v>60</v>
      </c>
      <c r="O46" s="1">
        <f t="shared" si="7"/>
        <v>120</v>
      </c>
    </row>
    <row r="47" spans="2:15">
      <c r="B47" s="1" t="s">
        <v>138</v>
      </c>
      <c r="C47" s="1" t="s">
        <v>139</v>
      </c>
      <c r="D47" s="1">
        <v>40</v>
      </c>
      <c r="E47" s="1" t="s">
        <v>25</v>
      </c>
      <c r="F47" s="1" t="s">
        <v>140</v>
      </c>
      <c r="G47" s="1" t="s">
        <v>27</v>
      </c>
      <c r="H47" s="1">
        <v>1</v>
      </c>
      <c r="I47" s="1" t="s">
        <v>73</v>
      </c>
      <c r="K47" s="1">
        <v>4</v>
      </c>
      <c r="L47" s="1" t="str">
        <f t="shared" si="5"/>
        <v>30,75</v>
      </c>
      <c r="M47" s="1" t="str">
        <f t="shared" si="6"/>
        <v>55,100</v>
      </c>
      <c r="N47" s="1">
        <f t="shared" si="4"/>
        <v>60</v>
      </c>
      <c r="O47" s="1">
        <f t="shared" si="7"/>
        <v>120</v>
      </c>
    </row>
    <row r="48" hidden="1" spans="7:15">
      <c r="G48"/>
      <c r="I48" s="1" t="s">
        <v>73</v>
      </c>
      <c r="K48" s="1">
        <v>4</v>
      </c>
      <c r="L48" s="1" t="str">
        <f t="shared" si="5"/>
        <v>30,75</v>
      </c>
      <c r="M48" s="1" t="str">
        <f t="shared" si="6"/>
        <v>55,100</v>
      </c>
      <c r="N48" s="1">
        <f t="shared" si="4"/>
        <v>60</v>
      </c>
      <c r="O48" s="1">
        <f t="shared" si="7"/>
        <v>120</v>
      </c>
    </row>
    <row r="49" spans="2:15">
      <c r="B49" s="1" t="s">
        <v>141</v>
      </c>
      <c r="C49" s="1" t="s">
        <v>142</v>
      </c>
      <c r="D49" s="1">
        <v>40</v>
      </c>
      <c r="E49" s="1" t="s">
        <v>25</v>
      </c>
      <c r="F49" s="1" t="s">
        <v>143</v>
      </c>
      <c r="G49" s="1" t="s">
        <v>86</v>
      </c>
      <c r="H49" s="1">
        <v>1</v>
      </c>
      <c r="I49" s="1" t="s">
        <v>73</v>
      </c>
      <c r="K49" s="1">
        <v>4</v>
      </c>
      <c r="L49" s="1" t="str">
        <f t="shared" si="5"/>
        <v>30,75</v>
      </c>
      <c r="M49" s="1" t="str">
        <f t="shared" si="6"/>
        <v>55,100</v>
      </c>
      <c r="N49" s="1">
        <f t="shared" si="4"/>
        <v>60</v>
      </c>
      <c r="O49" s="1">
        <f t="shared" si="7"/>
        <v>120</v>
      </c>
    </row>
    <row r="50" hidden="1" spans="7:15">
      <c r="G50"/>
      <c r="I50" s="1" t="s">
        <v>73</v>
      </c>
      <c r="K50" s="1">
        <v>4</v>
      </c>
      <c r="L50" s="1" t="str">
        <f t="shared" si="5"/>
        <v>30,75</v>
      </c>
      <c r="M50" s="1" t="str">
        <f t="shared" si="6"/>
        <v>55,100</v>
      </c>
      <c r="N50" s="1">
        <f t="shared" si="4"/>
        <v>60</v>
      </c>
      <c r="O50" s="1">
        <f t="shared" si="7"/>
        <v>120</v>
      </c>
    </row>
    <row r="51" spans="2:15">
      <c r="B51" s="1" t="s">
        <v>144</v>
      </c>
      <c r="C51" s="1" t="s">
        <v>145</v>
      </c>
      <c r="D51" s="1">
        <v>40</v>
      </c>
      <c r="E51" s="1" t="s">
        <v>25</v>
      </c>
      <c r="F51" s="1" t="s">
        <v>146</v>
      </c>
      <c r="G51"/>
      <c r="H51" s="1">
        <v>1</v>
      </c>
      <c r="I51" s="1" t="s">
        <v>73</v>
      </c>
      <c r="K51" s="1">
        <v>4</v>
      </c>
      <c r="L51" s="1" t="str">
        <f t="shared" si="5"/>
        <v>30,75</v>
      </c>
      <c r="M51" s="1" t="str">
        <f t="shared" si="6"/>
        <v>55,100</v>
      </c>
      <c r="N51" s="1">
        <f t="shared" si="4"/>
        <v>60</v>
      </c>
      <c r="O51" s="1">
        <f t="shared" si="7"/>
        <v>120</v>
      </c>
    </row>
    <row r="52" hidden="1" spans="7:15">
      <c r="G52"/>
      <c r="I52" s="1" t="s">
        <v>73</v>
      </c>
      <c r="K52" s="1">
        <v>4</v>
      </c>
      <c r="L52" s="1" t="str">
        <f t="shared" si="5"/>
        <v>30,75</v>
      </c>
      <c r="M52" s="1" t="str">
        <f t="shared" si="6"/>
        <v>55,100</v>
      </c>
      <c r="N52" s="1">
        <f t="shared" si="4"/>
        <v>60</v>
      </c>
      <c r="O52" s="1">
        <f t="shared" si="7"/>
        <v>120</v>
      </c>
    </row>
    <row r="53" spans="2:15">
      <c r="B53" s="1" t="s">
        <v>147</v>
      </c>
      <c r="C53" s="1" t="s">
        <v>148</v>
      </c>
      <c r="D53" s="1">
        <v>40</v>
      </c>
      <c r="E53" s="1" t="s">
        <v>25</v>
      </c>
      <c r="F53" s="1" t="s">
        <v>149</v>
      </c>
      <c r="G53" s="1" t="s">
        <v>27</v>
      </c>
      <c r="H53" s="1">
        <v>1</v>
      </c>
      <c r="I53" s="1" t="s">
        <v>73</v>
      </c>
      <c r="K53" s="1">
        <v>4</v>
      </c>
      <c r="L53" s="1" t="str">
        <f t="shared" si="5"/>
        <v>30,75</v>
      </c>
      <c r="M53" s="1" t="str">
        <f t="shared" si="6"/>
        <v>55,100</v>
      </c>
      <c r="N53" s="1">
        <f t="shared" si="4"/>
        <v>60</v>
      </c>
      <c r="O53" s="1">
        <f t="shared" si="7"/>
        <v>120</v>
      </c>
    </row>
    <row r="54" hidden="1" spans="7:15">
      <c r="G54"/>
      <c r="I54" s="1" t="s">
        <v>73</v>
      </c>
      <c r="K54" s="1">
        <v>4</v>
      </c>
      <c r="L54" s="1" t="str">
        <f t="shared" si="5"/>
        <v>30,75</v>
      </c>
      <c r="M54" s="1" t="str">
        <f t="shared" si="6"/>
        <v>55,100</v>
      </c>
      <c r="N54" s="1">
        <f t="shared" si="4"/>
        <v>60</v>
      </c>
      <c r="O54" s="1">
        <f t="shared" si="7"/>
        <v>120</v>
      </c>
    </row>
    <row r="55" spans="2:15">
      <c r="B55" s="1" t="s">
        <v>150</v>
      </c>
      <c r="C55" s="1" t="s">
        <v>151</v>
      </c>
      <c r="D55" s="1">
        <v>60</v>
      </c>
      <c r="E55" s="1" t="s">
        <v>25</v>
      </c>
      <c r="F55" s="1" t="s">
        <v>152</v>
      </c>
      <c r="G55" s="1" t="s">
        <v>27</v>
      </c>
      <c r="H55" s="1">
        <v>1</v>
      </c>
      <c r="I55" s="1" t="s">
        <v>111</v>
      </c>
      <c r="K55" s="1">
        <v>6</v>
      </c>
      <c r="L55" s="1" t="str">
        <f t="shared" si="5"/>
        <v>40,90</v>
      </c>
      <c r="M55" s="1" t="str">
        <f t="shared" si="6"/>
        <v>70,120</v>
      </c>
      <c r="N55" s="1">
        <f t="shared" si="4"/>
        <v>90</v>
      </c>
      <c r="O55" s="1">
        <f t="shared" si="7"/>
        <v>160</v>
      </c>
    </row>
    <row r="56" hidden="1" spans="7:15">
      <c r="G56"/>
      <c r="I56" s="1" t="s">
        <v>111</v>
      </c>
      <c r="K56" s="1">
        <v>6</v>
      </c>
      <c r="L56" s="1" t="str">
        <f t="shared" si="5"/>
        <v>40,90</v>
      </c>
      <c r="M56" s="1" t="str">
        <f t="shared" si="6"/>
        <v>70,120</v>
      </c>
      <c r="N56" s="1">
        <f t="shared" si="4"/>
        <v>90</v>
      </c>
      <c r="O56" s="1">
        <f t="shared" si="7"/>
        <v>160</v>
      </c>
    </row>
    <row r="57" spans="2:15">
      <c r="B57" s="1" t="s">
        <v>153</v>
      </c>
      <c r="C57" s="1" t="s">
        <v>154</v>
      </c>
      <c r="D57" s="1">
        <v>60</v>
      </c>
      <c r="E57" s="1" t="s">
        <v>25</v>
      </c>
      <c r="F57" s="1" t="s">
        <v>155</v>
      </c>
      <c r="G57" s="1" t="s">
        <v>27</v>
      </c>
      <c r="H57" s="1">
        <v>1</v>
      </c>
      <c r="I57" s="1" t="s">
        <v>73</v>
      </c>
      <c r="K57" s="1">
        <v>6</v>
      </c>
      <c r="L57" s="1" t="str">
        <f t="shared" si="5"/>
        <v>40,90</v>
      </c>
      <c r="M57" s="1" t="str">
        <f t="shared" si="6"/>
        <v>70,120</v>
      </c>
      <c r="N57" s="1">
        <f t="shared" si="4"/>
        <v>90</v>
      </c>
      <c r="O57" s="1">
        <f t="shared" si="7"/>
        <v>160</v>
      </c>
    </row>
    <row r="58" hidden="1" spans="7:15">
      <c r="G58"/>
      <c r="I58" s="1" t="s">
        <v>73</v>
      </c>
      <c r="K58" s="1">
        <v>6</v>
      </c>
      <c r="L58" s="1" t="str">
        <f t="shared" si="5"/>
        <v>40,90</v>
      </c>
      <c r="M58" s="1" t="str">
        <f t="shared" si="6"/>
        <v>70,120</v>
      </c>
      <c r="N58" s="1">
        <f t="shared" si="4"/>
        <v>90</v>
      </c>
      <c r="O58" s="1">
        <f t="shared" si="7"/>
        <v>160</v>
      </c>
    </row>
    <row r="59" hidden="1" spans="7:15">
      <c r="G59"/>
      <c r="I59" s="1" t="s">
        <v>73</v>
      </c>
      <c r="K59" s="1">
        <v>6</v>
      </c>
      <c r="L59" s="1" t="str">
        <f t="shared" si="5"/>
        <v>40,90</v>
      </c>
      <c r="M59" s="1" t="str">
        <f t="shared" si="6"/>
        <v>70,120</v>
      </c>
      <c r="N59" s="1">
        <f t="shared" si="4"/>
        <v>90</v>
      </c>
      <c r="O59" s="1">
        <f t="shared" si="7"/>
        <v>160</v>
      </c>
    </row>
    <row r="60" spans="2:15">
      <c r="B60" s="1" t="s">
        <v>156</v>
      </c>
      <c r="C60" s="1" t="s">
        <v>157</v>
      </c>
      <c r="D60" s="1">
        <v>60</v>
      </c>
      <c r="E60" s="1" t="s">
        <v>25</v>
      </c>
      <c r="F60" s="1" t="s">
        <v>158</v>
      </c>
      <c r="G60"/>
      <c r="H60" s="1">
        <v>1</v>
      </c>
      <c r="I60" s="1" t="s">
        <v>73</v>
      </c>
      <c r="K60" s="1">
        <v>6</v>
      </c>
      <c r="L60" s="1" t="str">
        <f t="shared" si="5"/>
        <v>40,90</v>
      </c>
      <c r="M60" s="1" t="str">
        <f t="shared" si="6"/>
        <v>70,120</v>
      </c>
      <c r="N60" s="1">
        <f t="shared" si="4"/>
        <v>90</v>
      </c>
      <c r="O60" s="1">
        <f t="shared" si="7"/>
        <v>160</v>
      </c>
    </row>
    <row r="61" hidden="1" spans="7:15">
      <c r="G61"/>
      <c r="I61" s="1" t="s">
        <v>73</v>
      </c>
      <c r="K61" s="1">
        <v>6</v>
      </c>
      <c r="L61" s="1" t="str">
        <f t="shared" si="5"/>
        <v>40,90</v>
      </c>
      <c r="M61" s="1" t="str">
        <f t="shared" si="6"/>
        <v>70,120</v>
      </c>
      <c r="N61" s="1">
        <f t="shared" si="4"/>
        <v>90</v>
      </c>
      <c r="O61" s="1">
        <f t="shared" si="7"/>
        <v>160</v>
      </c>
    </row>
    <row r="62" hidden="1" spans="7:15">
      <c r="G62"/>
      <c r="I62" s="1" t="s">
        <v>73</v>
      </c>
      <c r="K62" s="1">
        <v>6</v>
      </c>
      <c r="L62" s="1" t="str">
        <f t="shared" si="5"/>
        <v>40,90</v>
      </c>
      <c r="M62" s="1" t="str">
        <f t="shared" si="6"/>
        <v>70,120</v>
      </c>
      <c r="N62" s="1">
        <f t="shared" si="4"/>
        <v>90</v>
      </c>
      <c r="O62" s="1">
        <f t="shared" si="7"/>
        <v>160</v>
      </c>
    </row>
    <row r="63" spans="2:15">
      <c r="B63" s="1" t="s">
        <v>159</v>
      </c>
      <c r="C63" s="1" t="s">
        <v>160</v>
      </c>
      <c r="D63" s="1">
        <v>60</v>
      </c>
      <c r="E63" s="1" t="s">
        <v>25</v>
      </c>
      <c r="F63" s="1" t="s">
        <v>161</v>
      </c>
      <c r="G63" s="1" t="s">
        <v>27</v>
      </c>
      <c r="H63" s="1">
        <v>1</v>
      </c>
      <c r="I63" s="1" t="s">
        <v>111</v>
      </c>
      <c r="K63" s="1">
        <v>6</v>
      </c>
      <c r="L63" s="1" t="str">
        <f t="shared" si="5"/>
        <v>40,90</v>
      </c>
      <c r="M63" s="1" t="str">
        <f t="shared" si="6"/>
        <v>70,120</v>
      </c>
      <c r="N63" s="1">
        <f t="shared" si="4"/>
        <v>90</v>
      </c>
      <c r="O63" s="1">
        <f t="shared" si="7"/>
        <v>160</v>
      </c>
    </row>
    <row r="64" hidden="1" spans="7:15">
      <c r="G64"/>
      <c r="I64" s="1" t="s">
        <v>111</v>
      </c>
      <c r="K64" s="1">
        <v>6</v>
      </c>
      <c r="L64" s="1" t="str">
        <f t="shared" si="5"/>
        <v>40,90</v>
      </c>
      <c r="M64" s="1" t="str">
        <f t="shared" si="6"/>
        <v>70,120</v>
      </c>
      <c r="N64" s="1">
        <f t="shared" si="4"/>
        <v>90</v>
      </c>
      <c r="O64" s="1">
        <f t="shared" si="7"/>
        <v>160</v>
      </c>
    </row>
    <row r="65" spans="2:15">
      <c r="B65" s="1" t="s">
        <v>162</v>
      </c>
      <c r="C65" s="1" t="s">
        <v>163</v>
      </c>
      <c r="D65" s="1">
        <v>60</v>
      </c>
      <c r="E65" s="1" t="s">
        <v>25</v>
      </c>
      <c r="F65" s="1" t="s">
        <v>164</v>
      </c>
      <c r="G65" s="1" t="s">
        <v>86</v>
      </c>
      <c r="H65" s="1">
        <v>1</v>
      </c>
      <c r="I65" s="1" t="s">
        <v>111</v>
      </c>
      <c r="K65" s="1">
        <v>6</v>
      </c>
      <c r="L65" s="1" t="str">
        <f t="shared" si="5"/>
        <v>40,90</v>
      </c>
      <c r="M65" s="1" t="str">
        <f t="shared" si="6"/>
        <v>70,120</v>
      </c>
      <c r="N65" s="1">
        <f t="shared" si="4"/>
        <v>90</v>
      </c>
      <c r="O65" s="1">
        <f t="shared" si="7"/>
        <v>160</v>
      </c>
    </row>
    <row r="66" hidden="1" spans="7:15">
      <c r="G66"/>
      <c r="I66" s="1" t="s">
        <v>111</v>
      </c>
      <c r="K66" s="1">
        <v>6</v>
      </c>
      <c r="L66" s="1" t="str">
        <f t="shared" si="5"/>
        <v>40,90</v>
      </c>
      <c r="M66" s="1" t="str">
        <f t="shared" si="6"/>
        <v>70,120</v>
      </c>
      <c r="N66" s="1">
        <f t="shared" si="4"/>
        <v>90</v>
      </c>
      <c r="O66" s="1">
        <f t="shared" si="7"/>
        <v>160</v>
      </c>
    </row>
    <row r="67" spans="2:15">
      <c r="B67" s="1" t="s">
        <v>165</v>
      </c>
      <c r="C67" s="1" t="s">
        <v>166</v>
      </c>
      <c r="D67" s="1">
        <v>60</v>
      </c>
      <c r="E67" s="1" t="s">
        <v>25</v>
      </c>
      <c r="F67" s="1" t="s">
        <v>167</v>
      </c>
      <c r="G67" s="1" t="s">
        <v>27</v>
      </c>
      <c r="H67" s="1">
        <v>1</v>
      </c>
      <c r="I67" s="1" t="s">
        <v>73</v>
      </c>
      <c r="K67" s="1">
        <v>6</v>
      </c>
      <c r="L67" s="1" t="str">
        <f t="shared" si="5"/>
        <v>40,90</v>
      </c>
      <c r="M67" s="1" t="str">
        <f t="shared" si="6"/>
        <v>70,120</v>
      </c>
      <c r="N67" s="1">
        <f t="shared" si="4"/>
        <v>90</v>
      </c>
      <c r="O67" s="1">
        <f t="shared" si="7"/>
        <v>160</v>
      </c>
    </row>
    <row r="68" hidden="1" spans="7:15">
      <c r="G68"/>
      <c r="I68" s="1" t="s">
        <v>73</v>
      </c>
      <c r="K68" s="1">
        <v>6</v>
      </c>
      <c r="L68" s="1" t="str">
        <f t="shared" si="5"/>
        <v>40,90</v>
      </c>
      <c r="M68" s="1" t="str">
        <f t="shared" si="6"/>
        <v>70,120</v>
      </c>
      <c r="N68" s="1">
        <f t="shared" si="4"/>
        <v>90</v>
      </c>
      <c r="O68" s="1">
        <f t="shared" si="7"/>
        <v>160</v>
      </c>
    </row>
    <row r="69" hidden="1" spans="7:15">
      <c r="G69"/>
      <c r="I69" s="1" t="s">
        <v>73</v>
      </c>
      <c r="K69" s="1">
        <v>6</v>
      </c>
      <c r="L69" s="1" t="str">
        <f t="shared" si="5"/>
        <v>40,90</v>
      </c>
      <c r="M69" s="1" t="str">
        <f t="shared" si="6"/>
        <v>70,120</v>
      </c>
      <c r="N69" s="1">
        <f t="shared" ref="N69:N94" si="8">K69*15</f>
        <v>90</v>
      </c>
      <c r="O69" s="1">
        <f t="shared" si="7"/>
        <v>160</v>
      </c>
    </row>
    <row r="70" spans="2:15">
      <c r="B70" s="1" t="s">
        <v>168</v>
      </c>
      <c r="C70" s="1" t="s">
        <v>169</v>
      </c>
      <c r="D70" s="1">
        <v>60</v>
      </c>
      <c r="E70" s="1" t="s">
        <v>25</v>
      </c>
      <c r="F70" s="1" t="s">
        <v>170</v>
      </c>
      <c r="G70" s="1" t="s">
        <v>86</v>
      </c>
      <c r="H70" s="1">
        <v>1</v>
      </c>
      <c r="I70" s="1" t="s">
        <v>73</v>
      </c>
      <c r="K70" s="1">
        <v>6</v>
      </c>
      <c r="L70" s="1" t="str">
        <f t="shared" si="5"/>
        <v>40,90</v>
      </c>
      <c r="M70" s="1" t="str">
        <f t="shared" si="6"/>
        <v>70,120</v>
      </c>
      <c r="N70" s="1">
        <f t="shared" si="8"/>
        <v>90</v>
      </c>
      <c r="O70" s="1">
        <f t="shared" si="7"/>
        <v>160</v>
      </c>
    </row>
    <row r="71" hidden="1" spans="7:15">
      <c r="G71"/>
      <c r="I71" s="1" t="s">
        <v>73</v>
      </c>
      <c r="K71" s="1">
        <v>6</v>
      </c>
      <c r="L71" s="1" t="str">
        <f t="shared" si="5"/>
        <v>40,90</v>
      </c>
      <c r="M71" s="1" t="str">
        <f t="shared" si="6"/>
        <v>70,120</v>
      </c>
      <c r="N71" s="1">
        <f t="shared" si="8"/>
        <v>90</v>
      </c>
      <c r="O71" s="1">
        <f t="shared" ref="O71:O94" si="9">ROUNDUP(N71*1.4+30,-1)</f>
        <v>160</v>
      </c>
    </row>
    <row r="72" hidden="1" spans="7:15">
      <c r="G72"/>
      <c r="I72" s="1" t="s">
        <v>73</v>
      </c>
      <c r="K72" s="1">
        <v>6</v>
      </c>
      <c r="L72" s="1" t="str">
        <f t="shared" si="5"/>
        <v>40,90</v>
      </c>
      <c r="M72" s="1" t="str">
        <f t="shared" si="6"/>
        <v>70,120</v>
      </c>
      <c r="N72" s="1">
        <f t="shared" si="8"/>
        <v>90</v>
      </c>
      <c r="O72" s="1">
        <f t="shared" si="9"/>
        <v>160</v>
      </c>
    </row>
    <row r="73" spans="2:15">
      <c r="B73" s="1" t="s">
        <v>171</v>
      </c>
      <c r="C73" s="1" t="s">
        <v>172</v>
      </c>
      <c r="D73" s="1">
        <v>60</v>
      </c>
      <c r="E73" s="1" t="s">
        <v>25</v>
      </c>
      <c r="F73" s="1" t="s">
        <v>173</v>
      </c>
      <c r="G73" s="1" t="s">
        <v>27</v>
      </c>
      <c r="H73" s="1">
        <v>1</v>
      </c>
      <c r="I73" s="1" t="s">
        <v>111</v>
      </c>
      <c r="K73" s="1">
        <v>6</v>
      </c>
      <c r="L73" s="1" t="str">
        <f t="shared" si="5"/>
        <v>40,90</v>
      </c>
      <c r="M73" s="1" t="str">
        <f t="shared" si="6"/>
        <v>70,120</v>
      </c>
      <c r="N73" s="1">
        <f t="shared" si="8"/>
        <v>90</v>
      </c>
      <c r="O73" s="1">
        <f t="shared" si="9"/>
        <v>160</v>
      </c>
    </row>
    <row r="74" hidden="1" spans="7:15">
      <c r="G74"/>
      <c r="I74" s="1" t="s">
        <v>111</v>
      </c>
      <c r="K74" s="1">
        <v>6</v>
      </c>
      <c r="L74" s="1" t="str">
        <f t="shared" si="5"/>
        <v>40,90</v>
      </c>
      <c r="M74" s="1" t="str">
        <f t="shared" si="6"/>
        <v>70,120</v>
      </c>
      <c r="N74" s="1">
        <f t="shared" si="8"/>
        <v>90</v>
      </c>
      <c r="O74" s="1">
        <f t="shared" si="9"/>
        <v>160</v>
      </c>
    </row>
    <row r="75" spans="2:15">
      <c r="B75" s="1" t="s">
        <v>174</v>
      </c>
      <c r="C75" s="1" t="s">
        <v>175</v>
      </c>
      <c r="D75" s="1">
        <v>30</v>
      </c>
      <c r="E75" s="1" t="s">
        <v>25</v>
      </c>
      <c r="F75" s="1" t="s">
        <v>176</v>
      </c>
      <c r="G75"/>
      <c r="H75" s="1">
        <v>1</v>
      </c>
      <c r="I75" s="1" t="s">
        <v>73</v>
      </c>
      <c r="K75" s="1">
        <v>3</v>
      </c>
      <c r="L75" s="1" t="str">
        <f t="shared" si="5"/>
        <v>20,60</v>
      </c>
      <c r="M75" s="1" t="str">
        <f t="shared" si="6"/>
        <v>50,90</v>
      </c>
      <c r="N75" s="1">
        <f t="shared" si="8"/>
        <v>45</v>
      </c>
      <c r="O75" s="1">
        <f t="shared" si="9"/>
        <v>100</v>
      </c>
    </row>
    <row r="76" hidden="1" spans="7:15">
      <c r="G76"/>
      <c r="I76" s="1" t="s">
        <v>177</v>
      </c>
      <c r="K76" s="1">
        <v>3</v>
      </c>
      <c r="L76" s="1" t="str">
        <f t="shared" si="5"/>
        <v>20,60</v>
      </c>
      <c r="M76" s="1" t="str">
        <f t="shared" si="6"/>
        <v>50,90</v>
      </c>
      <c r="N76" s="1">
        <f t="shared" si="8"/>
        <v>45</v>
      </c>
      <c r="O76" s="1">
        <f t="shared" si="9"/>
        <v>100</v>
      </c>
    </row>
    <row r="77" spans="2:15">
      <c r="B77" s="1" t="s">
        <v>178</v>
      </c>
      <c r="C77" s="1" t="s">
        <v>179</v>
      </c>
      <c r="D77" s="1">
        <v>30</v>
      </c>
      <c r="E77" s="1" t="s">
        <v>25</v>
      </c>
      <c r="F77" s="1" t="s">
        <v>180</v>
      </c>
      <c r="G77" s="1" t="s">
        <v>27</v>
      </c>
      <c r="H77" s="1">
        <v>1</v>
      </c>
      <c r="I77" s="1" t="s">
        <v>181</v>
      </c>
      <c r="K77" s="1">
        <v>3</v>
      </c>
      <c r="L77" s="1" t="str">
        <f t="shared" si="5"/>
        <v>20,60</v>
      </c>
      <c r="M77" s="1" t="str">
        <f t="shared" si="6"/>
        <v>50,90</v>
      </c>
      <c r="N77" s="1">
        <f t="shared" si="8"/>
        <v>45</v>
      </c>
      <c r="O77" s="1">
        <f t="shared" si="9"/>
        <v>100</v>
      </c>
    </row>
    <row r="78" hidden="1" spans="7:15">
      <c r="G78"/>
      <c r="I78" s="1" t="s">
        <v>73</v>
      </c>
      <c r="K78" s="1">
        <v>3</v>
      </c>
      <c r="L78" s="1" t="str">
        <f t="shared" si="5"/>
        <v>20,60</v>
      </c>
      <c r="M78" s="1" t="str">
        <f t="shared" si="6"/>
        <v>50,90</v>
      </c>
      <c r="N78" s="1">
        <f t="shared" si="8"/>
        <v>45</v>
      </c>
      <c r="O78" s="1">
        <f t="shared" si="9"/>
        <v>100</v>
      </c>
    </row>
    <row r="79" spans="2:15">
      <c r="B79" s="1" t="s">
        <v>182</v>
      </c>
      <c r="C79" s="1" t="s">
        <v>183</v>
      </c>
      <c r="D79" s="1">
        <v>40</v>
      </c>
      <c r="E79" s="1" t="s">
        <v>25</v>
      </c>
      <c r="F79" s="1" t="s">
        <v>184</v>
      </c>
      <c r="G79" s="1" t="s">
        <v>27</v>
      </c>
      <c r="H79" s="1">
        <v>1</v>
      </c>
      <c r="I79" s="1" t="s">
        <v>73</v>
      </c>
      <c r="K79" s="1">
        <v>4</v>
      </c>
      <c r="L79" s="1" t="str">
        <f t="shared" si="5"/>
        <v>30,75</v>
      </c>
      <c r="M79" s="1" t="str">
        <f t="shared" si="6"/>
        <v>55,100</v>
      </c>
      <c r="N79" s="1">
        <f t="shared" si="8"/>
        <v>60</v>
      </c>
      <c r="O79" s="1">
        <f t="shared" si="9"/>
        <v>120</v>
      </c>
    </row>
    <row r="80" hidden="1" spans="7:15">
      <c r="G80"/>
      <c r="I80" s="1" t="s">
        <v>177</v>
      </c>
      <c r="K80" s="1">
        <v>4</v>
      </c>
      <c r="L80" s="1" t="str">
        <f t="shared" si="5"/>
        <v>30,75</v>
      </c>
      <c r="M80" s="1" t="str">
        <f t="shared" si="6"/>
        <v>55,100</v>
      </c>
      <c r="N80" s="1">
        <f t="shared" si="8"/>
        <v>60</v>
      </c>
      <c r="O80" s="1">
        <f t="shared" si="9"/>
        <v>120</v>
      </c>
    </row>
    <row r="81" hidden="1" spans="7:15">
      <c r="G81"/>
      <c r="I81" s="1" t="s">
        <v>177</v>
      </c>
      <c r="K81" s="1">
        <v>4</v>
      </c>
      <c r="L81" s="1" t="str">
        <f t="shared" si="5"/>
        <v>30,75</v>
      </c>
      <c r="M81" s="1" t="str">
        <f t="shared" si="6"/>
        <v>55,100</v>
      </c>
      <c r="N81" s="1">
        <f t="shared" si="8"/>
        <v>60</v>
      </c>
      <c r="O81" s="1">
        <f t="shared" si="9"/>
        <v>120</v>
      </c>
    </row>
    <row r="82" spans="2:15">
      <c r="B82" s="1" t="s">
        <v>185</v>
      </c>
      <c r="C82" s="1" t="s">
        <v>186</v>
      </c>
      <c r="D82" s="1">
        <v>110</v>
      </c>
      <c r="E82" s="1" t="s">
        <v>25</v>
      </c>
      <c r="F82" s="1" t="s">
        <v>187</v>
      </c>
      <c r="G82" s="1" t="s">
        <v>27</v>
      </c>
      <c r="H82" s="1">
        <v>1</v>
      </c>
      <c r="I82" s="1" t="s">
        <v>111</v>
      </c>
      <c r="K82" s="1">
        <v>11</v>
      </c>
      <c r="L82" s="1" t="s">
        <v>98</v>
      </c>
      <c r="M82" s="30" t="s">
        <v>113</v>
      </c>
      <c r="N82" s="1">
        <f t="shared" si="8"/>
        <v>165</v>
      </c>
      <c r="O82" s="1">
        <f t="shared" si="9"/>
        <v>270</v>
      </c>
    </row>
    <row r="83" hidden="1" spans="7:15">
      <c r="G83"/>
      <c r="I83" s="1" t="s">
        <v>111</v>
      </c>
      <c r="K83" s="1">
        <v>11</v>
      </c>
      <c r="L83" s="1" t="s">
        <v>98</v>
      </c>
      <c r="M83" s="30" t="s">
        <v>113</v>
      </c>
      <c r="N83" s="1">
        <f t="shared" si="8"/>
        <v>165</v>
      </c>
      <c r="O83" s="1">
        <f t="shared" si="9"/>
        <v>270</v>
      </c>
    </row>
    <row r="84" hidden="1" spans="7:15">
      <c r="G84"/>
      <c r="I84" s="1" t="s">
        <v>111</v>
      </c>
      <c r="K84" s="1">
        <v>11</v>
      </c>
      <c r="L84" s="1" t="s">
        <v>98</v>
      </c>
      <c r="M84" s="30" t="s">
        <v>113</v>
      </c>
      <c r="N84" s="1">
        <f t="shared" si="8"/>
        <v>165</v>
      </c>
      <c r="O84" s="1">
        <f t="shared" si="9"/>
        <v>270</v>
      </c>
    </row>
    <row r="85" hidden="1" spans="7:15">
      <c r="G85"/>
      <c r="I85" s="1" t="s">
        <v>188</v>
      </c>
      <c r="K85" s="1">
        <v>11</v>
      </c>
      <c r="L85" s="1" t="s">
        <v>98</v>
      </c>
      <c r="M85" s="30" t="s">
        <v>113</v>
      </c>
      <c r="N85" s="1">
        <f t="shared" si="8"/>
        <v>165</v>
      </c>
      <c r="O85" s="1">
        <f t="shared" si="9"/>
        <v>270</v>
      </c>
    </row>
    <row r="86" hidden="1" spans="7:15">
      <c r="G86"/>
      <c r="I86" s="1" t="s">
        <v>188</v>
      </c>
      <c r="K86" s="1">
        <v>11</v>
      </c>
      <c r="L86" s="1" t="s">
        <v>98</v>
      </c>
      <c r="M86" s="30" t="s">
        <v>113</v>
      </c>
      <c r="N86" s="1">
        <f t="shared" si="8"/>
        <v>165</v>
      </c>
      <c r="O86" s="1">
        <f t="shared" si="9"/>
        <v>270</v>
      </c>
    </row>
    <row r="87" spans="2:15">
      <c r="B87" s="1" t="s">
        <v>189</v>
      </c>
      <c r="C87" s="1" t="s">
        <v>190</v>
      </c>
      <c r="D87" s="1">
        <v>90</v>
      </c>
      <c r="E87" s="1" t="s">
        <v>25</v>
      </c>
      <c r="F87" s="1" t="s">
        <v>191</v>
      </c>
      <c r="G87" s="1" t="s">
        <v>27</v>
      </c>
      <c r="H87" s="1">
        <v>1</v>
      </c>
      <c r="I87" s="1" t="s">
        <v>111</v>
      </c>
      <c r="K87" s="1">
        <v>9</v>
      </c>
      <c r="L87" s="1" t="s">
        <v>98</v>
      </c>
      <c r="M87" s="30" t="s">
        <v>113</v>
      </c>
      <c r="N87" s="1">
        <f t="shared" si="8"/>
        <v>135</v>
      </c>
      <c r="O87" s="1">
        <f t="shared" si="9"/>
        <v>220</v>
      </c>
    </row>
    <row r="88" hidden="1" spans="7:15">
      <c r="G88"/>
      <c r="I88" s="1" t="s">
        <v>111</v>
      </c>
      <c r="K88" s="1">
        <v>9</v>
      </c>
      <c r="L88" s="1" t="s">
        <v>98</v>
      </c>
      <c r="M88" s="30" t="s">
        <v>113</v>
      </c>
      <c r="N88" s="1">
        <f t="shared" si="8"/>
        <v>135</v>
      </c>
      <c r="O88" s="1">
        <f t="shared" si="9"/>
        <v>220</v>
      </c>
    </row>
    <row r="89" hidden="1" spans="7:15">
      <c r="G89"/>
      <c r="I89" s="1" t="s">
        <v>111</v>
      </c>
      <c r="K89" s="1">
        <v>9</v>
      </c>
      <c r="L89" s="1" t="s">
        <v>98</v>
      </c>
      <c r="M89" s="30" t="s">
        <v>113</v>
      </c>
      <c r="N89" s="1">
        <f t="shared" si="8"/>
        <v>135</v>
      </c>
      <c r="O89" s="1">
        <f t="shared" si="9"/>
        <v>220</v>
      </c>
    </row>
    <row r="90" spans="2:15">
      <c r="B90" s="1" t="s">
        <v>192</v>
      </c>
      <c r="C90" s="1" t="s">
        <v>193</v>
      </c>
      <c r="D90" s="1">
        <v>160</v>
      </c>
      <c r="E90" s="1" t="s">
        <v>25</v>
      </c>
      <c r="F90" s="1" t="s">
        <v>194</v>
      </c>
      <c r="G90" s="1" t="s">
        <v>86</v>
      </c>
      <c r="H90" s="1">
        <v>1</v>
      </c>
      <c r="I90" s="1" t="s">
        <v>195</v>
      </c>
      <c r="K90" s="1">
        <v>16</v>
      </c>
      <c r="L90" s="1" t="s">
        <v>98</v>
      </c>
      <c r="M90" s="30" t="s">
        <v>113</v>
      </c>
      <c r="N90" s="1">
        <f t="shared" si="8"/>
        <v>240</v>
      </c>
      <c r="O90" s="1">
        <f t="shared" si="9"/>
        <v>370</v>
      </c>
    </row>
    <row r="91" hidden="1" spans="7:15">
      <c r="G91"/>
      <c r="I91" s="1" t="s">
        <v>195</v>
      </c>
      <c r="K91" s="1">
        <v>16</v>
      </c>
      <c r="L91" s="1" t="s">
        <v>98</v>
      </c>
      <c r="M91" s="30" t="s">
        <v>113</v>
      </c>
      <c r="N91" s="1">
        <f t="shared" si="8"/>
        <v>240</v>
      </c>
      <c r="O91" s="1">
        <f t="shared" si="9"/>
        <v>370</v>
      </c>
    </row>
    <row r="92" hidden="1" spans="7:15">
      <c r="G92"/>
      <c r="I92" s="1" t="s">
        <v>196</v>
      </c>
      <c r="K92" s="1">
        <v>16</v>
      </c>
      <c r="L92" s="1" t="s">
        <v>98</v>
      </c>
      <c r="M92" s="30" t="s">
        <v>113</v>
      </c>
      <c r="N92" s="1">
        <f t="shared" si="8"/>
        <v>240</v>
      </c>
      <c r="O92" s="1">
        <f t="shared" si="9"/>
        <v>370</v>
      </c>
    </row>
    <row r="93" hidden="1" spans="7:15">
      <c r="G93"/>
      <c r="I93" s="1" t="s">
        <v>196</v>
      </c>
      <c r="K93" s="1">
        <v>16</v>
      </c>
      <c r="L93" s="1" t="s">
        <v>98</v>
      </c>
      <c r="M93" s="30" t="s">
        <v>113</v>
      </c>
      <c r="N93" s="1">
        <f t="shared" si="8"/>
        <v>240</v>
      </c>
      <c r="O93" s="1">
        <f t="shared" si="9"/>
        <v>370</v>
      </c>
    </row>
    <row r="94" hidden="1" spans="7:15">
      <c r="G94"/>
      <c r="K94" s="1">
        <v>16</v>
      </c>
      <c r="L94" s="1" t="s">
        <v>98</v>
      </c>
      <c r="M94" s="30" t="s">
        <v>113</v>
      </c>
      <c r="N94" s="1">
        <f t="shared" si="8"/>
        <v>240</v>
      </c>
      <c r="O94" s="1">
        <f t="shared" si="9"/>
        <v>370</v>
      </c>
    </row>
    <row r="95" hidden="1" spans="7:7">
      <c r="G95"/>
    </row>
    <row r="96" hidden="1" spans="7:7">
      <c r="G96"/>
    </row>
    <row r="97" hidden="1" spans="7:7">
      <c r="G97"/>
    </row>
    <row r="98" hidden="1" spans="7:7">
      <c r="G98"/>
    </row>
    <row r="99" hidden="1" spans="7:7">
      <c r="G99"/>
    </row>
    <row r="100" hidden="1" spans="7:7">
      <c r="G100"/>
    </row>
    <row r="101" hidden="1" spans="7:7">
      <c r="G101"/>
    </row>
  </sheetData>
  <autoFilter ref="B1:B101">
    <filterColumn colId="0">
      <filters>
        <filter val="croissant"/>
        <filter val="菜品基础ID"/>
        <filter val="taosu"/>
        <filter val="double_cake"/>
        <filter val="candycane"/>
        <filter val="apple_pie"/>
        <filter val="waffle"/>
        <filter val="daifuku"/>
        <filter val="mochi"/>
        <filter val="eggroll"/>
        <filter val="sugarbean"/>
        <filter val="chiffion"/>
        <filter val="lollipop"/>
        <filter val="big_lollipop"/>
        <filter val="chocolate"/>
        <filter val="mooncake"/>
        <filter val="cookie"/>
        <filter val="sundae"/>
        <filter val="toffee"/>
        <filter val="tanghulu"/>
        <filter val="souffle"/>
        <filter val="jelly"/>
        <filter val="choco_candy"/>
        <filter val="cream_cell"/>
        <filter val="mango_sago"/>
        <filter val="eclair"/>
        <filter val="maple_sugar"/>
        <filter val="donut"/>
        <filter val="nougat"/>
        <filter val="cone"/>
        <filter val="milk_slice"/>
        <filter val="cream_cake"/>
        <filter val="fruit_cake"/>
        <filter val="puff"/>
        <filter val="string"/>
        <filter val="pengtang"/>
        <filter val="gummy"/>
        <filter val="dorayaki"/>
        <filter val="swiss_roll"/>
        <filter val="macaron"/>
        <filter val="choco_bar"/>
        <filter val="palmier"/>
        <filter val="parfait"/>
        <filter val="eggtart"/>
        <filter val="mousse"/>
        <filter val="cupcake"/>
        <filter val="pudding"/>
        <filter val="sundae_big"/>
        <filter val="marshmallow"/>
        <filter val="gold_choco"/>
      </filters>
    </filterColumn>
    <extLst/>
  </autoFilter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9"/>
  <sheetViews>
    <sheetView tabSelected="1" topLeftCell="A244" workbookViewId="0">
      <selection activeCell="D327" sqref="D327:H339"/>
    </sheetView>
  </sheetViews>
  <sheetFormatPr defaultColWidth="9" defaultRowHeight="16.8"/>
  <cols>
    <col min="1" max="1" width="13.0769230769231" style="1" customWidth="1"/>
    <col min="2" max="2" width="21.4615384615385" style="1" customWidth="1"/>
    <col min="3" max="3" width="20.3846153846154" style="1" customWidth="1"/>
    <col min="4" max="4" width="24.6923076923077" style="1" customWidth="1"/>
    <col min="5" max="5" width="15.1538461538462" style="1" customWidth="1"/>
    <col min="6" max="6" width="10.3076923076923" style="1" customWidth="1"/>
    <col min="7" max="7" width="36" style="1" customWidth="1"/>
    <col min="8" max="8" width="26.2307692307692" style="1" customWidth="1"/>
    <col min="9" max="16384" width="9" style="1"/>
  </cols>
  <sheetData>
    <row r="1" spans="1:8">
      <c r="A1" s="1" t="s">
        <v>0</v>
      </c>
      <c r="B1" s="1" t="s">
        <v>1</v>
      </c>
      <c r="C1" s="1" t="s">
        <v>197</v>
      </c>
      <c r="D1" s="1" t="s">
        <v>198</v>
      </c>
      <c r="E1" s="1" t="s">
        <v>199</v>
      </c>
      <c r="F1" s="1" t="s">
        <v>200</v>
      </c>
      <c r="G1" s="1" t="s">
        <v>201</v>
      </c>
      <c r="H1" s="1" t="s">
        <v>202</v>
      </c>
    </row>
    <row r="2" spans="1:8">
      <c r="A2" s="1" t="s">
        <v>9</v>
      </c>
      <c r="B2" s="1" t="s">
        <v>203</v>
      </c>
      <c r="C2" s="1" t="s">
        <v>204</v>
      </c>
      <c r="D2" s="1" t="s">
        <v>205</v>
      </c>
      <c r="E2" s="1" t="s">
        <v>206</v>
      </c>
      <c r="F2" s="1" t="s">
        <v>207</v>
      </c>
      <c r="G2" s="1" t="s">
        <v>208</v>
      </c>
      <c r="H2" s="1" t="s">
        <v>209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210</v>
      </c>
      <c r="F3" s="1" t="s">
        <v>20</v>
      </c>
      <c r="G3" s="1" t="s">
        <v>211</v>
      </c>
      <c r="H3" s="1" t="s">
        <v>212</v>
      </c>
    </row>
    <row r="4" spans="2:8">
      <c r="B4" s="1" t="str">
        <f>C4&amp;D4</f>
        <v>cookie</v>
      </c>
      <c r="C4" s="27" t="s">
        <v>23</v>
      </c>
      <c r="E4" s="1">
        <v>1200</v>
      </c>
      <c r="F4" s="1">
        <f>VLOOKUP(C4,dish_base!$B$4:$O$94,13,FALSE)</f>
        <v>15</v>
      </c>
      <c r="G4" s="1" t="str">
        <f>VLOOKUP(C4,dish_base!$B$4:$M$94,11,FALSE)</f>
        <v>10,40</v>
      </c>
      <c r="H4" s="1" t="s">
        <v>213</v>
      </c>
    </row>
    <row r="5" spans="2:8">
      <c r="B5" s="1" t="str">
        <f t="shared" ref="B5:B36" si="0">C5&amp;D5</f>
        <v>macaron</v>
      </c>
      <c r="C5" s="27" t="s">
        <v>29</v>
      </c>
      <c r="E5" s="1">
        <v>1200</v>
      </c>
      <c r="F5" s="1">
        <f>VLOOKUP(C5,dish_base!$B$4:$O$94,13,FALSE)</f>
        <v>15</v>
      </c>
      <c r="G5" s="1" t="str">
        <f>VLOOKUP(C5,dish_base!$B$4:$M$94,11,FALSE)</f>
        <v>10,40</v>
      </c>
      <c r="H5" s="1" t="s">
        <v>213</v>
      </c>
    </row>
    <row r="6" spans="2:8">
      <c r="B6" s="1" t="str">
        <f t="shared" si="0"/>
        <v>pudding</v>
      </c>
      <c r="C6" s="1" t="s">
        <v>32</v>
      </c>
      <c r="E6" s="1">
        <v>1200</v>
      </c>
      <c r="F6" s="1">
        <f>VLOOKUP(C6,dish_base!$B$4:$O$94,13,FALSE)</f>
        <v>15</v>
      </c>
      <c r="G6" s="1" t="str">
        <f>VLOOKUP(C6,dish_base!$B$4:$M$94,11,FALSE)</f>
        <v>10,40</v>
      </c>
      <c r="H6" s="1" t="s">
        <v>213</v>
      </c>
    </row>
    <row r="7" spans="2:8">
      <c r="B7" s="1" t="str">
        <f t="shared" si="0"/>
        <v>puff</v>
      </c>
      <c r="C7" s="1" t="s">
        <v>35</v>
      </c>
      <c r="E7" s="1">
        <v>1200</v>
      </c>
      <c r="F7" s="1">
        <f>VLOOKUP(C7,dish_base!$B$4:$O$94,13,FALSE)</f>
        <v>15</v>
      </c>
      <c r="G7" s="1" t="str">
        <f>VLOOKUP(C7,dish_base!$B$4:$M$94,11,FALSE)</f>
        <v>10,40</v>
      </c>
      <c r="H7" s="1" t="s">
        <v>213</v>
      </c>
    </row>
    <row r="8" spans="2:8">
      <c r="B8" s="1" t="str">
        <f t="shared" si="0"/>
        <v>eggtart</v>
      </c>
      <c r="C8" s="1" t="s">
        <v>38</v>
      </c>
      <c r="E8" s="1">
        <v>1200</v>
      </c>
      <c r="F8" s="1">
        <f>VLOOKUP(C8,dish_base!$B$4:$O$94,13,FALSE)</f>
        <v>15</v>
      </c>
      <c r="G8" s="1" t="str">
        <f>VLOOKUP(C8,dish_base!$B$4:$M$94,11,FALSE)</f>
        <v>10,40</v>
      </c>
      <c r="H8" s="1" t="s">
        <v>213</v>
      </c>
    </row>
    <row r="9" spans="2:8">
      <c r="B9" s="1" t="str">
        <f t="shared" si="0"/>
        <v>mochi</v>
      </c>
      <c r="C9" s="1" t="s">
        <v>41</v>
      </c>
      <c r="E9" s="1">
        <v>1200</v>
      </c>
      <c r="F9" s="1">
        <f>VLOOKUP(C9,dish_base!$B$4:$O$94,13,FALSE)</f>
        <v>15</v>
      </c>
      <c r="G9" s="1" t="str">
        <f>VLOOKUP(C9,dish_base!$B$4:$M$94,11,FALSE)</f>
        <v>10,40</v>
      </c>
      <c r="H9" s="1" t="s">
        <v>213</v>
      </c>
    </row>
    <row r="10" spans="2:8">
      <c r="B10" s="1" t="str">
        <f t="shared" si="0"/>
        <v>daifuku</v>
      </c>
      <c r="C10" s="1" t="s">
        <v>44</v>
      </c>
      <c r="E10" s="1">
        <v>1200</v>
      </c>
      <c r="F10" s="1">
        <f>VLOOKUP(C10,dish_base!$B$4:$O$94,13,FALSE)</f>
        <v>15</v>
      </c>
      <c r="G10" s="1" t="str">
        <f>VLOOKUP(C10,dish_base!$B$4:$M$94,11,FALSE)</f>
        <v>10,40</v>
      </c>
      <c r="H10" s="1" t="s">
        <v>213</v>
      </c>
    </row>
    <row r="11" spans="2:8">
      <c r="B11" s="1" t="str">
        <f t="shared" si="0"/>
        <v>choco_candy</v>
      </c>
      <c r="C11" s="1" t="s">
        <v>47</v>
      </c>
      <c r="E11" s="1">
        <v>1200</v>
      </c>
      <c r="F11" s="1">
        <f>VLOOKUP(C11,dish_base!$B$4:$O$94,13,FALSE)</f>
        <v>15</v>
      </c>
      <c r="G11" s="1" t="str">
        <f>VLOOKUP(C11,dish_base!$B$4:$M$94,11,FALSE)</f>
        <v>10,40</v>
      </c>
      <c r="H11" s="1" t="s">
        <v>213</v>
      </c>
    </row>
    <row r="12" spans="2:8">
      <c r="B12" s="1" t="str">
        <f t="shared" si="0"/>
        <v>jelly</v>
      </c>
      <c r="C12" s="1" t="s">
        <v>50</v>
      </c>
      <c r="E12" s="1">
        <v>1200</v>
      </c>
      <c r="F12" s="1">
        <f>VLOOKUP(C12,dish_base!$B$4:$O$94,13,FALSE)</f>
        <v>15</v>
      </c>
      <c r="G12" s="1" t="str">
        <f>VLOOKUP(C12,dish_base!$B$4:$M$94,11,FALSE)</f>
        <v>10,40</v>
      </c>
      <c r="H12" s="1" t="s">
        <v>213</v>
      </c>
    </row>
    <row r="13" spans="2:8">
      <c r="B13" s="1" t="str">
        <f t="shared" si="0"/>
        <v>cream_cell</v>
      </c>
      <c r="C13" s="1" t="s">
        <v>54</v>
      </c>
      <c r="E13" s="1">
        <v>1200</v>
      </c>
      <c r="F13" s="1">
        <f>VLOOKUP(C13,dish_base!$B$4:$O$94,13,FALSE)</f>
        <v>15</v>
      </c>
      <c r="G13" s="1" t="str">
        <f>VLOOKUP(C13,dish_base!$B$4:$M$94,11,FALSE)</f>
        <v>10,40</v>
      </c>
      <c r="H13" s="1" t="s">
        <v>213</v>
      </c>
    </row>
    <row r="14" spans="2:8">
      <c r="B14" s="1" t="str">
        <f t="shared" si="0"/>
        <v>sugarbean</v>
      </c>
      <c r="C14" s="1" t="s">
        <v>58</v>
      </c>
      <c r="E14" s="1">
        <v>1200</v>
      </c>
      <c r="F14" s="1">
        <f>VLOOKUP(C14,dish_base!$B$4:$O$94,13,FALSE)</f>
        <v>15</v>
      </c>
      <c r="G14" s="1" t="str">
        <f>VLOOKUP(C14,dish_base!$B$4:$M$94,11,FALSE)</f>
        <v>10,40</v>
      </c>
      <c r="H14" s="1" t="s">
        <v>213</v>
      </c>
    </row>
    <row r="15" spans="2:8">
      <c r="B15" s="1" t="str">
        <f t="shared" si="0"/>
        <v>gold_choco</v>
      </c>
      <c r="C15" s="1" t="s">
        <v>62</v>
      </c>
      <c r="E15" s="1">
        <v>1200</v>
      </c>
      <c r="F15" s="1">
        <f>VLOOKUP(C15,dish_base!$B$4:$O$94,13,FALSE)</f>
        <v>15</v>
      </c>
      <c r="G15" s="1" t="str">
        <f>VLOOKUP(C15,dish_base!$B$4:$M$94,11,FALSE)</f>
        <v>10,40</v>
      </c>
      <c r="H15" s="1" t="s">
        <v>213</v>
      </c>
    </row>
    <row r="16" spans="2:8">
      <c r="B16" s="1" t="str">
        <f t="shared" si="0"/>
        <v>milk_slice</v>
      </c>
      <c r="C16" s="1" t="s">
        <v>66</v>
      </c>
      <c r="E16" s="1">
        <v>1200</v>
      </c>
      <c r="F16" s="1">
        <f>VLOOKUP(C16,dish_base!$B$4:$O$94,13,FALSE)</f>
        <v>15</v>
      </c>
      <c r="G16" s="1" t="str">
        <f>VLOOKUP(C16,dish_base!$B$4:$M$94,11,FALSE)</f>
        <v>10,40</v>
      </c>
      <c r="H16" s="1" t="s">
        <v>213</v>
      </c>
    </row>
    <row r="17" spans="2:8">
      <c r="B17" s="1" t="str">
        <f t="shared" si="0"/>
        <v>sundae</v>
      </c>
      <c r="C17" s="1" t="s">
        <v>70</v>
      </c>
      <c r="E17" s="1">
        <v>1200</v>
      </c>
      <c r="F17" s="1">
        <f>VLOOKUP(C17,dish_base!$B$4:$O$94,13,FALSE)</f>
        <v>30</v>
      </c>
      <c r="G17" s="1" t="str">
        <f>VLOOKUP(C17,dish_base!$B$4:$M$94,11,FALSE)</f>
        <v>10,45</v>
      </c>
      <c r="H17" s="1" t="s">
        <v>213</v>
      </c>
    </row>
    <row r="18" spans="2:8">
      <c r="B18" s="1" t="str">
        <f t="shared" si="0"/>
        <v>cone</v>
      </c>
      <c r="C18" s="1" t="s">
        <v>74</v>
      </c>
      <c r="E18" s="1">
        <v>1200</v>
      </c>
      <c r="F18" s="1">
        <f>VLOOKUP(C18,dish_base!$B$4:$O$94,13,FALSE)</f>
        <v>30</v>
      </c>
      <c r="G18" s="1" t="str">
        <f>VLOOKUP(C18,dish_base!$B$4:$M$94,11,FALSE)</f>
        <v>10,45</v>
      </c>
      <c r="H18" s="1" t="s">
        <v>213</v>
      </c>
    </row>
    <row r="19" spans="2:8">
      <c r="B19" s="1" t="str">
        <f t="shared" si="0"/>
        <v>lollipop</v>
      </c>
      <c r="C19" s="1" t="s">
        <v>77</v>
      </c>
      <c r="E19" s="1">
        <v>1200</v>
      </c>
      <c r="F19" s="1">
        <f>VLOOKUP(C19,dish_base!$B$4:$O$94,13,FALSE)</f>
        <v>30</v>
      </c>
      <c r="G19" s="1" t="str">
        <f>VLOOKUP(C19,dish_base!$B$4:$M$94,11,FALSE)</f>
        <v>10,45</v>
      </c>
      <c r="H19" s="1" t="s">
        <v>213</v>
      </c>
    </row>
    <row r="20" spans="2:8">
      <c r="B20" s="1" t="str">
        <f t="shared" si="0"/>
        <v>gummy</v>
      </c>
      <c r="C20" s="1" t="s">
        <v>80</v>
      </c>
      <c r="E20" s="1">
        <v>1200</v>
      </c>
      <c r="F20" s="1">
        <f>VLOOKUP(C20,dish_base!$B$4:$O$94,13,FALSE)</f>
        <v>30</v>
      </c>
      <c r="G20" s="1" t="str">
        <f>VLOOKUP(C20,dish_base!$B$4:$M$94,11,FALSE)</f>
        <v>10,45</v>
      </c>
      <c r="H20" s="1" t="s">
        <v>213</v>
      </c>
    </row>
    <row r="21" spans="2:8">
      <c r="B21" s="1" t="str">
        <f t="shared" si="0"/>
        <v>cupcake</v>
      </c>
      <c r="C21" s="1" t="s">
        <v>83</v>
      </c>
      <c r="E21" s="1">
        <v>1200</v>
      </c>
      <c r="F21" s="1">
        <f>VLOOKUP(C21,dish_base!$B$4:$O$94,13,FALSE)</f>
        <v>30</v>
      </c>
      <c r="G21" s="1" t="str">
        <f>VLOOKUP(C21,dish_base!$B$4:$M$94,11,FALSE)</f>
        <v>10,45</v>
      </c>
      <c r="H21" s="1" t="s">
        <v>213</v>
      </c>
    </row>
    <row r="22" spans="2:8">
      <c r="B22" s="1" t="str">
        <f t="shared" si="0"/>
        <v>mousse</v>
      </c>
      <c r="C22" s="1" t="s">
        <v>87</v>
      </c>
      <c r="E22" s="1">
        <v>1200</v>
      </c>
      <c r="F22" s="1">
        <f>VLOOKUP(C22,dish_base!$B$4:$O$94,13,FALSE)</f>
        <v>30</v>
      </c>
      <c r="G22" s="1" t="str">
        <f>VLOOKUP(C22,dish_base!$B$4:$M$94,11,FALSE)</f>
        <v>10,45</v>
      </c>
      <c r="H22" s="1" t="s">
        <v>213</v>
      </c>
    </row>
    <row r="23" spans="2:8">
      <c r="B23" s="1" t="str">
        <f t="shared" si="0"/>
        <v>toffee</v>
      </c>
      <c r="C23" s="1" t="s">
        <v>94</v>
      </c>
      <c r="E23" s="1">
        <v>1200</v>
      </c>
      <c r="F23" s="1">
        <f>VLOOKUP(C23,dish_base!$B$4:$O$94,13,FALSE)</f>
        <v>30</v>
      </c>
      <c r="G23" s="1" t="str">
        <f>VLOOKUP(C23,dish_base!$B$4:$M$94,11,FALSE)</f>
        <v>10,45</v>
      </c>
      <c r="H23" s="1" t="s">
        <v>213</v>
      </c>
    </row>
    <row r="24" spans="2:8">
      <c r="B24" s="1" t="str">
        <f t="shared" si="0"/>
        <v>nougat</v>
      </c>
      <c r="C24" s="1" t="s">
        <v>101</v>
      </c>
      <c r="E24" s="1">
        <v>1200</v>
      </c>
      <c r="F24" s="1">
        <f>VLOOKUP(C24,dish_base!$B$4:$O$94,13,FALSE)</f>
        <v>30</v>
      </c>
      <c r="G24" s="1" t="str">
        <f>VLOOKUP(C24,dish_base!$B$4:$M$94,11,FALSE)</f>
        <v>10,45</v>
      </c>
      <c r="H24" s="1" t="s">
        <v>213</v>
      </c>
    </row>
    <row r="25" spans="2:8">
      <c r="B25" s="1" t="str">
        <f t="shared" si="0"/>
        <v>eggroll</v>
      </c>
      <c r="C25" s="1" t="s">
        <v>108</v>
      </c>
      <c r="E25" s="1">
        <v>1200</v>
      </c>
      <c r="F25" s="1">
        <f>VLOOKUP(C25,dish_base!$B$4:$O$94,13,FALSE)</f>
        <v>45</v>
      </c>
      <c r="G25" s="1" t="str">
        <f>VLOOKUP(C25,dish_base!$B$4:$M$94,11,FALSE)</f>
        <v>20,60</v>
      </c>
      <c r="H25" s="1" t="s">
        <v>213</v>
      </c>
    </row>
    <row r="26" spans="2:8">
      <c r="B26" s="1" t="str">
        <f t="shared" si="0"/>
        <v>choco_bar</v>
      </c>
      <c r="C26" s="27" t="s">
        <v>114</v>
      </c>
      <c r="E26" s="1">
        <v>1200</v>
      </c>
      <c r="F26" s="1">
        <f>VLOOKUP(C26,dish_base!$B$4:$O$94,13,FALSE)</f>
        <v>45</v>
      </c>
      <c r="G26" s="1" t="str">
        <f>VLOOKUP(C26,dish_base!$B$4:$M$94,11,FALSE)</f>
        <v>20,60</v>
      </c>
      <c r="H26" s="1" t="s">
        <v>213</v>
      </c>
    </row>
    <row r="27" spans="2:8">
      <c r="B27" s="1" t="str">
        <f t="shared" si="0"/>
        <v>eclair</v>
      </c>
      <c r="C27" s="1" t="s">
        <v>117</v>
      </c>
      <c r="E27" s="1">
        <v>1200</v>
      </c>
      <c r="F27" s="1">
        <f>VLOOKUP(C27,dish_base!$B$4:$O$94,13,FALSE)</f>
        <v>45</v>
      </c>
      <c r="G27" s="1" t="str">
        <f>VLOOKUP(C27,dish_base!$B$4:$M$94,11,FALSE)</f>
        <v>20,60</v>
      </c>
      <c r="H27" s="1" t="s">
        <v>213</v>
      </c>
    </row>
    <row r="28" spans="2:8">
      <c r="B28" s="1" t="str">
        <f t="shared" si="0"/>
        <v>tanghulu</v>
      </c>
      <c r="C28" s="1" t="s">
        <v>120</v>
      </c>
      <c r="E28" s="1">
        <v>1200</v>
      </c>
      <c r="F28" s="1">
        <f>VLOOKUP(C28,dish_base!$B$4:$O$94,13,FALSE)</f>
        <v>45</v>
      </c>
      <c r="G28" s="1" t="str">
        <f>VLOOKUP(C28,dish_base!$B$4:$M$94,11,FALSE)</f>
        <v>20,60</v>
      </c>
      <c r="H28" s="1" t="s">
        <v>213</v>
      </c>
    </row>
    <row r="29" spans="2:8">
      <c r="B29" s="1" t="str">
        <f t="shared" si="0"/>
        <v>souffle</v>
      </c>
      <c r="C29" s="1" t="s">
        <v>123</v>
      </c>
      <c r="E29" s="1">
        <v>1200</v>
      </c>
      <c r="F29" s="1">
        <f>VLOOKUP(C29,dish_base!$B$4:$O$94,13,FALSE)</f>
        <v>60</v>
      </c>
      <c r="G29" s="1" t="str">
        <f>VLOOKUP(C29,dish_base!$B$4:$M$94,11,FALSE)</f>
        <v>30,75</v>
      </c>
      <c r="H29" s="1" t="s">
        <v>213</v>
      </c>
    </row>
    <row r="30" spans="2:8">
      <c r="B30" s="1" t="str">
        <f t="shared" si="0"/>
        <v>maple_sugar</v>
      </c>
      <c r="C30" s="1" t="s">
        <v>126</v>
      </c>
      <c r="E30" s="1">
        <v>1200</v>
      </c>
      <c r="F30" s="1">
        <f>VLOOKUP(C30,dish_base!$B$4:$O$94,13,FALSE)</f>
        <v>60</v>
      </c>
      <c r="G30" s="1" t="str">
        <f>VLOOKUP(C30,dish_base!$B$4:$M$94,11,FALSE)</f>
        <v>30,75</v>
      </c>
      <c r="H30" s="1" t="s">
        <v>213</v>
      </c>
    </row>
    <row r="31" spans="2:8">
      <c r="B31" s="1" t="str">
        <f t="shared" si="0"/>
        <v>taosu</v>
      </c>
      <c r="C31" s="1" t="s">
        <v>129</v>
      </c>
      <c r="E31" s="1">
        <v>1200</v>
      </c>
      <c r="F31" s="1">
        <f>VLOOKUP(C31,dish_base!$B$4:$O$94,13,FALSE)</f>
        <v>60</v>
      </c>
      <c r="G31" s="1" t="str">
        <f>VLOOKUP(C31,dish_base!$B$4:$M$94,11,FALSE)</f>
        <v>30,75</v>
      </c>
      <c r="H31" s="1" t="s">
        <v>213</v>
      </c>
    </row>
    <row r="32" spans="2:8">
      <c r="B32" s="1" t="str">
        <f t="shared" si="0"/>
        <v>mooncake</v>
      </c>
      <c r="C32" s="1" t="s">
        <v>132</v>
      </c>
      <c r="E32" s="1">
        <v>1200</v>
      </c>
      <c r="F32" s="1">
        <f>VLOOKUP(C32,dish_base!$B$4:$O$94,13,FALSE)</f>
        <v>60</v>
      </c>
      <c r="G32" s="1" t="str">
        <f>VLOOKUP(C32,dish_base!$B$4:$M$94,11,FALSE)</f>
        <v>30,75</v>
      </c>
      <c r="H32" s="1" t="s">
        <v>213</v>
      </c>
    </row>
    <row r="33" spans="2:8">
      <c r="B33" s="1" t="str">
        <f t="shared" si="0"/>
        <v>waffle</v>
      </c>
      <c r="C33" s="1" t="s">
        <v>135</v>
      </c>
      <c r="E33" s="1">
        <v>1200</v>
      </c>
      <c r="F33" s="1">
        <f>VLOOKUP(C33,dish_base!$B$4:$O$94,13,FALSE)</f>
        <v>60</v>
      </c>
      <c r="G33" s="1" t="str">
        <f>VLOOKUP(C33,dish_base!$B$4:$M$94,11,FALSE)</f>
        <v>30,75</v>
      </c>
      <c r="H33" s="1" t="s">
        <v>213</v>
      </c>
    </row>
    <row r="34" spans="2:8">
      <c r="B34" s="1" t="str">
        <f t="shared" si="0"/>
        <v>dorayaki</v>
      </c>
      <c r="C34" s="1" t="s">
        <v>138</v>
      </c>
      <c r="E34" s="1">
        <v>1200</v>
      </c>
      <c r="F34" s="1">
        <f>VLOOKUP(C34,dish_base!$B$4:$O$94,13,FALSE)</f>
        <v>60</v>
      </c>
      <c r="G34" s="1" t="str">
        <f>VLOOKUP(C34,dish_base!$B$4:$M$94,11,FALSE)</f>
        <v>30,75</v>
      </c>
      <c r="H34" s="1" t="s">
        <v>213</v>
      </c>
    </row>
    <row r="35" spans="2:8">
      <c r="B35" s="1" t="str">
        <f t="shared" si="0"/>
        <v>cream_cake</v>
      </c>
      <c r="C35" s="1" t="s">
        <v>141</v>
      </c>
      <c r="E35" s="1">
        <v>1200</v>
      </c>
      <c r="F35" s="1">
        <f>VLOOKUP(C35,dish_base!$B$4:$O$94,13,FALSE)</f>
        <v>60</v>
      </c>
      <c r="G35" s="1" t="str">
        <f>VLOOKUP(C35,dish_base!$B$4:$M$94,11,FALSE)</f>
        <v>30,75</v>
      </c>
      <c r="H35" s="1" t="s">
        <v>213</v>
      </c>
    </row>
    <row r="36" spans="2:8">
      <c r="B36" s="1" t="str">
        <f t="shared" si="0"/>
        <v>donut</v>
      </c>
      <c r="C36" s="1" t="s">
        <v>144</v>
      </c>
      <c r="E36" s="1">
        <v>1200</v>
      </c>
      <c r="F36" s="1">
        <f>VLOOKUP(C36,dish_base!$B$4:$O$94,13,FALSE)</f>
        <v>60</v>
      </c>
      <c r="G36" s="1" t="str">
        <f>VLOOKUP(C36,dish_base!$B$4:$M$94,11,FALSE)</f>
        <v>30,75</v>
      </c>
      <c r="H36" s="1" t="s">
        <v>213</v>
      </c>
    </row>
    <row r="37" spans="2:8">
      <c r="B37" s="1" t="str">
        <f t="shared" ref="B37:B68" si="1">C37&amp;D37</f>
        <v>pengtang</v>
      </c>
      <c r="C37" s="1" t="s">
        <v>147</v>
      </c>
      <c r="E37" s="1">
        <v>1200</v>
      </c>
      <c r="F37" s="1">
        <f>VLOOKUP(C37,dish_base!$B$4:$O$94,13,FALSE)</f>
        <v>60</v>
      </c>
      <c r="G37" s="1" t="str">
        <f>VLOOKUP(C37,dish_base!$B$4:$M$94,11,FALSE)</f>
        <v>30,75</v>
      </c>
      <c r="H37" s="1" t="s">
        <v>213</v>
      </c>
    </row>
    <row r="38" spans="2:8">
      <c r="B38" s="1" t="str">
        <f t="shared" si="1"/>
        <v>parfait</v>
      </c>
      <c r="C38" s="1" t="s">
        <v>150</v>
      </c>
      <c r="E38" s="1">
        <v>1200</v>
      </c>
      <c r="F38" s="1">
        <f>VLOOKUP(C38,dish_base!$B$4:$O$94,13,FALSE)</f>
        <v>90</v>
      </c>
      <c r="G38" s="1" t="str">
        <f>VLOOKUP(C38,dish_base!$B$4:$M$94,11,FALSE)</f>
        <v>40,90</v>
      </c>
      <c r="H38" s="1" t="s">
        <v>213</v>
      </c>
    </row>
    <row r="39" spans="2:8">
      <c r="B39" s="1" t="str">
        <f t="shared" si="1"/>
        <v>sundae_big</v>
      </c>
      <c r="C39" s="1" t="s">
        <v>153</v>
      </c>
      <c r="E39" s="1">
        <v>1200</v>
      </c>
      <c r="F39" s="1">
        <f>VLOOKUP(C39,dish_base!$B$4:$O$94,13,FALSE)</f>
        <v>90</v>
      </c>
      <c r="G39" s="1" t="str">
        <f>VLOOKUP(C39,dish_base!$B$4:$M$94,11,FALSE)</f>
        <v>40,90</v>
      </c>
      <c r="H39" s="1" t="s">
        <v>213</v>
      </c>
    </row>
    <row r="40" spans="2:8">
      <c r="B40" s="1" t="str">
        <f t="shared" si="1"/>
        <v>swiss_roll</v>
      </c>
      <c r="C40" s="1" t="s">
        <v>156</v>
      </c>
      <c r="E40" s="1">
        <v>1200</v>
      </c>
      <c r="F40" s="1">
        <f>VLOOKUP(C40,dish_base!$B$4:$O$94,13,FALSE)</f>
        <v>90</v>
      </c>
      <c r="G40" s="1" t="str">
        <f>VLOOKUP(C40,dish_base!$B$4:$M$94,11,FALSE)</f>
        <v>40,90</v>
      </c>
      <c r="H40" s="1" t="s">
        <v>213</v>
      </c>
    </row>
    <row r="41" spans="2:8">
      <c r="B41" s="1" t="str">
        <f t="shared" si="1"/>
        <v>mango_sago</v>
      </c>
      <c r="C41" s="1" t="s">
        <v>159</v>
      </c>
      <c r="E41" s="1">
        <v>1200</v>
      </c>
      <c r="F41" s="1">
        <f>VLOOKUP(C41,dish_base!$B$4:$O$94,13,FALSE)</f>
        <v>90</v>
      </c>
      <c r="G41" s="1" t="str">
        <f>VLOOKUP(C41,dish_base!$B$4:$M$94,11,FALSE)</f>
        <v>40,90</v>
      </c>
      <c r="H41" s="1" t="s">
        <v>213</v>
      </c>
    </row>
    <row r="42" spans="2:8">
      <c r="B42" s="1" t="str">
        <f t="shared" si="1"/>
        <v>chiffion</v>
      </c>
      <c r="C42" s="1" t="s">
        <v>162</v>
      </c>
      <c r="E42" s="1">
        <v>1200</v>
      </c>
      <c r="F42" s="1">
        <f>VLOOKUP(C42,dish_base!$B$4:$O$94,13,FALSE)</f>
        <v>90</v>
      </c>
      <c r="G42" s="1" t="str">
        <f>VLOOKUP(C42,dish_base!$B$4:$M$94,11,FALSE)</f>
        <v>40,90</v>
      </c>
      <c r="H42" s="1" t="s">
        <v>213</v>
      </c>
    </row>
    <row r="43" spans="2:8">
      <c r="B43" s="1" t="str">
        <f t="shared" si="1"/>
        <v>apple_pie</v>
      </c>
      <c r="C43" s="1" t="s">
        <v>165</v>
      </c>
      <c r="E43" s="1">
        <v>1200</v>
      </c>
      <c r="F43" s="1">
        <f>VLOOKUP(C43,dish_base!$B$4:$O$94,13,FALSE)</f>
        <v>90</v>
      </c>
      <c r="G43" s="1" t="str">
        <f>VLOOKUP(C43,dish_base!$B$4:$M$94,11,FALSE)</f>
        <v>40,90</v>
      </c>
      <c r="H43" s="1" t="s">
        <v>213</v>
      </c>
    </row>
    <row r="44" spans="2:8">
      <c r="B44" s="1" t="str">
        <f t="shared" si="1"/>
        <v>fruit_cake</v>
      </c>
      <c r="C44" s="1" t="s">
        <v>168</v>
      </c>
      <c r="E44" s="1">
        <v>1200</v>
      </c>
      <c r="F44" s="1">
        <f>VLOOKUP(C44,dish_base!$B$4:$O$94,13,FALSE)</f>
        <v>90</v>
      </c>
      <c r="G44" s="1" t="str">
        <f>VLOOKUP(C44,dish_base!$B$4:$M$94,11,FALSE)</f>
        <v>40,90</v>
      </c>
      <c r="H44" s="1" t="s">
        <v>213</v>
      </c>
    </row>
    <row r="45" spans="2:8">
      <c r="B45" s="1" t="str">
        <f t="shared" si="1"/>
        <v>chocolate</v>
      </c>
      <c r="C45" s="1" t="s">
        <v>171</v>
      </c>
      <c r="E45" s="1">
        <v>1200</v>
      </c>
      <c r="F45" s="1">
        <f>VLOOKUP(C45,dish_base!$B$4:$O$94,13,FALSE)</f>
        <v>90</v>
      </c>
      <c r="G45" s="1" t="str">
        <f>VLOOKUP(C45,dish_base!$B$4:$M$94,11,FALSE)</f>
        <v>40,90</v>
      </c>
      <c r="H45" s="1" t="s">
        <v>213</v>
      </c>
    </row>
    <row r="46" spans="2:8">
      <c r="B46" s="1" t="str">
        <f t="shared" si="1"/>
        <v>croissant</v>
      </c>
      <c r="C46" s="1" t="s">
        <v>174</v>
      </c>
      <c r="E46" s="1">
        <v>1200</v>
      </c>
      <c r="F46" s="1">
        <f>VLOOKUP(C46,dish_base!$B$4:$O$94,13,FALSE)</f>
        <v>45</v>
      </c>
      <c r="G46" s="1" t="str">
        <f>VLOOKUP(C46,dish_base!$B$4:$M$94,11,FALSE)</f>
        <v>20,60</v>
      </c>
      <c r="H46" s="1" t="s">
        <v>213</v>
      </c>
    </row>
    <row r="47" spans="2:8">
      <c r="B47" s="1" t="str">
        <f t="shared" si="1"/>
        <v>palmier</v>
      </c>
      <c r="C47" s="1" t="s">
        <v>178</v>
      </c>
      <c r="E47" s="1">
        <v>1200</v>
      </c>
      <c r="F47" s="1">
        <f>VLOOKUP(C47,dish_base!$B$4:$O$94,13,FALSE)</f>
        <v>45</v>
      </c>
      <c r="G47" s="1" t="str">
        <f>VLOOKUP(C47,dish_base!$B$4:$M$94,11,FALSE)</f>
        <v>20,60</v>
      </c>
      <c r="H47" s="1" t="s">
        <v>213</v>
      </c>
    </row>
    <row r="48" spans="2:8">
      <c r="B48" s="1" t="str">
        <f t="shared" si="1"/>
        <v>candycane</v>
      </c>
      <c r="C48" s="1" t="s">
        <v>182</v>
      </c>
      <c r="E48" s="1">
        <v>1200</v>
      </c>
      <c r="F48" s="1">
        <f>VLOOKUP(C48,dish_base!$B$4:$O$94,13,FALSE)</f>
        <v>60</v>
      </c>
      <c r="G48" s="1" t="str">
        <f>VLOOKUP(C48,dish_base!$B$4:$M$94,11,FALSE)</f>
        <v>30,75</v>
      </c>
      <c r="H48" s="1" t="s">
        <v>213</v>
      </c>
    </row>
    <row r="49" spans="2:8">
      <c r="B49" s="1" t="str">
        <f t="shared" si="1"/>
        <v>big_lollipop</v>
      </c>
      <c r="C49" s="1" t="s">
        <v>185</v>
      </c>
      <c r="E49" s="1">
        <v>1200</v>
      </c>
      <c r="F49" s="1">
        <f>VLOOKUP(C49,dish_base!$B$4:$O$94,13,FALSE)</f>
        <v>165</v>
      </c>
      <c r="G49" s="1" t="str">
        <f>VLOOKUP(C49,dish_base!$B$4:$M$94,11,FALSE)</f>
        <v>45,80</v>
      </c>
      <c r="H49" s="1" t="s">
        <v>213</v>
      </c>
    </row>
    <row r="50" spans="2:8">
      <c r="B50" s="1" t="str">
        <f t="shared" si="1"/>
        <v>marshmallow</v>
      </c>
      <c r="C50" s="1" t="s">
        <v>189</v>
      </c>
      <c r="E50" s="1">
        <v>1200</v>
      </c>
      <c r="F50" s="1">
        <f>VLOOKUP(C50,dish_base!$B$4:$O$94,13,FALSE)</f>
        <v>135</v>
      </c>
      <c r="G50" s="1" t="str">
        <f>VLOOKUP(C50,dish_base!$B$4:$M$94,11,FALSE)</f>
        <v>45,80</v>
      </c>
      <c r="H50" s="1" t="s">
        <v>213</v>
      </c>
    </row>
    <row r="51" spans="2:8">
      <c r="B51" s="1" t="str">
        <f t="shared" si="1"/>
        <v>double_cake</v>
      </c>
      <c r="C51" s="1" t="s">
        <v>192</v>
      </c>
      <c r="D51" s="1"/>
      <c r="E51" s="1">
        <v>100</v>
      </c>
      <c r="F51" s="1">
        <f>VLOOKUP(C51,dish_base!$B$4:$O$94,14,FALSE)</f>
        <v>370</v>
      </c>
      <c r="G51" s="1" t="str">
        <f>VLOOKUP(C51,dish_base!$B$4:$M$94,12,FALSE)</f>
        <v>80,130</v>
      </c>
      <c r="H51" s="1" t="s">
        <v>213</v>
      </c>
    </row>
    <row r="52" spans="2:8">
      <c r="B52" s="1" t="str">
        <f t="shared" si="1"/>
        <v>cookiet_sweet</v>
      </c>
      <c r="C52" s="28" t="s">
        <v>23</v>
      </c>
      <c r="D52" s="1" t="s">
        <v>214</v>
      </c>
      <c r="E52" s="1">
        <v>100</v>
      </c>
      <c r="F52" s="1">
        <f>VLOOKUP(C52,dish_base!$B$4:$O$94,14,FALSE)</f>
        <v>60</v>
      </c>
      <c r="G52" s="1" t="str">
        <f>VLOOKUP(C52,dish_base!$B$4:$M$94,12,FALSE)</f>
        <v>40,80</v>
      </c>
      <c r="H52" s="1" t="s">
        <v>213</v>
      </c>
    </row>
    <row r="53" spans="2:8">
      <c r="B53" s="1" t="str">
        <f t="shared" si="1"/>
        <v>macaront_sweet</v>
      </c>
      <c r="C53" s="28" t="s">
        <v>29</v>
      </c>
      <c r="D53" s="1" t="s">
        <v>214</v>
      </c>
      <c r="E53" s="1">
        <v>100</v>
      </c>
      <c r="F53" s="1">
        <f>VLOOKUP(C53,dish_base!$B$4:$O$94,14,FALSE)</f>
        <v>60</v>
      </c>
      <c r="G53" s="1" t="str">
        <f>VLOOKUP(C53,dish_base!$B$4:$M$94,12,FALSE)</f>
        <v>40,80</v>
      </c>
      <c r="H53" s="1" t="s">
        <v>213</v>
      </c>
    </row>
    <row r="54" spans="2:8">
      <c r="B54" s="1" t="str">
        <f t="shared" si="1"/>
        <v>puddingt_sweet</v>
      </c>
      <c r="C54" s="29" t="s">
        <v>32</v>
      </c>
      <c r="D54" s="1" t="s">
        <v>214</v>
      </c>
      <c r="E54" s="1">
        <v>100</v>
      </c>
      <c r="F54" s="1">
        <f>VLOOKUP(C54,dish_base!$B$4:$O$94,14,FALSE)</f>
        <v>60</v>
      </c>
      <c r="G54" s="1" t="str">
        <f>VLOOKUP(C54,dish_base!$B$4:$M$94,12,FALSE)</f>
        <v>40,80</v>
      </c>
      <c r="H54" s="1" t="s">
        <v>213</v>
      </c>
    </row>
    <row r="55" spans="2:8">
      <c r="B55" s="1" t="str">
        <f t="shared" si="1"/>
        <v>pufft_sweet</v>
      </c>
      <c r="C55" s="29" t="s">
        <v>35</v>
      </c>
      <c r="D55" s="1" t="s">
        <v>214</v>
      </c>
      <c r="E55" s="1">
        <v>100</v>
      </c>
      <c r="F55" s="1">
        <f>VLOOKUP(C55,dish_base!$B$4:$O$94,14,FALSE)</f>
        <v>60</v>
      </c>
      <c r="G55" s="1" t="str">
        <f>VLOOKUP(C55,dish_base!$B$4:$M$94,12,FALSE)</f>
        <v>40,80</v>
      </c>
      <c r="H55" s="1" t="s">
        <v>213</v>
      </c>
    </row>
    <row r="56" spans="2:8">
      <c r="B56" s="1" t="str">
        <f t="shared" si="1"/>
        <v>eggtartt_sweet</v>
      </c>
      <c r="C56" s="29" t="s">
        <v>38</v>
      </c>
      <c r="D56" s="1" t="s">
        <v>214</v>
      </c>
      <c r="E56" s="1">
        <v>100</v>
      </c>
      <c r="F56" s="1">
        <f>VLOOKUP(C56,dish_base!$B$4:$O$94,14,FALSE)</f>
        <v>60</v>
      </c>
      <c r="G56" s="1" t="str">
        <f>VLOOKUP(C56,dish_base!$B$4:$M$94,12,FALSE)</f>
        <v>40,80</v>
      </c>
      <c r="H56" s="1" t="s">
        <v>213</v>
      </c>
    </row>
    <row r="57" spans="2:8">
      <c r="B57" s="1" t="str">
        <f t="shared" si="1"/>
        <v>mochit_sweet</v>
      </c>
      <c r="C57" s="29" t="s">
        <v>41</v>
      </c>
      <c r="D57" s="1" t="s">
        <v>214</v>
      </c>
      <c r="E57" s="1">
        <v>100</v>
      </c>
      <c r="F57" s="1">
        <f>VLOOKUP(C57,dish_base!$B$4:$O$94,14,FALSE)</f>
        <v>60</v>
      </c>
      <c r="G57" s="1" t="str">
        <f>VLOOKUP(C57,dish_base!$B$4:$M$94,12,FALSE)</f>
        <v>40,80</v>
      </c>
      <c r="H57" s="1" t="s">
        <v>213</v>
      </c>
    </row>
    <row r="58" spans="2:8">
      <c r="B58" s="1" t="str">
        <f t="shared" si="1"/>
        <v>daifukut_sweet</v>
      </c>
      <c r="C58" s="29" t="s">
        <v>44</v>
      </c>
      <c r="D58" s="1" t="s">
        <v>214</v>
      </c>
      <c r="E58" s="1">
        <v>100</v>
      </c>
      <c r="F58" s="1">
        <f>VLOOKUP(C58,dish_base!$B$4:$O$94,14,FALSE)</f>
        <v>60</v>
      </c>
      <c r="G58" s="1" t="str">
        <f>VLOOKUP(C58,dish_base!$B$4:$M$94,12,FALSE)</f>
        <v>40,80</v>
      </c>
      <c r="H58" s="1" t="s">
        <v>213</v>
      </c>
    </row>
    <row r="59" spans="2:8">
      <c r="B59" s="1" t="str">
        <f t="shared" si="1"/>
        <v>choco_candyt_sweet</v>
      </c>
      <c r="C59" s="29" t="s">
        <v>47</v>
      </c>
      <c r="D59" s="1" t="s">
        <v>214</v>
      </c>
      <c r="E59" s="1">
        <v>100</v>
      </c>
      <c r="F59" s="1">
        <f>VLOOKUP(C59,dish_base!$B$4:$O$94,14,FALSE)</f>
        <v>60</v>
      </c>
      <c r="G59" s="1" t="str">
        <f>VLOOKUP(C59,dish_base!$B$4:$M$94,12,FALSE)</f>
        <v>40,80</v>
      </c>
      <c r="H59" s="1" t="s">
        <v>213</v>
      </c>
    </row>
    <row r="60" spans="2:8">
      <c r="B60" s="1" t="str">
        <f t="shared" si="1"/>
        <v>jellyt_sweet</v>
      </c>
      <c r="C60" s="29" t="s">
        <v>50</v>
      </c>
      <c r="D60" s="1" t="s">
        <v>214</v>
      </c>
      <c r="E60" s="1">
        <v>100</v>
      </c>
      <c r="F60" s="1">
        <f>VLOOKUP(C60,dish_base!$B$4:$O$94,14,FALSE)</f>
        <v>60</v>
      </c>
      <c r="G60" s="1" t="str">
        <f>VLOOKUP(C60,dish_base!$B$4:$M$94,12,FALSE)</f>
        <v>40,80</v>
      </c>
      <c r="H60" s="1" t="s">
        <v>213</v>
      </c>
    </row>
    <row r="61" spans="2:8">
      <c r="B61" s="1" t="str">
        <f t="shared" si="1"/>
        <v>cream_cellt_sweet</v>
      </c>
      <c r="C61" s="29" t="s">
        <v>54</v>
      </c>
      <c r="D61" s="1" t="s">
        <v>214</v>
      </c>
      <c r="E61" s="1">
        <v>100</v>
      </c>
      <c r="F61" s="1">
        <f>VLOOKUP(C61,dish_base!$B$4:$O$94,14,FALSE)</f>
        <v>60</v>
      </c>
      <c r="G61" s="1" t="str">
        <f>VLOOKUP(C61,dish_base!$B$4:$M$94,12,FALSE)</f>
        <v>40,80</v>
      </c>
      <c r="H61" s="1" t="s">
        <v>213</v>
      </c>
    </row>
    <row r="62" spans="2:8">
      <c r="B62" s="1" t="str">
        <f t="shared" si="1"/>
        <v>sugarbeant_sweet</v>
      </c>
      <c r="C62" s="29" t="s">
        <v>58</v>
      </c>
      <c r="D62" s="1" t="s">
        <v>214</v>
      </c>
      <c r="E62" s="1">
        <v>100</v>
      </c>
      <c r="F62" s="1">
        <f>VLOOKUP(C62,dish_base!$B$4:$O$94,14,FALSE)</f>
        <v>60</v>
      </c>
      <c r="G62" s="1" t="str">
        <f>VLOOKUP(C62,dish_base!$B$4:$M$94,12,FALSE)</f>
        <v>40,80</v>
      </c>
      <c r="H62" s="1" t="s">
        <v>213</v>
      </c>
    </row>
    <row r="63" spans="2:8">
      <c r="B63" s="1" t="str">
        <f t="shared" si="1"/>
        <v>gold_chocot_sweet</v>
      </c>
      <c r="C63" s="29" t="s">
        <v>62</v>
      </c>
      <c r="D63" s="1" t="s">
        <v>214</v>
      </c>
      <c r="E63" s="1">
        <v>100</v>
      </c>
      <c r="F63" s="1">
        <f>VLOOKUP(C63,dish_base!$B$4:$O$94,14,FALSE)</f>
        <v>60</v>
      </c>
      <c r="G63" s="1" t="str">
        <f>VLOOKUP(C63,dish_base!$B$4:$M$94,12,FALSE)</f>
        <v>40,80</v>
      </c>
      <c r="H63" s="1" t="s">
        <v>213</v>
      </c>
    </row>
    <row r="64" spans="2:8">
      <c r="B64" s="1" t="str">
        <f t="shared" si="1"/>
        <v>milk_slicet_sweet</v>
      </c>
      <c r="C64" s="29" t="s">
        <v>66</v>
      </c>
      <c r="D64" s="1" t="s">
        <v>214</v>
      </c>
      <c r="E64" s="1">
        <v>100</v>
      </c>
      <c r="F64" s="1">
        <f>VLOOKUP(C64,dish_base!$B$4:$O$94,14,FALSE)</f>
        <v>60</v>
      </c>
      <c r="G64" s="1" t="str">
        <f>VLOOKUP(C64,dish_base!$B$4:$M$94,12,FALSE)</f>
        <v>40,80</v>
      </c>
      <c r="H64" s="1" t="s">
        <v>213</v>
      </c>
    </row>
    <row r="65" spans="2:8">
      <c r="B65" s="1" t="str">
        <f t="shared" si="1"/>
        <v>sundaet_sweet</v>
      </c>
      <c r="C65" s="29" t="s">
        <v>70</v>
      </c>
      <c r="D65" s="1" t="s">
        <v>214</v>
      </c>
      <c r="E65" s="1">
        <v>100</v>
      </c>
      <c r="F65" s="1">
        <f>VLOOKUP(C65,dish_base!$B$4:$O$94,14,FALSE)</f>
        <v>80</v>
      </c>
      <c r="G65" s="1" t="str">
        <f>VLOOKUP(C65,dish_base!$B$4:$M$94,12,FALSE)</f>
        <v>45,80</v>
      </c>
      <c r="H65" s="1" t="s">
        <v>213</v>
      </c>
    </row>
    <row r="66" spans="2:8">
      <c r="B66" s="1" t="str">
        <f t="shared" si="1"/>
        <v>conet_sweet</v>
      </c>
      <c r="C66" s="29" t="s">
        <v>74</v>
      </c>
      <c r="D66" s="1" t="s">
        <v>214</v>
      </c>
      <c r="E66" s="1">
        <v>100</v>
      </c>
      <c r="F66" s="1">
        <f>VLOOKUP(C66,dish_base!$B$4:$O$94,14,FALSE)</f>
        <v>80</v>
      </c>
      <c r="G66" s="1" t="str">
        <f>VLOOKUP(C66,dish_base!$B$4:$M$94,12,FALSE)</f>
        <v>45,80</v>
      </c>
      <c r="H66" s="1" t="s">
        <v>213</v>
      </c>
    </row>
    <row r="67" spans="2:8">
      <c r="B67" s="1" t="str">
        <f t="shared" si="1"/>
        <v>lollipopt_sweet</v>
      </c>
      <c r="C67" s="29" t="s">
        <v>77</v>
      </c>
      <c r="D67" s="1" t="s">
        <v>214</v>
      </c>
      <c r="E67" s="1">
        <v>100</v>
      </c>
      <c r="F67" s="1">
        <f>VLOOKUP(C67,dish_base!$B$4:$O$94,14,FALSE)</f>
        <v>80</v>
      </c>
      <c r="G67" s="1" t="str">
        <f>VLOOKUP(C67,dish_base!$B$4:$M$94,12,FALSE)</f>
        <v>45,80</v>
      </c>
      <c r="H67" s="1" t="s">
        <v>213</v>
      </c>
    </row>
    <row r="68" spans="2:8">
      <c r="B68" s="1" t="str">
        <f t="shared" si="1"/>
        <v>gummyt_sweet</v>
      </c>
      <c r="C68" s="29" t="s">
        <v>80</v>
      </c>
      <c r="D68" s="1" t="s">
        <v>214</v>
      </c>
      <c r="E68" s="1">
        <v>100</v>
      </c>
      <c r="F68" s="1">
        <f>VLOOKUP(C68,dish_base!$B$4:$O$94,14,FALSE)</f>
        <v>80</v>
      </c>
      <c r="G68" s="1" t="str">
        <f>VLOOKUP(C68,dish_base!$B$4:$M$94,12,FALSE)</f>
        <v>45,80</v>
      </c>
      <c r="H68" s="1" t="s">
        <v>213</v>
      </c>
    </row>
    <row r="69" spans="2:8">
      <c r="B69" s="1" t="str">
        <f t="shared" ref="B69:B132" si="2">C69&amp;D69</f>
        <v>cupcaket_sweet</v>
      </c>
      <c r="C69" s="29" t="s">
        <v>83</v>
      </c>
      <c r="D69" s="1" t="s">
        <v>214</v>
      </c>
      <c r="E69" s="1">
        <v>100</v>
      </c>
      <c r="F69" s="1">
        <f>VLOOKUP(C69,dish_base!$B$4:$O$94,14,FALSE)</f>
        <v>80</v>
      </c>
      <c r="G69" s="1" t="str">
        <f>VLOOKUP(C69,dish_base!$B$4:$M$94,12,FALSE)</f>
        <v>45,80</v>
      </c>
      <c r="H69" s="1" t="s">
        <v>213</v>
      </c>
    </row>
    <row r="70" spans="2:8">
      <c r="B70" s="1" t="str">
        <f t="shared" si="2"/>
        <v>mousset_sweet</v>
      </c>
      <c r="C70" s="29" t="s">
        <v>87</v>
      </c>
      <c r="D70" s="1" t="s">
        <v>214</v>
      </c>
      <c r="E70" s="1">
        <v>100</v>
      </c>
      <c r="F70" s="1">
        <f>VLOOKUP(C70,dish_base!$B$4:$O$94,14,FALSE)</f>
        <v>80</v>
      </c>
      <c r="G70" s="1" t="str">
        <f>VLOOKUP(C70,dish_base!$B$4:$M$94,12,FALSE)</f>
        <v>45,80</v>
      </c>
      <c r="H70" s="1" t="s">
        <v>213</v>
      </c>
    </row>
    <row r="71" spans="2:8">
      <c r="B71" s="1" t="str">
        <f t="shared" si="2"/>
        <v>toffeet_sweet</v>
      </c>
      <c r="C71" s="29" t="s">
        <v>94</v>
      </c>
      <c r="D71" s="1" t="s">
        <v>214</v>
      </c>
      <c r="E71" s="1">
        <v>100</v>
      </c>
      <c r="F71" s="1">
        <f>VLOOKUP(C71,dish_base!$B$4:$O$94,14,FALSE)</f>
        <v>80</v>
      </c>
      <c r="G71" s="1" t="str">
        <f>VLOOKUP(C71,dish_base!$B$4:$M$94,12,FALSE)</f>
        <v>45,80</v>
      </c>
      <c r="H71" s="1" t="s">
        <v>213</v>
      </c>
    </row>
    <row r="72" spans="2:8">
      <c r="B72" s="1" t="str">
        <f t="shared" si="2"/>
        <v>nougatt_sweet</v>
      </c>
      <c r="C72" s="29" t="s">
        <v>101</v>
      </c>
      <c r="D72" s="1" t="s">
        <v>214</v>
      </c>
      <c r="E72" s="1">
        <v>100</v>
      </c>
      <c r="F72" s="1">
        <f>VLOOKUP(C72,dish_base!$B$4:$O$94,14,FALSE)</f>
        <v>80</v>
      </c>
      <c r="G72" s="1" t="str">
        <f>VLOOKUP(C72,dish_base!$B$4:$M$94,12,FALSE)</f>
        <v>45,80</v>
      </c>
      <c r="H72" s="1" t="s">
        <v>213</v>
      </c>
    </row>
    <row r="73" spans="2:8">
      <c r="B73" s="1" t="str">
        <f t="shared" si="2"/>
        <v>eggrollt_sweet</v>
      </c>
      <c r="C73" s="29" t="s">
        <v>108</v>
      </c>
      <c r="D73" s="1" t="s">
        <v>214</v>
      </c>
      <c r="E73" s="1">
        <v>100</v>
      </c>
      <c r="F73" s="1">
        <f>VLOOKUP(C73,dish_base!$B$4:$O$94,14,FALSE)</f>
        <v>100</v>
      </c>
      <c r="G73" s="1" t="str">
        <f>VLOOKUP(C73,dish_base!$B$4:$M$94,12,FALSE)</f>
        <v>50,90</v>
      </c>
      <c r="H73" s="1" t="s">
        <v>213</v>
      </c>
    </row>
    <row r="74" spans="2:8">
      <c r="B74" s="1" t="str">
        <f t="shared" si="2"/>
        <v>choco_bart_sweet</v>
      </c>
      <c r="C74" s="28" t="s">
        <v>114</v>
      </c>
      <c r="D74" s="1" t="s">
        <v>214</v>
      </c>
      <c r="E74" s="1">
        <v>100</v>
      </c>
      <c r="F74" s="1">
        <f>VLOOKUP(C74,dish_base!$B$4:$O$94,14,FALSE)</f>
        <v>100</v>
      </c>
      <c r="G74" s="1" t="str">
        <f>VLOOKUP(C74,dish_base!$B$4:$M$94,12,FALSE)</f>
        <v>50,90</v>
      </c>
      <c r="H74" s="1" t="s">
        <v>213</v>
      </c>
    </row>
    <row r="75" spans="2:8">
      <c r="B75" s="1" t="str">
        <f t="shared" si="2"/>
        <v>eclairt_sweet</v>
      </c>
      <c r="C75" s="29" t="s">
        <v>117</v>
      </c>
      <c r="D75" s="1" t="s">
        <v>214</v>
      </c>
      <c r="E75" s="1">
        <v>100</v>
      </c>
      <c r="F75" s="1">
        <f>VLOOKUP(C75,dish_base!$B$4:$O$94,14,FALSE)</f>
        <v>100</v>
      </c>
      <c r="G75" s="30" t="str">
        <f>VLOOKUP(C75,dish_base!$B$4:$M$94,12,FALSE)</f>
        <v>50,90</v>
      </c>
      <c r="H75" s="1" t="s">
        <v>213</v>
      </c>
    </row>
    <row r="76" spans="2:8">
      <c r="B76" s="1" t="str">
        <f t="shared" si="2"/>
        <v>tanghulut_sweet</v>
      </c>
      <c r="C76" s="29" t="s">
        <v>120</v>
      </c>
      <c r="D76" s="1" t="s">
        <v>214</v>
      </c>
      <c r="E76" s="1">
        <v>100</v>
      </c>
      <c r="F76" s="1">
        <f>VLOOKUP(C76,dish_base!$B$4:$O$94,14,FALSE)</f>
        <v>100</v>
      </c>
      <c r="G76" s="30" t="str">
        <f>VLOOKUP(C76,dish_base!$B$4:$M$94,12,FALSE)</f>
        <v>50,90</v>
      </c>
      <c r="H76" s="1" t="s">
        <v>213</v>
      </c>
    </row>
    <row r="77" spans="2:8">
      <c r="B77" s="1" t="str">
        <f t="shared" si="2"/>
        <v>soufflet_sweet</v>
      </c>
      <c r="C77" s="1" t="s">
        <v>123</v>
      </c>
      <c r="D77" s="1" t="s">
        <v>214</v>
      </c>
      <c r="E77" s="1">
        <v>100</v>
      </c>
      <c r="F77" s="1">
        <f>VLOOKUP(C77,dish_base!$B$4:$O$94,14,FALSE)</f>
        <v>120</v>
      </c>
      <c r="G77" s="30" t="str">
        <f>VLOOKUP(C77,dish_base!$B$4:$M$94,12,FALSE)</f>
        <v>55,100</v>
      </c>
      <c r="H77" s="1" t="s">
        <v>213</v>
      </c>
    </row>
    <row r="78" spans="2:8">
      <c r="B78" s="1" t="str">
        <f t="shared" si="2"/>
        <v>maple_sugart_sweet</v>
      </c>
      <c r="C78" s="1" t="s">
        <v>126</v>
      </c>
      <c r="D78" s="1" t="s">
        <v>214</v>
      </c>
      <c r="E78" s="1">
        <v>100</v>
      </c>
      <c r="F78" s="1">
        <f>VLOOKUP(C78,dish_base!$B$4:$O$94,14,FALSE)</f>
        <v>120</v>
      </c>
      <c r="G78" s="30" t="str">
        <f>VLOOKUP(C78,dish_base!$B$4:$M$94,12,FALSE)</f>
        <v>55,100</v>
      </c>
      <c r="H78" s="1" t="s">
        <v>213</v>
      </c>
    </row>
    <row r="79" spans="2:8">
      <c r="B79" s="1" t="str">
        <f t="shared" si="2"/>
        <v>taosut_sweet</v>
      </c>
      <c r="C79" s="1" t="s">
        <v>129</v>
      </c>
      <c r="D79" s="1" t="s">
        <v>214</v>
      </c>
      <c r="E79" s="1">
        <v>100</v>
      </c>
      <c r="F79" s="1">
        <f>VLOOKUP(C79,dish_base!$B$4:$O$94,14,FALSE)</f>
        <v>120</v>
      </c>
      <c r="G79" s="30" t="str">
        <f>VLOOKUP(C79,dish_base!$B$4:$M$94,12,FALSE)</f>
        <v>55,100</v>
      </c>
      <c r="H79" s="1" t="s">
        <v>213</v>
      </c>
    </row>
    <row r="80" spans="2:8">
      <c r="B80" s="1" t="str">
        <f t="shared" si="2"/>
        <v>mooncaket_sweet</v>
      </c>
      <c r="C80" s="1" t="s">
        <v>132</v>
      </c>
      <c r="D80" s="1" t="s">
        <v>214</v>
      </c>
      <c r="E80" s="1">
        <v>100</v>
      </c>
      <c r="F80" s="1">
        <f>VLOOKUP(C80,dish_base!$B$4:$O$94,14,FALSE)</f>
        <v>120</v>
      </c>
      <c r="G80" s="30" t="str">
        <f>VLOOKUP(C80,dish_base!$B$4:$M$94,12,FALSE)</f>
        <v>55,100</v>
      </c>
      <c r="H80" s="1" t="s">
        <v>213</v>
      </c>
    </row>
    <row r="81" spans="2:8">
      <c r="B81" s="1" t="str">
        <f t="shared" si="2"/>
        <v>wafflet_sweet</v>
      </c>
      <c r="C81" s="1" t="s">
        <v>135</v>
      </c>
      <c r="D81" s="1" t="s">
        <v>214</v>
      </c>
      <c r="E81" s="1">
        <v>100</v>
      </c>
      <c r="F81" s="1">
        <f>VLOOKUP(C81,dish_base!$B$4:$O$94,14,FALSE)</f>
        <v>120</v>
      </c>
      <c r="G81" s="30" t="str">
        <f>VLOOKUP(C81,dish_base!$B$4:$M$94,12,FALSE)</f>
        <v>55,100</v>
      </c>
      <c r="H81" s="1" t="s">
        <v>213</v>
      </c>
    </row>
    <row r="82" spans="2:8">
      <c r="B82" s="1" t="str">
        <f t="shared" si="2"/>
        <v>dorayakit_sweet</v>
      </c>
      <c r="C82" s="1" t="s">
        <v>138</v>
      </c>
      <c r="D82" s="1" t="s">
        <v>214</v>
      </c>
      <c r="E82" s="1">
        <v>100</v>
      </c>
      <c r="F82" s="1">
        <f>VLOOKUP(C82,dish_base!$B$4:$O$94,14,FALSE)</f>
        <v>120</v>
      </c>
      <c r="G82" s="30" t="str">
        <f>VLOOKUP(C82,dish_base!$B$4:$M$94,12,FALSE)</f>
        <v>55,100</v>
      </c>
      <c r="H82" s="1" t="s">
        <v>213</v>
      </c>
    </row>
    <row r="83" spans="2:8">
      <c r="B83" s="1" t="str">
        <f t="shared" si="2"/>
        <v>cream_caket_sweet</v>
      </c>
      <c r="C83" s="1" t="s">
        <v>141</v>
      </c>
      <c r="D83" s="1" t="s">
        <v>214</v>
      </c>
      <c r="E83" s="1">
        <v>100</v>
      </c>
      <c r="F83" s="1">
        <f>VLOOKUP(C83,dish_base!$B$4:$O$94,14,FALSE)</f>
        <v>120</v>
      </c>
      <c r="G83" s="30" t="str">
        <f>VLOOKUP(C83,dish_base!$B$4:$M$94,12,FALSE)</f>
        <v>55,100</v>
      </c>
      <c r="H83" s="1" t="s">
        <v>213</v>
      </c>
    </row>
    <row r="84" spans="2:8">
      <c r="B84" s="1" t="str">
        <f t="shared" si="2"/>
        <v>donutt_sweet</v>
      </c>
      <c r="C84" s="1" t="s">
        <v>144</v>
      </c>
      <c r="D84" s="1" t="s">
        <v>214</v>
      </c>
      <c r="E84" s="1">
        <v>100</v>
      </c>
      <c r="F84" s="1">
        <f>VLOOKUP(C84,dish_base!$B$4:$O$94,14,FALSE)</f>
        <v>120</v>
      </c>
      <c r="G84" s="30" t="str">
        <f>VLOOKUP(C84,dish_base!$B$4:$M$94,12,FALSE)</f>
        <v>55,100</v>
      </c>
      <c r="H84" s="1" t="s">
        <v>213</v>
      </c>
    </row>
    <row r="85" spans="2:8">
      <c r="B85" s="1" t="str">
        <f t="shared" si="2"/>
        <v>pengtangt_sweet</v>
      </c>
      <c r="C85" s="1" t="s">
        <v>147</v>
      </c>
      <c r="D85" s="1" t="s">
        <v>214</v>
      </c>
      <c r="E85" s="1">
        <v>100</v>
      </c>
      <c r="F85" s="1">
        <f>VLOOKUP(C85,dish_base!$B$4:$O$94,14,FALSE)</f>
        <v>120</v>
      </c>
      <c r="G85" s="30" t="str">
        <f>VLOOKUP(C85,dish_base!$B$4:$M$94,12,FALSE)</f>
        <v>55,100</v>
      </c>
      <c r="H85" s="1" t="s">
        <v>213</v>
      </c>
    </row>
    <row r="86" spans="2:8">
      <c r="B86" s="1" t="str">
        <f t="shared" si="2"/>
        <v>parfaitt_sweet</v>
      </c>
      <c r="C86" s="1" t="s">
        <v>150</v>
      </c>
      <c r="D86" s="1" t="s">
        <v>214</v>
      </c>
      <c r="E86" s="1">
        <v>100</v>
      </c>
      <c r="F86" s="1">
        <f>VLOOKUP(C86,dish_base!$B$4:$O$94,14,FALSE)</f>
        <v>160</v>
      </c>
      <c r="G86" s="30" t="str">
        <f>VLOOKUP(C86,dish_base!$B$4:$M$94,12,FALSE)</f>
        <v>70,120</v>
      </c>
      <c r="H86" s="1" t="s">
        <v>213</v>
      </c>
    </row>
    <row r="87" spans="2:8">
      <c r="B87" s="1" t="str">
        <f t="shared" si="2"/>
        <v>sundae_bigt_sweet</v>
      </c>
      <c r="C87" s="1" t="s">
        <v>153</v>
      </c>
      <c r="D87" s="1" t="s">
        <v>214</v>
      </c>
      <c r="E87" s="1">
        <v>100</v>
      </c>
      <c r="F87" s="1">
        <f>VLOOKUP(C87,dish_base!$B$4:$O$94,14,FALSE)</f>
        <v>160</v>
      </c>
      <c r="G87" s="30" t="str">
        <f>VLOOKUP(C87,dish_base!$B$4:$M$94,12,FALSE)</f>
        <v>70,120</v>
      </c>
      <c r="H87" s="1" t="s">
        <v>213</v>
      </c>
    </row>
    <row r="88" spans="2:8">
      <c r="B88" s="1" t="str">
        <f t="shared" si="2"/>
        <v>swiss_rollt_sweet</v>
      </c>
      <c r="C88" s="1" t="s">
        <v>156</v>
      </c>
      <c r="D88" s="1" t="s">
        <v>214</v>
      </c>
      <c r="E88" s="1">
        <v>100</v>
      </c>
      <c r="F88" s="1">
        <f>VLOOKUP(C88,dish_base!$B$4:$O$94,14,FALSE)</f>
        <v>160</v>
      </c>
      <c r="G88" s="30" t="str">
        <f>VLOOKUP(C88,dish_base!$B$4:$M$94,12,FALSE)</f>
        <v>70,120</v>
      </c>
      <c r="H88" s="1" t="s">
        <v>213</v>
      </c>
    </row>
    <row r="89" spans="2:8">
      <c r="B89" s="1" t="str">
        <f t="shared" si="2"/>
        <v>mango_sagot_sweet</v>
      </c>
      <c r="C89" s="1" t="s">
        <v>159</v>
      </c>
      <c r="D89" s="1" t="s">
        <v>214</v>
      </c>
      <c r="E89" s="1">
        <v>100</v>
      </c>
      <c r="F89" s="1">
        <f>VLOOKUP(C89,dish_base!$B$4:$O$94,14,FALSE)</f>
        <v>160</v>
      </c>
      <c r="G89" s="30" t="str">
        <f>VLOOKUP(C89,dish_base!$B$4:$M$94,12,FALSE)</f>
        <v>70,120</v>
      </c>
      <c r="H89" s="1" t="s">
        <v>213</v>
      </c>
    </row>
    <row r="90" spans="2:8">
      <c r="B90" s="1" t="str">
        <f t="shared" si="2"/>
        <v>chiffiont_sweet</v>
      </c>
      <c r="C90" s="1" t="s">
        <v>162</v>
      </c>
      <c r="D90" s="1" t="s">
        <v>214</v>
      </c>
      <c r="E90" s="1">
        <v>100</v>
      </c>
      <c r="F90" s="1">
        <f>VLOOKUP(C90,dish_base!$B$4:$O$94,14,FALSE)</f>
        <v>160</v>
      </c>
      <c r="G90" s="30" t="str">
        <f>VLOOKUP(C90,dish_base!$B$4:$M$94,12,FALSE)</f>
        <v>70,120</v>
      </c>
      <c r="H90" s="1" t="s">
        <v>213</v>
      </c>
    </row>
    <row r="91" spans="2:8">
      <c r="B91" s="1" t="str">
        <f t="shared" si="2"/>
        <v>apple_piet_sweet</v>
      </c>
      <c r="C91" s="1" t="s">
        <v>165</v>
      </c>
      <c r="D91" s="1" t="s">
        <v>214</v>
      </c>
      <c r="E91" s="1">
        <v>100</v>
      </c>
      <c r="F91" s="1">
        <f>VLOOKUP(C91,dish_base!$B$4:$O$94,14,FALSE)</f>
        <v>160</v>
      </c>
      <c r="G91" s="30" t="str">
        <f>VLOOKUP(C91,dish_base!$B$4:$M$94,12,FALSE)</f>
        <v>70,120</v>
      </c>
      <c r="H91" s="1" t="s">
        <v>213</v>
      </c>
    </row>
    <row r="92" spans="2:8">
      <c r="B92" s="1" t="str">
        <f t="shared" si="2"/>
        <v>fruit_caket_sweet</v>
      </c>
      <c r="C92" s="1" t="s">
        <v>168</v>
      </c>
      <c r="D92" s="1" t="s">
        <v>214</v>
      </c>
      <c r="E92" s="1">
        <v>100</v>
      </c>
      <c r="F92" s="1">
        <f>VLOOKUP(C92,dish_base!$B$4:$O$94,14,FALSE)</f>
        <v>160</v>
      </c>
      <c r="G92" s="30" t="str">
        <f>VLOOKUP(C92,dish_base!$B$4:$M$94,12,FALSE)</f>
        <v>70,120</v>
      </c>
      <c r="H92" s="1" t="s">
        <v>213</v>
      </c>
    </row>
    <row r="93" spans="2:8">
      <c r="B93" s="1" t="str">
        <f t="shared" si="2"/>
        <v>chocolatet_sweet</v>
      </c>
      <c r="C93" s="1" t="s">
        <v>171</v>
      </c>
      <c r="D93" s="1" t="s">
        <v>214</v>
      </c>
      <c r="E93" s="1">
        <v>100</v>
      </c>
      <c r="F93" s="1">
        <f>VLOOKUP(C93,dish_base!$B$4:$O$94,14,FALSE)</f>
        <v>160</v>
      </c>
      <c r="G93" s="30" t="str">
        <f>VLOOKUP(C93,dish_base!$B$4:$M$94,12,FALSE)</f>
        <v>70,120</v>
      </c>
      <c r="H93" s="1" t="s">
        <v>213</v>
      </c>
    </row>
    <row r="94" spans="2:8">
      <c r="B94" s="1" t="str">
        <f t="shared" si="2"/>
        <v>croissantt_sweet</v>
      </c>
      <c r="C94" s="1" t="s">
        <v>174</v>
      </c>
      <c r="D94" s="1" t="s">
        <v>214</v>
      </c>
      <c r="E94" s="1">
        <v>100</v>
      </c>
      <c r="F94" s="1">
        <f>VLOOKUP(C94,dish_base!$B$4:$O$94,14,FALSE)</f>
        <v>100</v>
      </c>
      <c r="G94" s="30" t="str">
        <f>VLOOKUP(C94,dish_base!$B$4:$M$94,12,FALSE)</f>
        <v>50,90</v>
      </c>
      <c r="H94" s="1" t="s">
        <v>213</v>
      </c>
    </row>
    <row r="95" spans="2:8">
      <c r="B95" s="1" t="str">
        <f t="shared" si="2"/>
        <v>palmiert_sweet</v>
      </c>
      <c r="C95" s="1" t="s">
        <v>178</v>
      </c>
      <c r="D95" s="1" t="s">
        <v>214</v>
      </c>
      <c r="E95" s="1">
        <v>100</v>
      </c>
      <c r="F95" s="1">
        <f>VLOOKUP(C95,dish_base!$B$4:$O$94,14,FALSE)</f>
        <v>100</v>
      </c>
      <c r="G95" s="30" t="str">
        <f>VLOOKUP(C95,dish_base!$B$4:$M$94,12,FALSE)</f>
        <v>50,90</v>
      </c>
      <c r="H95" s="1" t="s">
        <v>213</v>
      </c>
    </row>
    <row r="96" spans="2:8">
      <c r="B96" s="1" t="str">
        <f t="shared" si="2"/>
        <v>candycanet_sweet</v>
      </c>
      <c r="C96" s="1" t="s">
        <v>182</v>
      </c>
      <c r="D96" s="1" t="s">
        <v>214</v>
      </c>
      <c r="E96" s="1">
        <v>100</v>
      </c>
      <c r="F96" s="1">
        <f>VLOOKUP(C96,dish_base!$B$4:$O$94,14,FALSE)</f>
        <v>120</v>
      </c>
      <c r="G96" s="30" t="str">
        <f>VLOOKUP(C96,dish_base!$B$4:$M$94,12,FALSE)</f>
        <v>55,100</v>
      </c>
      <c r="H96" s="1" t="s">
        <v>213</v>
      </c>
    </row>
    <row r="97" spans="2:8">
      <c r="B97" s="1" t="str">
        <f t="shared" si="2"/>
        <v>big_lollipopt_sweet</v>
      </c>
      <c r="C97" s="1" t="s">
        <v>185</v>
      </c>
      <c r="D97" s="1" t="s">
        <v>214</v>
      </c>
      <c r="E97" s="1">
        <v>100</v>
      </c>
      <c r="F97" s="1">
        <f>VLOOKUP(C97,dish_base!$B$4:$O$94,14,FALSE)</f>
        <v>270</v>
      </c>
      <c r="G97" s="30" t="str">
        <f>VLOOKUP(C97,dish_base!$B$4:$M$94,12,FALSE)</f>
        <v>80,130</v>
      </c>
      <c r="H97" s="1" t="s">
        <v>213</v>
      </c>
    </row>
    <row r="98" spans="2:8">
      <c r="B98" s="1" t="str">
        <f t="shared" si="2"/>
        <v>marshmallowt_sweet</v>
      </c>
      <c r="C98" s="1" t="s">
        <v>189</v>
      </c>
      <c r="D98" s="1" t="s">
        <v>214</v>
      </c>
      <c r="E98" s="1">
        <v>100</v>
      </c>
      <c r="F98" s="1">
        <f>VLOOKUP(C98,dish_base!$B$4:$O$94,14,FALSE)</f>
        <v>220</v>
      </c>
      <c r="G98" s="1" t="str">
        <f>VLOOKUP(C98,dish_base!$B$4:$M$94,12,FALSE)</f>
        <v>80,130</v>
      </c>
      <c r="H98" s="1" t="s">
        <v>213</v>
      </c>
    </row>
    <row r="99" spans="2:8">
      <c r="B99" s="1" t="str">
        <f t="shared" si="2"/>
        <v>double_caket_sweet</v>
      </c>
      <c r="C99" s="1" t="s">
        <v>192</v>
      </c>
      <c r="D99" s="1" t="s">
        <v>214</v>
      </c>
      <c r="E99" s="1">
        <v>100</v>
      </c>
      <c r="F99" s="1">
        <f>VLOOKUP(C99,dish_base!$B$4:$O$94,14,FALSE)</f>
        <v>370</v>
      </c>
      <c r="G99" s="1" t="str">
        <f>VLOOKUP(C99,dish_base!$B$4:$M$94,12,FALSE)</f>
        <v>80,130</v>
      </c>
      <c r="H99" s="1" t="s">
        <v>213</v>
      </c>
    </row>
    <row r="100" spans="2:8">
      <c r="B100" s="1" t="str">
        <f t="shared" si="2"/>
        <v>cookiet_bitter</v>
      </c>
      <c r="C100" s="28" t="s">
        <v>23</v>
      </c>
      <c r="D100" s="1" t="s">
        <v>215</v>
      </c>
      <c r="E100" s="1">
        <v>100</v>
      </c>
      <c r="F100" s="1">
        <f>VLOOKUP(C100,dish_base!$B$4:$O$94,14,FALSE)</f>
        <v>60</v>
      </c>
      <c r="G100" s="1" t="str">
        <f>VLOOKUP(C100,dish_base!$B$4:$M$94,12,FALSE)</f>
        <v>40,80</v>
      </c>
      <c r="H100" s="1" t="s">
        <v>213</v>
      </c>
    </row>
    <row r="101" spans="2:8">
      <c r="B101" s="1" t="str">
        <f t="shared" si="2"/>
        <v>macaront_bitter</v>
      </c>
      <c r="C101" s="28" t="s">
        <v>29</v>
      </c>
      <c r="D101" s="1" t="s">
        <v>215</v>
      </c>
      <c r="E101" s="1">
        <v>100</v>
      </c>
      <c r="F101" s="1">
        <f>VLOOKUP(C101,dish_base!$B$4:$O$94,14,FALSE)</f>
        <v>60</v>
      </c>
      <c r="G101" s="1" t="str">
        <f>VLOOKUP(C101,dish_base!$B$4:$M$94,12,FALSE)</f>
        <v>40,80</v>
      </c>
      <c r="H101" s="1" t="s">
        <v>213</v>
      </c>
    </row>
    <row r="102" spans="2:8">
      <c r="B102" s="1" t="str">
        <f t="shared" si="2"/>
        <v>puddingt_bitter</v>
      </c>
      <c r="C102" s="29" t="s">
        <v>32</v>
      </c>
      <c r="D102" s="1" t="s">
        <v>215</v>
      </c>
      <c r="E102" s="1">
        <v>100</v>
      </c>
      <c r="F102" s="1">
        <f>VLOOKUP(C102,dish_base!$B$4:$O$94,14,FALSE)</f>
        <v>60</v>
      </c>
      <c r="G102" s="1" t="str">
        <f>VLOOKUP(C102,dish_base!$B$4:$M$94,12,FALSE)</f>
        <v>40,80</v>
      </c>
      <c r="H102" s="1" t="s">
        <v>213</v>
      </c>
    </row>
    <row r="103" spans="2:8">
      <c r="B103" s="1" t="str">
        <f t="shared" si="2"/>
        <v>pufft_bitter</v>
      </c>
      <c r="C103" s="29" t="s">
        <v>35</v>
      </c>
      <c r="D103" s="1" t="s">
        <v>215</v>
      </c>
      <c r="E103" s="1">
        <v>100</v>
      </c>
      <c r="F103" s="1">
        <f>VLOOKUP(C103,dish_base!$B$4:$O$94,14,FALSE)</f>
        <v>60</v>
      </c>
      <c r="G103" s="1" t="str">
        <f>VLOOKUP(C103,dish_base!$B$4:$M$94,12,FALSE)</f>
        <v>40,80</v>
      </c>
      <c r="H103" s="1" t="s">
        <v>213</v>
      </c>
    </row>
    <row r="104" spans="2:8">
      <c r="B104" s="1" t="str">
        <f t="shared" si="2"/>
        <v>eggtartt_bitter</v>
      </c>
      <c r="C104" s="29" t="s">
        <v>38</v>
      </c>
      <c r="D104" s="1" t="s">
        <v>215</v>
      </c>
      <c r="E104" s="1">
        <v>100</v>
      </c>
      <c r="F104" s="1">
        <f>VLOOKUP(C104,dish_base!$B$4:$O$94,14,FALSE)</f>
        <v>60</v>
      </c>
      <c r="G104" s="1" t="str">
        <f>VLOOKUP(C104,dish_base!$B$4:$M$94,12,FALSE)</f>
        <v>40,80</v>
      </c>
      <c r="H104" s="1" t="s">
        <v>213</v>
      </c>
    </row>
    <row r="105" spans="2:8">
      <c r="B105" s="1" t="str">
        <f t="shared" si="2"/>
        <v>mochit_bitter</v>
      </c>
      <c r="C105" s="29" t="s">
        <v>41</v>
      </c>
      <c r="D105" s="1" t="s">
        <v>215</v>
      </c>
      <c r="E105" s="1">
        <v>100</v>
      </c>
      <c r="F105" s="1">
        <f>VLOOKUP(C105,dish_base!$B$4:$O$94,14,FALSE)</f>
        <v>60</v>
      </c>
      <c r="G105" s="1" t="str">
        <f>VLOOKUP(C105,dish_base!$B$4:$M$94,12,FALSE)</f>
        <v>40,80</v>
      </c>
      <c r="H105" s="1" t="s">
        <v>213</v>
      </c>
    </row>
    <row r="106" spans="2:8">
      <c r="B106" s="1" t="str">
        <f t="shared" si="2"/>
        <v>daifukut_bitter</v>
      </c>
      <c r="C106" s="29" t="s">
        <v>44</v>
      </c>
      <c r="D106" s="1" t="s">
        <v>215</v>
      </c>
      <c r="E106" s="1">
        <v>100</v>
      </c>
      <c r="F106" s="1">
        <f>VLOOKUP(C106,dish_base!$B$4:$O$94,14,FALSE)</f>
        <v>60</v>
      </c>
      <c r="G106" s="1" t="str">
        <f>VLOOKUP(C106,dish_base!$B$4:$M$94,12,FALSE)</f>
        <v>40,80</v>
      </c>
      <c r="H106" s="1" t="s">
        <v>213</v>
      </c>
    </row>
    <row r="107" spans="2:8">
      <c r="B107" s="1" t="str">
        <f t="shared" si="2"/>
        <v>choco_candyt_bitter</v>
      </c>
      <c r="C107" s="29" t="s">
        <v>47</v>
      </c>
      <c r="D107" s="1" t="s">
        <v>215</v>
      </c>
      <c r="E107" s="1">
        <v>100</v>
      </c>
      <c r="F107" s="1">
        <f>VLOOKUP(C107,dish_base!$B$4:$O$94,14,FALSE)</f>
        <v>60</v>
      </c>
      <c r="G107" s="1" t="str">
        <f>VLOOKUP(C107,dish_base!$B$4:$M$94,12,FALSE)</f>
        <v>40,80</v>
      </c>
      <c r="H107" s="1" t="s">
        <v>213</v>
      </c>
    </row>
    <row r="108" spans="2:8">
      <c r="B108" s="1" t="str">
        <f t="shared" si="2"/>
        <v>jellyt_bitter</v>
      </c>
      <c r="C108" s="29" t="s">
        <v>50</v>
      </c>
      <c r="D108" s="1" t="s">
        <v>215</v>
      </c>
      <c r="E108" s="1">
        <v>100</v>
      </c>
      <c r="F108" s="1">
        <f>VLOOKUP(C108,dish_base!$B$4:$O$94,14,FALSE)</f>
        <v>60</v>
      </c>
      <c r="G108" s="1" t="str">
        <f>VLOOKUP(C108,dish_base!$B$4:$M$94,12,FALSE)</f>
        <v>40,80</v>
      </c>
      <c r="H108" s="1" t="s">
        <v>213</v>
      </c>
    </row>
    <row r="109" spans="2:8">
      <c r="B109" s="1" t="str">
        <f t="shared" si="2"/>
        <v>cream_cellt_bitter</v>
      </c>
      <c r="C109" s="29" t="s">
        <v>54</v>
      </c>
      <c r="D109" s="1" t="s">
        <v>215</v>
      </c>
      <c r="E109" s="1">
        <v>100</v>
      </c>
      <c r="F109" s="1">
        <f>VLOOKUP(C109,dish_base!$B$4:$O$94,14,FALSE)</f>
        <v>60</v>
      </c>
      <c r="G109" s="1" t="str">
        <f>VLOOKUP(C109,dish_base!$B$4:$M$94,12,FALSE)</f>
        <v>40,80</v>
      </c>
      <c r="H109" s="1" t="s">
        <v>213</v>
      </c>
    </row>
    <row r="110" spans="2:8">
      <c r="B110" s="1" t="str">
        <f t="shared" si="2"/>
        <v>sugarbeant_bitter</v>
      </c>
      <c r="C110" s="29" t="s">
        <v>58</v>
      </c>
      <c r="D110" s="1" t="s">
        <v>215</v>
      </c>
      <c r="E110" s="1">
        <v>100</v>
      </c>
      <c r="F110" s="1">
        <f>VLOOKUP(C110,dish_base!$B$4:$O$94,14,FALSE)</f>
        <v>60</v>
      </c>
      <c r="G110" s="1" t="str">
        <f>VLOOKUP(C110,dish_base!$B$4:$M$94,12,FALSE)</f>
        <v>40,80</v>
      </c>
      <c r="H110" s="1" t="s">
        <v>213</v>
      </c>
    </row>
    <row r="111" spans="2:8">
      <c r="B111" s="1" t="str">
        <f t="shared" si="2"/>
        <v>gold_chocot_bitter</v>
      </c>
      <c r="C111" s="29" t="s">
        <v>62</v>
      </c>
      <c r="D111" s="1" t="s">
        <v>215</v>
      </c>
      <c r="E111" s="1">
        <v>100</v>
      </c>
      <c r="F111" s="1">
        <f>VLOOKUP(C111,dish_base!$B$4:$O$94,14,FALSE)</f>
        <v>60</v>
      </c>
      <c r="G111" s="1" t="str">
        <f>VLOOKUP(C111,dish_base!$B$4:$M$94,12,FALSE)</f>
        <v>40,80</v>
      </c>
      <c r="H111" s="1" t="s">
        <v>213</v>
      </c>
    </row>
    <row r="112" spans="2:8">
      <c r="B112" s="1" t="str">
        <f t="shared" si="2"/>
        <v>milk_slicet_bitter</v>
      </c>
      <c r="C112" s="29" t="s">
        <v>66</v>
      </c>
      <c r="D112" s="1" t="s">
        <v>215</v>
      </c>
      <c r="E112" s="1">
        <v>100</v>
      </c>
      <c r="F112" s="1">
        <f>VLOOKUP(C112,dish_base!$B$4:$O$94,14,FALSE)</f>
        <v>60</v>
      </c>
      <c r="G112" s="1" t="str">
        <f>VLOOKUP(C112,dish_base!$B$4:$M$94,12,FALSE)</f>
        <v>40,80</v>
      </c>
      <c r="H112" s="1" t="s">
        <v>213</v>
      </c>
    </row>
    <row r="113" spans="2:8">
      <c r="B113" s="1" t="str">
        <f t="shared" si="2"/>
        <v>sundaet_bitter</v>
      </c>
      <c r="C113" s="29" t="s">
        <v>70</v>
      </c>
      <c r="D113" s="1" t="s">
        <v>215</v>
      </c>
      <c r="E113" s="1">
        <v>100</v>
      </c>
      <c r="F113" s="1">
        <f>VLOOKUP(C113,dish_base!$B$4:$O$94,14,FALSE)</f>
        <v>80</v>
      </c>
      <c r="G113" s="1" t="str">
        <f>VLOOKUP(C113,dish_base!$B$4:$M$94,12,FALSE)</f>
        <v>45,80</v>
      </c>
      <c r="H113" s="1" t="s">
        <v>213</v>
      </c>
    </row>
    <row r="114" spans="2:8">
      <c r="B114" s="1" t="str">
        <f t="shared" si="2"/>
        <v>conet_bitter</v>
      </c>
      <c r="C114" s="29" t="s">
        <v>74</v>
      </c>
      <c r="D114" s="1" t="s">
        <v>215</v>
      </c>
      <c r="E114" s="1">
        <v>100</v>
      </c>
      <c r="F114" s="1">
        <f>VLOOKUP(C114,dish_base!$B$4:$O$94,14,FALSE)</f>
        <v>80</v>
      </c>
      <c r="G114" s="1" t="str">
        <f>VLOOKUP(C114,dish_base!$B$4:$M$94,12,FALSE)</f>
        <v>45,80</v>
      </c>
      <c r="H114" s="1" t="s">
        <v>213</v>
      </c>
    </row>
    <row r="115" spans="2:8">
      <c r="B115" s="1" t="str">
        <f t="shared" si="2"/>
        <v>lollipopt_bitter</v>
      </c>
      <c r="C115" s="29" t="s">
        <v>77</v>
      </c>
      <c r="D115" s="1" t="s">
        <v>215</v>
      </c>
      <c r="E115" s="1">
        <v>100</v>
      </c>
      <c r="F115" s="1">
        <f>VLOOKUP(C115,dish_base!$B$4:$O$94,14,FALSE)</f>
        <v>80</v>
      </c>
      <c r="G115" s="1" t="str">
        <f>VLOOKUP(C115,dish_base!$B$4:$M$94,12,FALSE)</f>
        <v>45,80</v>
      </c>
      <c r="H115" s="1" t="s">
        <v>213</v>
      </c>
    </row>
    <row r="116" spans="2:8">
      <c r="B116" s="1" t="str">
        <f t="shared" si="2"/>
        <v>gummyt_bitter</v>
      </c>
      <c r="C116" s="29" t="s">
        <v>80</v>
      </c>
      <c r="D116" s="1" t="s">
        <v>215</v>
      </c>
      <c r="E116" s="1">
        <v>100</v>
      </c>
      <c r="F116" s="1">
        <f>VLOOKUP(C116,dish_base!$B$4:$O$94,14,FALSE)</f>
        <v>80</v>
      </c>
      <c r="G116" s="1" t="str">
        <f>VLOOKUP(C116,dish_base!$B$4:$M$94,12,FALSE)</f>
        <v>45,80</v>
      </c>
      <c r="H116" s="1" t="s">
        <v>213</v>
      </c>
    </row>
    <row r="117" spans="2:8">
      <c r="B117" s="1" t="str">
        <f t="shared" si="2"/>
        <v>cupcaket_bitter</v>
      </c>
      <c r="C117" s="29" t="s">
        <v>83</v>
      </c>
      <c r="D117" s="1" t="s">
        <v>215</v>
      </c>
      <c r="E117" s="1">
        <v>100</v>
      </c>
      <c r="F117" s="1">
        <f>VLOOKUP(C117,dish_base!$B$4:$O$94,14,FALSE)</f>
        <v>80</v>
      </c>
      <c r="G117" s="1" t="str">
        <f>VLOOKUP(C117,dish_base!$B$4:$M$94,12,FALSE)</f>
        <v>45,80</v>
      </c>
      <c r="H117" s="1" t="s">
        <v>213</v>
      </c>
    </row>
    <row r="118" spans="2:8">
      <c r="B118" s="1" t="str">
        <f t="shared" si="2"/>
        <v>mousset_bitter</v>
      </c>
      <c r="C118" s="29" t="s">
        <v>87</v>
      </c>
      <c r="D118" s="1" t="s">
        <v>215</v>
      </c>
      <c r="E118" s="1">
        <v>100</v>
      </c>
      <c r="F118" s="1">
        <f>VLOOKUP(C118,dish_base!$B$4:$O$94,14,FALSE)</f>
        <v>80</v>
      </c>
      <c r="G118" s="1" t="str">
        <f>VLOOKUP(C118,dish_base!$B$4:$M$94,12,FALSE)</f>
        <v>45,80</v>
      </c>
      <c r="H118" s="1" t="s">
        <v>213</v>
      </c>
    </row>
    <row r="119" spans="2:8">
      <c r="B119" s="1" t="str">
        <f t="shared" si="2"/>
        <v>toffeet_bitter</v>
      </c>
      <c r="C119" s="29" t="s">
        <v>94</v>
      </c>
      <c r="D119" s="1" t="s">
        <v>215</v>
      </c>
      <c r="E119" s="1">
        <v>100</v>
      </c>
      <c r="F119" s="1">
        <f>VLOOKUP(C119,dish_base!$B$4:$O$94,14,FALSE)</f>
        <v>80</v>
      </c>
      <c r="G119" s="1" t="str">
        <f>VLOOKUP(C119,dish_base!$B$4:$M$94,12,FALSE)</f>
        <v>45,80</v>
      </c>
      <c r="H119" s="1" t="s">
        <v>213</v>
      </c>
    </row>
    <row r="120" spans="2:8">
      <c r="B120" s="1" t="str">
        <f t="shared" si="2"/>
        <v>nougatt_bitter</v>
      </c>
      <c r="C120" s="29" t="s">
        <v>101</v>
      </c>
      <c r="D120" s="1" t="s">
        <v>215</v>
      </c>
      <c r="E120" s="1">
        <v>100</v>
      </c>
      <c r="F120" s="1">
        <f>VLOOKUP(C120,dish_base!$B$4:$O$94,14,FALSE)</f>
        <v>80</v>
      </c>
      <c r="G120" s="1" t="str">
        <f>VLOOKUP(C120,dish_base!$B$4:$M$94,12,FALSE)</f>
        <v>45,80</v>
      </c>
      <c r="H120" s="1" t="s">
        <v>213</v>
      </c>
    </row>
    <row r="121" spans="2:8">
      <c r="B121" s="1" t="str">
        <f t="shared" si="2"/>
        <v>eggrollt_bitter</v>
      </c>
      <c r="C121" s="29" t="s">
        <v>108</v>
      </c>
      <c r="D121" s="1" t="s">
        <v>215</v>
      </c>
      <c r="E121" s="1">
        <v>100</v>
      </c>
      <c r="F121" s="1">
        <f>VLOOKUP(C121,dish_base!$B$4:$O$94,14,FALSE)</f>
        <v>100</v>
      </c>
      <c r="G121" s="1" t="str">
        <f>VLOOKUP(C121,dish_base!$B$4:$M$94,12,FALSE)</f>
        <v>50,90</v>
      </c>
      <c r="H121" s="1" t="s">
        <v>213</v>
      </c>
    </row>
    <row r="122" spans="2:8">
      <c r="B122" s="1" t="str">
        <f t="shared" si="2"/>
        <v>choco_bart_bitter</v>
      </c>
      <c r="C122" s="28" t="s">
        <v>114</v>
      </c>
      <c r="D122" s="1" t="s">
        <v>215</v>
      </c>
      <c r="E122" s="1">
        <v>100</v>
      </c>
      <c r="F122" s="1">
        <f>VLOOKUP(C122,dish_base!$B$4:$O$94,14,FALSE)</f>
        <v>100</v>
      </c>
      <c r="G122" s="30" t="str">
        <f>VLOOKUP(C122,dish_base!$B$4:$M$94,12,FALSE)</f>
        <v>50,90</v>
      </c>
      <c r="H122" s="1" t="s">
        <v>213</v>
      </c>
    </row>
    <row r="123" spans="2:8">
      <c r="B123" s="1" t="str">
        <f t="shared" si="2"/>
        <v>eclairt_bitter</v>
      </c>
      <c r="C123" s="29" t="s">
        <v>117</v>
      </c>
      <c r="D123" s="1" t="s">
        <v>215</v>
      </c>
      <c r="E123" s="1">
        <v>100</v>
      </c>
      <c r="F123" s="1">
        <f>VLOOKUP(C123,dish_base!$B$4:$O$94,14,FALSE)</f>
        <v>100</v>
      </c>
      <c r="G123" s="30" t="str">
        <f>VLOOKUP(C123,dish_base!$B$4:$M$94,12,FALSE)</f>
        <v>50,90</v>
      </c>
      <c r="H123" s="1" t="s">
        <v>213</v>
      </c>
    </row>
    <row r="124" spans="2:8">
      <c r="B124" s="1" t="str">
        <f t="shared" si="2"/>
        <v>tanghulut_bitter</v>
      </c>
      <c r="C124" s="29" t="s">
        <v>120</v>
      </c>
      <c r="D124" s="1" t="s">
        <v>215</v>
      </c>
      <c r="E124" s="1">
        <v>100</v>
      </c>
      <c r="F124" s="1">
        <f>VLOOKUP(C124,dish_base!$B$4:$O$94,14,FALSE)</f>
        <v>100</v>
      </c>
      <c r="G124" s="30" t="str">
        <f>VLOOKUP(C124,dish_base!$B$4:$M$94,12,FALSE)</f>
        <v>50,90</v>
      </c>
      <c r="H124" s="1" t="s">
        <v>213</v>
      </c>
    </row>
    <row r="125" spans="2:8">
      <c r="B125" s="1" t="str">
        <f t="shared" si="2"/>
        <v>soufflet_bitter</v>
      </c>
      <c r="C125" s="1" t="s">
        <v>123</v>
      </c>
      <c r="D125" s="1" t="s">
        <v>215</v>
      </c>
      <c r="E125" s="1">
        <v>100</v>
      </c>
      <c r="F125" s="1">
        <f>VLOOKUP(C125,dish_base!$B$4:$O$94,14,FALSE)</f>
        <v>120</v>
      </c>
      <c r="G125" s="30" t="str">
        <f>VLOOKUP(C125,dish_base!$B$4:$M$94,12,FALSE)</f>
        <v>55,100</v>
      </c>
      <c r="H125" s="1" t="s">
        <v>213</v>
      </c>
    </row>
    <row r="126" spans="2:8">
      <c r="B126" s="1" t="str">
        <f t="shared" si="2"/>
        <v>maple_sugart_bitter</v>
      </c>
      <c r="C126" s="1" t="s">
        <v>126</v>
      </c>
      <c r="D126" s="1" t="s">
        <v>215</v>
      </c>
      <c r="E126" s="1">
        <v>100</v>
      </c>
      <c r="F126" s="1">
        <f>VLOOKUP(C126,dish_base!$B$4:$O$94,14,FALSE)</f>
        <v>120</v>
      </c>
      <c r="G126" s="30" t="str">
        <f>VLOOKUP(C126,dish_base!$B$4:$M$94,12,FALSE)</f>
        <v>55,100</v>
      </c>
      <c r="H126" s="1" t="s">
        <v>213</v>
      </c>
    </row>
    <row r="127" spans="2:8">
      <c r="B127" s="1" t="str">
        <f t="shared" si="2"/>
        <v>taosut_bitter</v>
      </c>
      <c r="C127" s="1" t="s">
        <v>129</v>
      </c>
      <c r="D127" s="1" t="s">
        <v>215</v>
      </c>
      <c r="E127" s="1">
        <v>100</v>
      </c>
      <c r="F127" s="1">
        <f>VLOOKUP(C127,dish_base!$B$4:$O$94,14,FALSE)</f>
        <v>120</v>
      </c>
      <c r="G127" s="30" t="str">
        <f>VLOOKUP(C127,dish_base!$B$4:$M$94,12,FALSE)</f>
        <v>55,100</v>
      </c>
      <c r="H127" s="1" t="s">
        <v>213</v>
      </c>
    </row>
    <row r="128" spans="2:8">
      <c r="B128" s="1" t="str">
        <f t="shared" si="2"/>
        <v>mooncaket_bitter</v>
      </c>
      <c r="C128" s="1" t="s">
        <v>132</v>
      </c>
      <c r="D128" s="1" t="s">
        <v>215</v>
      </c>
      <c r="E128" s="1">
        <v>100</v>
      </c>
      <c r="F128" s="1">
        <f>VLOOKUP(C128,dish_base!$B$4:$O$94,14,FALSE)</f>
        <v>120</v>
      </c>
      <c r="G128" s="30" t="str">
        <f>VLOOKUP(C128,dish_base!$B$4:$M$94,12,FALSE)</f>
        <v>55,100</v>
      </c>
      <c r="H128" s="1" t="s">
        <v>213</v>
      </c>
    </row>
    <row r="129" spans="2:8">
      <c r="B129" s="1" t="str">
        <f t="shared" si="2"/>
        <v>wafflet_bitter</v>
      </c>
      <c r="C129" s="1" t="s">
        <v>135</v>
      </c>
      <c r="D129" s="1" t="s">
        <v>215</v>
      </c>
      <c r="E129" s="1">
        <v>100</v>
      </c>
      <c r="F129" s="1">
        <f>VLOOKUP(C129,dish_base!$B$4:$O$94,14,FALSE)</f>
        <v>120</v>
      </c>
      <c r="G129" s="30" t="str">
        <f>VLOOKUP(C129,dish_base!$B$4:$M$94,12,FALSE)</f>
        <v>55,100</v>
      </c>
      <c r="H129" s="1" t="s">
        <v>213</v>
      </c>
    </row>
    <row r="130" spans="2:8">
      <c r="B130" s="1" t="str">
        <f t="shared" si="2"/>
        <v>dorayakit_bitter</v>
      </c>
      <c r="C130" s="1" t="s">
        <v>138</v>
      </c>
      <c r="D130" s="1" t="s">
        <v>215</v>
      </c>
      <c r="E130" s="1">
        <v>100</v>
      </c>
      <c r="F130" s="1">
        <f>VLOOKUP(C130,dish_base!$B$4:$O$94,14,FALSE)</f>
        <v>120</v>
      </c>
      <c r="G130" s="30" t="str">
        <f>VLOOKUP(C130,dish_base!$B$4:$M$94,12,FALSE)</f>
        <v>55,100</v>
      </c>
      <c r="H130" s="1" t="s">
        <v>213</v>
      </c>
    </row>
    <row r="131" spans="2:8">
      <c r="B131" s="1" t="str">
        <f t="shared" si="2"/>
        <v>cream_caket_bitter</v>
      </c>
      <c r="C131" s="1" t="s">
        <v>141</v>
      </c>
      <c r="D131" s="1" t="s">
        <v>215</v>
      </c>
      <c r="E131" s="1">
        <v>100</v>
      </c>
      <c r="F131" s="1">
        <f>VLOOKUP(C131,dish_base!$B$4:$O$94,14,FALSE)</f>
        <v>120</v>
      </c>
      <c r="G131" s="30" t="str">
        <f>VLOOKUP(C131,dish_base!$B$4:$M$94,12,FALSE)</f>
        <v>55,100</v>
      </c>
      <c r="H131" s="1" t="s">
        <v>213</v>
      </c>
    </row>
    <row r="132" spans="2:8">
      <c r="B132" s="1" t="str">
        <f t="shared" si="2"/>
        <v>donutt_bitter</v>
      </c>
      <c r="C132" s="1" t="s">
        <v>144</v>
      </c>
      <c r="D132" s="1" t="s">
        <v>215</v>
      </c>
      <c r="E132" s="1">
        <v>100</v>
      </c>
      <c r="F132" s="1">
        <f>VLOOKUP(C132,dish_base!$B$4:$O$94,14,FALSE)</f>
        <v>120</v>
      </c>
      <c r="G132" s="30" t="str">
        <f>VLOOKUP(C132,dish_base!$B$4:$M$94,12,FALSE)</f>
        <v>55,100</v>
      </c>
      <c r="H132" s="1" t="s">
        <v>213</v>
      </c>
    </row>
    <row r="133" spans="2:8">
      <c r="B133" s="1" t="str">
        <f t="shared" ref="B133:B197" si="3">C133&amp;D133</f>
        <v>pengtangt_bitter</v>
      </c>
      <c r="C133" s="1" t="s">
        <v>147</v>
      </c>
      <c r="D133" s="1" t="s">
        <v>215</v>
      </c>
      <c r="E133" s="1">
        <v>100</v>
      </c>
      <c r="F133" s="1">
        <f>VLOOKUP(C133,dish_base!$B$4:$O$94,14,FALSE)</f>
        <v>120</v>
      </c>
      <c r="G133" s="30" t="str">
        <f>VLOOKUP(C133,dish_base!$B$4:$M$94,12,FALSE)</f>
        <v>55,100</v>
      </c>
      <c r="H133" s="1" t="s">
        <v>213</v>
      </c>
    </row>
    <row r="134" spans="2:8">
      <c r="B134" s="1" t="str">
        <f t="shared" si="3"/>
        <v>parfaitt_bitter</v>
      </c>
      <c r="C134" s="1" t="s">
        <v>150</v>
      </c>
      <c r="D134" s="1" t="s">
        <v>215</v>
      </c>
      <c r="E134" s="1">
        <v>100</v>
      </c>
      <c r="F134" s="1">
        <f>VLOOKUP(C134,dish_base!$B$4:$O$94,14,FALSE)</f>
        <v>160</v>
      </c>
      <c r="G134" s="30" t="str">
        <f>VLOOKUP(C134,dish_base!$B$4:$M$94,12,FALSE)</f>
        <v>70,120</v>
      </c>
      <c r="H134" s="1" t="s">
        <v>213</v>
      </c>
    </row>
    <row r="135" spans="2:8">
      <c r="B135" s="1" t="str">
        <f t="shared" si="3"/>
        <v>sundae_bigt_bitter</v>
      </c>
      <c r="C135" s="1" t="s">
        <v>153</v>
      </c>
      <c r="D135" s="1" t="s">
        <v>215</v>
      </c>
      <c r="E135" s="1">
        <v>100</v>
      </c>
      <c r="F135" s="1">
        <f>VLOOKUP(C135,dish_base!$B$4:$O$94,14,FALSE)</f>
        <v>160</v>
      </c>
      <c r="G135" s="30" t="str">
        <f>VLOOKUP(C135,dish_base!$B$4:$M$94,12,FALSE)</f>
        <v>70,120</v>
      </c>
      <c r="H135" s="1" t="s">
        <v>213</v>
      </c>
    </row>
    <row r="136" spans="2:8">
      <c r="B136" s="1" t="str">
        <f t="shared" si="3"/>
        <v>swiss_rollt_bitter</v>
      </c>
      <c r="C136" s="1" t="s">
        <v>156</v>
      </c>
      <c r="D136" s="1" t="s">
        <v>215</v>
      </c>
      <c r="E136" s="1">
        <v>100</v>
      </c>
      <c r="F136" s="1">
        <f>VLOOKUP(C136,dish_base!$B$4:$O$94,14,FALSE)</f>
        <v>160</v>
      </c>
      <c r="G136" s="30" t="str">
        <f>VLOOKUP(C136,dish_base!$B$4:$M$94,12,FALSE)</f>
        <v>70,120</v>
      </c>
      <c r="H136" s="1" t="s">
        <v>213</v>
      </c>
    </row>
    <row r="137" spans="2:8">
      <c r="B137" s="1" t="str">
        <f t="shared" si="3"/>
        <v>mango_sagot_bitter</v>
      </c>
      <c r="C137" s="1" t="s">
        <v>159</v>
      </c>
      <c r="D137" s="1" t="s">
        <v>215</v>
      </c>
      <c r="E137" s="1">
        <v>100</v>
      </c>
      <c r="F137" s="1">
        <f>VLOOKUP(C137,dish_base!$B$4:$O$94,14,FALSE)</f>
        <v>160</v>
      </c>
      <c r="G137" s="30" t="str">
        <f>VLOOKUP(C137,dish_base!$B$4:$M$94,12,FALSE)</f>
        <v>70,120</v>
      </c>
      <c r="H137" s="1" t="s">
        <v>213</v>
      </c>
    </row>
    <row r="138" spans="2:8">
      <c r="B138" s="1" t="str">
        <f t="shared" si="3"/>
        <v>chiffiont_bitter</v>
      </c>
      <c r="C138" s="1" t="s">
        <v>162</v>
      </c>
      <c r="D138" s="1" t="s">
        <v>215</v>
      </c>
      <c r="E138" s="1">
        <v>100</v>
      </c>
      <c r="F138" s="1">
        <f>VLOOKUP(C138,dish_base!$B$4:$O$94,14,FALSE)</f>
        <v>160</v>
      </c>
      <c r="G138" s="30" t="str">
        <f>VLOOKUP(C138,dish_base!$B$4:$M$94,12,FALSE)</f>
        <v>70,120</v>
      </c>
      <c r="H138" s="1" t="s">
        <v>213</v>
      </c>
    </row>
    <row r="139" spans="2:8">
      <c r="B139" s="1" t="str">
        <f t="shared" si="3"/>
        <v>apple_piet_bitter</v>
      </c>
      <c r="C139" s="1" t="s">
        <v>165</v>
      </c>
      <c r="D139" s="1" t="s">
        <v>215</v>
      </c>
      <c r="E139" s="1">
        <v>100</v>
      </c>
      <c r="F139" s="1">
        <f>VLOOKUP(C139,dish_base!$B$4:$O$94,14,FALSE)</f>
        <v>160</v>
      </c>
      <c r="G139" s="30" t="str">
        <f>VLOOKUP(C139,dish_base!$B$4:$M$94,12,FALSE)</f>
        <v>70,120</v>
      </c>
      <c r="H139" s="1" t="s">
        <v>213</v>
      </c>
    </row>
    <row r="140" spans="2:8">
      <c r="B140" s="1" t="str">
        <f t="shared" si="3"/>
        <v>fruit_caket_bitter</v>
      </c>
      <c r="C140" s="1" t="s">
        <v>168</v>
      </c>
      <c r="D140" s="1" t="s">
        <v>215</v>
      </c>
      <c r="E140" s="1">
        <v>100</v>
      </c>
      <c r="F140" s="1">
        <f>VLOOKUP(C140,dish_base!$B$4:$O$94,14,FALSE)</f>
        <v>160</v>
      </c>
      <c r="G140" s="30" t="str">
        <f>VLOOKUP(C140,dish_base!$B$4:$M$94,12,FALSE)</f>
        <v>70,120</v>
      </c>
      <c r="H140" s="1" t="s">
        <v>213</v>
      </c>
    </row>
    <row r="141" spans="2:8">
      <c r="B141" s="1" t="str">
        <f t="shared" si="3"/>
        <v>chocolatet_bitter</v>
      </c>
      <c r="C141" s="1" t="s">
        <v>171</v>
      </c>
      <c r="D141" s="1" t="s">
        <v>215</v>
      </c>
      <c r="E141" s="1">
        <v>100</v>
      </c>
      <c r="F141" s="1">
        <f>VLOOKUP(C141,dish_base!$B$4:$O$94,14,FALSE)</f>
        <v>160</v>
      </c>
      <c r="G141" s="30" t="str">
        <f>VLOOKUP(C141,dish_base!$B$4:$M$94,12,FALSE)</f>
        <v>70,120</v>
      </c>
      <c r="H141" s="1" t="s">
        <v>213</v>
      </c>
    </row>
    <row r="142" spans="2:8">
      <c r="B142" s="1" t="str">
        <f t="shared" si="3"/>
        <v>croissantt_bitter</v>
      </c>
      <c r="C142" s="1" t="s">
        <v>174</v>
      </c>
      <c r="D142" s="1" t="s">
        <v>215</v>
      </c>
      <c r="E142" s="1">
        <v>100</v>
      </c>
      <c r="F142" s="1">
        <f>VLOOKUP(C142,dish_base!$B$4:$O$94,14,FALSE)</f>
        <v>100</v>
      </c>
      <c r="G142" s="30" t="str">
        <f>VLOOKUP(C142,dish_base!$B$4:$M$94,12,FALSE)</f>
        <v>50,90</v>
      </c>
      <c r="H142" s="1" t="s">
        <v>213</v>
      </c>
    </row>
    <row r="143" spans="2:8">
      <c r="B143" s="1" t="str">
        <f t="shared" si="3"/>
        <v>palmiert_bitter</v>
      </c>
      <c r="C143" s="1" t="s">
        <v>178</v>
      </c>
      <c r="D143" s="1" t="s">
        <v>215</v>
      </c>
      <c r="E143" s="1">
        <v>100</v>
      </c>
      <c r="F143" s="1">
        <f>VLOOKUP(C143,dish_base!$B$4:$O$94,14,FALSE)</f>
        <v>100</v>
      </c>
      <c r="G143" s="30" t="str">
        <f>VLOOKUP(C143,dish_base!$B$4:$M$94,12,FALSE)</f>
        <v>50,90</v>
      </c>
      <c r="H143" s="1" t="s">
        <v>213</v>
      </c>
    </row>
    <row r="144" spans="2:8">
      <c r="B144" s="1" t="str">
        <f t="shared" si="3"/>
        <v>candycanet_bitter</v>
      </c>
      <c r="C144" s="1" t="s">
        <v>182</v>
      </c>
      <c r="D144" s="1" t="s">
        <v>215</v>
      </c>
      <c r="E144" s="1">
        <v>100</v>
      </c>
      <c r="F144" s="1">
        <f>VLOOKUP(C144,dish_base!$B$4:$O$94,14,FALSE)</f>
        <v>120</v>
      </c>
      <c r="G144" s="30" t="str">
        <f>VLOOKUP(C144,dish_base!$B$4:$M$94,12,FALSE)</f>
        <v>55,100</v>
      </c>
      <c r="H144" s="1" t="s">
        <v>213</v>
      </c>
    </row>
    <row r="145" spans="2:8">
      <c r="B145" s="1" t="str">
        <f t="shared" si="3"/>
        <v>big_lollipopt_bitter</v>
      </c>
      <c r="C145" s="1" t="s">
        <v>185</v>
      </c>
      <c r="D145" s="1" t="s">
        <v>215</v>
      </c>
      <c r="E145" s="1">
        <v>100</v>
      </c>
      <c r="F145" s="1">
        <f>VLOOKUP(C145,dish_base!$B$4:$O$94,14,FALSE)</f>
        <v>270</v>
      </c>
      <c r="G145" s="1" t="str">
        <f>VLOOKUP(C145,dish_base!$B$4:$M$94,12,FALSE)</f>
        <v>80,130</v>
      </c>
      <c r="H145" s="1" t="s">
        <v>213</v>
      </c>
    </row>
    <row r="146" spans="2:8">
      <c r="B146" s="1" t="str">
        <f t="shared" si="3"/>
        <v>marshmallowt_bitter</v>
      </c>
      <c r="C146" s="1" t="s">
        <v>189</v>
      </c>
      <c r="D146" s="1" t="s">
        <v>215</v>
      </c>
      <c r="E146" s="1">
        <v>100</v>
      </c>
      <c r="F146" s="1">
        <f>VLOOKUP(C146,dish_base!$B$4:$O$94,14,FALSE)</f>
        <v>220</v>
      </c>
      <c r="G146" s="1" t="str">
        <f>VLOOKUP(C146,dish_base!$B$4:$M$94,12,FALSE)</f>
        <v>80,130</v>
      </c>
      <c r="H146" s="1" t="s">
        <v>213</v>
      </c>
    </row>
    <row r="147" spans="2:8">
      <c r="B147" s="1" t="str">
        <f t="shared" si="3"/>
        <v>double_caket_bitter</v>
      </c>
      <c r="C147" s="1" t="s">
        <v>192</v>
      </c>
      <c r="D147" s="1" t="s">
        <v>215</v>
      </c>
      <c r="E147" s="1">
        <v>100</v>
      </c>
      <c r="F147" s="1">
        <f>VLOOKUP(C147,dish_base!$B$4:$O$94,14,FALSE)</f>
        <v>370</v>
      </c>
      <c r="G147" s="1" t="str">
        <f>VLOOKUP(C147,dish_base!$B$4:$M$94,12,FALSE)</f>
        <v>80,130</v>
      </c>
      <c r="H147" s="1" t="s">
        <v>213</v>
      </c>
    </row>
    <row r="148" spans="2:8">
      <c r="B148" s="1" t="str">
        <f t="shared" si="3"/>
        <v>cookiet_rust</v>
      </c>
      <c r="C148" s="28" t="s">
        <v>23</v>
      </c>
      <c r="D148" s="1" t="s">
        <v>216</v>
      </c>
      <c r="E148" s="1">
        <v>100</v>
      </c>
      <c r="F148" s="1">
        <f>VLOOKUP(C148,dish_base!$B$4:$O$94,14,FALSE)</f>
        <v>60</v>
      </c>
      <c r="G148" s="1" t="str">
        <f>VLOOKUP(C148,dish_base!$B$4:$M$94,12,FALSE)</f>
        <v>40,80</v>
      </c>
      <c r="H148" s="1" t="s">
        <v>213</v>
      </c>
    </row>
    <row r="149" spans="2:8">
      <c r="B149" s="1" t="str">
        <f t="shared" si="3"/>
        <v>macaront_rust</v>
      </c>
      <c r="C149" s="28" t="s">
        <v>29</v>
      </c>
      <c r="D149" s="1" t="s">
        <v>216</v>
      </c>
      <c r="E149" s="1">
        <v>100</v>
      </c>
      <c r="F149" s="1">
        <f>VLOOKUP(C149,dish_base!$B$4:$O$94,14,FALSE)</f>
        <v>60</v>
      </c>
      <c r="G149" s="1" t="str">
        <f>VLOOKUP(C149,dish_base!$B$4:$M$94,12,FALSE)</f>
        <v>40,80</v>
      </c>
      <c r="H149" s="1" t="s">
        <v>213</v>
      </c>
    </row>
    <row r="150" spans="2:8">
      <c r="B150" s="1" t="str">
        <f t="shared" si="3"/>
        <v>puddingt_rust</v>
      </c>
      <c r="C150" s="29" t="s">
        <v>32</v>
      </c>
      <c r="D150" s="1" t="s">
        <v>216</v>
      </c>
      <c r="E150" s="1">
        <v>100</v>
      </c>
      <c r="F150" s="1">
        <f>VLOOKUP(C150,dish_base!$B$4:$O$94,14,FALSE)</f>
        <v>60</v>
      </c>
      <c r="G150" s="1" t="str">
        <f>VLOOKUP(C150,dish_base!$B$4:$M$94,12,FALSE)</f>
        <v>40,80</v>
      </c>
      <c r="H150" s="1" t="s">
        <v>213</v>
      </c>
    </row>
    <row r="151" spans="2:8">
      <c r="B151" s="1" t="str">
        <f t="shared" si="3"/>
        <v>pufft_rust</v>
      </c>
      <c r="C151" s="29" t="s">
        <v>35</v>
      </c>
      <c r="D151" s="1" t="s">
        <v>216</v>
      </c>
      <c r="E151" s="1">
        <v>100</v>
      </c>
      <c r="F151" s="1">
        <f>VLOOKUP(C151,dish_base!$B$4:$O$94,14,FALSE)</f>
        <v>60</v>
      </c>
      <c r="G151" s="1" t="str">
        <f>VLOOKUP(C151,dish_base!$B$4:$M$94,12,FALSE)</f>
        <v>40,80</v>
      </c>
      <c r="H151" s="1" t="s">
        <v>213</v>
      </c>
    </row>
    <row r="152" spans="2:8">
      <c r="B152" s="1" t="str">
        <f t="shared" si="3"/>
        <v>eggtartt_rust</v>
      </c>
      <c r="C152" s="29" t="s">
        <v>38</v>
      </c>
      <c r="D152" s="1" t="s">
        <v>216</v>
      </c>
      <c r="E152" s="1">
        <v>100</v>
      </c>
      <c r="F152" s="1">
        <f>VLOOKUP(C152,dish_base!$B$4:$O$94,14,FALSE)</f>
        <v>60</v>
      </c>
      <c r="G152" s="1" t="str">
        <f>VLOOKUP(C152,dish_base!$B$4:$M$94,12,FALSE)</f>
        <v>40,80</v>
      </c>
      <c r="H152" s="1" t="s">
        <v>213</v>
      </c>
    </row>
    <row r="153" spans="2:8">
      <c r="B153" s="1" t="str">
        <f t="shared" si="3"/>
        <v>mochit_rust</v>
      </c>
      <c r="C153" s="29" t="s">
        <v>41</v>
      </c>
      <c r="D153" s="1" t="s">
        <v>216</v>
      </c>
      <c r="E153" s="1">
        <v>100</v>
      </c>
      <c r="F153" s="1">
        <f>VLOOKUP(C153,dish_base!$B$4:$O$94,14,FALSE)</f>
        <v>60</v>
      </c>
      <c r="G153" s="1" t="str">
        <f>VLOOKUP(C153,dish_base!$B$4:$M$94,12,FALSE)</f>
        <v>40,80</v>
      </c>
      <c r="H153" s="1" t="s">
        <v>213</v>
      </c>
    </row>
    <row r="154" spans="2:8">
      <c r="B154" s="1" t="str">
        <f t="shared" si="3"/>
        <v>daifukut_rust</v>
      </c>
      <c r="C154" s="29" t="s">
        <v>44</v>
      </c>
      <c r="D154" s="1" t="s">
        <v>216</v>
      </c>
      <c r="E154" s="1">
        <v>100</v>
      </c>
      <c r="F154" s="1">
        <f>VLOOKUP(C154,dish_base!$B$4:$O$94,14,FALSE)</f>
        <v>60</v>
      </c>
      <c r="G154" s="1" t="str">
        <f>VLOOKUP(C154,dish_base!$B$4:$M$94,12,FALSE)</f>
        <v>40,80</v>
      </c>
      <c r="H154" s="1" t="s">
        <v>213</v>
      </c>
    </row>
    <row r="155" spans="2:8">
      <c r="B155" s="1" t="str">
        <f t="shared" si="3"/>
        <v>choco_candyt_rust</v>
      </c>
      <c r="C155" s="29" t="s">
        <v>47</v>
      </c>
      <c r="D155" s="1" t="s">
        <v>216</v>
      </c>
      <c r="E155" s="1">
        <v>100</v>
      </c>
      <c r="F155" s="1">
        <f>VLOOKUP(C155,dish_base!$B$4:$O$94,14,FALSE)</f>
        <v>60</v>
      </c>
      <c r="G155" s="1" t="str">
        <f>VLOOKUP(C155,dish_base!$B$4:$M$94,12,FALSE)</f>
        <v>40,80</v>
      </c>
      <c r="H155" s="1" t="s">
        <v>213</v>
      </c>
    </row>
    <row r="156" spans="2:8">
      <c r="B156" s="1" t="str">
        <f t="shared" si="3"/>
        <v>jellyt_rust</v>
      </c>
      <c r="C156" s="29" t="s">
        <v>50</v>
      </c>
      <c r="D156" s="1" t="s">
        <v>216</v>
      </c>
      <c r="E156" s="1">
        <v>100</v>
      </c>
      <c r="F156" s="1">
        <f>VLOOKUP(C156,dish_base!$B$4:$O$94,14,FALSE)</f>
        <v>60</v>
      </c>
      <c r="G156" s="1" t="str">
        <f>VLOOKUP(C156,dish_base!$B$4:$M$94,12,FALSE)</f>
        <v>40,80</v>
      </c>
      <c r="H156" s="1" t="s">
        <v>213</v>
      </c>
    </row>
    <row r="157" spans="2:8">
      <c r="B157" s="1" t="str">
        <f t="shared" si="3"/>
        <v>cream_cellt_rust</v>
      </c>
      <c r="C157" s="29" t="s">
        <v>54</v>
      </c>
      <c r="D157" s="1" t="s">
        <v>216</v>
      </c>
      <c r="E157" s="1">
        <v>100</v>
      </c>
      <c r="F157" s="1">
        <f>VLOOKUP(C157,dish_base!$B$4:$O$94,14,FALSE)</f>
        <v>60</v>
      </c>
      <c r="G157" s="1" t="str">
        <f>VLOOKUP(C157,dish_base!$B$4:$M$94,12,FALSE)</f>
        <v>40,80</v>
      </c>
      <c r="H157" s="1" t="s">
        <v>213</v>
      </c>
    </row>
    <row r="158" spans="2:8">
      <c r="B158" s="1" t="str">
        <f t="shared" si="3"/>
        <v>sugarbeant_rust</v>
      </c>
      <c r="C158" s="29" t="s">
        <v>58</v>
      </c>
      <c r="D158" s="1" t="s">
        <v>216</v>
      </c>
      <c r="E158" s="1">
        <v>100</v>
      </c>
      <c r="F158" s="1">
        <f>VLOOKUP(C158,dish_base!$B$4:$O$94,14,FALSE)</f>
        <v>60</v>
      </c>
      <c r="G158" s="1" t="str">
        <f>VLOOKUP(C158,dish_base!$B$4:$M$94,12,FALSE)</f>
        <v>40,80</v>
      </c>
      <c r="H158" s="1" t="s">
        <v>213</v>
      </c>
    </row>
    <row r="159" spans="2:8">
      <c r="B159" s="1" t="str">
        <f t="shared" si="3"/>
        <v>gold_chocot_rust</v>
      </c>
      <c r="C159" s="29" t="s">
        <v>62</v>
      </c>
      <c r="D159" s="1" t="s">
        <v>216</v>
      </c>
      <c r="E159" s="1">
        <v>100</v>
      </c>
      <c r="F159" s="1">
        <f>VLOOKUP(C159,dish_base!$B$4:$O$94,14,FALSE)</f>
        <v>60</v>
      </c>
      <c r="G159" s="1" t="str">
        <f>VLOOKUP(C159,dish_base!$B$4:$M$94,12,FALSE)</f>
        <v>40,80</v>
      </c>
      <c r="H159" s="1" t="s">
        <v>213</v>
      </c>
    </row>
    <row r="160" spans="2:8">
      <c r="B160" s="1" t="str">
        <f t="shared" si="3"/>
        <v>milk_slicet_rust</v>
      </c>
      <c r="C160" s="29" t="s">
        <v>66</v>
      </c>
      <c r="D160" s="1" t="s">
        <v>216</v>
      </c>
      <c r="E160" s="1">
        <v>100</v>
      </c>
      <c r="F160" s="1">
        <f>VLOOKUP(C160,dish_base!$B$4:$O$94,14,FALSE)</f>
        <v>60</v>
      </c>
      <c r="G160" s="1" t="str">
        <f>VLOOKUP(C160,dish_base!$B$4:$M$94,12,FALSE)</f>
        <v>40,80</v>
      </c>
      <c r="H160" s="1" t="s">
        <v>213</v>
      </c>
    </row>
    <row r="161" spans="2:8">
      <c r="B161" s="1" t="str">
        <f t="shared" si="3"/>
        <v>sundaet_rust</v>
      </c>
      <c r="C161" s="29" t="s">
        <v>70</v>
      </c>
      <c r="D161" s="1" t="s">
        <v>216</v>
      </c>
      <c r="E161" s="1">
        <v>100</v>
      </c>
      <c r="F161" s="1">
        <f>VLOOKUP(C161,dish_base!$B$4:$O$94,14,FALSE)</f>
        <v>80</v>
      </c>
      <c r="G161" s="1" t="str">
        <f>VLOOKUP(C161,dish_base!$B$4:$M$94,12,FALSE)</f>
        <v>45,80</v>
      </c>
      <c r="H161" s="1" t="s">
        <v>213</v>
      </c>
    </row>
    <row r="162" spans="2:8">
      <c r="B162" s="1" t="str">
        <f t="shared" si="3"/>
        <v>conet_rust</v>
      </c>
      <c r="C162" s="29" t="s">
        <v>74</v>
      </c>
      <c r="D162" s="1" t="s">
        <v>216</v>
      </c>
      <c r="E162" s="1">
        <v>100</v>
      </c>
      <c r="F162" s="1">
        <f>VLOOKUP(C162,dish_base!$B$4:$O$94,14,FALSE)</f>
        <v>80</v>
      </c>
      <c r="G162" s="1" t="str">
        <f>VLOOKUP(C162,dish_base!$B$4:$M$94,12,FALSE)</f>
        <v>45,80</v>
      </c>
      <c r="H162" s="1" t="s">
        <v>213</v>
      </c>
    </row>
    <row r="163" spans="2:8">
      <c r="B163" s="1" t="str">
        <f t="shared" si="3"/>
        <v>lollipopt_rust</v>
      </c>
      <c r="C163" s="29" t="s">
        <v>77</v>
      </c>
      <c r="D163" s="1" t="s">
        <v>216</v>
      </c>
      <c r="E163" s="1">
        <v>100</v>
      </c>
      <c r="F163" s="1">
        <f>VLOOKUP(C163,dish_base!$B$4:$O$94,14,FALSE)</f>
        <v>80</v>
      </c>
      <c r="G163" s="1" t="str">
        <f>VLOOKUP(C163,dish_base!$B$4:$M$94,12,FALSE)</f>
        <v>45,80</v>
      </c>
      <c r="H163" s="1" t="s">
        <v>213</v>
      </c>
    </row>
    <row r="164" spans="2:8">
      <c r="B164" s="1" t="str">
        <f t="shared" si="3"/>
        <v>gummyt_rust</v>
      </c>
      <c r="C164" s="29" t="s">
        <v>80</v>
      </c>
      <c r="D164" s="1" t="s">
        <v>216</v>
      </c>
      <c r="E164" s="1">
        <v>100</v>
      </c>
      <c r="F164" s="1">
        <f>VLOOKUP(C164,dish_base!$B$4:$O$94,14,FALSE)</f>
        <v>80</v>
      </c>
      <c r="G164" s="1" t="str">
        <f>VLOOKUP(C164,dish_base!$B$4:$M$94,12,FALSE)</f>
        <v>45,80</v>
      </c>
      <c r="H164" s="1" t="s">
        <v>213</v>
      </c>
    </row>
    <row r="165" spans="2:8">
      <c r="B165" s="1" t="str">
        <f t="shared" si="3"/>
        <v>cupcaket_rust</v>
      </c>
      <c r="C165" s="29" t="s">
        <v>83</v>
      </c>
      <c r="D165" s="1" t="s">
        <v>216</v>
      </c>
      <c r="E165" s="1">
        <v>100</v>
      </c>
      <c r="F165" s="1">
        <f>VLOOKUP(C165,dish_base!$B$4:$O$94,14,FALSE)</f>
        <v>80</v>
      </c>
      <c r="G165" s="1" t="str">
        <f>VLOOKUP(C165,dish_base!$B$4:$M$94,12,FALSE)</f>
        <v>45,80</v>
      </c>
      <c r="H165" s="1" t="s">
        <v>213</v>
      </c>
    </row>
    <row r="166" spans="2:8">
      <c r="B166" s="1" t="str">
        <f t="shared" si="3"/>
        <v>mousset_rust</v>
      </c>
      <c r="C166" s="29" t="s">
        <v>87</v>
      </c>
      <c r="D166" s="1" t="s">
        <v>216</v>
      </c>
      <c r="E166" s="1">
        <v>100</v>
      </c>
      <c r="F166" s="1">
        <f>VLOOKUP(C166,dish_base!$B$4:$O$94,14,FALSE)</f>
        <v>80</v>
      </c>
      <c r="G166" s="1" t="str">
        <f>VLOOKUP(C166,dish_base!$B$4:$M$94,12,FALSE)</f>
        <v>45,80</v>
      </c>
      <c r="H166" s="1" t="s">
        <v>213</v>
      </c>
    </row>
    <row r="167" spans="2:8">
      <c r="B167" s="1" t="str">
        <f t="shared" si="3"/>
        <v>toffeet_rust</v>
      </c>
      <c r="C167" s="29" t="s">
        <v>94</v>
      </c>
      <c r="D167" s="1" t="s">
        <v>216</v>
      </c>
      <c r="E167" s="1">
        <v>100</v>
      </c>
      <c r="F167" s="1">
        <f>VLOOKUP(C167,dish_base!$B$4:$O$94,14,FALSE)</f>
        <v>80</v>
      </c>
      <c r="G167" s="1" t="str">
        <f>VLOOKUP(C167,dish_base!$B$4:$M$94,12,FALSE)</f>
        <v>45,80</v>
      </c>
      <c r="H167" s="1" t="s">
        <v>213</v>
      </c>
    </row>
    <row r="168" spans="2:8">
      <c r="B168" s="1" t="str">
        <f t="shared" si="3"/>
        <v>nougatt_rust</v>
      </c>
      <c r="C168" s="29" t="s">
        <v>101</v>
      </c>
      <c r="D168" s="1" t="s">
        <v>216</v>
      </c>
      <c r="E168" s="1">
        <v>100</v>
      </c>
      <c r="F168" s="1">
        <f>VLOOKUP(C168,dish_base!$B$4:$O$94,14,FALSE)</f>
        <v>80</v>
      </c>
      <c r="G168" s="1" t="str">
        <f>VLOOKUP(C168,dish_base!$B$4:$M$94,12,FALSE)</f>
        <v>45,80</v>
      </c>
      <c r="H168" s="1" t="s">
        <v>213</v>
      </c>
    </row>
    <row r="169" spans="2:8">
      <c r="B169" s="1" t="str">
        <f t="shared" si="3"/>
        <v>eggrollt_rust</v>
      </c>
      <c r="C169" s="29" t="s">
        <v>108</v>
      </c>
      <c r="D169" s="1" t="s">
        <v>216</v>
      </c>
      <c r="E169" s="1">
        <v>100</v>
      </c>
      <c r="F169" s="1">
        <f>VLOOKUP(C169,dish_base!$B$4:$O$94,14,FALSE)</f>
        <v>100</v>
      </c>
      <c r="G169" s="30" t="str">
        <f>VLOOKUP(C169,dish_base!$B$4:$M$94,12,FALSE)</f>
        <v>50,90</v>
      </c>
      <c r="H169" s="1" t="s">
        <v>213</v>
      </c>
    </row>
    <row r="170" spans="2:8">
      <c r="B170" s="1" t="str">
        <f t="shared" si="3"/>
        <v>choco_bart_rust</v>
      </c>
      <c r="C170" s="28" t="s">
        <v>114</v>
      </c>
      <c r="D170" s="1" t="s">
        <v>216</v>
      </c>
      <c r="E170" s="1">
        <v>100</v>
      </c>
      <c r="F170" s="1">
        <f>VLOOKUP(C170,dish_base!$B$4:$O$94,14,FALSE)</f>
        <v>100</v>
      </c>
      <c r="G170" s="30" t="str">
        <f>VLOOKUP(C170,dish_base!$B$4:$M$94,12,FALSE)</f>
        <v>50,90</v>
      </c>
      <c r="H170" s="1" t="s">
        <v>213</v>
      </c>
    </row>
    <row r="171" spans="2:8">
      <c r="B171" s="1" t="str">
        <f t="shared" si="3"/>
        <v>eclairt_rust</v>
      </c>
      <c r="C171" s="29" t="s">
        <v>117</v>
      </c>
      <c r="D171" s="1" t="s">
        <v>216</v>
      </c>
      <c r="E171" s="1">
        <v>100</v>
      </c>
      <c r="F171" s="1">
        <f>VLOOKUP(C171,dish_base!$B$4:$O$94,14,FALSE)</f>
        <v>100</v>
      </c>
      <c r="G171" s="30" t="str">
        <f>VLOOKUP(C171,dish_base!$B$4:$M$94,12,FALSE)</f>
        <v>50,90</v>
      </c>
      <c r="H171" s="1" t="s">
        <v>213</v>
      </c>
    </row>
    <row r="172" spans="2:8">
      <c r="B172" s="1" t="str">
        <f t="shared" si="3"/>
        <v>tanghulut_rust</v>
      </c>
      <c r="C172" s="29" t="s">
        <v>120</v>
      </c>
      <c r="D172" s="1" t="s">
        <v>216</v>
      </c>
      <c r="E172" s="1">
        <v>100</v>
      </c>
      <c r="F172" s="1">
        <f>VLOOKUP(C172,dish_base!$B$4:$O$94,14,FALSE)</f>
        <v>100</v>
      </c>
      <c r="G172" s="30" t="str">
        <f>VLOOKUP(C172,dish_base!$B$4:$M$94,12,FALSE)</f>
        <v>50,90</v>
      </c>
      <c r="H172" s="1" t="s">
        <v>213</v>
      </c>
    </row>
    <row r="173" spans="2:8">
      <c r="B173" s="1" t="str">
        <f t="shared" si="3"/>
        <v>soufflet_rust</v>
      </c>
      <c r="C173" s="1" t="s">
        <v>123</v>
      </c>
      <c r="D173" s="1" t="s">
        <v>216</v>
      </c>
      <c r="E173" s="1">
        <v>100</v>
      </c>
      <c r="F173" s="1">
        <f>VLOOKUP(C173,dish_base!$B$4:$O$94,14,FALSE)</f>
        <v>120</v>
      </c>
      <c r="G173" s="30" t="str">
        <f>VLOOKUP(C173,dish_base!$B$4:$M$94,12,FALSE)</f>
        <v>55,100</v>
      </c>
      <c r="H173" s="1" t="s">
        <v>213</v>
      </c>
    </row>
    <row r="174" spans="2:8">
      <c r="B174" s="1" t="str">
        <f t="shared" si="3"/>
        <v>maple_sugart_rust</v>
      </c>
      <c r="C174" s="1" t="s">
        <v>126</v>
      </c>
      <c r="D174" s="1" t="s">
        <v>216</v>
      </c>
      <c r="E174" s="1">
        <v>100</v>
      </c>
      <c r="F174" s="1">
        <f>VLOOKUP(C174,dish_base!$B$4:$O$94,14,FALSE)</f>
        <v>120</v>
      </c>
      <c r="G174" s="30" t="str">
        <f>VLOOKUP(C174,dish_base!$B$4:$M$94,12,FALSE)</f>
        <v>55,100</v>
      </c>
      <c r="H174" s="1" t="s">
        <v>213</v>
      </c>
    </row>
    <row r="175" spans="2:8">
      <c r="B175" s="1" t="str">
        <f t="shared" si="3"/>
        <v>taosut_rust</v>
      </c>
      <c r="C175" s="1" t="s">
        <v>129</v>
      </c>
      <c r="D175" s="1" t="s">
        <v>216</v>
      </c>
      <c r="E175" s="1">
        <v>100</v>
      </c>
      <c r="F175" s="1">
        <f>VLOOKUP(C175,dish_base!$B$4:$O$94,14,FALSE)</f>
        <v>120</v>
      </c>
      <c r="G175" s="30" t="str">
        <f>VLOOKUP(C175,dish_base!$B$4:$M$94,12,FALSE)</f>
        <v>55,100</v>
      </c>
      <c r="H175" s="1" t="s">
        <v>213</v>
      </c>
    </row>
    <row r="176" spans="2:8">
      <c r="B176" s="1" t="str">
        <f t="shared" si="3"/>
        <v>mooncaket_rust</v>
      </c>
      <c r="C176" s="1" t="s">
        <v>132</v>
      </c>
      <c r="D176" s="1" t="s">
        <v>216</v>
      </c>
      <c r="E176" s="1">
        <v>100</v>
      </c>
      <c r="F176" s="1">
        <f>VLOOKUP(C176,dish_base!$B$4:$O$94,14,FALSE)</f>
        <v>120</v>
      </c>
      <c r="G176" s="30" t="str">
        <f>VLOOKUP(C176,dish_base!$B$4:$M$94,12,FALSE)</f>
        <v>55,100</v>
      </c>
      <c r="H176" s="1" t="s">
        <v>213</v>
      </c>
    </row>
    <row r="177" spans="2:8">
      <c r="B177" s="1" t="str">
        <f t="shared" si="3"/>
        <v>wafflet_rust</v>
      </c>
      <c r="C177" s="1" t="s">
        <v>135</v>
      </c>
      <c r="D177" s="1" t="s">
        <v>216</v>
      </c>
      <c r="E177" s="1">
        <v>100</v>
      </c>
      <c r="F177" s="1">
        <f>VLOOKUP(C177,dish_base!$B$4:$O$94,14,FALSE)</f>
        <v>120</v>
      </c>
      <c r="G177" s="30" t="str">
        <f>VLOOKUP(C177,dish_base!$B$4:$M$94,12,FALSE)</f>
        <v>55,100</v>
      </c>
      <c r="H177" s="1" t="s">
        <v>213</v>
      </c>
    </row>
    <row r="178" spans="2:8">
      <c r="B178" s="1" t="str">
        <f t="shared" si="3"/>
        <v>dorayakit_rust</v>
      </c>
      <c r="C178" s="1" t="s">
        <v>138</v>
      </c>
      <c r="D178" s="1" t="s">
        <v>216</v>
      </c>
      <c r="E178" s="1">
        <v>100</v>
      </c>
      <c r="F178" s="1">
        <f>VLOOKUP(C178,dish_base!$B$4:$O$94,14,FALSE)</f>
        <v>120</v>
      </c>
      <c r="G178" s="30" t="str">
        <f>VLOOKUP(C178,dish_base!$B$4:$M$94,12,FALSE)</f>
        <v>55,100</v>
      </c>
      <c r="H178" s="1" t="s">
        <v>213</v>
      </c>
    </row>
    <row r="179" spans="2:8">
      <c r="B179" s="1" t="str">
        <f t="shared" si="3"/>
        <v>cream_caket_rust</v>
      </c>
      <c r="C179" s="1" t="s">
        <v>141</v>
      </c>
      <c r="D179" s="1" t="s">
        <v>216</v>
      </c>
      <c r="E179" s="1">
        <v>100</v>
      </c>
      <c r="F179" s="1">
        <f>VLOOKUP(C179,dish_base!$B$4:$O$94,14,FALSE)</f>
        <v>120</v>
      </c>
      <c r="G179" s="30" t="str">
        <f>VLOOKUP(C179,dish_base!$B$4:$M$94,12,FALSE)</f>
        <v>55,100</v>
      </c>
      <c r="H179" s="1" t="s">
        <v>213</v>
      </c>
    </row>
    <row r="180" spans="2:8">
      <c r="B180" s="1" t="str">
        <f t="shared" si="3"/>
        <v>donutt_rust</v>
      </c>
      <c r="C180" s="1" t="s">
        <v>144</v>
      </c>
      <c r="D180" s="1" t="s">
        <v>216</v>
      </c>
      <c r="E180" s="1">
        <v>100</v>
      </c>
      <c r="F180" s="1">
        <f>VLOOKUP(C180,dish_base!$B$4:$O$94,14,FALSE)</f>
        <v>120</v>
      </c>
      <c r="G180" s="30" t="str">
        <f>VLOOKUP(C180,dish_base!$B$4:$M$94,12,FALSE)</f>
        <v>55,100</v>
      </c>
      <c r="H180" s="1" t="s">
        <v>213</v>
      </c>
    </row>
    <row r="181" spans="2:8">
      <c r="B181" s="1" t="str">
        <f t="shared" si="3"/>
        <v>pengtangt_rust</v>
      </c>
      <c r="C181" s="1" t="s">
        <v>147</v>
      </c>
      <c r="D181" s="1" t="s">
        <v>216</v>
      </c>
      <c r="E181" s="1">
        <v>100</v>
      </c>
      <c r="F181" s="1">
        <f>VLOOKUP(C181,dish_base!$B$4:$O$94,14,FALSE)</f>
        <v>120</v>
      </c>
      <c r="G181" s="30" t="str">
        <f>VLOOKUP(C181,dish_base!$B$4:$M$94,12,FALSE)</f>
        <v>55,100</v>
      </c>
      <c r="H181" s="1" t="s">
        <v>213</v>
      </c>
    </row>
    <row r="182" spans="2:8">
      <c r="B182" s="1" t="str">
        <f t="shared" si="3"/>
        <v>parfaitt_rust</v>
      </c>
      <c r="C182" s="1" t="s">
        <v>150</v>
      </c>
      <c r="D182" s="1" t="s">
        <v>216</v>
      </c>
      <c r="E182" s="1">
        <v>100</v>
      </c>
      <c r="F182" s="1">
        <f>VLOOKUP(C182,dish_base!$B$4:$O$94,14,FALSE)</f>
        <v>160</v>
      </c>
      <c r="G182" s="30" t="str">
        <f>VLOOKUP(C182,dish_base!$B$4:$M$94,12,FALSE)</f>
        <v>70,120</v>
      </c>
      <c r="H182" s="1" t="s">
        <v>213</v>
      </c>
    </row>
    <row r="183" spans="2:8">
      <c r="B183" s="1" t="str">
        <f t="shared" si="3"/>
        <v>sundae_bigt_rust</v>
      </c>
      <c r="C183" s="1" t="s">
        <v>153</v>
      </c>
      <c r="D183" s="1" t="s">
        <v>216</v>
      </c>
      <c r="E183" s="1">
        <v>100</v>
      </c>
      <c r="F183" s="1">
        <f>VLOOKUP(C183,dish_base!$B$4:$O$94,14,FALSE)</f>
        <v>160</v>
      </c>
      <c r="G183" s="30" t="str">
        <f>VLOOKUP(C183,dish_base!$B$4:$M$94,12,FALSE)</f>
        <v>70,120</v>
      </c>
      <c r="H183" s="1" t="s">
        <v>213</v>
      </c>
    </row>
    <row r="184" spans="2:8">
      <c r="B184" s="1" t="str">
        <f t="shared" si="3"/>
        <v>swiss_rollt_rust</v>
      </c>
      <c r="C184" s="1" t="s">
        <v>156</v>
      </c>
      <c r="D184" s="1" t="s">
        <v>216</v>
      </c>
      <c r="E184" s="1">
        <v>100</v>
      </c>
      <c r="F184" s="1">
        <f>VLOOKUP(C184,dish_base!$B$4:$O$94,14,FALSE)</f>
        <v>160</v>
      </c>
      <c r="G184" s="30" t="str">
        <f>VLOOKUP(C184,dish_base!$B$4:$M$94,12,FALSE)</f>
        <v>70,120</v>
      </c>
      <c r="H184" s="1" t="s">
        <v>213</v>
      </c>
    </row>
    <row r="185" spans="2:8">
      <c r="B185" s="1" t="str">
        <f t="shared" si="3"/>
        <v>mango_sagot_rust</v>
      </c>
      <c r="C185" s="1" t="s">
        <v>159</v>
      </c>
      <c r="D185" s="1" t="s">
        <v>216</v>
      </c>
      <c r="E185" s="1">
        <v>100</v>
      </c>
      <c r="F185" s="1">
        <f>VLOOKUP(C185,dish_base!$B$4:$O$94,14,FALSE)</f>
        <v>160</v>
      </c>
      <c r="G185" s="30" t="str">
        <f>VLOOKUP(C185,dish_base!$B$4:$M$94,12,FALSE)</f>
        <v>70,120</v>
      </c>
      <c r="H185" s="1" t="s">
        <v>213</v>
      </c>
    </row>
    <row r="186" spans="2:8">
      <c r="B186" s="1" t="str">
        <f t="shared" si="3"/>
        <v>chiffiont_rust</v>
      </c>
      <c r="C186" s="1" t="s">
        <v>162</v>
      </c>
      <c r="D186" s="1" t="s">
        <v>216</v>
      </c>
      <c r="E186" s="1">
        <v>100</v>
      </c>
      <c r="F186" s="1">
        <f>VLOOKUP(C186,dish_base!$B$4:$O$94,14,FALSE)</f>
        <v>160</v>
      </c>
      <c r="G186" s="30" t="str">
        <f>VLOOKUP(C186,dish_base!$B$4:$M$94,12,FALSE)</f>
        <v>70,120</v>
      </c>
      <c r="H186" s="1" t="s">
        <v>213</v>
      </c>
    </row>
    <row r="187" spans="2:8">
      <c r="B187" s="1" t="str">
        <f t="shared" si="3"/>
        <v>apple_piet_rust</v>
      </c>
      <c r="C187" s="1" t="s">
        <v>165</v>
      </c>
      <c r="D187" s="1" t="s">
        <v>216</v>
      </c>
      <c r="E187" s="1">
        <v>100</v>
      </c>
      <c r="F187" s="1">
        <f>VLOOKUP(C187,dish_base!$B$4:$O$94,14,FALSE)</f>
        <v>160</v>
      </c>
      <c r="G187" s="30" t="str">
        <f>VLOOKUP(C187,dish_base!$B$4:$M$94,12,FALSE)</f>
        <v>70,120</v>
      </c>
      <c r="H187" s="1" t="s">
        <v>213</v>
      </c>
    </row>
    <row r="188" spans="2:8">
      <c r="B188" s="1" t="str">
        <f t="shared" si="3"/>
        <v>fruit_caket_rust</v>
      </c>
      <c r="C188" s="1" t="s">
        <v>168</v>
      </c>
      <c r="D188" s="1" t="s">
        <v>216</v>
      </c>
      <c r="E188" s="1">
        <v>100</v>
      </c>
      <c r="F188" s="1">
        <f>VLOOKUP(C188,dish_base!$B$4:$O$94,14,FALSE)</f>
        <v>160</v>
      </c>
      <c r="G188" s="30" t="str">
        <f>VLOOKUP(C188,dish_base!$B$4:$M$94,12,FALSE)</f>
        <v>70,120</v>
      </c>
      <c r="H188" s="1" t="s">
        <v>213</v>
      </c>
    </row>
    <row r="189" spans="2:8">
      <c r="B189" s="1" t="str">
        <f t="shared" si="3"/>
        <v>chocolatet_rust</v>
      </c>
      <c r="C189" s="1" t="s">
        <v>171</v>
      </c>
      <c r="D189" s="1" t="s">
        <v>216</v>
      </c>
      <c r="E189" s="1">
        <v>100</v>
      </c>
      <c r="F189" s="1">
        <f>VLOOKUP(C189,dish_base!$B$4:$O$94,14,FALSE)</f>
        <v>160</v>
      </c>
      <c r="G189" s="30" t="str">
        <f>VLOOKUP(C189,dish_base!$B$4:$M$94,12,FALSE)</f>
        <v>70,120</v>
      </c>
      <c r="H189" s="1" t="s">
        <v>213</v>
      </c>
    </row>
    <row r="190" spans="2:8">
      <c r="B190" s="1" t="str">
        <f t="shared" si="3"/>
        <v>croissantt_rust</v>
      </c>
      <c r="C190" s="1" t="s">
        <v>174</v>
      </c>
      <c r="D190" s="1" t="s">
        <v>216</v>
      </c>
      <c r="E190" s="1">
        <v>100</v>
      </c>
      <c r="F190" s="1">
        <f>VLOOKUP(C190,dish_base!$B$4:$O$94,14,FALSE)</f>
        <v>100</v>
      </c>
      <c r="G190" s="30" t="str">
        <f>VLOOKUP(C190,dish_base!$B$4:$M$94,12,FALSE)</f>
        <v>50,90</v>
      </c>
      <c r="H190" s="1" t="s">
        <v>213</v>
      </c>
    </row>
    <row r="191" spans="2:8">
      <c r="B191" s="1" t="str">
        <f t="shared" si="3"/>
        <v>palmiert_rust</v>
      </c>
      <c r="C191" s="1" t="s">
        <v>178</v>
      </c>
      <c r="D191" s="1" t="s">
        <v>216</v>
      </c>
      <c r="E191" s="1">
        <v>100</v>
      </c>
      <c r="F191" s="1">
        <f>VLOOKUP(C191,dish_base!$B$4:$O$94,14,FALSE)</f>
        <v>100</v>
      </c>
      <c r="G191" s="30" t="str">
        <f>VLOOKUP(C191,dish_base!$B$4:$M$94,12,FALSE)</f>
        <v>50,90</v>
      </c>
      <c r="H191" s="1" t="s">
        <v>213</v>
      </c>
    </row>
    <row r="192" spans="2:8">
      <c r="B192" s="1" t="str">
        <f t="shared" si="3"/>
        <v>candycanet_rust</v>
      </c>
      <c r="C192" s="1" t="s">
        <v>182</v>
      </c>
      <c r="D192" s="1" t="s">
        <v>216</v>
      </c>
      <c r="E192" s="1">
        <v>100</v>
      </c>
      <c r="F192" s="1">
        <f>VLOOKUP(C192,dish_base!$B$4:$O$94,14,FALSE)</f>
        <v>120</v>
      </c>
      <c r="G192" s="1" t="str">
        <f>VLOOKUP(C192,dish_base!$B$4:$M$94,12,FALSE)</f>
        <v>55,100</v>
      </c>
      <c r="H192" s="1" t="s">
        <v>213</v>
      </c>
    </row>
    <row r="193" spans="2:8">
      <c r="B193" s="1" t="str">
        <f t="shared" si="3"/>
        <v>big_lollipopt_rust</v>
      </c>
      <c r="C193" s="1" t="s">
        <v>185</v>
      </c>
      <c r="D193" s="1" t="s">
        <v>216</v>
      </c>
      <c r="E193" s="1">
        <v>100</v>
      </c>
      <c r="F193" s="1">
        <f>VLOOKUP(C193,dish_base!$B$4:$O$94,14,FALSE)</f>
        <v>270</v>
      </c>
      <c r="G193" s="1" t="str">
        <f>VLOOKUP(C193,dish_base!$B$4:$M$94,12,FALSE)</f>
        <v>80,130</v>
      </c>
      <c r="H193" s="1" t="s">
        <v>213</v>
      </c>
    </row>
    <row r="194" spans="2:8">
      <c r="B194" s="1" t="str">
        <f t="shared" si="3"/>
        <v>marshmallowt_rust</v>
      </c>
      <c r="C194" s="1" t="s">
        <v>189</v>
      </c>
      <c r="D194" s="1" t="s">
        <v>216</v>
      </c>
      <c r="E194" s="1">
        <v>100</v>
      </c>
      <c r="F194" s="1">
        <f>VLOOKUP(C194,dish_base!$B$4:$O$94,14,FALSE)</f>
        <v>220</v>
      </c>
      <c r="G194" s="1" t="str">
        <f>VLOOKUP(C194,dish_base!$B$4:$M$94,12,FALSE)</f>
        <v>80,130</v>
      </c>
      <c r="H194" s="1" t="s">
        <v>213</v>
      </c>
    </row>
    <row r="195" spans="2:8">
      <c r="B195" s="1" t="str">
        <f t="shared" si="3"/>
        <v>double_caket_rust</v>
      </c>
      <c r="C195" s="1" t="s">
        <v>192</v>
      </c>
      <c r="D195" s="1" t="s">
        <v>216</v>
      </c>
      <c r="E195" s="1">
        <v>100</v>
      </c>
      <c r="F195" s="1">
        <f>VLOOKUP(C195,dish_base!$B$4:$O$94,14,FALSE)</f>
        <v>370</v>
      </c>
      <c r="G195" s="1" t="str">
        <f>VLOOKUP(C195,dish_base!$B$4:$M$94,12,FALSE)</f>
        <v>80,130</v>
      </c>
      <c r="H195" s="1" t="s">
        <v>213</v>
      </c>
    </row>
    <row r="196" spans="2:8">
      <c r="B196" s="1" t="str">
        <f t="shared" si="3"/>
        <v>cookiet_numb</v>
      </c>
      <c r="C196" s="28" t="s">
        <v>23</v>
      </c>
      <c r="D196" s="1" t="s">
        <v>217</v>
      </c>
      <c r="E196" s="1">
        <v>100</v>
      </c>
      <c r="F196" s="1">
        <f>VLOOKUP(C196,dish_base!$B$4:$O$94,14,FALSE)</f>
        <v>60</v>
      </c>
      <c r="G196" s="1" t="str">
        <f>VLOOKUP(C196,dish_base!$B$4:$M$94,12,FALSE)</f>
        <v>40,80</v>
      </c>
      <c r="H196" s="1" t="s">
        <v>213</v>
      </c>
    </row>
    <row r="197" spans="2:8">
      <c r="B197" s="1" t="str">
        <f t="shared" si="3"/>
        <v>macaront_numb</v>
      </c>
      <c r="C197" s="28" t="s">
        <v>29</v>
      </c>
      <c r="D197" s="1" t="s">
        <v>217</v>
      </c>
      <c r="E197" s="1">
        <v>100</v>
      </c>
      <c r="F197" s="1">
        <f>VLOOKUP(C197,dish_base!$B$4:$O$94,14,FALSE)</f>
        <v>60</v>
      </c>
      <c r="G197" s="1" t="str">
        <f>VLOOKUP(C197,dish_base!$B$4:$M$94,12,FALSE)</f>
        <v>40,80</v>
      </c>
      <c r="H197" s="1" t="s">
        <v>213</v>
      </c>
    </row>
    <row r="198" spans="2:8">
      <c r="B198" s="1" t="str">
        <f t="shared" ref="B198:B261" si="4">C198&amp;D198</f>
        <v>puddingt_numb</v>
      </c>
      <c r="C198" s="29" t="s">
        <v>32</v>
      </c>
      <c r="D198" s="1" t="s">
        <v>217</v>
      </c>
      <c r="E198" s="1">
        <v>100</v>
      </c>
      <c r="F198" s="1">
        <f>VLOOKUP(C198,dish_base!$B$4:$O$94,14,FALSE)</f>
        <v>60</v>
      </c>
      <c r="G198" s="1" t="str">
        <f>VLOOKUP(C198,dish_base!$B$4:$M$94,12,FALSE)</f>
        <v>40,80</v>
      </c>
      <c r="H198" s="1" t="s">
        <v>213</v>
      </c>
    </row>
    <row r="199" spans="2:8">
      <c r="B199" s="1" t="str">
        <f t="shared" si="4"/>
        <v>pufft_numb</v>
      </c>
      <c r="C199" s="29" t="s">
        <v>35</v>
      </c>
      <c r="D199" s="1" t="s">
        <v>217</v>
      </c>
      <c r="E199" s="1">
        <v>100</v>
      </c>
      <c r="F199" s="1">
        <f>VLOOKUP(C199,dish_base!$B$4:$O$94,14,FALSE)</f>
        <v>60</v>
      </c>
      <c r="G199" s="1" t="str">
        <f>VLOOKUP(C199,dish_base!$B$4:$M$94,12,FALSE)</f>
        <v>40,80</v>
      </c>
      <c r="H199" s="1" t="s">
        <v>213</v>
      </c>
    </row>
    <row r="200" spans="2:8">
      <c r="B200" s="1" t="str">
        <f t="shared" si="4"/>
        <v>eggtartt_numb</v>
      </c>
      <c r="C200" s="29" t="s">
        <v>38</v>
      </c>
      <c r="D200" s="1" t="s">
        <v>217</v>
      </c>
      <c r="E200" s="1">
        <v>100</v>
      </c>
      <c r="F200" s="1">
        <f>VLOOKUP(C200,dish_base!$B$4:$O$94,14,FALSE)</f>
        <v>60</v>
      </c>
      <c r="G200" s="1" t="str">
        <f>VLOOKUP(C200,dish_base!$B$4:$M$94,12,FALSE)</f>
        <v>40,80</v>
      </c>
      <c r="H200" s="1" t="s">
        <v>213</v>
      </c>
    </row>
    <row r="201" spans="2:8">
      <c r="B201" s="1" t="str">
        <f t="shared" si="4"/>
        <v>mochit_numb</v>
      </c>
      <c r="C201" s="29" t="s">
        <v>41</v>
      </c>
      <c r="D201" s="1" t="s">
        <v>217</v>
      </c>
      <c r="E201" s="1">
        <v>100</v>
      </c>
      <c r="F201" s="1">
        <f>VLOOKUP(C201,dish_base!$B$4:$O$94,14,FALSE)</f>
        <v>60</v>
      </c>
      <c r="G201" s="1" t="str">
        <f>VLOOKUP(C201,dish_base!$B$4:$M$94,12,FALSE)</f>
        <v>40,80</v>
      </c>
      <c r="H201" s="1" t="s">
        <v>213</v>
      </c>
    </row>
    <row r="202" spans="2:8">
      <c r="B202" s="1" t="str">
        <f t="shared" si="4"/>
        <v>daifukut_numb</v>
      </c>
      <c r="C202" s="29" t="s">
        <v>44</v>
      </c>
      <c r="D202" s="1" t="s">
        <v>217</v>
      </c>
      <c r="E202" s="1">
        <v>100</v>
      </c>
      <c r="F202" s="1">
        <f>VLOOKUP(C202,dish_base!$B$4:$O$94,14,FALSE)</f>
        <v>60</v>
      </c>
      <c r="G202" s="1" t="str">
        <f>VLOOKUP(C202,dish_base!$B$4:$M$94,12,FALSE)</f>
        <v>40,80</v>
      </c>
      <c r="H202" s="1" t="s">
        <v>213</v>
      </c>
    </row>
    <row r="203" spans="2:8">
      <c r="B203" s="1" t="str">
        <f t="shared" si="4"/>
        <v>choco_candyt_numb</v>
      </c>
      <c r="C203" s="29" t="s">
        <v>47</v>
      </c>
      <c r="D203" s="1" t="s">
        <v>217</v>
      </c>
      <c r="E203" s="1">
        <v>100</v>
      </c>
      <c r="F203" s="1">
        <f>VLOOKUP(C203,dish_base!$B$4:$O$94,14,FALSE)</f>
        <v>60</v>
      </c>
      <c r="G203" s="1" t="str">
        <f>VLOOKUP(C203,dish_base!$B$4:$M$94,12,FALSE)</f>
        <v>40,80</v>
      </c>
      <c r="H203" s="1" t="s">
        <v>213</v>
      </c>
    </row>
    <row r="204" spans="2:8">
      <c r="B204" s="1" t="str">
        <f t="shared" si="4"/>
        <v>jellyt_numb</v>
      </c>
      <c r="C204" s="29" t="s">
        <v>50</v>
      </c>
      <c r="D204" s="1" t="s">
        <v>217</v>
      </c>
      <c r="E204" s="1">
        <v>100</v>
      </c>
      <c r="F204" s="1">
        <f>VLOOKUP(C204,dish_base!$B$4:$O$94,14,FALSE)</f>
        <v>60</v>
      </c>
      <c r="G204" s="1" t="str">
        <f>VLOOKUP(C204,dish_base!$B$4:$M$94,12,FALSE)</f>
        <v>40,80</v>
      </c>
      <c r="H204" s="1" t="s">
        <v>213</v>
      </c>
    </row>
    <row r="205" spans="2:8">
      <c r="B205" s="1" t="str">
        <f t="shared" si="4"/>
        <v>cream_cellt_numb</v>
      </c>
      <c r="C205" s="29" t="s">
        <v>54</v>
      </c>
      <c r="D205" s="1" t="s">
        <v>217</v>
      </c>
      <c r="E205" s="1">
        <v>100</v>
      </c>
      <c r="F205" s="1">
        <f>VLOOKUP(C205,dish_base!$B$4:$O$94,14,FALSE)</f>
        <v>60</v>
      </c>
      <c r="G205" s="1" t="str">
        <f>VLOOKUP(C205,dish_base!$B$4:$M$94,12,FALSE)</f>
        <v>40,80</v>
      </c>
      <c r="H205" s="1" t="s">
        <v>213</v>
      </c>
    </row>
    <row r="206" spans="2:8">
      <c r="B206" s="1" t="str">
        <f t="shared" si="4"/>
        <v>sugarbeant_numb</v>
      </c>
      <c r="C206" s="29" t="s">
        <v>58</v>
      </c>
      <c r="D206" s="1" t="s">
        <v>217</v>
      </c>
      <c r="E206" s="1">
        <v>100</v>
      </c>
      <c r="F206" s="1">
        <f>VLOOKUP(C206,dish_base!$B$4:$O$94,14,FALSE)</f>
        <v>60</v>
      </c>
      <c r="G206" s="1" t="str">
        <f>VLOOKUP(C206,dish_base!$B$4:$M$94,12,FALSE)</f>
        <v>40,80</v>
      </c>
      <c r="H206" s="1" t="s">
        <v>213</v>
      </c>
    </row>
    <row r="207" spans="2:8">
      <c r="B207" s="1" t="str">
        <f t="shared" si="4"/>
        <v>gold_chocot_numb</v>
      </c>
      <c r="C207" s="29" t="s">
        <v>62</v>
      </c>
      <c r="D207" s="1" t="s">
        <v>217</v>
      </c>
      <c r="E207" s="1">
        <v>100</v>
      </c>
      <c r="F207" s="1">
        <f>VLOOKUP(C207,dish_base!$B$4:$O$94,14,FALSE)</f>
        <v>60</v>
      </c>
      <c r="G207" s="1" t="str">
        <f>VLOOKUP(C207,dish_base!$B$4:$M$94,12,FALSE)</f>
        <v>40,80</v>
      </c>
      <c r="H207" s="1" t="s">
        <v>213</v>
      </c>
    </row>
    <row r="208" spans="2:8">
      <c r="B208" s="1" t="str">
        <f t="shared" si="4"/>
        <v>milk_slicet_numb</v>
      </c>
      <c r="C208" s="29" t="s">
        <v>66</v>
      </c>
      <c r="D208" s="1" t="s">
        <v>217</v>
      </c>
      <c r="E208" s="1">
        <v>100</v>
      </c>
      <c r="F208" s="1">
        <f>VLOOKUP(C208,dish_base!$B$4:$O$94,14,FALSE)</f>
        <v>60</v>
      </c>
      <c r="G208" s="1" t="str">
        <f>VLOOKUP(C208,dish_base!$B$4:$M$94,12,FALSE)</f>
        <v>40,80</v>
      </c>
      <c r="H208" s="1" t="s">
        <v>213</v>
      </c>
    </row>
    <row r="209" spans="2:8">
      <c r="B209" s="1" t="str">
        <f t="shared" si="4"/>
        <v>sundaet_numb</v>
      </c>
      <c r="C209" s="29" t="s">
        <v>70</v>
      </c>
      <c r="D209" s="1" t="s">
        <v>217</v>
      </c>
      <c r="E209" s="1">
        <v>100</v>
      </c>
      <c r="F209" s="1">
        <f>VLOOKUP(C209,dish_base!$B$4:$O$94,14,FALSE)</f>
        <v>80</v>
      </c>
      <c r="G209" s="1" t="str">
        <f>VLOOKUP(C209,dish_base!$B$4:$M$94,12,FALSE)</f>
        <v>45,80</v>
      </c>
      <c r="H209" s="1" t="s">
        <v>213</v>
      </c>
    </row>
    <row r="210" spans="2:8">
      <c r="B210" s="1" t="str">
        <f t="shared" si="4"/>
        <v>conet_numb</v>
      </c>
      <c r="C210" s="29" t="s">
        <v>74</v>
      </c>
      <c r="D210" s="1" t="s">
        <v>217</v>
      </c>
      <c r="E210" s="1">
        <v>100</v>
      </c>
      <c r="F210" s="1">
        <f>VLOOKUP(C210,dish_base!$B$4:$O$94,14,FALSE)</f>
        <v>80</v>
      </c>
      <c r="G210" s="1" t="str">
        <f>VLOOKUP(C210,dish_base!$B$4:$M$94,12,FALSE)</f>
        <v>45,80</v>
      </c>
      <c r="H210" s="1" t="s">
        <v>213</v>
      </c>
    </row>
    <row r="211" spans="2:8">
      <c r="B211" s="1" t="str">
        <f t="shared" si="4"/>
        <v>lollipopt_numb</v>
      </c>
      <c r="C211" s="29" t="s">
        <v>77</v>
      </c>
      <c r="D211" s="1" t="s">
        <v>217</v>
      </c>
      <c r="E211" s="1">
        <v>100</v>
      </c>
      <c r="F211" s="1">
        <f>VLOOKUP(C211,dish_base!$B$4:$O$94,14,FALSE)</f>
        <v>80</v>
      </c>
      <c r="G211" s="1" t="str">
        <f>VLOOKUP(C211,dish_base!$B$4:$M$94,12,FALSE)</f>
        <v>45,80</v>
      </c>
      <c r="H211" s="1" t="s">
        <v>213</v>
      </c>
    </row>
    <row r="212" spans="2:8">
      <c r="B212" s="1" t="str">
        <f t="shared" si="4"/>
        <v>gummyt_numb</v>
      </c>
      <c r="C212" s="29" t="s">
        <v>80</v>
      </c>
      <c r="D212" s="1" t="s">
        <v>217</v>
      </c>
      <c r="E212" s="1">
        <v>100</v>
      </c>
      <c r="F212" s="1">
        <f>VLOOKUP(C212,dish_base!$B$4:$O$94,14,FALSE)</f>
        <v>80</v>
      </c>
      <c r="G212" s="1" t="str">
        <f>VLOOKUP(C212,dish_base!$B$4:$M$94,12,FALSE)</f>
        <v>45,80</v>
      </c>
      <c r="H212" s="1" t="s">
        <v>213</v>
      </c>
    </row>
    <row r="213" spans="2:8">
      <c r="B213" s="1" t="str">
        <f t="shared" si="4"/>
        <v>cupcaket_numb</v>
      </c>
      <c r="C213" s="29" t="s">
        <v>83</v>
      </c>
      <c r="D213" s="1" t="s">
        <v>217</v>
      </c>
      <c r="E213" s="1">
        <v>100</v>
      </c>
      <c r="F213" s="1">
        <f>VLOOKUP(C213,dish_base!$B$4:$O$94,14,FALSE)</f>
        <v>80</v>
      </c>
      <c r="G213" s="1" t="str">
        <f>VLOOKUP(C213,dish_base!$B$4:$M$94,12,FALSE)</f>
        <v>45,80</v>
      </c>
      <c r="H213" s="1" t="s">
        <v>213</v>
      </c>
    </row>
    <row r="214" spans="2:8">
      <c r="B214" s="1" t="str">
        <f t="shared" si="4"/>
        <v>mousset_numb</v>
      </c>
      <c r="C214" s="29" t="s">
        <v>87</v>
      </c>
      <c r="D214" s="1" t="s">
        <v>217</v>
      </c>
      <c r="E214" s="1">
        <v>100</v>
      </c>
      <c r="F214" s="1">
        <f>VLOOKUP(C214,dish_base!$B$4:$O$94,14,FALSE)</f>
        <v>80</v>
      </c>
      <c r="G214" s="1" t="str">
        <f>VLOOKUP(C214,dish_base!$B$4:$M$94,12,FALSE)</f>
        <v>45,80</v>
      </c>
      <c r="H214" s="1" t="s">
        <v>213</v>
      </c>
    </row>
    <row r="215" spans="2:8">
      <c r="B215" s="1" t="str">
        <f t="shared" si="4"/>
        <v>toffeet_numb</v>
      </c>
      <c r="C215" s="29" t="s">
        <v>94</v>
      </c>
      <c r="D215" s="1" t="s">
        <v>217</v>
      </c>
      <c r="E215" s="1">
        <v>100</v>
      </c>
      <c r="F215" s="1">
        <f>VLOOKUP(C215,dish_base!$B$4:$O$94,14,FALSE)</f>
        <v>80</v>
      </c>
      <c r="G215" s="1" t="str">
        <f>VLOOKUP(C215,dish_base!$B$4:$M$94,12,FALSE)</f>
        <v>45,80</v>
      </c>
      <c r="H215" s="1" t="s">
        <v>213</v>
      </c>
    </row>
    <row r="216" spans="2:8">
      <c r="B216" s="1" t="str">
        <f t="shared" si="4"/>
        <v>nougatt_numb</v>
      </c>
      <c r="C216" s="29" t="s">
        <v>101</v>
      </c>
      <c r="D216" s="1" t="s">
        <v>217</v>
      </c>
      <c r="E216" s="1">
        <v>100</v>
      </c>
      <c r="F216" s="1">
        <f>VLOOKUP(C216,dish_base!$B$4:$O$94,14,FALSE)</f>
        <v>80</v>
      </c>
      <c r="G216" s="30" t="str">
        <f>VLOOKUP(C216,dish_base!$B$4:$M$94,12,FALSE)</f>
        <v>45,80</v>
      </c>
      <c r="H216" s="1" t="s">
        <v>213</v>
      </c>
    </row>
    <row r="217" spans="2:8">
      <c r="B217" s="1" t="str">
        <f t="shared" si="4"/>
        <v>eggrollt_numb</v>
      </c>
      <c r="C217" s="29" t="s">
        <v>108</v>
      </c>
      <c r="D217" s="1" t="s">
        <v>217</v>
      </c>
      <c r="E217" s="1">
        <v>100</v>
      </c>
      <c r="F217" s="1">
        <f>VLOOKUP(C217,dish_base!$B$4:$O$94,14,FALSE)</f>
        <v>100</v>
      </c>
      <c r="G217" s="30" t="str">
        <f>VLOOKUP(C217,dish_base!$B$4:$M$94,12,FALSE)</f>
        <v>50,90</v>
      </c>
      <c r="H217" s="1" t="s">
        <v>213</v>
      </c>
    </row>
    <row r="218" spans="2:8">
      <c r="B218" s="1" t="str">
        <f t="shared" si="4"/>
        <v>choco_bart_numb</v>
      </c>
      <c r="C218" s="28" t="s">
        <v>114</v>
      </c>
      <c r="D218" s="1" t="s">
        <v>217</v>
      </c>
      <c r="E218" s="1">
        <v>100</v>
      </c>
      <c r="F218" s="1">
        <f>VLOOKUP(C218,dish_base!$B$4:$O$94,14,FALSE)</f>
        <v>100</v>
      </c>
      <c r="G218" s="30" t="str">
        <f>VLOOKUP(C218,dish_base!$B$4:$M$94,12,FALSE)</f>
        <v>50,90</v>
      </c>
      <c r="H218" s="1" t="s">
        <v>213</v>
      </c>
    </row>
    <row r="219" spans="2:8">
      <c r="B219" s="1" t="str">
        <f t="shared" si="4"/>
        <v>eclairt_numb</v>
      </c>
      <c r="C219" s="29" t="s">
        <v>117</v>
      </c>
      <c r="D219" s="1" t="s">
        <v>217</v>
      </c>
      <c r="E219" s="1">
        <v>100</v>
      </c>
      <c r="F219" s="1">
        <f>VLOOKUP(C219,dish_base!$B$4:$O$94,14,FALSE)</f>
        <v>100</v>
      </c>
      <c r="G219" s="30" t="str">
        <f>VLOOKUP(C219,dish_base!$B$4:$M$94,12,FALSE)</f>
        <v>50,90</v>
      </c>
      <c r="H219" s="1" t="s">
        <v>213</v>
      </c>
    </row>
    <row r="220" spans="2:8">
      <c r="B220" s="1" t="str">
        <f t="shared" si="4"/>
        <v>tanghulut_numb</v>
      </c>
      <c r="C220" s="29" t="s">
        <v>120</v>
      </c>
      <c r="D220" s="1" t="s">
        <v>217</v>
      </c>
      <c r="E220" s="1">
        <v>100</v>
      </c>
      <c r="F220" s="1">
        <f>VLOOKUP(C220,dish_base!$B$4:$O$94,14,FALSE)</f>
        <v>100</v>
      </c>
      <c r="G220" s="30" t="str">
        <f>VLOOKUP(C220,dish_base!$B$4:$M$94,12,FALSE)</f>
        <v>50,90</v>
      </c>
      <c r="H220" s="1" t="s">
        <v>213</v>
      </c>
    </row>
    <row r="221" spans="2:8">
      <c r="B221" s="1" t="str">
        <f t="shared" si="4"/>
        <v>soufflet_numb</v>
      </c>
      <c r="C221" s="1" t="s">
        <v>123</v>
      </c>
      <c r="D221" s="1" t="s">
        <v>217</v>
      </c>
      <c r="E221" s="1">
        <v>100</v>
      </c>
      <c r="F221" s="1">
        <f>VLOOKUP(C221,dish_base!$B$4:$O$94,14,FALSE)</f>
        <v>120</v>
      </c>
      <c r="G221" s="30" t="str">
        <f>VLOOKUP(C221,dish_base!$B$4:$M$94,12,FALSE)</f>
        <v>55,100</v>
      </c>
      <c r="H221" s="1" t="s">
        <v>213</v>
      </c>
    </row>
    <row r="222" spans="2:8">
      <c r="B222" s="1" t="str">
        <f t="shared" si="4"/>
        <v>maple_sugart_numb</v>
      </c>
      <c r="C222" s="1" t="s">
        <v>126</v>
      </c>
      <c r="D222" s="1" t="s">
        <v>217</v>
      </c>
      <c r="E222" s="1">
        <v>100</v>
      </c>
      <c r="F222" s="1">
        <f>VLOOKUP(C222,dish_base!$B$4:$O$94,14,FALSE)</f>
        <v>120</v>
      </c>
      <c r="G222" s="30" t="str">
        <f>VLOOKUP(C222,dish_base!$B$4:$M$94,12,FALSE)</f>
        <v>55,100</v>
      </c>
      <c r="H222" s="1" t="s">
        <v>213</v>
      </c>
    </row>
    <row r="223" spans="2:8">
      <c r="B223" s="1" t="str">
        <f t="shared" si="4"/>
        <v>taosut_numb</v>
      </c>
      <c r="C223" s="1" t="s">
        <v>129</v>
      </c>
      <c r="D223" s="1" t="s">
        <v>217</v>
      </c>
      <c r="E223" s="1">
        <v>100</v>
      </c>
      <c r="F223" s="1">
        <f>VLOOKUP(C223,dish_base!$B$4:$O$94,14,FALSE)</f>
        <v>120</v>
      </c>
      <c r="G223" s="30" t="str">
        <f>VLOOKUP(C223,dish_base!$B$4:$M$94,12,FALSE)</f>
        <v>55,100</v>
      </c>
      <c r="H223" s="1" t="s">
        <v>213</v>
      </c>
    </row>
    <row r="224" spans="2:8">
      <c r="B224" s="1" t="str">
        <f t="shared" si="4"/>
        <v>mooncaket_numb</v>
      </c>
      <c r="C224" s="1" t="s">
        <v>132</v>
      </c>
      <c r="D224" s="1" t="s">
        <v>217</v>
      </c>
      <c r="E224" s="1">
        <v>100</v>
      </c>
      <c r="F224" s="1">
        <f>VLOOKUP(C224,dish_base!$B$4:$O$94,14,FALSE)</f>
        <v>120</v>
      </c>
      <c r="G224" s="30" t="str">
        <f>VLOOKUP(C224,dish_base!$B$4:$M$94,12,FALSE)</f>
        <v>55,100</v>
      </c>
      <c r="H224" s="1" t="s">
        <v>213</v>
      </c>
    </row>
    <row r="225" spans="2:8">
      <c r="B225" s="1" t="str">
        <f t="shared" si="4"/>
        <v>wafflet_numb</v>
      </c>
      <c r="C225" s="1" t="s">
        <v>135</v>
      </c>
      <c r="D225" s="1" t="s">
        <v>217</v>
      </c>
      <c r="E225" s="1">
        <v>100</v>
      </c>
      <c r="F225" s="1">
        <f>VLOOKUP(C225,dish_base!$B$4:$O$94,14,FALSE)</f>
        <v>120</v>
      </c>
      <c r="G225" s="30" t="str">
        <f>VLOOKUP(C225,dish_base!$B$4:$M$94,12,FALSE)</f>
        <v>55,100</v>
      </c>
      <c r="H225" s="1" t="s">
        <v>213</v>
      </c>
    </row>
    <row r="226" spans="2:8">
      <c r="B226" s="1" t="str">
        <f t="shared" si="4"/>
        <v>dorayakit_numb</v>
      </c>
      <c r="C226" s="1" t="s">
        <v>138</v>
      </c>
      <c r="D226" s="1" t="s">
        <v>217</v>
      </c>
      <c r="E226" s="1">
        <v>100</v>
      </c>
      <c r="F226" s="1">
        <f>VLOOKUP(C226,dish_base!$B$4:$O$94,14,FALSE)</f>
        <v>120</v>
      </c>
      <c r="G226" s="30" t="str">
        <f>VLOOKUP(C226,dish_base!$B$4:$M$94,12,FALSE)</f>
        <v>55,100</v>
      </c>
      <c r="H226" s="1" t="s">
        <v>213</v>
      </c>
    </row>
    <row r="227" spans="2:8">
      <c r="B227" s="1" t="str">
        <f t="shared" si="4"/>
        <v>cream_caket_numb</v>
      </c>
      <c r="C227" s="1" t="s">
        <v>141</v>
      </c>
      <c r="D227" s="1" t="s">
        <v>217</v>
      </c>
      <c r="E227" s="1">
        <v>100</v>
      </c>
      <c r="F227" s="1">
        <f>VLOOKUP(C227,dish_base!$B$4:$O$94,14,FALSE)</f>
        <v>120</v>
      </c>
      <c r="G227" s="30" t="str">
        <f>VLOOKUP(C227,dish_base!$B$4:$M$94,12,FALSE)</f>
        <v>55,100</v>
      </c>
      <c r="H227" s="1" t="s">
        <v>213</v>
      </c>
    </row>
    <row r="228" spans="2:8">
      <c r="B228" s="1" t="str">
        <f t="shared" si="4"/>
        <v>donutt_numb</v>
      </c>
      <c r="C228" s="1" t="s">
        <v>144</v>
      </c>
      <c r="D228" s="1" t="s">
        <v>217</v>
      </c>
      <c r="E228" s="1">
        <v>100</v>
      </c>
      <c r="F228" s="1">
        <f>VLOOKUP(C228,dish_base!$B$4:$O$94,14,FALSE)</f>
        <v>120</v>
      </c>
      <c r="G228" s="30" t="str">
        <f>VLOOKUP(C228,dish_base!$B$4:$M$94,12,FALSE)</f>
        <v>55,100</v>
      </c>
      <c r="H228" s="1" t="s">
        <v>213</v>
      </c>
    </row>
    <row r="229" spans="2:8">
      <c r="B229" s="1" t="str">
        <f t="shared" si="4"/>
        <v>pengtangt_numb</v>
      </c>
      <c r="C229" s="1" t="s">
        <v>147</v>
      </c>
      <c r="D229" s="1" t="s">
        <v>217</v>
      </c>
      <c r="E229" s="1">
        <v>100</v>
      </c>
      <c r="F229" s="1">
        <f>VLOOKUP(C229,dish_base!$B$4:$O$94,14,FALSE)</f>
        <v>120</v>
      </c>
      <c r="G229" s="30" t="str">
        <f>VLOOKUP(C229,dish_base!$B$4:$M$94,12,FALSE)</f>
        <v>55,100</v>
      </c>
      <c r="H229" s="1" t="s">
        <v>213</v>
      </c>
    </row>
    <row r="230" spans="2:8">
      <c r="B230" s="1" t="str">
        <f t="shared" si="4"/>
        <v>parfaitt_numb</v>
      </c>
      <c r="C230" s="1" t="s">
        <v>150</v>
      </c>
      <c r="D230" s="1" t="s">
        <v>217</v>
      </c>
      <c r="E230" s="1">
        <v>100</v>
      </c>
      <c r="F230" s="1">
        <f>VLOOKUP(C230,dish_base!$B$4:$O$94,14,FALSE)</f>
        <v>160</v>
      </c>
      <c r="G230" s="30" t="str">
        <f>VLOOKUP(C230,dish_base!$B$4:$M$94,12,FALSE)</f>
        <v>70,120</v>
      </c>
      <c r="H230" s="1" t="s">
        <v>213</v>
      </c>
    </row>
    <row r="231" spans="2:8">
      <c r="B231" s="1" t="str">
        <f t="shared" si="4"/>
        <v>sundae_bigt_numb</v>
      </c>
      <c r="C231" s="1" t="s">
        <v>153</v>
      </c>
      <c r="D231" s="1" t="s">
        <v>217</v>
      </c>
      <c r="E231" s="1">
        <v>100</v>
      </c>
      <c r="F231" s="1">
        <f>VLOOKUP(C231,dish_base!$B$4:$O$94,14,FALSE)</f>
        <v>160</v>
      </c>
      <c r="G231" s="30" t="str">
        <f>VLOOKUP(C231,dish_base!$B$4:$M$94,12,FALSE)</f>
        <v>70,120</v>
      </c>
      <c r="H231" s="1" t="s">
        <v>213</v>
      </c>
    </row>
    <row r="232" spans="2:8">
      <c r="B232" s="1" t="str">
        <f t="shared" si="4"/>
        <v>swiss_rollt_numb</v>
      </c>
      <c r="C232" s="1" t="s">
        <v>156</v>
      </c>
      <c r="D232" s="1" t="s">
        <v>217</v>
      </c>
      <c r="E232" s="1">
        <v>100</v>
      </c>
      <c r="F232" s="1">
        <f>VLOOKUP(C232,dish_base!$B$4:$O$94,14,FALSE)</f>
        <v>160</v>
      </c>
      <c r="G232" s="30" t="str">
        <f>VLOOKUP(C232,dish_base!$B$4:$M$94,12,FALSE)</f>
        <v>70,120</v>
      </c>
      <c r="H232" s="1" t="s">
        <v>213</v>
      </c>
    </row>
    <row r="233" spans="2:8">
      <c r="B233" s="1" t="str">
        <f t="shared" si="4"/>
        <v>mango_sagot_numb</v>
      </c>
      <c r="C233" s="1" t="s">
        <v>159</v>
      </c>
      <c r="D233" s="1" t="s">
        <v>217</v>
      </c>
      <c r="E233" s="1">
        <v>100</v>
      </c>
      <c r="F233" s="1">
        <f>VLOOKUP(C233,dish_base!$B$4:$O$94,14,FALSE)</f>
        <v>160</v>
      </c>
      <c r="G233" s="30" t="str">
        <f>VLOOKUP(C233,dish_base!$B$4:$M$94,12,FALSE)</f>
        <v>70,120</v>
      </c>
      <c r="H233" s="1" t="s">
        <v>213</v>
      </c>
    </row>
    <row r="234" spans="2:8">
      <c r="B234" s="1" t="str">
        <f t="shared" si="4"/>
        <v>chiffiont_numb</v>
      </c>
      <c r="C234" s="1" t="s">
        <v>162</v>
      </c>
      <c r="D234" s="1" t="s">
        <v>217</v>
      </c>
      <c r="E234" s="1">
        <v>100</v>
      </c>
      <c r="F234" s="1">
        <f>VLOOKUP(C234,dish_base!$B$4:$O$94,14,FALSE)</f>
        <v>160</v>
      </c>
      <c r="G234" s="30" t="str">
        <f>VLOOKUP(C234,dish_base!$B$4:$M$94,12,FALSE)</f>
        <v>70,120</v>
      </c>
      <c r="H234" s="1" t="s">
        <v>213</v>
      </c>
    </row>
    <row r="235" spans="2:8">
      <c r="B235" s="1" t="str">
        <f t="shared" si="4"/>
        <v>apple_piet_numb</v>
      </c>
      <c r="C235" s="1" t="s">
        <v>165</v>
      </c>
      <c r="D235" s="1" t="s">
        <v>217</v>
      </c>
      <c r="E235" s="1">
        <v>100</v>
      </c>
      <c r="F235" s="1">
        <f>VLOOKUP(C235,dish_base!$B$4:$O$94,14,FALSE)</f>
        <v>160</v>
      </c>
      <c r="G235" s="30" t="str">
        <f>VLOOKUP(C235,dish_base!$B$4:$M$94,12,FALSE)</f>
        <v>70,120</v>
      </c>
      <c r="H235" s="1" t="s">
        <v>213</v>
      </c>
    </row>
    <row r="236" spans="2:8">
      <c r="B236" s="1" t="str">
        <f t="shared" si="4"/>
        <v>fruit_caket_numb</v>
      </c>
      <c r="C236" s="1" t="s">
        <v>168</v>
      </c>
      <c r="D236" s="1" t="s">
        <v>217</v>
      </c>
      <c r="E236" s="1">
        <v>100</v>
      </c>
      <c r="F236" s="1">
        <f>VLOOKUP(C236,dish_base!$B$4:$O$94,14,FALSE)</f>
        <v>160</v>
      </c>
      <c r="G236" s="30" t="str">
        <f>VLOOKUP(C236,dish_base!$B$4:$M$94,12,FALSE)</f>
        <v>70,120</v>
      </c>
      <c r="H236" s="1" t="s">
        <v>213</v>
      </c>
    </row>
    <row r="237" spans="2:8">
      <c r="B237" s="1" t="str">
        <f t="shared" si="4"/>
        <v>chocolatet_numb</v>
      </c>
      <c r="C237" s="1" t="s">
        <v>171</v>
      </c>
      <c r="D237" s="1" t="s">
        <v>217</v>
      </c>
      <c r="E237" s="1">
        <v>100</v>
      </c>
      <c r="F237" s="1">
        <f>VLOOKUP(C237,dish_base!$B$4:$O$94,14,FALSE)</f>
        <v>160</v>
      </c>
      <c r="G237" s="30" t="str">
        <f>VLOOKUP(C237,dish_base!$B$4:$M$94,12,FALSE)</f>
        <v>70,120</v>
      </c>
      <c r="H237" s="1" t="s">
        <v>213</v>
      </c>
    </row>
    <row r="238" spans="2:8">
      <c r="B238" s="1" t="str">
        <f t="shared" si="4"/>
        <v>croissantt_numb</v>
      </c>
      <c r="C238" s="1" t="s">
        <v>174</v>
      </c>
      <c r="D238" s="1" t="s">
        <v>217</v>
      </c>
      <c r="E238" s="1">
        <v>100</v>
      </c>
      <c r="F238" s="1">
        <f>VLOOKUP(C238,dish_base!$B$4:$O$94,14,FALSE)</f>
        <v>100</v>
      </c>
      <c r="G238" s="30" t="str">
        <f>VLOOKUP(C238,dish_base!$B$4:$M$94,12,FALSE)</f>
        <v>50,90</v>
      </c>
      <c r="H238" s="1" t="s">
        <v>213</v>
      </c>
    </row>
    <row r="239" spans="2:8">
      <c r="B239" s="1" t="str">
        <f t="shared" si="4"/>
        <v>palmiert_numb</v>
      </c>
      <c r="C239" s="1" t="s">
        <v>178</v>
      </c>
      <c r="D239" s="1" t="s">
        <v>217</v>
      </c>
      <c r="E239" s="1">
        <v>100</v>
      </c>
      <c r="F239" s="1">
        <f>VLOOKUP(C239,dish_base!$B$4:$O$94,14,FALSE)</f>
        <v>100</v>
      </c>
      <c r="G239" s="1" t="str">
        <f>VLOOKUP(C239,dish_base!$B$4:$M$94,12,FALSE)</f>
        <v>50,90</v>
      </c>
      <c r="H239" s="1" t="s">
        <v>213</v>
      </c>
    </row>
    <row r="240" spans="2:8">
      <c r="B240" s="1" t="str">
        <f t="shared" si="4"/>
        <v>candycanet_numb</v>
      </c>
      <c r="C240" s="1" t="s">
        <v>182</v>
      </c>
      <c r="D240" s="1" t="s">
        <v>217</v>
      </c>
      <c r="E240" s="1">
        <v>100</v>
      </c>
      <c r="F240" s="1">
        <f>VLOOKUP(C240,dish_base!$B$4:$O$94,14,FALSE)</f>
        <v>120</v>
      </c>
      <c r="G240" s="1" t="str">
        <f>VLOOKUP(C240,dish_base!$B$4:$M$94,12,FALSE)</f>
        <v>55,100</v>
      </c>
      <c r="H240" s="1" t="s">
        <v>213</v>
      </c>
    </row>
    <row r="241" spans="2:8">
      <c r="B241" s="1" t="str">
        <f t="shared" si="4"/>
        <v>big_lollipopt_numb</v>
      </c>
      <c r="C241" s="1" t="s">
        <v>185</v>
      </c>
      <c r="D241" s="1" t="s">
        <v>217</v>
      </c>
      <c r="E241" s="1">
        <v>100</v>
      </c>
      <c r="F241" s="1">
        <f>VLOOKUP(C241,dish_base!$B$4:$O$94,14,FALSE)</f>
        <v>270</v>
      </c>
      <c r="G241" s="1" t="str">
        <f>VLOOKUP(C241,dish_base!$B$4:$M$94,12,FALSE)</f>
        <v>80,130</v>
      </c>
      <c r="H241" s="1" t="s">
        <v>213</v>
      </c>
    </row>
    <row r="242" spans="2:10">
      <c r="B242" s="1" t="str">
        <f t="shared" si="4"/>
        <v>marshmallowt_numb</v>
      </c>
      <c r="C242" s="1" t="s">
        <v>189</v>
      </c>
      <c r="D242" s="1" t="s">
        <v>217</v>
      </c>
      <c r="E242" s="1">
        <v>100</v>
      </c>
      <c r="F242" s="1">
        <f>VLOOKUP(C242,dish_base!$B$4:$O$94,14,FALSE)</f>
        <v>220</v>
      </c>
      <c r="G242" s="1" t="str">
        <f>VLOOKUP(C242,dish_base!$B$4:$M$94,12,FALSE)</f>
        <v>80,130</v>
      </c>
      <c r="H242" s="1" t="s">
        <v>213</v>
      </c>
      <c r="J242" s="1" t="s">
        <v>218</v>
      </c>
    </row>
    <row r="243" spans="2:8">
      <c r="B243" s="1" t="str">
        <f t="shared" si="4"/>
        <v>double_caket_numb</v>
      </c>
      <c r="C243" s="1" t="s">
        <v>192</v>
      </c>
      <c r="D243" s="1" t="s">
        <v>217</v>
      </c>
      <c r="E243" s="1">
        <v>100</v>
      </c>
      <c r="F243" s="1">
        <f>VLOOKUP(C243,dish_base!$B$4:$O$94,14,FALSE)</f>
        <v>370</v>
      </c>
      <c r="G243" s="1" t="str">
        <f>VLOOKUP(C243,dish_base!$B$4:$M$94,12,FALSE)</f>
        <v>80,130</v>
      </c>
      <c r="H243" s="1" t="s">
        <v>213</v>
      </c>
    </row>
    <row r="244" spans="2:8">
      <c r="B244" s="1" t="str">
        <f t="shared" si="4"/>
        <v>cookiet_sour</v>
      </c>
      <c r="C244" s="28" t="s">
        <v>23</v>
      </c>
      <c r="D244" s="1" t="s">
        <v>219</v>
      </c>
      <c r="E244" s="1">
        <v>100</v>
      </c>
      <c r="F244" s="1">
        <f>VLOOKUP(C244,dish_base!$B$4:$O$94,14,FALSE)</f>
        <v>60</v>
      </c>
      <c r="G244" s="1" t="str">
        <f>VLOOKUP(C244,dish_base!$B$4:$M$94,12,FALSE)</f>
        <v>40,80</v>
      </c>
      <c r="H244" s="1" t="s">
        <v>213</v>
      </c>
    </row>
    <row r="245" spans="2:8">
      <c r="B245" s="1" t="str">
        <f t="shared" si="4"/>
        <v>macaront_sour</v>
      </c>
      <c r="C245" s="28" t="s">
        <v>29</v>
      </c>
      <c r="D245" s="1" t="s">
        <v>219</v>
      </c>
      <c r="E245" s="1">
        <v>100</v>
      </c>
      <c r="F245" s="1">
        <f>VLOOKUP(C245,dish_base!$B$4:$O$94,14,FALSE)</f>
        <v>60</v>
      </c>
      <c r="G245" s="1" t="str">
        <f>VLOOKUP(C245,dish_base!$B$4:$M$94,12,FALSE)</f>
        <v>40,80</v>
      </c>
      <c r="H245" s="1" t="s">
        <v>213</v>
      </c>
    </row>
    <row r="246" spans="2:8">
      <c r="B246" s="1" t="str">
        <f t="shared" si="4"/>
        <v>puddingt_sour</v>
      </c>
      <c r="C246" s="29" t="s">
        <v>32</v>
      </c>
      <c r="D246" s="1" t="s">
        <v>219</v>
      </c>
      <c r="E246" s="1">
        <v>100</v>
      </c>
      <c r="F246" s="1">
        <f>VLOOKUP(C246,dish_base!$B$4:$O$94,14,FALSE)</f>
        <v>60</v>
      </c>
      <c r="G246" s="1" t="str">
        <f>VLOOKUP(C246,dish_base!$B$4:$M$94,12,FALSE)</f>
        <v>40,80</v>
      </c>
      <c r="H246" s="1" t="s">
        <v>213</v>
      </c>
    </row>
    <row r="247" spans="2:8">
      <c r="B247" s="1" t="str">
        <f t="shared" si="4"/>
        <v>pufft_sour</v>
      </c>
      <c r="C247" s="29" t="s">
        <v>35</v>
      </c>
      <c r="D247" s="1" t="s">
        <v>219</v>
      </c>
      <c r="E247" s="1">
        <v>100</v>
      </c>
      <c r="F247" s="1">
        <f>VLOOKUP(C247,dish_base!$B$4:$O$94,14,FALSE)</f>
        <v>60</v>
      </c>
      <c r="G247" s="1" t="str">
        <f>VLOOKUP(C247,dish_base!$B$4:$M$94,12,FALSE)</f>
        <v>40,80</v>
      </c>
      <c r="H247" s="1" t="s">
        <v>213</v>
      </c>
    </row>
    <row r="248" spans="2:8">
      <c r="B248" s="1" t="str">
        <f t="shared" si="4"/>
        <v>eggtartt_sour</v>
      </c>
      <c r="C248" s="29" t="s">
        <v>38</v>
      </c>
      <c r="D248" s="1" t="s">
        <v>219</v>
      </c>
      <c r="E248" s="1">
        <v>100</v>
      </c>
      <c r="F248" s="1">
        <f>VLOOKUP(C248,dish_base!$B$4:$O$94,14,FALSE)</f>
        <v>60</v>
      </c>
      <c r="G248" s="1" t="str">
        <f>VLOOKUP(C248,dish_base!$B$4:$M$94,12,FALSE)</f>
        <v>40,80</v>
      </c>
      <c r="H248" s="1" t="s">
        <v>213</v>
      </c>
    </row>
    <row r="249" spans="2:8">
      <c r="B249" s="1" t="str">
        <f t="shared" si="4"/>
        <v>mochit_sour</v>
      </c>
      <c r="C249" s="29" t="s">
        <v>41</v>
      </c>
      <c r="D249" s="1" t="s">
        <v>219</v>
      </c>
      <c r="E249" s="1">
        <v>100</v>
      </c>
      <c r="F249" s="1">
        <f>VLOOKUP(C249,dish_base!$B$4:$O$94,14,FALSE)</f>
        <v>60</v>
      </c>
      <c r="G249" s="1" t="str">
        <f>VLOOKUP(C249,dish_base!$B$4:$M$94,12,FALSE)</f>
        <v>40,80</v>
      </c>
      <c r="H249" s="1" t="s">
        <v>213</v>
      </c>
    </row>
    <row r="250" spans="2:8">
      <c r="B250" s="1" t="str">
        <f t="shared" si="4"/>
        <v>daifukut_sour</v>
      </c>
      <c r="C250" s="29" t="s">
        <v>44</v>
      </c>
      <c r="D250" s="1" t="s">
        <v>219</v>
      </c>
      <c r="E250" s="1">
        <v>100</v>
      </c>
      <c r="F250" s="1">
        <f>VLOOKUP(C250,dish_base!$B$4:$O$94,14,FALSE)</f>
        <v>60</v>
      </c>
      <c r="G250" s="1" t="str">
        <f>VLOOKUP(C250,dish_base!$B$4:$M$94,12,FALSE)</f>
        <v>40,80</v>
      </c>
      <c r="H250" s="1" t="s">
        <v>213</v>
      </c>
    </row>
    <row r="251" spans="2:8">
      <c r="B251" s="1" t="str">
        <f t="shared" si="4"/>
        <v>choco_candyt_sour</v>
      </c>
      <c r="C251" s="29" t="s">
        <v>47</v>
      </c>
      <c r="D251" s="1" t="s">
        <v>219</v>
      </c>
      <c r="E251" s="1">
        <v>100</v>
      </c>
      <c r="F251" s="1">
        <f>VLOOKUP(C251,dish_base!$B$4:$O$94,14,FALSE)</f>
        <v>60</v>
      </c>
      <c r="G251" s="1" t="str">
        <f>VLOOKUP(C251,dish_base!$B$4:$M$94,12,FALSE)</f>
        <v>40,80</v>
      </c>
      <c r="H251" s="1" t="s">
        <v>213</v>
      </c>
    </row>
    <row r="252" spans="2:8">
      <c r="B252" s="1" t="str">
        <f t="shared" si="4"/>
        <v>jellyt_sour</v>
      </c>
      <c r="C252" s="29" t="s">
        <v>50</v>
      </c>
      <c r="D252" s="1" t="s">
        <v>219</v>
      </c>
      <c r="E252" s="1">
        <v>100</v>
      </c>
      <c r="F252" s="1">
        <f>VLOOKUP(C252,dish_base!$B$4:$O$94,14,FALSE)</f>
        <v>60</v>
      </c>
      <c r="G252" s="1" t="str">
        <f>VLOOKUP(C252,dish_base!$B$4:$M$94,12,FALSE)</f>
        <v>40,80</v>
      </c>
      <c r="H252" s="1" t="s">
        <v>213</v>
      </c>
    </row>
    <row r="253" spans="2:8">
      <c r="B253" s="1" t="str">
        <f t="shared" si="4"/>
        <v>cream_cellt_sour</v>
      </c>
      <c r="C253" s="29" t="s">
        <v>54</v>
      </c>
      <c r="D253" s="1" t="s">
        <v>219</v>
      </c>
      <c r="E253" s="1">
        <v>100</v>
      </c>
      <c r="F253" s="1">
        <f>VLOOKUP(C253,dish_base!$B$4:$O$94,14,FALSE)</f>
        <v>60</v>
      </c>
      <c r="G253" s="1" t="str">
        <f>VLOOKUP(C253,dish_base!$B$4:$M$94,12,FALSE)</f>
        <v>40,80</v>
      </c>
      <c r="H253" s="1" t="s">
        <v>213</v>
      </c>
    </row>
    <row r="254" spans="2:8">
      <c r="B254" s="1" t="str">
        <f t="shared" si="4"/>
        <v>sugarbeant_sour</v>
      </c>
      <c r="C254" s="29" t="s">
        <v>58</v>
      </c>
      <c r="D254" s="1" t="s">
        <v>219</v>
      </c>
      <c r="E254" s="1">
        <v>100</v>
      </c>
      <c r="F254" s="1">
        <f>VLOOKUP(C254,dish_base!$B$4:$O$94,14,FALSE)</f>
        <v>60</v>
      </c>
      <c r="G254" s="1" t="str">
        <f>VLOOKUP(C254,dish_base!$B$4:$M$94,12,FALSE)</f>
        <v>40,80</v>
      </c>
      <c r="H254" s="1" t="s">
        <v>213</v>
      </c>
    </row>
    <row r="255" spans="2:8">
      <c r="B255" s="1" t="str">
        <f t="shared" si="4"/>
        <v>gold_chocot_sour</v>
      </c>
      <c r="C255" s="29" t="s">
        <v>62</v>
      </c>
      <c r="D255" s="1" t="s">
        <v>219</v>
      </c>
      <c r="E255" s="1">
        <v>100</v>
      </c>
      <c r="F255" s="1">
        <f>VLOOKUP(C255,dish_base!$B$4:$O$94,14,FALSE)</f>
        <v>60</v>
      </c>
      <c r="G255" s="1" t="str">
        <f>VLOOKUP(C255,dish_base!$B$4:$M$94,12,FALSE)</f>
        <v>40,80</v>
      </c>
      <c r="H255" s="1" t="s">
        <v>213</v>
      </c>
    </row>
    <row r="256" spans="2:8">
      <c r="B256" s="1" t="str">
        <f t="shared" si="4"/>
        <v>milk_slicet_sour</v>
      </c>
      <c r="C256" s="29" t="s">
        <v>66</v>
      </c>
      <c r="D256" s="1" t="s">
        <v>219</v>
      </c>
      <c r="E256" s="1">
        <v>100</v>
      </c>
      <c r="F256" s="1">
        <f>VLOOKUP(C256,dish_base!$B$4:$O$94,14,FALSE)</f>
        <v>60</v>
      </c>
      <c r="G256" s="1" t="str">
        <f>VLOOKUP(C256,dish_base!$B$4:$M$94,12,FALSE)</f>
        <v>40,80</v>
      </c>
      <c r="H256" s="1" t="s">
        <v>213</v>
      </c>
    </row>
    <row r="257" spans="2:8">
      <c r="B257" s="1" t="str">
        <f t="shared" si="4"/>
        <v>sundaet_sour</v>
      </c>
      <c r="C257" s="29" t="s">
        <v>70</v>
      </c>
      <c r="D257" s="1" t="s">
        <v>219</v>
      </c>
      <c r="E257" s="1">
        <v>100</v>
      </c>
      <c r="F257" s="1">
        <f>VLOOKUP(C257,dish_base!$B$4:$O$94,14,FALSE)</f>
        <v>80</v>
      </c>
      <c r="G257" s="1" t="str">
        <f>VLOOKUP(C257,dish_base!$B$4:$M$94,12,FALSE)</f>
        <v>45,80</v>
      </c>
      <c r="H257" s="1" t="s">
        <v>213</v>
      </c>
    </row>
    <row r="258" spans="2:8">
      <c r="B258" s="1" t="str">
        <f t="shared" si="4"/>
        <v>conet_sour</v>
      </c>
      <c r="C258" s="29" t="s">
        <v>74</v>
      </c>
      <c r="D258" s="1" t="s">
        <v>219</v>
      </c>
      <c r="E258" s="1">
        <v>100</v>
      </c>
      <c r="F258" s="1">
        <f>VLOOKUP(C258,dish_base!$B$4:$O$94,14,FALSE)</f>
        <v>80</v>
      </c>
      <c r="G258" s="1" t="str">
        <f>VLOOKUP(C258,dish_base!$B$4:$M$94,12,FALSE)</f>
        <v>45,80</v>
      </c>
      <c r="H258" s="1" t="s">
        <v>213</v>
      </c>
    </row>
    <row r="259" spans="2:8">
      <c r="B259" s="1" t="str">
        <f t="shared" si="4"/>
        <v>lollipopt_sour</v>
      </c>
      <c r="C259" s="29" t="s">
        <v>77</v>
      </c>
      <c r="D259" s="1" t="s">
        <v>219</v>
      </c>
      <c r="E259" s="1">
        <v>100</v>
      </c>
      <c r="F259" s="1">
        <f>VLOOKUP(C259,dish_base!$B$4:$O$94,14,FALSE)</f>
        <v>80</v>
      </c>
      <c r="G259" s="1" t="str">
        <f>VLOOKUP(C259,dish_base!$B$4:$M$94,12,FALSE)</f>
        <v>45,80</v>
      </c>
      <c r="H259" s="1" t="s">
        <v>213</v>
      </c>
    </row>
    <row r="260" spans="2:8">
      <c r="B260" s="1" t="str">
        <f t="shared" si="4"/>
        <v>gummyt_sour</v>
      </c>
      <c r="C260" s="29" t="s">
        <v>80</v>
      </c>
      <c r="D260" s="1" t="s">
        <v>219</v>
      </c>
      <c r="E260" s="1">
        <v>100</v>
      </c>
      <c r="F260" s="1">
        <f>VLOOKUP(C260,dish_base!$B$4:$O$94,14,FALSE)</f>
        <v>80</v>
      </c>
      <c r="G260" s="1" t="str">
        <f>VLOOKUP(C260,dish_base!$B$4:$M$94,12,FALSE)</f>
        <v>45,80</v>
      </c>
      <c r="H260" s="1" t="s">
        <v>213</v>
      </c>
    </row>
    <row r="261" spans="2:8">
      <c r="B261" s="1" t="str">
        <f t="shared" si="4"/>
        <v>cupcaket_sour</v>
      </c>
      <c r="C261" s="29" t="s">
        <v>83</v>
      </c>
      <c r="D261" s="1" t="s">
        <v>219</v>
      </c>
      <c r="E261" s="1">
        <v>100</v>
      </c>
      <c r="F261" s="1">
        <f>VLOOKUP(C261,dish_base!$B$4:$O$94,14,FALSE)</f>
        <v>80</v>
      </c>
      <c r="G261" s="1" t="str">
        <f>VLOOKUP(C261,dish_base!$B$4:$M$94,12,FALSE)</f>
        <v>45,80</v>
      </c>
      <c r="H261" s="1" t="s">
        <v>213</v>
      </c>
    </row>
    <row r="262" spans="2:8">
      <c r="B262" s="1" t="str">
        <f t="shared" ref="B262:B325" si="5">C262&amp;D262</f>
        <v>mousset_sour</v>
      </c>
      <c r="C262" s="29" t="s">
        <v>87</v>
      </c>
      <c r="D262" s="1" t="s">
        <v>219</v>
      </c>
      <c r="E262" s="1">
        <v>100</v>
      </c>
      <c r="F262" s="1">
        <f>VLOOKUP(C262,dish_base!$B$4:$O$94,14,FALSE)</f>
        <v>80</v>
      </c>
      <c r="G262" s="1" t="str">
        <f>VLOOKUP(C262,dish_base!$B$4:$M$94,12,FALSE)</f>
        <v>45,80</v>
      </c>
      <c r="H262" s="1" t="s">
        <v>213</v>
      </c>
    </row>
    <row r="263" spans="2:8">
      <c r="B263" s="1" t="str">
        <f t="shared" si="5"/>
        <v>toffeet_sour</v>
      </c>
      <c r="C263" s="29" t="s">
        <v>94</v>
      </c>
      <c r="D263" s="1" t="s">
        <v>219</v>
      </c>
      <c r="E263" s="1">
        <v>100</v>
      </c>
      <c r="F263" s="1">
        <f>VLOOKUP(C263,dish_base!$B$4:$O$94,14,FALSE)</f>
        <v>80</v>
      </c>
      <c r="G263" s="30" t="str">
        <f>VLOOKUP(C263,dish_base!$B$4:$M$94,12,FALSE)</f>
        <v>45,80</v>
      </c>
      <c r="H263" s="1" t="s">
        <v>213</v>
      </c>
    </row>
    <row r="264" spans="2:8">
      <c r="B264" s="1" t="str">
        <f t="shared" si="5"/>
        <v>nougatt_sour</v>
      </c>
      <c r="C264" s="29" t="s">
        <v>101</v>
      </c>
      <c r="D264" s="1" t="s">
        <v>219</v>
      </c>
      <c r="E264" s="1">
        <v>100</v>
      </c>
      <c r="F264" s="1">
        <f>VLOOKUP(C264,dish_base!$B$4:$O$94,14,FALSE)</f>
        <v>80</v>
      </c>
      <c r="G264" s="30" t="str">
        <f>VLOOKUP(C264,dish_base!$B$4:$M$94,12,FALSE)</f>
        <v>45,80</v>
      </c>
      <c r="H264" s="1" t="s">
        <v>213</v>
      </c>
    </row>
    <row r="265" spans="2:8">
      <c r="B265" s="1" t="str">
        <f t="shared" si="5"/>
        <v>eggrollt_sour</v>
      </c>
      <c r="C265" s="29" t="s">
        <v>108</v>
      </c>
      <c r="D265" s="1" t="s">
        <v>219</v>
      </c>
      <c r="E265" s="1">
        <v>100</v>
      </c>
      <c r="F265" s="1">
        <f>VLOOKUP(C265,dish_base!$B$4:$O$94,14,FALSE)</f>
        <v>100</v>
      </c>
      <c r="G265" s="30" t="str">
        <f>VLOOKUP(C265,dish_base!$B$4:$M$94,12,FALSE)</f>
        <v>50,90</v>
      </c>
      <c r="H265" s="1" t="s">
        <v>213</v>
      </c>
    </row>
    <row r="266" spans="2:8">
      <c r="B266" s="1" t="str">
        <f t="shared" si="5"/>
        <v>choco_bart_sour</v>
      </c>
      <c r="C266" s="28" t="s">
        <v>114</v>
      </c>
      <c r="D266" s="1" t="s">
        <v>219</v>
      </c>
      <c r="E266" s="1">
        <v>100</v>
      </c>
      <c r="F266" s="1">
        <f>VLOOKUP(C266,dish_base!$B$4:$O$94,14,FALSE)</f>
        <v>100</v>
      </c>
      <c r="G266" s="30" t="str">
        <f>VLOOKUP(C266,dish_base!$B$4:$M$94,12,FALSE)</f>
        <v>50,90</v>
      </c>
      <c r="H266" s="1" t="s">
        <v>213</v>
      </c>
    </row>
    <row r="267" spans="2:8">
      <c r="B267" s="1" t="str">
        <f t="shared" si="5"/>
        <v>eclairt_sour</v>
      </c>
      <c r="C267" s="29" t="s">
        <v>117</v>
      </c>
      <c r="D267" s="1" t="s">
        <v>219</v>
      </c>
      <c r="E267" s="1">
        <v>100</v>
      </c>
      <c r="F267" s="1">
        <f>VLOOKUP(C267,dish_base!$B$4:$O$94,14,FALSE)</f>
        <v>100</v>
      </c>
      <c r="G267" s="30" t="str">
        <f>VLOOKUP(C267,dish_base!$B$4:$M$94,12,FALSE)</f>
        <v>50,90</v>
      </c>
      <c r="H267" s="1" t="s">
        <v>213</v>
      </c>
    </row>
    <row r="268" spans="2:8">
      <c r="B268" s="1" t="str">
        <f t="shared" si="5"/>
        <v>tanghulut_sour</v>
      </c>
      <c r="C268" s="29" t="s">
        <v>120</v>
      </c>
      <c r="D268" s="1" t="s">
        <v>219</v>
      </c>
      <c r="E268" s="1">
        <v>100</v>
      </c>
      <c r="F268" s="1">
        <f>VLOOKUP(C268,dish_base!$B$4:$O$94,14,FALSE)</f>
        <v>100</v>
      </c>
      <c r="G268" s="30" t="str">
        <f>VLOOKUP(C268,dish_base!$B$4:$M$94,12,FALSE)</f>
        <v>50,90</v>
      </c>
      <c r="H268" s="1" t="s">
        <v>213</v>
      </c>
    </row>
    <row r="269" spans="2:8">
      <c r="B269" s="1" t="str">
        <f t="shared" si="5"/>
        <v>soufflet_sour</v>
      </c>
      <c r="C269" s="1" t="s">
        <v>123</v>
      </c>
      <c r="D269" s="1" t="s">
        <v>219</v>
      </c>
      <c r="E269" s="1">
        <v>100</v>
      </c>
      <c r="F269" s="1">
        <f>VLOOKUP(C269,dish_base!$B$4:$O$94,14,FALSE)</f>
        <v>120</v>
      </c>
      <c r="G269" s="30" t="str">
        <f>VLOOKUP(C269,dish_base!$B$4:$M$94,12,FALSE)</f>
        <v>55,100</v>
      </c>
      <c r="H269" s="1" t="s">
        <v>213</v>
      </c>
    </row>
    <row r="270" spans="2:8">
      <c r="B270" s="1" t="str">
        <f t="shared" si="5"/>
        <v>maple_sugart_sour</v>
      </c>
      <c r="C270" s="1" t="s">
        <v>126</v>
      </c>
      <c r="D270" s="1" t="s">
        <v>219</v>
      </c>
      <c r="E270" s="1">
        <v>100</v>
      </c>
      <c r="F270" s="1">
        <f>VLOOKUP(C270,dish_base!$B$4:$O$94,14,FALSE)</f>
        <v>120</v>
      </c>
      <c r="G270" s="30" t="str">
        <f>VLOOKUP(C270,dish_base!$B$4:$M$94,12,FALSE)</f>
        <v>55,100</v>
      </c>
      <c r="H270" s="1" t="s">
        <v>213</v>
      </c>
    </row>
    <row r="271" spans="2:8">
      <c r="B271" s="1" t="str">
        <f t="shared" si="5"/>
        <v>taosut_sour</v>
      </c>
      <c r="C271" s="1" t="s">
        <v>129</v>
      </c>
      <c r="D271" s="1" t="s">
        <v>219</v>
      </c>
      <c r="E271" s="1">
        <v>100</v>
      </c>
      <c r="F271" s="1">
        <f>VLOOKUP(C271,dish_base!$B$4:$O$94,14,FALSE)</f>
        <v>120</v>
      </c>
      <c r="G271" s="30" t="str">
        <f>VLOOKUP(C271,dish_base!$B$4:$M$94,12,FALSE)</f>
        <v>55,100</v>
      </c>
      <c r="H271" s="1" t="s">
        <v>213</v>
      </c>
    </row>
    <row r="272" spans="2:8">
      <c r="B272" s="1" t="str">
        <f t="shared" si="5"/>
        <v>mooncaket_sour</v>
      </c>
      <c r="C272" s="1" t="s">
        <v>132</v>
      </c>
      <c r="D272" s="1" t="s">
        <v>219</v>
      </c>
      <c r="E272" s="1">
        <v>100</v>
      </c>
      <c r="F272" s="1">
        <f>VLOOKUP(C272,dish_base!$B$4:$O$94,14,FALSE)</f>
        <v>120</v>
      </c>
      <c r="G272" s="30" t="str">
        <f>VLOOKUP(C272,dish_base!$B$4:$M$94,12,FALSE)</f>
        <v>55,100</v>
      </c>
      <c r="H272" s="1" t="s">
        <v>213</v>
      </c>
    </row>
    <row r="273" spans="2:8">
      <c r="B273" s="1" t="str">
        <f t="shared" si="5"/>
        <v>wafflet_sour</v>
      </c>
      <c r="C273" s="1" t="s">
        <v>135</v>
      </c>
      <c r="D273" s="1" t="s">
        <v>219</v>
      </c>
      <c r="E273" s="1">
        <v>100</v>
      </c>
      <c r="F273" s="1">
        <f>VLOOKUP(C273,dish_base!$B$4:$O$94,14,FALSE)</f>
        <v>120</v>
      </c>
      <c r="G273" s="30" t="str">
        <f>VLOOKUP(C273,dish_base!$B$4:$M$94,12,FALSE)</f>
        <v>55,100</v>
      </c>
      <c r="H273" s="1" t="s">
        <v>213</v>
      </c>
    </row>
    <row r="274" spans="2:8">
      <c r="B274" s="1" t="str">
        <f t="shared" si="5"/>
        <v>dorayakit_sour</v>
      </c>
      <c r="C274" s="1" t="s">
        <v>138</v>
      </c>
      <c r="D274" s="1" t="s">
        <v>219</v>
      </c>
      <c r="E274" s="1">
        <v>100</v>
      </c>
      <c r="F274" s="1">
        <f>VLOOKUP(C274,dish_base!$B$4:$O$94,14,FALSE)</f>
        <v>120</v>
      </c>
      <c r="G274" s="30" t="str">
        <f>VLOOKUP(C274,dish_base!$B$4:$M$94,12,FALSE)</f>
        <v>55,100</v>
      </c>
      <c r="H274" s="1" t="s">
        <v>213</v>
      </c>
    </row>
    <row r="275" spans="2:8">
      <c r="B275" s="1" t="str">
        <f t="shared" si="5"/>
        <v>cream_caket_sour</v>
      </c>
      <c r="C275" s="1" t="s">
        <v>141</v>
      </c>
      <c r="D275" s="1" t="s">
        <v>219</v>
      </c>
      <c r="E275" s="1">
        <v>100</v>
      </c>
      <c r="F275" s="1">
        <f>VLOOKUP(C275,dish_base!$B$4:$O$94,14,FALSE)</f>
        <v>120</v>
      </c>
      <c r="G275" s="30" t="str">
        <f>VLOOKUP(C275,dish_base!$B$4:$M$94,12,FALSE)</f>
        <v>55,100</v>
      </c>
      <c r="H275" s="1" t="s">
        <v>213</v>
      </c>
    </row>
    <row r="276" spans="2:8">
      <c r="B276" s="1" t="str">
        <f t="shared" si="5"/>
        <v>donutt_sour</v>
      </c>
      <c r="C276" s="1" t="s">
        <v>144</v>
      </c>
      <c r="D276" s="1" t="s">
        <v>219</v>
      </c>
      <c r="E276" s="1">
        <v>100</v>
      </c>
      <c r="F276" s="1">
        <f>VLOOKUP(C276,dish_base!$B$4:$O$94,14,FALSE)</f>
        <v>120</v>
      </c>
      <c r="G276" s="30" t="str">
        <f>VLOOKUP(C276,dish_base!$B$4:$M$94,12,FALSE)</f>
        <v>55,100</v>
      </c>
      <c r="H276" s="1" t="s">
        <v>213</v>
      </c>
    </row>
    <row r="277" spans="2:8">
      <c r="B277" s="1" t="str">
        <f t="shared" si="5"/>
        <v>pengtangt_sour</v>
      </c>
      <c r="C277" s="1" t="s">
        <v>147</v>
      </c>
      <c r="D277" s="1" t="s">
        <v>219</v>
      </c>
      <c r="E277" s="1">
        <v>100</v>
      </c>
      <c r="F277" s="1">
        <f>VLOOKUP(C277,dish_base!$B$4:$O$94,14,FALSE)</f>
        <v>120</v>
      </c>
      <c r="G277" s="30" t="str">
        <f>VLOOKUP(C277,dish_base!$B$4:$M$94,12,FALSE)</f>
        <v>55,100</v>
      </c>
      <c r="H277" s="1" t="s">
        <v>213</v>
      </c>
    </row>
    <row r="278" spans="2:8">
      <c r="B278" s="1" t="str">
        <f t="shared" si="5"/>
        <v>parfaitt_sour</v>
      </c>
      <c r="C278" s="1" t="s">
        <v>150</v>
      </c>
      <c r="D278" s="1" t="s">
        <v>219</v>
      </c>
      <c r="E278" s="1">
        <v>100</v>
      </c>
      <c r="F278" s="1">
        <f>VLOOKUP(C278,dish_base!$B$4:$O$94,14,FALSE)</f>
        <v>160</v>
      </c>
      <c r="G278" s="30" t="str">
        <f>VLOOKUP(C278,dish_base!$B$4:$M$94,12,FALSE)</f>
        <v>70,120</v>
      </c>
      <c r="H278" s="1" t="s">
        <v>213</v>
      </c>
    </row>
    <row r="279" spans="2:8">
      <c r="B279" s="1" t="str">
        <f t="shared" si="5"/>
        <v>sundae_bigt_sour</v>
      </c>
      <c r="C279" s="1" t="s">
        <v>153</v>
      </c>
      <c r="D279" s="1" t="s">
        <v>219</v>
      </c>
      <c r="E279" s="1">
        <v>100</v>
      </c>
      <c r="F279" s="1">
        <f>VLOOKUP(C279,dish_base!$B$4:$O$94,14,FALSE)</f>
        <v>160</v>
      </c>
      <c r="G279" s="30" t="str">
        <f>VLOOKUP(C279,dish_base!$B$4:$M$94,12,FALSE)</f>
        <v>70,120</v>
      </c>
      <c r="H279" s="1" t="s">
        <v>213</v>
      </c>
    </row>
    <row r="280" spans="2:8">
      <c r="B280" s="1" t="str">
        <f t="shared" si="5"/>
        <v>swiss_rollt_sour</v>
      </c>
      <c r="C280" s="1" t="s">
        <v>156</v>
      </c>
      <c r="D280" s="1" t="s">
        <v>219</v>
      </c>
      <c r="E280" s="1">
        <v>100</v>
      </c>
      <c r="F280" s="1">
        <f>VLOOKUP(C280,dish_base!$B$4:$O$94,14,FALSE)</f>
        <v>160</v>
      </c>
      <c r="G280" s="30" t="str">
        <f>VLOOKUP(C280,dish_base!$B$4:$M$94,12,FALSE)</f>
        <v>70,120</v>
      </c>
      <c r="H280" s="1" t="s">
        <v>213</v>
      </c>
    </row>
    <row r="281" spans="2:8">
      <c r="B281" s="1" t="str">
        <f t="shared" si="5"/>
        <v>mango_sagot_sour</v>
      </c>
      <c r="C281" s="1" t="s">
        <v>159</v>
      </c>
      <c r="D281" s="1" t="s">
        <v>219</v>
      </c>
      <c r="E281" s="1">
        <v>100</v>
      </c>
      <c r="F281" s="1">
        <f>VLOOKUP(C281,dish_base!$B$4:$O$94,14,FALSE)</f>
        <v>160</v>
      </c>
      <c r="G281" s="30" t="str">
        <f>VLOOKUP(C281,dish_base!$B$4:$M$94,12,FALSE)</f>
        <v>70,120</v>
      </c>
      <c r="H281" s="1" t="s">
        <v>213</v>
      </c>
    </row>
    <row r="282" spans="2:8">
      <c r="B282" s="1" t="str">
        <f t="shared" si="5"/>
        <v>chiffiont_sour</v>
      </c>
      <c r="C282" s="1" t="s">
        <v>162</v>
      </c>
      <c r="D282" s="1" t="s">
        <v>219</v>
      </c>
      <c r="E282" s="1">
        <v>100</v>
      </c>
      <c r="F282" s="1">
        <f>VLOOKUP(C282,dish_base!$B$4:$O$94,14,FALSE)</f>
        <v>160</v>
      </c>
      <c r="G282" s="30" t="str">
        <f>VLOOKUP(C282,dish_base!$B$4:$M$94,12,FALSE)</f>
        <v>70,120</v>
      </c>
      <c r="H282" s="1" t="s">
        <v>213</v>
      </c>
    </row>
    <row r="283" spans="2:8">
      <c r="B283" s="1" t="str">
        <f t="shared" si="5"/>
        <v>apple_piet_sour</v>
      </c>
      <c r="C283" s="1" t="s">
        <v>165</v>
      </c>
      <c r="D283" s="1" t="s">
        <v>219</v>
      </c>
      <c r="E283" s="1">
        <v>100</v>
      </c>
      <c r="F283" s="1">
        <f>VLOOKUP(C283,dish_base!$B$4:$O$94,14,FALSE)</f>
        <v>160</v>
      </c>
      <c r="G283" s="30" t="str">
        <f>VLOOKUP(C283,dish_base!$B$4:$M$94,12,FALSE)</f>
        <v>70,120</v>
      </c>
      <c r="H283" s="1" t="s">
        <v>213</v>
      </c>
    </row>
    <row r="284" spans="2:8">
      <c r="B284" s="1" t="str">
        <f t="shared" si="5"/>
        <v>fruit_caket_sour</v>
      </c>
      <c r="C284" s="1" t="s">
        <v>168</v>
      </c>
      <c r="D284" s="1" t="s">
        <v>219</v>
      </c>
      <c r="E284" s="1">
        <v>100</v>
      </c>
      <c r="F284" s="1">
        <f>VLOOKUP(C284,dish_base!$B$4:$O$94,14,FALSE)</f>
        <v>160</v>
      </c>
      <c r="G284" s="30" t="str">
        <f>VLOOKUP(C284,dish_base!$B$4:$M$94,12,FALSE)</f>
        <v>70,120</v>
      </c>
      <c r="H284" s="1" t="s">
        <v>213</v>
      </c>
    </row>
    <row r="285" spans="2:8">
      <c r="B285" s="1" t="str">
        <f t="shared" si="5"/>
        <v>chocolatet_sour</v>
      </c>
      <c r="C285" s="1" t="s">
        <v>171</v>
      </c>
      <c r="D285" s="1" t="s">
        <v>219</v>
      </c>
      <c r="E285" s="1">
        <v>100</v>
      </c>
      <c r="F285" s="1">
        <f>VLOOKUP(C285,dish_base!$B$4:$O$94,14,FALSE)</f>
        <v>160</v>
      </c>
      <c r="G285" s="30" t="str">
        <f>VLOOKUP(C285,dish_base!$B$4:$M$94,12,FALSE)</f>
        <v>70,120</v>
      </c>
      <c r="H285" s="1" t="s">
        <v>213</v>
      </c>
    </row>
    <row r="286" spans="2:8">
      <c r="B286" s="1" t="str">
        <f t="shared" si="5"/>
        <v>croissantt_sour</v>
      </c>
      <c r="C286" s="1" t="s">
        <v>174</v>
      </c>
      <c r="D286" s="1" t="s">
        <v>219</v>
      </c>
      <c r="E286" s="1">
        <v>100</v>
      </c>
      <c r="F286" s="1">
        <f>VLOOKUP(C286,dish_base!$B$4:$O$94,14,FALSE)</f>
        <v>100</v>
      </c>
      <c r="G286" s="1" t="str">
        <f>VLOOKUP(C286,dish_base!$B$4:$M$94,12,FALSE)</f>
        <v>50,90</v>
      </c>
      <c r="H286" s="1" t="s">
        <v>213</v>
      </c>
    </row>
    <row r="287" spans="2:8">
      <c r="B287" s="1" t="str">
        <f t="shared" si="5"/>
        <v>palmiert_sour</v>
      </c>
      <c r="C287" s="1" t="s">
        <v>178</v>
      </c>
      <c r="D287" s="1" t="s">
        <v>219</v>
      </c>
      <c r="E287" s="1">
        <v>100</v>
      </c>
      <c r="F287" s="1">
        <f>VLOOKUP(C287,dish_base!$B$4:$O$94,14,FALSE)</f>
        <v>100</v>
      </c>
      <c r="G287" s="1" t="str">
        <f>VLOOKUP(C287,dish_base!$B$4:$M$94,12,FALSE)</f>
        <v>50,90</v>
      </c>
      <c r="H287" s="1" t="s">
        <v>213</v>
      </c>
    </row>
    <row r="288" spans="2:8">
      <c r="B288" s="1" t="str">
        <f t="shared" si="5"/>
        <v>candycanet_sour</v>
      </c>
      <c r="C288" s="1" t="s">
        <v>182</v>
      </c>
      <c r="D288" s="1" t="s">
        <v>219</v>
      </c>
      <c r="E288" s="1">
        <v>100</v>
      </c>
      <c r="F288" s="1">
        <f>VLOOKUP(C288,dish_base!$B$4:$O$94,14,FALSE)</f>
        <v>120</v>
      </c>
      <c r="G288" s="1" t="str">
        <f>VLOOKUP(C288,dish_base!$B$4:$M$94,12,FALSE)</f>
        <v>55,100</v>
      </c>
      <c r="H288" s="1" t="s">
        <v>213</v>
      </c>
    </row>
    <row r="289" spans="2:8">
      <c r="B289" s="1" t="str">
        <f t="shared" si="5"/>
        <v>big_lollipopt_sour</v>
      </c>
      <c r="C289" s="1" t="s">
        <v>185</v>
      </c>
      <c r="D289" s="1" t="s">
        <v>219</v>
      </c>
      <c r="E289" s="1">
        <v>100</v>
      </c>
      <c r="F289" s="1">
        <f>VLOOKUP(C289,dish_base!$B$4:$O$94,14,FALSE)</f>
        <v>270</v>
      </c>
      <c r="G289" s="1" t="str">
        <f>VLOOKUP(C289,dish_base!$B$4:$M$94,12,FALSE)</f>
        <v>80,130</v>
      </c>
      <c r="H289" s="1" t="s">
        <v>213</v>
      </c>
    </row>
    <row r="290" spans="2:8">
      <c r="B290" s="1" t="str">
        <f t="shared" si="5"/>
        <v>marshmallowt_sour</v>
      </c>
      <c r="C290" s="1" t="s">
        <v>189</v>
      </c>
      <c r="D290" s="1" t="s">
        <v>219</v>
      </c>
      <c r="E290" s="1">
        <v>100</v>
      </c>
      <c r="F290" s="1">
        <f>VLOOKUP(C290,dish_base!$B$4:$O$94,14,FALSE)</f>
        <v>220</v>
      </c>
      <c r="G290" s="1" t="str">
        <f>VLOOKUP(C290,dish_base!$B$4:$M$94,12,FALSE)</f>
        <v>80,130</v>
      </c>
      <c r="H290" s="1" t="s">
        <v>213</v>
      </c>
    </row>
    <row r="291" spans="2:8">
      <c r="B291" s="1" t="str">
        <f t="shared" si="5"/>
        <v>double_caket_sour</v>
      </c>
      <c r="C291" s="1" t="s">
        <v>192</v>
      </c>
      <c r="D291" s="1" t="s">
        <v>219</v>
      </c>
      <c r="E291" s="1">
        <v>100</v>
      </c>
      <c r="F291" s="1">
        <f>VLOOKUP(C291,dish_base!$B$4:$O$94,14,FALSE)</f>
        <v>370</v>
      </c>
      <c r="G291" s="1" t="str">
        <f>VLOOKUP(C291,dish_base!$B$4:$M$94,12,FALSE)</f>
        <v>80,130</v>
      </c>
      <c r="H291" s="1" t="s">
        <v>213</v>
      </c>
    </row>
    <row r="292" spans="2:8">
      <c r="B292" s="1" t="str">
        <f t="shared" si="5"/>
        <v>cookiet_salty</v>
      </c>
      <c r="C292" s="28" t="s">
        <v>23</v>
      </c>
      <c r="D292" s="1" t="s">
        <v>218</v>
      </c>
      <c r="E292" s="1">
        <v>100</v>
      </c>
      <c r="F292" s="1">
        <f>VLOOKUP(C292,dish_base!$B$4:$O$94,14,FALSE)</f>
        <v>60</v>
      </c>
      <c r="G292" s="1" t="str">
        <f>VLOOKUP(C292,dish_base!$B$4:$M$94,12,FALSE)</f>
        <v>40,80</v>
      </c>
      <c r="H292" s="1" t="s">
        <v>213</v>
      </c>
    </row>
    <row r="293" spans="2:8">
      <c r="B293" s="1" t="str">
        <f t="shared" si="5"/>
        <v>macaront_salty</v>
      </c>
      <c r="C293" s="28" t="s">
        <v>29</v>
      </c>
      <c r="D293" s="1" t="s">
        <v>218</v>
      </c>
      <c r="E293" s="1">
        <v>100</v>
      </c>
      <c r="F293" s="1">
        <f>VLOOKUP(C293,dish_base!$B$4:$O$94,14,FALSE)</f>
        <v>60</v>
      </c>
      <c r="G293" s="1" t="str">
        <f>VLOOKUP(C293,dish_base!$B$4:$M$94,12,FALSE)</f>
        <v>40,80</v>
      </c>
      <c r="H293" s="1" t="s">
        <v>213</v>
      </c>
    </row>
    <row r="294" spans="2:8">
      <c r="B294" s="1" t="str">
        <f t="shared" si="5"/>
        <v>puddingt_salty</v>
      </c>
      <c r="C294" s="29" t="s">
        <v>32</v>
      </c>
      <c r="D294" s="1" t="s">
        <v>218</v>
      </c>
      <c r="E294" s="1">
        <v>100</v>
      </c>
      <c r="F294" s="1">
        <f>VLOOKUP(C294,dish_base!$B$4:$O$94,14,FALSE)</f>
        <v>60</v>
      </c>
      <c r="G294" s="1" t="str">
        <f>VLOOKUP(C294,dish_base!$B$4:$M$94,12,FALSE)</f>
        <v>40,80</v>
      </c>
      <c r="H294" s="1" t="s">
        <v>213</v>
      </c>
    </row>
    <row r="295" spans="2:8">
      <c r="B295" s="1" t="str">
        <f t="shared" si="5"/>
        <v>pufft_salty</v>
      </c>
      <c r="C295" s="29" t="s">
        <v>35</v>
      </c>
      <c r="D295" s="1" t="s">
        <v>218</v>
      </c>
      <c r="E295" s="1">
        <v>100</v>
      </c>
      <c r="F295" s="1">
        <f>VLOOKUP(C295,dish_base!$B$4:$O$94,14,FALSE)</f>
        <v>60</v>
      </c>
      <c r="G295" s="1" t="str">
        <f>VLOOKUP(C295,dish_base!$B$4:$M$94,12,FALSE)</f>
        <v>40,80</v>
      </c>
      <c r="H295" s="1" t="s">
        <v>213</v>
      </c>
    </row>
    <row r="296" spans="2:8">
      <c r="B296" s="1" t="str">
        <f t="shared" si="5"/>
        <v>eggtartt_salty</v>
      </c>
      <c r="C296" s="29" t="s">
        <v>38</v>
      </c>
      <c r="D296" s="1" t="s">
        <v>218</v>
      </c>
      <c r="E296" s="1">
        <v>100</v>
      </c>
      <c r="F296" s="1">
        <f>VLOOKUP(C296,dish_base!$B$4:$O$94,14,FALSE)</f>
        <v>60</v>
      </c>
      <c r="G296" s="1" t="str">
        <f>VLOOKUP(C296,dish_base!$B$4:$M$94,12,FALSE)</f>
        <v>40,80</v>
      </c>
      <c r="H296" s="1" t="s">
        <v>213</v>
      </c>
    </row>
    <row r="297" spans="2:8">
      <c r="B297" s="1" t="str">
        <f t="shared" si="5"/>
        <v>mochit_salty</v>
      </c>
      <c r="C297" s="29" t="s">
        <v>41</v>
      </c>
      <c r="D297" s="1" t="s">
        <v>218</v>
      </c>
      <c r="E297" s="1">
        <v>100</v>
      </c>
      <c r="F297" s="1">
        <f>VLOOKUP(C297,dish_base!$B$4:$O$94,14,FALSE)</f>
        <v>60</v>
      </c>
      <c r="G297" s="1" t="str">
        <f>VLOOKUP(C297,dish_base!$B$4:$M$94,12,FALSE)</f>
        <v>40,80</v>
      </c>
      <c r="H297" s="1" t="s">
        <v>213</v>
      </c>
    </row>
    <row r="298" spans="2:8">
      <c r="B298" s="1" t="str">
        <f t="shared" si="5"/>
        <v>daifukut_salty</v>
      </c>
      <c r="C298" s="29" t="s">
        <v>44</v>
      </c>
      <c r="D298" s="1" t="s">
        <v>218</v>
      </c>
      <c r="E298" s="1">
        <v>100</v>
      </c>
      <c r="F298" s="1">
        <f>VLOOKUP(C298,dish_base!$B$4:$O$94,14,FALSE)</f>
        <v>60</v>
      </c>
      <c r="G298" s="1" t="str">
        <f>VLOOKUP(C298,dish_base!$B$4:$M$94,12,FALSE)</f>
        <v>40,80</v>
      </c>
      <c r="H298" s="1" t="s">
        <v>213</v>
      </c>
    </row>
    <row r="299" spans="2:8">
      <c r="B299" s="1" t="str">
        <f t="shared" si="5"/>
        <v>choco_candyt_salty</v>
      </c>
      <c r="C299" s="29" t="s">
        <v>47</v>
      </c>
      <c r="D299" s="1" t="s">
        <v>218</v>
      </c>
      <c r="E299" s="1">
        <v>100</v>
      </c>
      <c r="F299" s="1">
        <f>VLOOKUP(C299,dish_base!$B$4:$O$94,14,FALSE)</f>
        <v>60</v>
      </c>
      <c r="G299" s="1" t="str">
        <f>VLOOKUP(C299,dish_base!$B$4:$M$94,12,FALSE)</f>
        <v>40,80</v>
      </c>
      <c r="H299" s="1" t="s">
        <v>213</v>
      </c>
    </row>
    <row r="300" spans="2:8">
      <c r="B300" s="1" t="str">
        <f t="shared" si="5"/>
        <v>jellyt_salty</v>
      </c>
      <c r="C300" s="29" t="s">
        <v>50</v>
      </c>
      <c r="D300" s="1" t="s">
        <v>218</v>
      </c>
      <c r="E300" s="1">
        <v>100</v>
      </c>
      <c r="F300" s="1">
        <f>VLOOKUP(C300,dish_base!$B$4:$O$94,14,FALSE)</f>
        <v>60</v>
      </c>
      <c r="G300" s="1" t="str">
        <f>VLOOKUP(C300,dish_base!$B$4:$M$94,12,FALSE)</f>
        <v>40,80</v>
      </c>
      <c r="H300" s="1" t="s">
        <v>213</v>
      </c>
    </row>
    <row r="301" spans="2:8">
      <c r="B301" s="1" t="str">
        <f t="shared" si="5"/>
        <v>cream_cellt_salty</v>
      </c>
      <c r="C301" s="29" t="s">
        <v>54</v>
      </c>
      <c r="D301" s="1" t="s">
        <v>218</v>
      </c>
      <c r="E301" s="1">
        <v>100</v>
      </c>
      <c r="F301" s="1">
        <f>VLOOKUP(C301,dish_base!$B$4:$O$94,14,FALSE)</f>
        <v>60</v>
      </c>
      <c r="G301" s="1" t="str">
        <f>VLOOKUP(C301,dish_base!$B$4:$M$94,12,FALSE)</f>
        <v>40,80</v>
      </c>
      <c r="H301" s="1" t="s">
        <v>213</v>
      </c>
    </row>
    <row r="302" spans="2:8">
      <c r="B302" s="1" t="str">
        <f t="shared" si="5"/>
        <v>sugarbeant_salty</v>
      </c>
      <c r="C302" s="29" t="s">
        <v>58</v>
      </c>
      <c r="D302" s="1" t="s">
        <v>218</v>
      </c>
      <c r="E302" s="1">
        <v>100</v>
      </c>
      <c r="F302" s="1">
        <f>VLOOKUP(C302,dish_base!$B$4:$O$94,14,FALSE)</f>
        <v>60</v>
      </c>
      <c r="G302" s="1" t="str">
        <f>VLOOKUP(C302,dish_base!$B$4:$M$94,12,FALSE)</f>
        <v>40,80</v>
      </c>
      <c r="H302" s="1" t="s">
        <v>213</v>
      </c>
    </row>
    <row r="303" spans="2:8">
      <c r="B303" s="1" t="str">
        <f t="shared" si="5"/>
        <v>gold_chocot_salty</v>
      </c>
      <c r="C303" s="29" t="s">
        <v>62</v>
      </c>
      <c r="D303" s="1" t="s">
        <v>218</v>
      </c>
      <c r="E303" s="1">
        <v>100</v>
      </c>
      <c r="F303" s="1">
        <f>VLOOKUP(C303,dish_base!$B$4:$O$94,14,FALSE)</f>
        <v>60</v>
      </c>
      <c r="G303" s="1" t="str">
        <f>VLOOKUP(C303,dish_base!$B$4:$M$94,12,FALSE)</f>
        <v>40,80</v>
      </c>
      <c r="H303" s="1" t="s">
        <v>213</v>
      </c>
    </row>
    <row r="304" spans="2:8">
      <c r="B304" s="1" t="str">
        <f t="shared" si="5"/>
        <v>milk_slicet_salty</v>
      </c>
      <c r="C304" s="29" t="s">
        <v>66</v>
      </c>
      <c r="D304" s="1" t="s">
        <v>218</v>
      </c>
      <c r="E304" s="1">
        <v>100</v>
      </c>
      <c r="F304" s="1">
        <f>VLOOKUP(C304,dish_base!$B$4:$O$94,14,FALSE)</f>
        <v>60</v>
      </c>
      <c r="G304" s="1" t="str">
        <f>VLOOKUP(C304,dish_base!$B$4:$M$94,12,FALSE)</f>
        <v>40,80</v>
      </c>
      <c r="H304" s="1" t="s">
        <v>213</v>
      </c>
    </row>
    <row r="305" spans="2:8">
      <c r="B305" s="1" t="str">
        <f t="shared" si="5"/>
        <v>sundaet_salty</v>
      </c>
      <c r="C305" s="29" t="s">
        <v>70</v>
      </c>
      <c r="D305" s="1" t="s">
        <v>218</v>
      </c>
      <c r="E305" s="1">
        <v>100</v>
      </c>
      <c r="F305" s="1">
        <f>VLOOKUP(C305,dish_base!$B$4:$O$94,14,FALSE)</f>
        <v>80</v>
      </c>
      <c r="G305" s="1" t="str">
        <f>VLOOKUP(C305,dish_base!$B$4:$M$94,12,FALSE)</f>
        <v>45,80</v>
      </c>
      <c r="H305" s="1" t="s">
        <v>213</v>
      </c>
    </row>
    <row r="306" spans="2:8">
      <c r="B306" s="1" t="str">
        <f t="shared" si="5"/>
        <v>conet_salty</v>
      </c>
      <c r="C306" s="29" t="s">
        <v>74</v>
      </c>
      <c r="D306" s="1" t="s">
        <v>218</v>
      </c>
      <c r="E306" s="1">
        <v>100</v>
      </c>
      <c r="F306" s="1">
        <f>VLOOKUP(C306,dish_base!$B$4:$O$94,14,FALSE)</f>
        <v>80</v>
      </c>
      <c r="G306" s="1" t="str">
        <f>VLOOKUP(C306,dish_base!$B$4:$M$94,12,FALSE)</f>
        <v>45,80</v>
      </c>
      <c r="H306" s="1" t="s">
        <v>213</v>
      </c>
    </row>
    <row r="307" spans="2:8">
      <c r="B307" s="1" t="str">
        <f t="shared" si="5"/>
        <v>lollipopt_salty</v>
      </c>
      <c r="C307" s="29" t="s">
        <v>77</v>
      </c>
      <c r="D307" s="1" t="s">
        <v>218</v>
      </c>
      <c r="E307" s="1">
        <v>100</v>
      </c>
      <c r="F307" s="1">
        <f>VLOOKUP(C307,dish_base!$B$4:$O$94,14,FALSE)</f>
        <v>80</v>
      </c>
      <c r="G307" s="1" t="str">
        <f>VLOOKUP(C307,dish_base!$B$4:$M$94,12,FALSE)</f>
        <v>45,80</v>
      </c>
      <c r="H307" s="1" t="s">
        <v>213</v>
      </c>
    </row>
    <row r="308" spans="2:8">
      <c r="B308" s="1" t="str">
        <f t="shared" si="5"/>
        <v>gummyt_salty</v>
      </c>
      <c r="C308" s="29" t="s">
        <v>80</v>
      </c>
      <c r="D308" s="1" t="s">
        <v>218</v>
      </c>
      <c r="E308" s="1">
        <v>100</v>
      </c>
      <c r="F308" s="1">
        <f>VLOOKUP(C308,dish_base!$B$4:$O$94,14,FALSE)</f>
        <v>80</v>
      </c>
      <c r="G308" s="1" t="str">
        <f>VLOOKUP(C308,dish_base!$B$4:$M$94,12,FALSE)</f>
        <v>45,80</v>
      </c>
      <c r="H308" s="1" t="s">
        <v>213</v>
      </c>
    </row>
    <row r="309" spans="2:8">
      <c r="B309" s="1" t="str">
        <f t="shared" si="5"/>
        <v>cupcaket_salty</v>
      </c>
      <c r="C309" s="29" t="s">
        <v>83</v>
      </c>
      <c r="D309" s="1" t="s">
        <v>218</v>
      </c>
      <c r="E309" s="1">
        <v>100</v>
      </c>
      <c r="F309" s="1">
        <f>VLOOKUP(C309,dish_base!$B$4:$O$94,14,FALSE)</f>
        <v>80</v>
      </c>
      <c r="G309" s="1" t="str">
        <f>VLOOKUP(C309,dish_base!$B$4:$M$94,12,FALSE)</f>
        <v>45,80</v>
      </c>
      <c r="H309" s="1" t="s">
        <v>213</v>
      </c>
    </row>
    <row r="310" spans="2:8">
      <c r="B310" s="1" t="str">
        <f t="shared" si="5"/>
        <v>mousset_salty</v>
      </c>
      <c r="C310" s="29" t="s">
        <v>87</v>
      </c>
      <c r="D310" s="1" t="s">
        <v>218</v>
      </c>
      <c r="E310" s="1">
        <v>100</v>
      </c>
      <c r="F310" s="1">
        <f>VLOOKUP(C310,dish_base!$B$4:$O$94,14,FALSE)</f>
        <v>80</v>
      </c>
      <c r="G310" s="30" t="str">
        <f>VLOOKUP(C310,dish_base!$B$4:$M$94,12,FALSE)</f>
        <v>45,80</v>
      </c>
      <c r="H310" s="1" t="s">
        <v>213</v>
      </c>
    </row>
    <row r="311" spans="2:8">
      <c r="B311" s="1" t="str">
        <f t="shared" si="5"/>
        <v>toffeet_salty</v>
      </c>
      <c r="C311" s="29" t="s">
        <v>94</v>
      </c>
      <c r="D311" s="1" t="s">
        <v>218</v>
      </c>
      <c r="E311" s="1">
        <v>100</v>
      </c>
      <c r="F311" s="1">
        <f>VLOOKUP(C311,dish_base!$B$4:$O$94,14,FALSE)</f>
        <v>80</v>
      </c>
      <c r="G311" s="30" t="str">
        <f>VLOOKUP(C311,dish_base!$B$4:$M$94,12,FALSE)</f>
        <v>45,80</v>
      </c>
      <c r="H311" s="1" t="s">
        <v>213</v>
      </c>
    </row>
    <row r="312" spans="2:8">
      <c r="B312" s="1" t="str">
        <f t="shared" si="5"/>
        <v>nougatt_salty</v>
      </c>
      <c r="C312" s="29" t="s">
        <v>101</v>
      </c>
      <c r="D312" s="1" t="s">
        <v>218</v>
      </c>
      <c r="E312" s="1">
        <v>100</v>
      </c>
      <c r="F312" s="1">
        <f>VLOOKUP(C312,dish_base!$B$4:$O$94,14,FALSE)</f>
        <v>80</v>
      </c>
      <c r="G312" s="30" t="str">
        <f>VLOOKUP(C312,dish_base!$B$4:$M$94,12,FALSE)</f>
        <v>45,80</v>
      </c>
      <c r="H312" s="1" t="s">
        <v>213</v>
      </c>
    </row>
    <row r="313" spans="2:8">
      <c r="B313" s="1" t="str">
        <f t="shared" si="5"/>
        <v>eggrollt_salty</v>
      </c>
      <c r="C313" s="29" t="s">
        <v>108</v>
      </c>
      <c r="D313" s="1" t="s">
        <v>218</v>
      </c>
      <c r="E313" s="1">
        <v>100</v>
      </c>
      <c r="F313" s="1">
        <f>VLOOKUP(C313,dish_base!$B$4:$O$94,14,FALSE)</f>
        <v>100</v>
      </c>
      <c r="G313" s="30" t="str">
        <f>VLOOKUP(C313,dish_base!$B$4:$M$94,12,FALSE)</f>
        <v>50,90</v>
      </c>
      <c r="H313" s="1" t="s">
        <v>213</v>
      </c>
    </row>
    <row r="314" spans="2:8">
      <c r="B314" s="1" t="str">
        <f t="shared" si="5"/>
        <v>choco_bart_salty</v>
      </c>
      <c r="C314" s="28" t="s">
        <v>114</v>
      </c>
      <c r="D314" s="1" t="s">
        <v>218</v>
      </c>
      <c r="E314" s="1">
        <v>100</v>
      </c>
      <c r="F314" s="1">
        <f>VLOOKUP(C314,dish_base!$B$4:$O$94,14,FALSE)</f>
        <v>100</v>
      </c>
      <c r="G314" s="30" t="str">
        <f>VLOOKUP(C314,dish_base!$B$4:$M$94,12,FALSE)</f>
        <v>50,90</v>
      </c>
      <c r="H314" s="1" t="s">
        <v>213</v>
      </c>
    </row>
    <row r="315" spans="2:8">
      <c r="B315" s="1" t="str">
        <f t="shared" si="5"/>
        <v>eclairt_salty</v>
      </c>
      <c r="C315" s="29" t="s">
        <v>117</v>
      </c>
      <c r="D315" s="1" t="s">
        <v>218</v>
      </c>
      <c r="E315" s="1">
        <v>100</v>
      </c>
      <c r="F315" s="1">
        <f>VLOOKUP(C315,dish_base!$B$4:$O$94,14,FALSE)</f>
        <v>100</v>
      </c>
      <c r="G315" s="30" t="str">
        <f>VLOOKUP(C315,dish_base!$B$4:$M$94,12,FALSE)</f>
        <v>50,90</v>
      </c>
      <c r="H315" s="1" t="s">
        <v>213</v>
      </c>
    </row>
    <row r="316" spans="2:8">
      <c r="B316" s="1" t="str">
        <f t="shared" si="5"/>
        <v>tanghulut_salty</v>
      </c>
      <c r="C316" s="29" t="s">
        <v>120</v>
      </c>
      <c r="D316" s="1" t="s">
        <v>218</v>
      </c>
      <c r="E316" s="1">
        <v>100</v>
      </c>
      <c r="F316" s="1">
        <f>VLOOKUP(C316,dish_base!$B$4:$O$94,14,FALSE)</f>
        <v>100</v>
      </c>
      <c r="G316" s="30" t="str">
        <f>VLOOKUP(C316,dish_base!$B$4:$M$94,12,FALSE)</f>
        <v>50,90</v>
      </c>
      <c r="H316" s="1" t="s">
        <v>213</v>
      </c>
    </row>
    <row r="317" spans="2:8">
      <c r="B317" s="1" t="str">
        <f t="shared" si="5"/>
        <v>soufflet_salty</v>
      </c>
      <c r="C317" s="1" t="s">
        <v>123</v>
      </c>
      <c r="D317" s="1" t="s">
        <v>218</v>
      </c>
      <c r="E317" s="1">
        <v>100</v>
      </c>
      <c r="F317" s="1">
        <f>VLOOKUP(C317,dish_base!$B$4:$O$94,14,FALSE)</f>
        <v>120</v>
      </c>
      <c r="G317" s="30" t="str">
        <f>VLOOKUP(C317,dish_base!$B$4:$M$94,12,FALSE)</f>
        <v>55,100</v>
      </c>
      <c r="H317" s="1" t="s">
        <v>213</v>
      </c>
    </row>
    <row r="318" spans="2:8">
      <c r="B318" s="1" t="str">
        <f t="shared" si="5"/>
        <v>maple_sugart_salty</v>
      </c>
      <c r="C318" s="1" t="s">
        <v>126</v>
      </c>
      <c r="D318" s="1" t="s">
        <v>218</v>
      </c>
      <c r="E318" s="1">
        <v>100</v>
      </c>
      <c r="F318" s="1">
        <f>VLOOKUP(C318,dish_base!$B$4:$O$94,14,FALSE)</f>
        <v>120</v>
      </c>
      <c r="G318" s="30" t="str">
        <f>VLOOKUP(C318,dish_base!$B$4:$M$94,12,FALSE)</f>
        <v>55,100</v>
      </c>
      <c r="H318" s="1" t="s">
        <v>213</v>
      </c>
    </row>
    <row r="319" spans="2:8">
      <c r="B319" s="1" t="str">
        <f t="shared" si="5"/>
        <v>taosut_salty</v>
      </c>
      <c r="C319" s="1" t="s">
        <v>129</v>
      </c>
      <c r="D319" s="1" t="s">
        <v>218</v>
      </c>
      <c r="E319" s="1">
        <v>100</v>
      </c>
      <c r="F319" s="1">
        <f>VLOOKUP(C319,dish_base!$B$4:$O$94,14,FALSE)</f>
        <v>120</v>
      </c>
      <c r="G319" s="30" t="str">
        <f>VLOOKUP(C319,dish_base!$B$4:$M$94,12,FALSE)</f>
        <v>55,100</v>
      </c>
      <c r="H319" s="1" t="s">
        <v>213</v>
      </c>
    </row>
    <row r="320" spans="2:8">
      <c r="B320" s="1" t="str">
        <f t="shared" si="5"/>
        <v>mooncaket_salty</v>
      </c>
      <c r="C320" s="1" t="s">
        <v>132</v>
      </c>
      <c r="D320" s="1" t="s">
        <v>218</v>
      </c>
      <c r="E320" s="1">
        <v>100</v>
      </c>
      <c r="F320" s="1">
        <f>VLOOKUP(C320,dish_base!$B$4:$O$94,14,FALSE)</f>
        <v>120</v>
      </c>
      <c r="G320" s="30" t="str">
        <f>VLOOKUP(C320,dish_base!$B$4:$M$94,12,FALSE)</f>
        <v>55,100</v>
      </c>
      <c r="H320" s="1" t="s">
        <v>213</v>
      </c>
    </row>
    <row r="321" spans="2:8">
      <c r="B321" s="1" t="str">
        <f t="shared" si="5"/>
        <v>wafflet_salty</v>
      </c>
      <c r="C321" s="1" t="s">
        <v>135</v>
      </c>
      <c r="D321" s="1" t="s">
        <v>218</v>
      </c>
      <c r="E321" s="1">
        <v>100</v>
      </c>
      <c r="F321" s="1">
        <f>VLOOKUP(C321,dish_base!$B$4:$O$94,14,FALSE)</f>
        <v>120</v>
      </c>
      <c r="G321" s="30" t="str">
        <f>VLOOKUP(C321,dish_base!$B$4:$M$94,12,FALSE)</f>
        <v>55,100</v>
      </c>
      <c r="H321" s="1" t="s">
        <v>213</v>
      </c>
    </row>
    <row r="322" spans="2:8">
      <c r="B322" s="1" t="str">
        <f t="shared" si="5"/>
        <v>dorayakit_salty</v>
      </c>
      <c r="C322" s="1" t="s">
        <v>138</v>
      </c>
      <c r="D322" s="1" t="s">
        <v>218</v>
      </c>
      <c r="E322" s="1">
        <v>100</v>
      </c>
      <c r="F322" s="1">
        <f>VLOOKUP(C322,dish_base!$B$4:$O$94,14,FALSE)</f>
        <v>120</v>
      </c>
      <c r="G322" s="30" t="str">
        <f>VLOOKUP(C322,dish_base!$B$4:$M$94,12,FALSE)</f>
        <v>55,100</v>
      </c>
      <c r="H322" s="1" t="s">
        <v>213</v>
      </c>
    </row>
    <row r="323" spans="2:8">
      <c r="B323" s="1" t="str">
        <f t="shared" si="5"/>
        <v>cream_caket_salty</v>
      </c>
      <c r="C323" s="1" t="s">
        <v>141</v>
      </c>
      <c r="D323" s="1" t="s">
        <v>218</v>
      </c>
      <c r="E323" s="1">
        <v>100</v>
      </c>
      <c r="F323" s="1">
        <f>VLOOKUP(C323,dish_base!$B$4:$O$94,14,FALSE)</f>
        <v>120</v>
      </c>
      <c r="G323" s="30" t="str">
        <f>VLOOKUP(C323,dish_base!$B$4:$M$94,12,FALSE)</f>
        <v>55,100</v>
      </c>
      <c r="H323" s="1" t="s">
        <v>213</v>
      </c>
    </row>
    <row r="324" spans="2:8">
      <c r="B324" s="1" t="str">
        <f t="shared" si="5"/>
        <v>donutt_salty</v>
      </c>
      <c r="C324" s="1" t="s">
        <v>144</v>
      </c>
      <c r="D324" s="1" t="s">
        <v>218</v>
      </c>
      <c r="E324" s="1">
        <v>100</v>
      </c>
      <c r="F324" s="1">
        <f>VLOOKUP(C324,dish_base!$B$4:$O$94,14,FALSE)</f>
        <v>120</v>
      </c>
      <c r="G324" s="30" t="str">
        <f>VLOOKUP(C324,dish_base!$B$4:$M$94,12,FALSE)</f>
        <v>55,100</v>
      </c>
      <c r="H324" s="1" t="s">
        <v>213</v>
      </c>
    </row>
    <row r="325" spans="2:8">
      <c r="B325" s="1" t="str">
        <f t="shared" si="5"/>
        <v>pengtangt_salty</v>
      </c>
      <c r="C325" s="1" t="s">
        <v>147</v>
      </c>
      <c r="D325" s="1" t="s">
        <v>218</v>
      </c>
      <c r="E325" s="1">
        <v>100</v>
      </c>
      <c r="F325" s="1">
        <f>VLOOKUP(C325,dish_base!$B$4:$O$94,14,FALSE)</f>
        <v>120</v>
      </c>
      <c r="G325" s="30" t="str">
        <f>VLOOKUP(C325,dish_base!$B$4:$M$94,12,FALSE)</f>
        <v>55,100</v>
      </c>
      <c r="H325" s="1" t="s">
        <v>213</v>
      </c>
    </row>
    <row r="326" spans="2:8">
      <c r="B326" s="1" t="str">
        <f t="shared" ref="B326:B332" si="6">C326&amp;D326</f>
        <v>parfaitt_salty</v>
      </c>
      <c r="C326" s="1" t="s">
        <v>150</v>
      </c>
      <c r="D326" s="1" t="s">
        <v>218</v>
      </c>
      <c r="E326" s="1">
        <v>100</v>
      </c>
      <c r="F326" s="1">
        <f>VLOOKUP(C326,dish_base!$B$4:$O$94,14,FALSE)</f>
        <v>160</v>
      </c>
      <c r="G326" s="30" t="str">
        <f>VLOOKUP(C326,dish_base!$B$4:$M$94,12,FALSE)</f>
        <v>70,120</v>
      </c>
      <c r="H326" s="1" t="s">
        <v>213</v>
      </c>
    </row>
    <row r="327" spans="2:8">
      <c r="B327" s="1" t="str">
        <f t="shared" si="6"/>
        <v>sundae_bigt_salty</v>
      </c>
      <c r="C327" s="1" t="s">
        <v>153</v>
      </c>
      <c r="D327" s="1" t="s">
        <v>218</v>
      </c>
      <c r="E327" s="1">
        <v>100</v>
      </c>
      <c r="F327" s="1">
        <f>VLOOKUP(C327,dish_base!$B$4:$O$94,14,FALSE)</f>
        <v>160</v>
      </c>
      <c r="G327" s="30" t="str">
        <f>VLOOKUP(C327,dish_base!$B$4:$M$94,12,FALSE)</f>
        <v>70,120</v>
      </c>
      <c r="H327" s="1" t="s">
        <v>213</v>
      </c>
    </row>
    <row r="328" spans="2:8">
      <c r="B328" s="1" t="str">
        <f t="shared" si="6"/>
        <v>swiss_rollt_salty</v>
      </c>
      <c r="C328" s="1" t="s">
        <v>156</v>
      </c>
      <c r="D328" s="1" t="s">
        <v>218</v>
      </c>
      <c r="E328" s="1">
        <v>100</v>
      </c>
      <c r="F328" s="1">
        <f>VLOOKUP(C328,dish_base!$B$4:$O$94,14,FALSE)</f>
        <v>160</v>
      </c>
      <c r="G328" s="30" t="str">
        <f>VLOOKUP(C328,dish_base!$B$4:$M$94,12,FALSE)</f>
        <v>70,120</v>
      </c>
      <c r="H328" s="1" t="s">
        <v>213</v>
      </c>
    </row>
    <row r="329" spans="2:8">
      <c r="B329" s="1" t="str">
        <f t="shared" si="6"/>
        <v>mango_sagot_salty</v>
      </c>
      <c r="C329" s="1" t="s">
        <v>159</v>
      </c>
      <c r="D329" s="1" t="s">
        <v>218</v>
      </c>
      <c r="E329" s="1">
        <v>100</v>
      </c>
      <c r="F329" s="1">
        <f>VLOOKUP(C329,dish_base!$B$4:$O$94,14,FALSE)</f>
        <v>160</v>
      </c>
      <c r="G329" s="30" t="str">
        <f>VLOOKUP(C329,dish_base!$B$4:$M$94,12,FALSE)</f>
        <v>70,120</v>
      </c>
      <c r="H329" s="1" t="s">
        <v>213</v>
      </c>
    </row>
    <row r="330" spans="2:8">
      <c r="B330" s="1" t="str">
        <f t="shared" si="6"/>
        <v>chiffiont_salty</v>
      </c>
      <c r="C330" s="1" t="s">
        <v>162</v>
      </c>
      <c r="D330" s="1" t="s">
        <v>218</v>
      </c>
      <c r="E330" s="1">
        <v>100</v>
      </c>
      <c r="F330" s="1">
        <f>VLOOKUP(C330,dish_base!$B$4:$O$94,14,FALSE)</f>
        <v>160</v>
      </c>
      <c r="G330" s="30" t="str">
        <f>VLOOKUP(C330,dish_base!$B$4:$M$94,12,FALSE)</f>
        <v>70,120</v>
      </c>
      <c r="H330" s="1" t="s">
        <v>213</v>
      </c>
    </row>
    <row r="331" spans="2:8">
      <c r="B331" s="1" t="str">
        <f t="shared" si="6"/>
        <v>apple_piet_salty</v>
      </c>
      <c r="C331" s="1" t="s">
        <v>165</v>
      </c>
      <c r="D331" s="1" t="s">
        <v>218</v>
      </c>
      <c r="E331" s="1">
        <v>100</v>
      </c>
      <c r="F331" s="1">
        <f>VLOOKUP(C331,dish_base!$B$4:$O$94,14,FALSE)</f>
        <v>160</v>
      </c>
      <c r="G331" s="30" t="str">
        <f>VLOOKUP(C331,dish_base!$B$4:$M$94,12,FALSE)</f>
        <v>70,120</v>
      </c>
      <c r="H331" s="1" t="s">
        <v>213</v>
      </c>
    </row>
    <row r="332" spans="2:8">
      <c r="B332" s="1" t="str">
        <f t="shared" si="6"/>
        <v>fruit_caket_salty</v>
      </c>
      <c r="C332" s="1" t="s">
        <v>168</v>
      </c>
      <c r="D332" s="1" t="s">
        <v>218</v>
      </c>
      <c r="E332" s="1">
        <v>100</v>
      </c>
      <c r="F332" s="1">
        <f>VLOOKUP(C332,dish_base!$B$4:$O$94,14,FALSE)</f>
        <v>160</v>
      </c>
      <c r="G332" s="30" t="str">
        <f>VLOOKUP(C332,dish_base!$B$4:$M$94,12,FALSE)</f>
        <v>70,120</v>
      </c>
      <c r="H332" s="1" t="s">
        <v>213</v>
      </c>
    </row>
    <row r="333" spans="2:8">
      <c r="B333" s="1" t="str">
        <f t="shared" ref="B333:B339" si="7">C333&amp;D333</f>
        <v>chocolatet_salty</v>
      </c>
      <c r="C333" s="1" t="s">
        <v>171</v>
      </c>
      <c r="D333" s="1" t="s">
        <v>218</v>
      </c>
      <c r="E333" s="1">
        <v>100</v>
      </c>
      <c r="F333" s="1">
        <f>VLOOKUP(C333,dish_base!$B$4:$O$94,14,FALSE)</f>
        <v>160</v>
      </c>
      <c r="G333" s="30" t="str">
        <f>VLOOKUP(C333,dish_base!$B$4:$M$94,12,FALSE)</f>
        <v>70,120</v>
      </c>
      <c r="H333" s="1" t="s">
        <v>213</v>
      </c>
    </row>
    <row r="334" spans="2:8">
      <c r="B334" s="1" t="str">
        <f t="shared" si="7"/>
        <v>croissantt_salty</v>
      </c>
      <c r="C334" s="1" t="s">
        <v>174</v>
      </c>
      <c r="D334" s="1" t="s">
        <v>218</v>
      </c>
      <c r="E334" s="1">
        <v>100</v>
      </c>
      <c r="F334" s="1">
        <f>VLOOKUP(C334,dish_base!$B$4:$O$94,14,FALSE)</f>
        <v>100</v>
      </c>
      <c r="G334" s="30" t="str">
        <f>VLOOKUP(C334,dish_base!$B$4:$M$94,12,FALSE)</f>
        <v>50,90</v>
      </c>
      <c r="H334" s="1" t="s">
        <v>213</v>
      </c>
    </row>
    <row r="335" spans="2:8">
      <c r="B335" s="1" t="str">
        <f t="shared" si="7"/>
        <v>palmiert_salty</v>
      </c>
      <c r="C335" s="1" t="s">
        <v>178</v>
      </c>
      <c r="D335" s="1" t="s">
        <v>218</v>
      </c>
      <c r="E335" s="1">
        <v>100</v>
      </c>
      <c r="F335" s="1">
        <f>VLOOKUP(C335,dish_base!$B$4:$O$94,14,FALSE)</f>
        <v>100</v>
      </c>
      <c r="G335" s="30" t="str">
        <f>VLOOKUP(C335,dish_base!$B$4:$M$94,12,FALSE)</f>
        <v>50,90</v>
      </c>
      <c r="H335" s="1" t="s">
        <v>213</v>
      </c>
    </row>
    <row r="336" spans="2:8">
      <c r="B336" s="1" t="str">
        <f t="shared" si="7"/>
        <v>candycanet_salty</v>
      </c>
      <c r="C336" s="1" t="s">
        <v>182</v>
      </c>
      <c r="D336" s="1" t="s">
        <v>218</v>
      </c>
      <c r="E336" s="1">
        <v>100</v>
      </c>
      <c r="F336" s="1">
        <f>VLOOKUP(C336,dish_base!$B$4:$O$94,14,FALSE)</f>
        <v>120</v>
      </c>
      <c r="G336" s="30" t="str">
        <f>VLOOKUP(C336,dish_base!$B$4:$M$94,12,FALSE)</f>
        <v>55,100</v>
      </c>
      <c r="H336" s="1" t="s">
        <v>213</v>
      </c>
    </row>
    <row r="337" spans="2:8">
      <c r="B337" s="1" t="str">
        <f t="shared" si="7"/>
        <v>big_lollipopt_salty</v>
      </c>
      <c r="C337" s="1" t="s">
        <v>185</v>
      </c>
      <c r="D337" s="1" t="s">
        <v>218</v>
      </c>
      <c r="E337" s="1">
        <v>100</v>
      </c>
      <c r="F337" s="1">
        <f>VLOOKUP(C337,dish_base!$B$4:$O$94,14,FALSE)</f>
        <v>270</v>
      </c>
      <c r="G337" s="30" t="str">
        <f>VLOOKUP(C337,dish_base!$B$4:$M$94,12,FALSE)</f>
        <v>80,130</v>
      </c>
      <c r="H337" s="1" t="s">
        <v>213</v>
      </c>
    </row>
    <row r="338" spans="2:8">
      <c r="B338" s="1" t="str">
        <f t="shared" si="7"/>
        <v>marshmallowt_salty</v>
      </c>
      <c r="C338" s="1" t="s">
        <v>189</v>
      </c>
      <c r="D338" s="1" t="s">
        <v>218</v>
      </c>
      <c r="E338" s="1">
        <v>100</v>
      </c>
      <c r="F338" s="1">
        <f>VLOOKUP(C338,dish_base!$B$4:$O$94,14,FALSE)</f>
        <v>220</v>
      </c>
      <c r="G338" s="30" t="str">
        <f>VLOOKUP(C338,dish_base!$B$4:$M$94,12,FALSE)</f>
        <v>80,130</v>
      </c>
      <c r="H338" s="1" t="s">
        <v>213</v>
      </c>
    </row>
    <row r="339" spans="2:8">
      <c r="B339" s="1" t="str">
        <f t="shared" si="7"/>
        <v>double_caket_salty</v>
      </c>
      <c r="C339" s="1" t="s">
        <v>192</v>
      </c>
      <c r="D339" s="1" t="s">
        <v>218</v>
      </c>
      <c r="E339" s="1">
        <v>100</v>
      </c>
      <c r="F339" s="1">
        <f>VLOOKUP(C339,dish_base!$B$4:$O$94,14,FALSE)</f>
        <v>370</v>
      </c>
      <c r="G339" s="30" t="str">
        <f>VLOOKUP(C339,dish_base!$B$4:$M$94,12,FALSE)</f>
        <v>80,130</v>
      </c>
      <c r="H339" s="1" t="s">
        <v>213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1"/>
  <sheetViews>
    <sheetView workbookViewId="0">
      <selection activeCell="A1" sqref="A1"/>
    </sheetView>
  </sheetViews>
  <sheetFormatPr defaultColWidth="9" defaultRowHeight="16.8"/>
  <cols>
    <col min="1" max="1" width="13.0769230769231" customWidth="1"/>
    <col min="2" max="2" width="23.2307692307692" customWidth="1"/>
    <col min="3" max="4" width="53.2307692307692" customWidth="1"/>
    <col min="7" max="7" width="36.3846153846154" customWidth="1"/>
    <col min="8" max="8" width="28.9230769230769" customWidth="1"/>
    <col min="10" max="10" width="17.3076923076923" customWidth="1"/>
  </cols>
  <sheetData>
    <row r="1" spans="1:3">
      <c r="A1" t="s">
        <v>0</v>
      </c>
      <c r="B1" t="s">
        <v>1</v>
      </c>
      <c r="C1" t="s">
        <v>220</v>
      </c>
    </row>
    <row r="2" spans="1:3">
      <c r="A2" t="s">
        <v>9</v>
      </c>
      <c r="B2" t="s">
        <v>221</v>
      </c>
      <c r="C2" t="s">
        <v>222</v>
      </c>
    </row>
    <row r="3" spans="1:3">
      <c r="A3" t="s">
        <v>18</v>
      </c>
      <c r="B3" t="s">
        <v>19</v>
      </c>
      <c r="C3" t="s">
        <v>19</v>
      </c>
    </row>
    <row r="4" spans="2:11">
      <c r="B4" t="s">
        <v>26</v>
      </c>
      <c r="C4" t="s">
        <v>223</v>
      </c>
      <c r="G4" t="s">
        <v>223</v>
      </c>
      <c r="J4" t="s">
        <v>23</v>
      </c>
      <c r="K4" t="s">
        <v>24</v>
      </c>
    </row>
    <row r="5" spans="2:11">
      <c r="B5" t="s">
        <v>31</v>
      </c>
      <c r="C5" t="s">
        <v>224</v>
      </c>
      <c r="G5" t="s">
        <v>225</v>
      </c>
      <c r="H5" t="s">
        <v>226</v>
      </c>
      <c r="J5" t="s">
        <v>29</v>
      </c>
      <c r="K5" t="s">
        <v>30</v>
      </c>
    </row>
    <row r="6" spans="2:11">
      <c r="B6" t="s">
        <v>34</v>
      </c>
      <c r="C6" t="s">
        <v>227</v>
      </c>
      <c r="G6" t="s">
        <v>227</v>
      </c>
      <c r="J6" t="s">
        <v>32</v>
      </c>
      <c r="K6" t="s">
        <v>33</v>
      </c>
    </row>
    <row r="7" spans="2:11">
      <c r="B7" t="s">
        <v>37</v>
      </c>
      <c r="C7" t="s">
        <v>228</v>
      </c>
      <c r="G7" t="s">
        <v>228</v>
      </c>
      <c r="J7" t="s">
        <v>35</v>
      </c>
      <c r="K7" t="s">
        <v>36</v>
      </c>
    </row>
    <row r="8" spans="2:11">
      <c r="B8" t="s">
        <v>40</v>
      </c>
      <c r="C8" t="s">
        <v>229</v>
      </c>
      <c r="G8" t="s">
        <v>229</v>
      </c>
      <c r="J8" t="s">
        <v>38</v>
      </c>
      <c r="K8" t="s">
        <v>39</v>
      </c>
    </row>
    <row r="9" spans="2:11">
      <c r="B9" t="s">
        <v>43</v>
      </c>
      <c r="C9" t="s">
        <v>230</v>
      </c>
      <c r="G9" t="s">
        <v>230</v>
      </c>
      <c r="J9" t="s">
        <v>41</v>
      </c>
      <c r="K9" t="s">
        <v>42</v>
      </c>
    </row>
    <row r="10" spans="2:11">
      <c r="B10" t="s">
        <v>46</v>
      </c>
      <c r="C10" t="s">
        <v>231</v>
      </c>
      <c r="G10" t="s">
        <v>231</v>
      </c>
      <c r="J10" t="s">
        <v>44</v>
      </c>
      <c r="K10" t="s">
        <v>45</v>
      </c>
    </row>
    <row r="11" spans="2:11">
      <c r="B11" t="s">
        <v>49</v>
      </c>
      <c r="C11" t="s">
        <v>232</v>
      </c>
      <c r="G11" t="s">
        <v>232</v>
      </c>
      <c r="J11" t="s">
        <v>47</v>
      </c>
      <c r="K11" t="s">
        <v>48</v>
      </c>
    </row>
    <row r="12" spans="2:11">
      <c r="B12" t="s">
        <v>52</v>
      </c>
      <c r="C12" t="s">
        <v>233</v>
      </c>
      <c r="G12" t="s">
        <v>233</v>
      </c>
      <c r="J12" t="s">
        <v>50</v>
      </c>
      <c r="K12" t="s">
        <v>51</v>
      </c>
    </row>
    <row r="13" spans="2:11">
      <c r="B13" t="s">
        <v>56</v>
      </c>
      <c r="C13" t="s">
        <v>234</v>
      </c>
      <c r="G13" t="s">
        <v>234</v>
      </c>
      <c r="J13" t="s">
        <v>54</v>
      </c>
      <c r="K13" t="s">
        <v>55</v>
      </c>
    </row>
    <row r="14" spans="2:11">
      <c r="B14" t="s">
        <v>60</v>
      </c>
      <c r="C14" t="s">
        <v>235</v>
      </c>
      <c r="G14" t="s">
        <v>236</v>
      </c>
      <c r="H14" t="s">
        <v>237</v>
      </c>
      <c r="J14" t="s">
        <v>58</v>
      </c>
      <c r="K14" t="s">
        <v>59</v>
      </c>
    </row>
    <row r="15" spans="2:11">
      <c r="B15" t="s">
        <v>64</v>
      </c>
      <c r="C15" t="s">
        <v>238</v>
      </c>
      <c r="G15" t="s">
        <v>238</v>
      </c>
      <c r="J15" t="s">
        <v>62</v>
      </c>
      <c r="K15" t="s">
        <v>63</v>
      </c>
    </row>
    <row r="16" spans="2:11">
      <c r="B16" t="s">
        <v>68</v>
      </c>
      <c r="C16" t="s">
        <v>239</v>
      </c>
      <c r="G16" t="s">
        <v>239</v>
      </c>
      <c r="J16" t="s">
        <v>66</v>
      </c>
      <c r="K16" t="s">
        <v>67</v>
      </c>
    </row>
    <row r="17" spans="2:11">
      <c r="B17" t="s">
        <v>72</v>
      </c>
      <c r="C17" t="s">
        <v>240</v>
      </c>
      <c r="G17" t="s">
        <v>241</v>
      </c>
      <c r="H17" t="s">
        <v>242</v>
      </c>
      <c r="J17" t="s">
        <v>70</v>
      </c>
      <c r="K17" t="s">
        <v>71</v>
      </c>
    </row>
    <row r="18" spans="2:11">
      <c r="B18" t="s">
        <v>76</v>
      </c>
      <c r="C18" t="s">
        <v>243</v>
      </c>
      <c r="G18" t="s">
        <v>244</v>
      </c>
      <c r="J18" t="s">
        <v>74</v>
      </c>
      <c r="K18" t="s">
        <v>75</v>
      </c>
    </row>
    <row r="19" spans="2:11">
      <c r="B19" t="s">
        <v>79</v>
      </c>
      <c r="C19" t="s">
        <v>245</v>
      </c>
      <c r="G19" t="s">
        <v>246</v>
      </c>
      <c r="H19" t="s">
        <v>247</v>
      </c>
      <c r="J19" t="s">
        <v>77</v>
      </c>
      <c r="K19" t="s">
        <v>78</v>
      </c>
    </row>
    <row r="20" spans="2:11">
      <c r="B20" t="s">
        <v>82</v>
      </c>
      <c r="C20" t="s">
        <v>248</v>
      </c>
      <c r="G20" t="s">
        <v>249</v>
      </c>
      <c r="H20" t="s">
        <v>250</v>
      </c>
      <c r="J20" t="s">
        <v>80</v>
      </c>
      <c r="K20" t="s">
        <v>81</v>
      </c>
    </row>
    <row r="21" spans="2:11">
      <c r="B21" t="s">
        <v>85</v>
      </c>
      <c r="C21" t="s">
        <v>251</v>
      </c>
      <c r="G21" t="s">
        <v>252</v>
      </c>
      <c r="H21" t="s">
        <v>253</v>
      </c>
      <c r="J21" t="s">
        <v>83</v>
      </c>
      <c r="K21" t="s">
        <v>254</v>
      </c>
    </row>
    <row r="22" spans="2:11">
      <c r="B22" t="s">
        <v>89</v>
      </c>
      <c r="C22" t="s">
        <v>255</v>
      </c>
      <c r="G22" t="s">
        <v>256</v>
      </c>
      <c r="H22" t="s">
        <v>257</v>
      </c>
      <c r="J22" t="s">
        <v>87</v>
      </c>
      <c r="K22" t="s">
        <v>88</v>
      </c>
    </row>
    <row r="23" spans="2:11">
      <c r="B23" t="s">
        <v>96</v>
      </c>
      <c r="C23" t="s">
        <v>258</v>
      </c>
      <c r="G23" t="s">
        <v>259</v>
      </c>
      <c r="H23" t="s">
        <v>260</v>
      </c>
      <c r="J23" t="s">
        <v>94</v>
      </c>
      <c r="K23" t="s">
        <v>95</v>
      </c>
    </row>
    <row r="24" spans="2:11">
      <c r="B24" t="s">
        <v>103</v>
      </c>
      <c r="C24" t="s">
        <v>261</v>
      </c>
      <c r="G24" t="s">
        <v>262</v>
      </c>
      <c r="H24" t="s">
        <v>263</v>
      </c>
      <c r="J24" t="s">
        <v>101</v>
      </c>
      <c r="K24" t="s">
        <v>102</v>
      </c>
    </row>
    <row r="25" spans="2:11">
      <c r="B25" t="s">
        <v>110</v>
      </c>
      <c r="C25" t="s">
        <v>264</v>
      </c>
      <c r="G25" t="s">
        <v>265</v>
      </c>
      <c r="H25" t="s">
        <v>266</v>
      </c>
      <c r="J25" t="s">
        <v>108</v>
      </c>
      <c r="K25" t="s">
        <v>109</v>
      </c>
    </row>
    <row r="26" spans="2:11">
      <c r="B26" t="s">
        <v>116</v>
      </c>
      <c r="C26" t="s">
        <v>267</v>
      </c>
      <c r="G26" t="s">
        <v>268</v>
      </c>
      <c r="H26" t="s">
        <v>269</v>
      </c>
      <c r="J26" t="s">
        <v>114</v>
      </c>
      <c r="K26" t="s">
        <v>115</v>
      </c>
    </row>
    <row r="27" spans="2:11">
      <c r="B27" t="s">
        <v>119</v>
      </c>
      <c r="C27" t="s">
        <v>270</v>
      </c>
      <c r="G27" t="s">
        <v>271</v>
      </c>
      <c r="H27" t="s">
        <v>272</v>
      </c>
      <c r="J27" t="s">
        <v>117</v>
      </c>
      <c r="K27" t="s">
        <v>118</v>
      </c>
    </row>
    <row r="28" spans="2:11">
      <c r="B28" t="s">
        <v>122</v>
      </c>
      <c r="C28" t="s">
        <v>273</v>
      </c>
      <c r="G28" t="s">
        <v>274</v>
      </c>
      <c r="H28" t="s">
        <v>275</v>
      </c>
      <c r="J28" t="s">
        <v>120</v>
      </c>
      <c r="K28" t="s">
        <v>121</v>
      </c>
    </row>
    <row r="29" spans="2:11">
      <c r="B29" t="s">
        <v>125</v>
      </c>
      <c r="C29" t="s">
        <v>276</v>
      </c>
      <c r="G29" t="s">
        <v>276</v>
      </c>
      <c r="J29" t="s">
        <v>123</v>
      </c>
      <c r="K29" t="s">
        <v>124</v>
      </c>
    </row>
    <row r="30" spans="2:11">
      <c r="B30" t="s">
        <v>131</v>
      </c>
      <c r="C30" t="s">
        <v>277</v>
      </c>
      <c r="G30" t="s">
        <v>278</v>
      </c>
      <c r="J30" t="s">
        <v>129</v>
      </c>
      <c r="K30" t="s">
        <v>130</v>
      </c>
    </row>
    <row r="31" spans="2:11">
      <c r="B31" t="s">
        <v>134</v>
      </c>
      <c r="C31" t="s">
        <v>279</v>
      </c>
      <c r="G31" t="s">
        <v>280</v>
      </c>
      <c r="H31" t="s">
        <v>281</v>
      </c>
      <c r="J31" t="s">
        <v>132</v>
      </c>
      <c r="K31" t="s">
        <v>133</v>
      </c>
    </row>
    <row r="32" spans="2:11">
      <c r="B32" t="s">
        <v>137</v>
      </c>
      <c r="C32" t="s">
        <v>282</v>
      </c>
      <c r="G32" t="s">
        <v>283</v>
      </c>
      <c r="H32" t="s">
        <v>284</v>
      </c>
      <c r="J32" t="s">
        <v>135</v>
      </c>
      <c r="K32" t="s">
        <v>136</v>
      </c>
    </row>
    <row r="33" spans="2:11">
      <c r="B33" t="s">
        <v>140</v>
      </c>
      <c r="C33" t="s">
        <v>285</v>
      </c>
      <c r="G33" t="s">
        <v>286</v>
      </c>
      <c r="H33" t="s">
        <v>287</v>
      </c>
      <c r="J33" t="s">
        <v>138</v>
      </c>
      <c r="K33" t="s">
        <v>139</v>
      </c>
    </row>
    <row r="34" spans="2:11">
      <c r="B34" t="s">
        <v>143</v>
      </c>
      <c r="C34" t="s">
        <v>288</v>
      </c>
      <c r="G34" t="s">
        <v>289</v>
      </c>
      <c r="H34" t="s">
        <v>290</v>
      </c>
      <c r="J34" t="s">
        <v>141</v>
      </c>
      <c r="K34" t="s">
        <v>142</v>
      </c>
    </row>
    <row r="35" spans="2:11">
      <c r="B35" t="s">
        <v>146</v>
      </c>
      <c r="C35" t="s">
        <v>291</v>
      </c>
      <c r="G35" t="s">
        <v>291</v>
      </c>
      <c r="H35" t="s">
        <v>292</v>
      </c>
      <c r="J35" t="s">
        <v>144</v>
      </c>
      <c r="K35" t="s">
        <v>145</v>
      </c>
    </row>
    <row r="36" spans="2:11">
      <c r="B36" t="s">
        <v>149</v>
      </c>
      <c r="C36" t="s">
        <v>293</v>
      </c>
      <c r="G36" t="s">
        <v>294</v>
      </c>
      <c r="H36" t="s">
        <v>295</v>
      </c>
      <c r="J36" t="s">
        <v>147</v>
      </c>
      <c r="K36" t="s">
        <v>148</v>
      </c>
    </row>
    <row r="37" spans="2:11">
      <c r="B37" t="s">
        <v>152</v>
      </c>
      <c r="C37" t="s">
        <v>296</v>
      </c>
      <c r="G37" t="s">
        <v>297</v>
      </c>
      <c r="H37" t="s">
        <v>298</v>
      </c>
      <c r="J37" t="s">
        <v>150</v>
      </c>
      <c r="K37" t="s">
        <v>151</v>
      </c>
    </row>
    <row r="38" spans="2:11">
      <c r="B38" t="s">
        <v>155</v>
      </c>
      <c r="C38" t="s">
        <v>299</v>
      </c>
      <c r="G38" t="s">
        <v>300</v>
      </c>
      <c r="H38" t="s">
        <v>301</v>
      </c>
      <c r="J38" t="s">
        <v>153</v>
      </c>
      <c r="K38" t="s">
        <v>71</v>
      </c>
    </row>
    <row r="39" spans="2:11">
      <c r="B39" t="s">
        <v>158</v>
      </c>
      <c r="C39" t="s">
        <v>302</v>
      </c>
      <c r="G39" t="s">
        <v>303</v>
      </c>
      <c r="H39" t="s">
        <v>304</v>
      </c>
      <c r="J39" t="s">
        <v>156</v>
      </c>
      <c r="K39" t="s">
        <v>157</v>
      </c>
    </row>
    <row r="40" spans="2:11">
      <c r="B40" t="s">
        <v>161</v>
      </c>
      <c r="C40" t="s">
        <v>305</v>
      </c>
      <c r="G40" t="s">
        <v>306</v>
      </c>
      <c r="H40" t="s">
        <v>307</v>
      </c>
      <c r="J40" t="s">
        <v>159</v>
      </c>
      <c r="K40" t="s">
        <v>160</v>
      </c>
    </row>
    <row r="41" spans="2:11">
      <c r="B41" t="s">
        <v>164</v>
      </c>
      <c r="C41" t="s">
        <v>308</v>
      </c>
      <c r="G41" t="s">
        <v>309</v>
      </c>
      <c r="H41" t="s">
        <v>310</v>
      </c>
      <c r="J41" t="s">
        <v>311</v>
      </c>
      <c r="K41" t="e">
        <v>#N/A</v>
      </c>
    </row>
    <row r="42" spans="2:11">
      <c r="B42" t="s">
        <v>167</v>
      </c>
      <c r="C42" t="s">
        <v>312</v>
      </c>
      <c r="G42" t="s">
        <v>312</v>
      </c>
      <c r="J42" t="s">
        <v>165</v>
      </c>
      <c r="K42" t="s">
        <v>166</v>
      </c>
    </row>
    <row r="43" spans="2:11">
      <c r="B43" t="s">
        <v>170</v>
      </c>
      <c r="C43" t="s">
        <v>313</v>
      </c>
      <c r="G43" t="s">
        <v>314</v>
      </c>
      <c r="H43" t="s">
        <v>315</v>
      </c>
      <c r="J43" t="s">
        <v>168</v>
      </c>
      <c r="K43" t="s">
        <v>169</v>
      </c>
    </row>
    <row r="44" spans="2:11">
      <c r="B44" t="s">
        <v>173</v>
      </c>
      <c r="C44" t="s">
        <v>316</v>
      </c>
      <c r="G44" t="s">
        <v>316</v>
      </c>
      <c r="J44" t="s">
        <v>171</v>
      </c>
      <c r="K44" t="s">
        <v>172</v>
      </c>
    </row>
    <row r="45" spans="2:11">
      <c r="B45" t="s">
        <v>176</v>
      </c>
      <c r="C45" t="s">
        <v>317</v>
      </c>
      <c r="G45" t="s">
        <v>317</v>
      </c>
      <c r="J45" t="s">
        <v>174</v>
      </c>
      <c r="K45" t="s">
        <v>175</v>
      </c>
    </row>
    <row r="46" spans="2:11">
      <c r="B46" t="s">
        <v>180</v>
      </c>
      <c r="C46" t="s">
        <v>318</v>
      </c>
      <c r="G46" t="s">
        <v>319</v>
      </c>
      <c r="H46" t="s">
        <v>320</v>
      </c>
      <c r="J46" t="s">
        <v>178</v>
      </c>
      <c r="K46" t="s">
        <v>179</v>
      </c>
    </row>
    <row r="47" spans="2:11">
      <c r="B47" t="s">
        <v>184</v>
      </c>
      <c r="C47" t="s">
        <v>321</v>
      </c>
      <c r="G47" t="s">
        <v>322</v>
      </c>
      <c r="H47" t="s">
        <v>323</v>
      </c>
      <c r="J47" t="s">
        <v>182</v>
      </c>
      <c r="K47" t="s">
        <v>183</v>
      </c>
    </row>
    <row r="48" spans="2:11">
      <c r="B48" t="s">
        <v>187</v>
      </c>
      <c r="C48" t="s">
        <v>324</v>
      </c>
      <c r="G48" t="s">
        <v>324</v>
      </c>
      <c r="J48" t="s">
        <v>185</v>
      </c>
      <c r="K48" t="s">
        <v>186</v>
      </c>
    </row>
    <row r="49" spans="2:11">
      <c r="B49" t="s">
        <v>191</v>
      </c>
      <c r="C49" t="s">
        <v>325</v>
      </c>
      <c r="G49" t="s">
        <v>326</v>
      </c>
      <c r="H49" t="s">
        <v>327</v>
      </c>
      <c r="J49" t="s">
        <v>189</v>
      </c>
      <c r="K49" t="s">
        <v>190</v>
      </c>
    </row>
    <row r="50" spans="2:11">
      <c r="B50" t="s">
        <v>194</v>
      </c>
      <c r="C50" t="s">
        <v>328</v>
      </c>
      <c r="G50" t="s">
        <v>328</v>
      </c>
      <c r="J50" t="s">
        <v>192</v>
      </c>
      <c r="K50" t="s">
        <v>193</v>
      </c>
    </row>
    <row r="51" spans="2:7">
      <c r="B51" t="s">
        <v>128</v>
      </c>
      <c r="C51" t="s">
        <v>329</v>
      </c>
      <c r="G51" t="s">
        <v>329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C4" sqref="C4:C9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58.6538461538462" style="1" customWidth="1"/>
    <col min="10" max="16384" width="9" style="1"/>
  </cols>
  <sheetData>
    <row r="1" spans="1:8">
      <c r="A1" s="1" t="s">
        <v>0</v>
      </c>
      <c r="B1" s="1" t="s">
        <v>1</v>
      </c>
      <c r="C1" s="1" t="s">
        <v>2</v>
      </c>
      <c r="D1" s="1" t="s">
        <v>330</v>
      </c>
      <c r="E1" s="1" t="s">
        <v>331</v>
      </c>
      <c r="F1" s="1" t="s">
        <v>332</v>
      </c>
      <c r="G1" s="1" t="s">
        <v>333</v>
      </c>
      <c r="H1" s="1" t="s">
        <v>334</v>
      </c>
    </row>
    <row r="2" spans="1:8">
      <c r="A2" s="1" t="s">
        <v>9</v>
      </c>
      <c r="B2" s="1" t="s">
        <v>335</v>
      </c>
      <c r="C2" s="1" t="s">
        <v>336</v>
      </c>
      <c r="D2" s="1" t="s">
        <v>337</v>
      </c>
      <c r="E2" s="1" t="s">
        <v>338</v>
      </c>
      <c r="F2" s="1" t="s">
        <v>339</v>
      </c>
      <c r="G2" s="1" t="s">
        <v>340</v>
      </c>
      <c r="H2" s="1" t="s">
        <v>341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342</v>
      </c>
      <c r="F3" s="1" t="s">
        <v>22</v>
      </c>
      <c r="G3" s="1" t="s">
        <v>343</v>
      </c>
      <c r="H3" s="1" t="s">
        <v>19</v>
      </c>
    </row>
    <row r="4" spans="2:9">
      <c r="B4" s="1" t="s">
        <v>214</v>
      </c>
      <c r="C4" s="1" t="s">
        <v>344</v>
      </c>
      <c r="D4" s="1" t="s">
        <v>345</v>
      </c>
      <c r="E4" s="1" t="s">
        <v>346</v>
      </c>
      <c r="G4" s="1" t="s">
        <v>347</v>
      </c>
      <c r="I4" s="1" t="s">
        <v>348</v>
      </c>
    </row>
    <row r="5" spans="2:9">
      <c r="B5" s="1" t="s">
        <v>215</v>
      </c>
      <c r="C5" s="1" t="s">
        <v>349</v>
      </c>
      <c r="D5" s="1" t="s">
        <v>350</v>
      </c>
      <c r="E5" s="1" t="s">
        <v>346</v>
      </c>
      <c r="G5" s="1" t="s">
        <v>351</v>
      </c>
      <c r="I5" s="1" t="s">
        <v>352</v>
      </c>
    </row>
    <row r="6" ht="34" spans="2:9">
      <c r="B6" s="1" t="s">
        <v>216</v>
      </c>
      <c r="C6" s="1" t="s">
        <v>353</v>
      </c>
      <c r="D6" s="19" t="s">
        <v>354</v>
      </c>
      <c r="E6" s="1" t="s">
        <v>355</v>
      </c>
      <c r="G6" s="1" t="s">
        <v>356</v>
      </c>
      <c r="I6" s="1" t="s">
        <v>357</v>
      </c>
    </row>
    <row r="7" spans="2:9">
      <c r="B7" s="1" t="s">
        <v>217</v>
      </c>
      <c r="C7" s="1" t="s">
        <v>358</v>
      </c>
      <c r="D7" s="1" t="s">
        <v>359</v>
      </c>
      <c r="E7" s="1" t="s">
        <v>360</v>
      </c>
      <c r="G7" s="1" t="s">
        <v>347</v>
      </c>
      <c r="I7" s="1" t="s">
        <v>361</v>
      </c>
    </row>
    <row r="8" ht="34" spans="2:9">
      <c r="B8" s="1" t="s">
        <v>219</v>
      </c>
      <c r="C8" s="1" t="s">
        <v>362</v>
      </c>
      <c r="D8" s="19" t="s">
        <v>363</v>
      </c>
      <c r="E8" s="1" t="s">
        <v>364</v>
      </c>
      <c r="G8" s="1" t="s">
        <v>365</v>
      </c>
      <c r="I8" s="1" t="s">
        <v>366</v>
      </c>
    </row>
    <row r="9" ht="51" spans="2:9">
      <c r="B9" s="1" t="s">
        <v>218</v>
      </c>
      <c r="C9" s="1" t="s">
        <v>367</v>
      </c>
      <c r="D9" s="19" t="s">
        <v>368</v>
      </c>
      <c r="E9" s="1" t="s">
        <v>369</v>
      </c>
      <c r="G9" s="1" t="s">
        <v>370</v>
      </c>
      <c r="I9" s="1" t="s">
        <v>371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A1" sqref="A1"/>
    </sheetView>
  </sheetViews>
  <sheetFormatPr defaultColWidth="9" defaultRowHeight="16.8" outlineLevelRow="5" outlineLevelCol="7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372</v>
      </c>
      <c r="D1" t="s">
        <v>373</v>
      </c>
      <c r="E1" t="s">
        <v>6</v>
      </c>
      <c r="F1" t="s">
        <v>331</v>
      </c>
      <c r="G1" t="s">
        <v>374</v>
      </c>
      <c r="H1" t="s">
        <v>330</v>
      </c>
    </row>
    <row r="2" spans="1:8">
      <c r="A2" t="s">
        <v>9</v>
      </c>
      <c r="B2" t="s">
        <v>375</v>
      </c>
      <c r="C2" t="s">
        <v>376</v>
      </c>
      <c r="D2" t="s">
        <v>377</v>
      </c>
      <c r="E2" t="s">
        <v>378</v>
      </c>
      <c r="F2" t="s">
        <v>379</v>
      </c>
      <c r="G2" t="s">
        <v>380</v>
      </c>
      <c r="H2" t="s">
        <v>381</v>
      </c>
    </row>
    <row r="3" spans="1:8">
      <c r="A3" t="s">
        <v>18</v>
      </c>
      <c r="B3" t="s">
        <v>19</v>
      </c>
      <c r="C3" t="s">
        <v>20</v>
      </c>
      <c r="D3" t="s">
        <v>20</v>
      </c>
      <c r="E3" t="s">
        <v>19</v>
      </c>
      <c r="F3" t="s">
        <v>382</v>
      </c>
      <c r="G3" t="s">
        <v>210</v>
      </c>
      <c r="H3" t="s">
        <v>19</v>
      </c>
    </row>
    <row r="4" spans="2:8">
      <c r="B4" t="s">
        <v>383</v>
      </c>
      <c r="C4">
        <v>0</v>
      </c>
      <c r="D4">
        <v>1</v>
      </c>
      <c r="E4" t="s">
        <v>86</v>
      </c>
      <c r="F4" t="s">
        <v>384</v>
      </c>
      <c r="G4">
        <v>5</v>
      </c>
      <c r="H4" t="s">
        <v>385</v>
      </c>
    </row>
    <row r="5" spans="2:8">
      <c r="B5" t="s">
        <v>386</v>
      </c>
      <c r="C5">
        <v>1</v>
      </c>
      <c r="D5">
        <v>50</v>
      </c>
      <c r="E5" t="s">
        <v>86</v>
      </c>
      <c r="F5" t="s">
        <v>387</v>
      </c>
      <c r="G5">
        <v>0.1</v>
      </c>
      <c r="H5" t="s">
        <v>388</v>
      </c>
    </row>
    <row r="6" spans="2:8">
      <c r="B6" t="s">
        <v>389</v>
      </c>
      <c r="C6">
        <v>2</v>
      </c>
      <c r="D6">
        <v>100</v>
      </c>
      <c r="E6" t="s">
        <v>86</v>
      </c>
      <c r="F6" t="s">
        <v>390</v>
      </c>
      <c r="G6">
        <v>0.02</v>
      </c>
      <c r="H6" t="s">
        <v>391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0"/>
  <sheetViews>
    <sheetView topLeftCell="A40"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36.3846153846154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1.2307692307692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12.7692307692308" style="1" customWidth="1"/>
    <col min="16" max="16" width="84.6153846153846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17">
      <c r="A1" s="1" t="s">
        <v>0</v>
      </c>
      <c r="B1" s="1" t="s">
        <v>1</v>
      </c>
      <c r="C1" s="1" t="s">
        <v>392</v>
      </c>
      <c r="D1" s="1" t="s">
        <v>393</v>
      </c>
      <c r="E1" s="1" t="s">
        <v>394</v>
      </c>
      <c r="F1" s="1" t="s">
        <v>395</v>
      </c>
      <c r="G1" s="1" t="s">
        <v>396</v>
      </c>
      <c r="H1" s="1" t="s">
        <v>397</v>
      </c>
      <c r="I1" s="1" t="s">
        <v>398</v>
      </c>
      <c r="J1" s="1" t="s">
        <v>399</v>
      </c>
      <c r="K1" s="1" t="s">
        <v>400</v>
      </c>
      <c r="L1" s="1" t="s">
        <v>401</v>
      </c>
      <c r="M1" s="1" t="s">
        <v>402</v>
      </c>
      <c r="N1" s="1" t="s">
        <v>403</v>
      </c>
      <c r="O1" s="1" t="s">
        <v>404</v>
      </c>
      <c r="P1" s="1" t="s">
        <v>405</v>
      </c>
      <c r="Q1" s="1" t="s">
        <v>334</v>
      </c>
    </row>
    <row r="2" spans="1:17">
      <c r="A2" s="1" t="s">
        <v>9</v>
      </c>
      <c r="B2" s="1" t="s">
        <v>406</v>
      </c>
      <c r="C2" s="1" t="s">
        <v>407</v>
      </c>
      <c r="D2" s="1" t="s">
        <v>408</v>
      </c>
      <c r="E2" s="1" t="s">
        <v>409</v>
      </c>
      <c r="F2" s="1" t="s">
        <v>410</v>
      </c>
      <c r="G2" s="1" t="s">
        <v>411</v>
      </c>
      <c r="H2" s="1" t="s">
        <v>412</v>
      </c>
      <c r="I2" s="1" t="s">
        <v>413</v>
      </c>
      <c r="J2" s="1" t="s">
        <v>414</v>
      </c>
      <c r="K2" s="1" t="s">
        <v>415</v>
      </c>
      <c r="L2" s="1" t="s">
        <v>416</v>
      </c>
      <c r="M2" s="1" t="s">
        <v>417</v>
      </c>
      <c r="N2" s="1" t="s">
        <v>418</v>
      </c>
      <c r="O2" s="1" t="s">
        <v>419</v>
      </c>
      <c r="P2" s="1" t="s">
        <v>420</v>
      </c>
      <c r="Q2" s="1" t="s">
        <v>421</v>
      </c>
    </row>
    <row r="3" spans="1:20">
      <c r="A3" s="1" t="s">
        <v>18</v>
      </c>
      <c r="B3" s="1" t="s">
        <v>19</v>
      </c>
      <c r="C3" s="1" t="s">
        <v>422</v>
      </c>
      <c r="D3" s="1" t="s">
        <v>423</v>
      </c>
      <c r="E3" s="1" t="s">
        <v>424</v>
      </c>
      <c r="F3" s="1" t="s">
        <v>425</v>
      </c>
      <c r="G3" s="1" t="s">
        <v>426</v>
      </c>
      <c r="H3" s="1" t="s">
        <v>19</v>
      </c>
      <c r="I3" s="1" t="s">
        <v>382</v>
      </c>
      <c r="J3" s="1" t="s">
        <v>424</v>
      </c>
      <c r="K3" s="1" t="s">
        <v>20</v>
      </c>
      <c r="L3" s="1" t="s">
        <v>343</v>
      </c>
      <c r="M3" s="1" t="s">
        <v>22</v>
      </c>
      <c r="N3" s="1" t="s">
        <v>21</v>
      </c>
      <c r="O3" s="1" t="s">
        <v>21</v>
      </c>
      <c r="P3" s="1" t="s">
        <v>19</v>
      </c>
      <c r="Q3" s="1" t="s">
        <v>19</v>
      </c>
      <c r="S3" s="1" t="s">
        <v>427</v>
      </c>
      <c r="T3" s="1" t="s">
        <v>427</v>
      </c>
    </row>
    <row r="4" ht="34" spans="2:20">
      <c r="B4" s="1" t="s">
        <v>223</v>
      </c>
      <c r="C4" s="1" t="s">
        <v>428</v>
      </c>
      <c r="D4" s="1" t="s">
        <v>429</v>
      </c>
      <c r="E4" s="1" t="s">
        <v>430</v>
      </c>
      <c r="F4" s="1" t="s">
        <v>431</v>
      </c>
      <c r="G4" s="1" t="s">
        <v>432</v>
      </c>
      <c r="I4" s="1" t="s">
        <v>387</v>
      </c>
      <c r="J4" s="1" t="s">
        <v>430</v>
      </c>
      <c r="K4" s="1">
        <v>0</v>
      </c>
      <c r="L4" s="1">
        <v>3</v>
      </c>
      <c r="N4" s="1" t="s">
        <v>25</v>
      </c>
      <c r="O4" s="1" t="s">
        <v>433</v>
      </c>
      <c r="P4" s="19" t="s">
        <v>434</v>
      </c>
      <c r="S4" s="27" t="str">
        <f>IFERROR(VLOOKUP(B4,skill!$G$4:$K$51,5,FALSE),"")</f>
        <v>曲奇</v>
      </c>
      <c r="T4" s="27" t="str">
        <f>IFERROR(VLOOKUP(B4,skill!$H$4:$K$51,4,FALSE),"")</f>
        <v/>
      </c>
    </row>
    <row r="5" ht="34" spans="2:20">
      <c r="B5" s="1" t="s">
        <v>225</v>
      </c>
      <c r="C5" s="1" t="s">
        <v>428</v>
      </c>
      <c r="D5" s="1" t="s">
        <v>435</v>
      </c>
      <c r="E5" s="1" t="s">
        <v>436</v>
      </c>
      <c r="F5" s="1" t="s">
        <v>437</v>
      </c>
      <c r="G5" s="1" t="s">
        <v>438</v>
      </c>
      <c r="I5" s="1" t="s">
        <v>384</v>
      </c>
      <c r="J5" s="1" t="s">
        <v>430</v>
      </c>
      <c r="K5" s="1">
        <v>0</v>
      </c>
      <c r="L5" s="1">
        <v>5</v>
      </c>
      <c r="N5" s="1" t="s">
        <v>25</v>
      </c>
      <c r="O5" s="1" t="s">
        <v>433</v>
      </c>
      <c r="P5" s="19" t="s">
        <v>439</v>
      </c>
      <c r="S5" s="27" t="str">
        <f>IFERROR(VLOOKUP(B5,skill!$G$4:$K$51,5,FALSE),"")</f>
        <v>马卡龙</v>
      </c>
      <c r="T5" s="27" t="str">
        <f>IFERROR(VLOOKUP(B5,skill!$H$4:$K$51,4,FALSE),"")</f>
        <v/>
      </c>
    </row>
    <row r="6" spans="2:20">
      <c r="B6" s="1" t="s">
        <v>226</v>
      </c>
      <c r="C6" s="1" t="s">
        <v>428</v>
      </c>
      <c r="D6" s="1" t="s">
        <v>440</v>
      </c>
      <c r="E6" s="1" t="s">
        <v>430</v>
      </c>
      <c r="F6" s="1" t="s">
        <v>431</v>
      </c>
      <c r="G6" s="1" t="s">
        <v>438</v>
      </c>
      <c r="I6" s="1" t="s">
        <v>441</v>
      </c>
      <c r="J6" s="1" t="s">
        <v>442</v>
      </c>
      <c r="K6" s="1">
        <v>1</v>
      </c>
      <c r="L6" s="1">
        <v>0</v>
      </c>
      <c r="N6" s="1" t="s">
        <v>25</v>
      </c>
      <c r="O6" s="1" t="s">
        <v>25</v>
      </c>
      <c r="P6" s="1" t="s">
        <v>443</v>
      </c>
      <c r="Q6" s="1" t="s">
        <v>444</v>
      </c>
      <c r="S6" s="27" t="str">
        <f>IFERROR(VLOOKUP(B6,skill!$G$4:$K$51,5,FALSE),"")</f>
        <v/>
      </c>
      <c r="T6" s="27" t="str">
        <f>IFERROR(VLOOKUP(B6,skill!$H$4:$K$51,4,FALSE),"")</f>
        <v>马卡龙</v>
      </c>
    </row>
    <row r="7" ht="34" spans="2:20">
      <c r="B7" s="1" t="s">
        <v>227</v>
      </c>
      <c r="C7" s="1" t="s">
        <v>428</v>
      </c>
      <c r="D7" s="1" t="s">
        <v>445</v>
      </c>
      <c r="E7" s="1" t="s">
        <v>436</v>
      </c>
      <c r="F7" s="1" t="s">
        <v>431</v>
      </c>
      <c r="G7" s="1" t="s">
        <v>438</v>
      </c>
      <c r="I7" s="1" t="s">
        <v>384</v>
      </c>
      <c r="J7" s="1" t="s">
        <v>430</v>
      </c>
      <c r="K7" s="1">
        <v>0</v>
      </c>
      <c r="L7" s="1">
        <v>-2</v>
      </c>
      <c r="N7" s="1" t="s">
        <v>25</v>
      </c>
      <c r="O7" s="1" t="s">
        <v>433</v>
      </c>
      <c r="P7" s="19" t="s">
        <v>446</v>
      </c>
      <c r="S7" s="27" t="str">
        <f>IFERROR(VLOOKUP(B7,skill!$G$4:$K$51,5,FALSE),"")</f>
        <v>布丁</v>
      </c>
      <c r="T7" s="27" t="str">
        <f>IFERROR(VLOOKUP(B7,skill!$H$4:$K$51,4,FALSE),"")</f>
        <v/>
      </c>
    </row>
    <row r="8" ht="34" spans="2:20">
      <c r="B8" s="1" t="s">
        <v>228</v>
      </c>
      <c r="C8" s="1" t="s">
        <v>428</v>
      </c>
      <c r="D8" s="1" t="s">
        <v>435</v>
      </c>
      <c r="E8" s="1" t="s">
        <v>436</v>
      </c>
      <c r="F8" s="1" t="s">
        <v>431</v>
      </c>
      <c r="G8" s="1" t="s">
        <v>438</v>
      </c>
      <c r="I8" s="1" t="s">
        <v>447</v>
      </c>
      <c r="J8" s="1" t="s">
        <v>448</v>
      </c>
      <c r="K8" s="1">
        <v>0</v>
      </c>
      <c r="L8" s="1">
        <v>2</v>
      </c>
      <c r="N8" s="1" t="s">
        <v>25</v>
      </c>
      <c r="O8" s="1" t="s">
        <v>433</v>
      </c>
      <c r="P8" s="19" t="s">
        <v>449</v>
      </c>
      <c r="Q8" s="1" t="s">
        <v>450</v>
      </c>
      <c r="S8" s="27" t="str">
        <f>IFERROR(VLOOKUP(B8,skill!$G$4:$K$51,5,FALSE),"")</f>
        <v>泡芙</v>
      </c>
      <c r="T8" s="27" t="str">
        <f>IFERROR(VLOOKUP(B8,skill!$H$4:$K$51,4,FALSE),"")</f>
        <v/>
      </c>
    </row>
    <row r="9" ht="34" spans="2:20">
      <c r="B9" s="1" t="s">
        <v>229</v>
      </c>
      <c r="C9" s="1" t="s">
        <v>428</v>
      </c>
      <c r="D9" s="1" t="s">
        <v>440</v>
      </c>
      <c r="E9" s="1" t="s">
        <v>430</v>
      </c>
      <c r="F9" s="1" t="s">
        <v>431</v>
      </c>
      <c r="G9" s="1" t="s">
        <v>432</v>
      </c>
      <c r="I9" s="1" t="s">
        <v>451</v>
      </c>
      <c r="J9" s="1" t="s">
        <v>430</v>
      </c>
      <c r="K9" s="1">
        <v>0</v>
      </c>
      <c r="L9" s="1">
        <v>8</v>
      </c>
      <c r="N9" s="1" t="s">
        <v>25</v>
      </c>
      <c r="O9" s="1" t="s">
        <v>433</v>
      </c>
      <c r="P9" s="19" t="s">
        <v>452</v>
      </c>
      <c r="S9" s="27" t="str">
        <f>IFERROR(VLOOKUP(B9,skill!$G$4:$K$51,5,FALSE),"")</f>
        <v>蛋挞</v>
      </c>
      <c r="T9" s="27" t="str">
        <f>IFERROR(VLOOKUP(B9,skill!$H$4:$K$51,4,FALSE),"")</f>
        <v/>
      </c>
    </row>
    <row r="10" ht="34" spans="2:20">
      <c r="B10" s="1" t="s">
        <v>230</v>
      </c>
      <c r="C10" s="1" t="s">
        <v>428</v>
      </c>
      <c r="D10" s="1" t="s">
        <v>435</v>
      </c>
      <c r="E10" s="1" t="s">
        <v>453</v>
      </c>
      <c r="F10" s="1" t="s">
        <v>431</v>
      </c>
      <c r="G10" s="1" t="s">
        <v>438</v>
      </c>
      <c r="I10" s="1" t="s">
        <v>387</v>
      </c>
      <c r="J10" s="1" t="s">
        <v>430</v>
      </c>
      <c r="K10" s="1">
        <v>0</v>
      </c>
      <c r="L10" s="1">
        <v>0.4</v>
      </c>
      <c r="N10" s="1" t="s">
        <v>25</v>
      </c>
      <c r="O10" s="1" t="s">
        <v>433</v>
      </c>
      <c r="P10" s="19" t="s">
        <v>454</v>
      </c>
      <c r="S10" s="27" t="str">
        <f>IFERROR(VLOOKUP(B10,skill!$G$4:$K$51,5,FALSE),"")</f>
        <v>麻薯</v>
      </c>
      <c r="T10" s="27" t="str">
        <f>IFERROR(VLOOKUP(B10,skill!$H$4:$K$51,4,FALSE),"")</f>
        <v/>
      </c>
    </row>
    <row r="11" ht="34" spans="2:20">
      <c r="B11" s="1" t="s">
        <v>231</v>
      </c>
      <c r="C11" s="1" t="s">
        <v>428</v>
      </c>
      <c r="D11" s="1" t="s">
        <v>435</v>
      </c>
      <c r="E11" s="1" t="s">
        <v>455</v>
      </c>
      <c r="F11" s="1" t="s">
        <v>431</v>
      </c>
      <c r="G11" s="1" t="s">
        <v>438</v>
      </c>
      <c r="I11" s="1" t="s">
        <v>384</v>
      </c>
      <c r="J11" s="1" t="s">
        <v>430</v>
      </c>
      <c r="K11" s="1">
        <v>0</v>
      </c>
      <c r="L11" s="1">
        <v>8</v>
      </c>
      <c r="N11" s="1" t="s">
        <v>25</v>
      </c>
      <c r="O11" s="1" t="s">
        <v>433</v>
      </c>
      <c r="P11" s="19" t="s">
        <v>439</v>
      </c>
      <c r="S11" s="27" t="str">
        <f>IFERROR(VLOOKUP(B11,skill!$G$4:$K$51,5,FALSE),"")</f>
        <v>大福</v>
      </c>
      <c r="T11" s="27" t="str">
        <f>IFERROR(VLOOKUP(B11,skill!$H$4:$K$51,4,FALSE),"")</f>
        <v/>
      </c>
    </row>
    <row r="12" ht="34" spans="2:20">
      <c r="B12" s="1" t="s">
        <v>232</v>
      </c>
      <c r="C12" s="1" t="s">
        <v>428</v>
      </c>
      <c r="D12" s="1" t="s">
        <v>456</v>
      </c>
      <c r="E12" s="1" t="s">
        <v>430</v>
      </c>
      <c r="F12" s="1" t="s">
        <v>431</v>
      </c>
      <c r="G12" s="1" t="s">
        <v>438</v>
      </c>
      <c r="I12" s="1" t="s">
        <v>451</v>
      </c>
      <c r="J12" s="1" t="s">
        <v>430</v>
      </c>
      <c r="K12" s="1">
        <v>0</v>
      </c>
      <c r="L12" s="1">
        <v>5</v>
      </c>
      <c r="N12" s="1" t="s">
        <v>25</v>
      </c>
      <c r="O12" s="1" t="s">
        <v>433</v>
      </c>
      <c r="P12" s="19" t="s">
        <v>457</v>
      </c>
      <c r="S12" s="27" t="str">
        <f>IFERROR(VLOOKUP(B12,skill!$G$4:$K$51,5,FALSE),"")</f>
        <v>巧克力糖</v>
      </c>
      <c r="T12" s="27" t="str">
        <f>IFERROR(VLOOKUP(B12,skill!$H$4:$K$51,4,FALSE),"")</f>
        <v/>
      </c>
    </row>
    <row r="13" ht="34" spans="2:20">
      <c r="B13" s="1" t="s">
        <v>233</v>
      </c>
      <c r="C13" s="1" t="s">
        <v>428</v>
      </c>
      <c r="D13" s="1" t="s">
        <v>435</v>
      </c>
      <c r="E13" s="1" t="s">
        <v>455</v>
      </c>
      <c r="F13" s="1" t="s">
        <v>437</v>
      </c>
      <c r="G13" s="1" t="s">
        <v>438</v>
      </c>
      <c r="I13" s="1" t="s">
        <v>387</v>
      </c>
      <c r="J13" s="1" t="s">
        <v>458</v>
      </c>
      <c r="K13" s="1">
        <v>0</v>
      </c>
      <c r="L13" s="1">
        <v>0.15</v>
      </c>
      <c r="N13" s="1" t="s">
        <v>25</v>
      </c>
      <c r="O13" s="1" t="s">
        <v>433</v>
      </c>
      <c r="P13" s="19" t="s">
        <v>454</v>
      </c>
      <c r="S13" s="27" t="str">
        <f>IFERROR(VLOOKUP(B13,skill!$G$4:$K$51,5,FALSE),"")</f>
        <v>果冻</v>
      </c>
      <c r="T13" s="27" t="str">
        <f>IFERROR(VLOOKUP(B13,skill!$H$4:$K$51,4,FALSE),"")</f>
        <v/>
      </c>
    </row>
    <row r="14" spans="2:20">
      <c r="B14" s="1" t="s">
        <v>234</v>
      </c>
      <c r="C14" s="1" t="s">
        <v>428</v>
      </c>
      <c r="D14" s="1" t="s">
        <v>440</v>
      </c>
      <c r="E14" s="1" t="s">
        <v>430</v>
      </c>
      <c r="F14" s="1" t="s">
        <v>431</v>
      </c>
      <c r="G14" s="1" t="s">
        <v>438</v>
      </c>
      <c r="I14" s="1" t="s">
        <v>447</v>
      </c>
      <c r="J14" s="1" t="s">
        <v>448</v>
      </c>
      <c r="K14" s="1">
        <v>0</v>
      </c>
      <c r="L14" s="1">
        <v>8</v>
      </c>
      <c r="N14" s="1" t="s">
        <v>25</v>
      </c>
      <c r="O14" s="1" t="s">
        <v>433</v>
      </c>
      <c r="P14" s="1" t="s">
        <v>459</v>
      </c>
      <c r="Q14" s="1" t="s">
        <v>450</v>
      </c>
      <c r="S14" s="27" t="str">
        <f>IFERROR(VLOOKUP(B14,skill!$G$4:$K$51,5,FALSE),"")</f>
        <v>奶油小格</v>
      </c>
      <c r="T14" s="27" t="str">
        <f>IFERROR(VLOOKUP(B14,skill!$H$4:$K$51,4,FALSE),"")</f>
        <v/>
      </c>
    </row>
    <row r="15" ht="34" spans="2:20">
      <c r="B15" s="1" t="s">
        <v>236</v>
      </c>
      <c r="C15" s="1" t="s">
        <v>428</v>
      </c>
      <c r="D15" s="1" t="s">
        <v>435</v>
      </c>
      <c r="E15" s="1" t="s">
        <v>436</v>
      </c>
      <c r="F15" s="1" t="s">
        <v>431</v>
      </c>
      <c r="G15" s="1" t="s">
        <v>438</v>
      </c>
      <c r="I15" s="1" t="s">
        <v>387</v>
      </c>
      <c r="J15" s="1" t="s">
        <v>430</v>
      </c>
      <c r="K15" s="1">
        <v>0</v>
      </c>
      <c r="L15" s="1">
        <v>0.15</v>
      </c>
      <c r="N15" s="1" t="s">
        <v>25</v>
      </c>
      <c r="O15" s="1" t="s">
        <v>433</v>
      </c>
      <c r="P15" s="19" t="s">
        <v>454</v>
      </c>
      <c r="S15" s="27" t="str">
        <f>IFERROR(VLOOKUP(B15,skill!$G$4:$K$51,5,FALSE),"")</f>
        <v>糖豆</v>
      </c>
      <c r="T15" s="27" t="str">
        <f>IFERROR(VLOOKUP(B15,skill!$H$4:$K$51,4,FALSE),"")</f>
        <v/>
      </c>
    </row>
    <row r="16" spans="2:20">
      <c r="B16" s="1" t="s">
        <v>237</v>
      </c>
      <c r="C16" s="1" t="s">
        <v>428</v>
      </c>
      <c r="D16" s="1" t="s">
        <v>440</v>
      </c>
      <c r="E16" s="1" t="s">
        <v>430</v>
      </c>
      <c r="F16" s="1" t="s">
        <v>431</v>
      </c>
      <c r="G16" s="1" t="s">
        <v>438</v>
      </c>
      <c r="I16" s="1" t="s">
        <v>441</v>
      </c>
      <c r="J16" s="1" t="s">
        <v>436</v>
      </c>
      <c r="K16" s="1">
        <v>1</v>
      </c>
      <c r="L16" s="1">
        <v>0</v>
      </c>
      <c r="N16" s="1" t="s">
        <v>25</v>
      </c>
      <c r="O16" s="1" t="s">
        <v>25</v>
      </c>
      <c r="P16" s="1" t="s">
        <v>443</v>
      </c>
      <c r="Q16" s="1" t="s">
        <v>444</v>
      </c>
      <c r="S16" s="27" t="str">
        <f>IFERROR(VLOOKUP(B16,skill!$G$4:$K$51,5,FALSE),"")</f>
        <v/>
      </c>
      <c r="T16" s="27" t="str">
        <f>IFERROR(VLOOKUP(B16,skill!$H$4:$K$51,4,FALSE),"")</f>
        <v>糖豆</v>
      </c>
    </row>
    <row r="17" ht="34" spans="2:20">
      <c r="B17" s="1" t="s">
        <v>238</v>
      </c>
      <c r="C17" s="1" t="s">
        <v>428</v>
      </c>
      <c r="D17" s="1" t="s">
        <v>460</v>
      </c>
      <c r="E17" s="1" t="s">
        <v>436</v>
      </c>
      <c r="F17" s="1" t="s">
        <v>431</v>
      </c>
      <c r="G17" s="1" t="s">
        <v>432</v>
      </c>
      <c r="I17" s="1" t="s">
        <v>355</v>
      </c>
      <c r="J17" s="1" t="s">
        <v>430</v>
      </c>
      <c r="K17" s="1">
        <v>0</v>
      </c>
      <c r="L17" s="1">
        <v>10</v>
      </c>
      <c r="N17" s="1" t="s">
        <v>25</v>
      </c>
      <c r="O17" s="1" t="s">
        <v>25</v>
      </c>
      <c r="P17" s="19" t="s">
        <v>461</v>
      </c>
      <c r="S17" s="27" t="str">
        <f>IFERROR(VLOOKUP(B17,skill!$G$4:$K$51,5,FALSE),"")</f>
        <v>金巧克力</v>
      </c>
      <c r="T17" s="27" t="str">
        <f>IFERROR(VLOOKUP(B17,skill!$H$4:$K$51,4,FALSE),"")</f>
        <v/>
      </c>
    </row>
    <row r="18" ht="34" spans="2:20">
      <c r="B18" s="1" t="s">
        <v>239</v>
      </c>
      <c r="C18" s="1" t="s">
        <v>428</v>
      </c>
      <c r="D18" s="1" t="s">
        <v>460</v>
      </c>
      <c r="E18" s="1" t="s">
        <v>455</v>
      </c>
      <c r="F18" s="1" t="s">
        <v>431</v>
      </c>
      <c r="G18" s="1" t="s">
        <v>432</v>
      </c>
      <c r="I18" s="1" t="s">
        <v>447</v>
      </c>
      <c r="J18" s="1" t="s">
        <v>448</v>
      </c>
      <c r="K18" s="1">
        <v>0</v>
      </c>
      <c r="L18" s="1">
        <v>10</v>
      </c>
      <c r="N18" s="1" t="s">
        <v>25</v>
      </c>
      <c r="O18" s="1" t="s">
        <v>433</v>
      </c>
      <c r="P18" s="19" t="s">
        <v>462</v>
      </c>
      <c r="Q18" s="1" t="s">
        <v>450</v>
      </c>
      <c r="S18" s="27" t="str">
        <f>IFERROR(VLOOKUP(B18,skill!$G$4:$K$51,5,FALSE),"")</f>
        <v>奶片</v>
      </c>
      <c r="T18" s="27" t="str">
        <f>IFERROR(VLOOKUP(B18,skill!$H$4:$K$51,4,FALSE),"")</f>
        <v/>
      </c>
    </row>
    <row r="19" ht="34" spans="2:20">
      <c r="B19" s="1" t="s">
        <v>242</v>
      </c>
      <c r="C19" s="1" t="s">
        <v>428</v>
      </c>
      <c r="D19" s="1" t="s">
        <v>435</v>
      </c>
      <c r="E19" s="1" t="s">
        <v>455</v>
      </c>
      <c r="F19" s="1" t="s">
        <v>431</v>
      </c>
      <c r="G19" s="1" t="s">
        <v>438</v>
      </c>
      <c r="I19" s="1" t="s">
        <v>387</v>
      </c>
      <c r="J19" s="1" t="s">
        <v>430</v>
      </c>
      <c r="K19" s="1">
        <v>0</v>
      </c>
      <c r="L19" s="1">
        <v>0.5</v>
      </c>
      <c r="N19" s="1" t="s">
        <v>25</v>
      </c>
      <c r="O19" s="1" t="s">
        <v>433</v>
      </c>
      <c r="P19" s="19" t="s">
        <v>454</v>
      </c>
      <c r="S19" s="27" t="str">
        <f>IFERROR(VLOOKUP(B19,skill!$G$4:$K$51,5,FALSE),"")</f>
        <v/>
      </c>
      <c r="T19" s="27" t="str">
        <f>IFERROR(VLOOKUP(B19,skill!$H$4:$K$51,4,FALSE),"")</f>
        <v>圣代</v>
      </c>
    </row>
    <row r="20" spans="2:20">
      <c r="B20" s="1" t="s">
        <v>241</v>
      </c>
      <c r="C20" s="1" t="s">
        <v>428</v>
      </c>
      <c r="D20" s="1" t="s">
        <v>440</v>
      </c>
      <c r="E20" s="1" t="s">
        <v>430</v>
      </c>
      <c r="F20" s="1" t="s">
        <v>431</v>
      </c>
      <c r="G20" s="1" t="s">
        <v>438</v>
      </c>
      <c r="I20" s="1" t="s">
        <v>463</v>
      </c>
      <c r="J20" s="1" t="s">
        <v>430</v>
      </c>
      <c r="K20" s="1">
        <v>0</v>
      </c>
      <c r="L20" s="1">
        <v>1</v>
      </c>
      <c r="N20" s="1" t="s">
        <v>433</v>
      </c>
      <c r="O20" s="1" t="s">
        <v>25</v>
      </c>
      <c r="P20" s="1" t="s">
        <v>464</v>
      </c>
      <c r="S20" s="27" t="str">
        <f>IFERROR(VLOOKUP(B20,skill!$G$4:$K$51,5,FALSE),"")</f>
        <v>圣代</v>
      </c>
      <c r="T20" s="27" t="str">
        <f>IFERROR(VLOOKUP(B20,skill!$H$4:$K$51,4,FALSE),"")</f>
        <v/>
      </c>
    </row>
    <row r="21" spans="2:20">
      <c r="B21" s="1" t="s">
        <v>465</v>
      </c>
      <c r="C21" s="1" t="s">
        <v>428</v>
      </c>
      <c r="D21" s="1" t="s">
        <v>440</v>
      </c>
      <c r="E21" s="1" t="s">
        <v>430</v>
      </c>
      <c r="F21" s="1" t="s">
        <v>431</v>
      </c>
      <c r="G21" s="1" t="s">
        <v>438</v>
      </c>
      <c r="I21" s="1" t="s">
        <v>447</v>
      </c>
      <c r="J21" s="1" t="s">
        <v>448</v>
      </c>
      <c r="K21" s="1">
        <v>0</v>
      </c>
      <c r="L21" s="1">
        <v>15</v>
      </c>
      <c r="N21" s="1" t="s">
        <v>25</v>
      </c>
      <c r="O21" s="1" t="s">
        <v>433</v>
      </c>
      <c r="P21" s="1" t="s">
        <v>459</v>
      </c>
      <c r="Q21" s="1" t="s">
        <v>450</v>
      </c>
      <c r="S21" s="27" t="str">
        <f>IFERROR(VLOOKUP(B21,skill!$G$4:$K$51,5,FALSE),"")</f>
        <v/>
      </c>
      <c r="T21" s="27" t="str">
        <f>IFERROR(VLOOKUP(B21,skill!$H$4:$K$51,4,FALSE),"")</f>
        <v/>
      </c>
    </row>
    <row r="22" spans="2:20">
      <c r="B22" s="1" t="s">
        <v>244</v>
      </c>
      <c r="C22" s="1" t="s">
        <v>428</v>
      </c>
      <c r="D22" s="1" t="s">
        <v>440</v>
      </c>
      <c r="E22" s="1" t="s">
        <v>430</v>
      </c>
      <c r="F22" s="1" t="s">
        <v>431</v>
      </c>
      <c r="G22" s="1" t="s">
        <v>438</v>
      </c>
      <c r="I22" s="1" t="s">
        <v>463</v>
      </c>
      <c r="J22" s="1" t="s">
        <v>430</v>
      </c>
      <c r="K22" s="1">
        <v>0</v>
      </c>
      <c r="L22" s="1">
        <v>2</v>
      </c>
      <c r="N22" s="1" t="s">
        <v>433</v>
      </c>
      <c r="O22" s="1" t="s">
        <v>25</v>
      </c>
      <c r="P22" s="1" t="s">
        <v>464</v>
      </c>
      <c r="S22" s="27" t="str">
        <f>IFERROR(VLOOKUP(B22,skill!$G$4:$K$51,5,FALSE),"")</f>
        <v>甜筒</v>
      </c>
      <c r="T22" s="27" t="str">
        <f>IFERROR(VLOOKUP(B22,skill!$H$4:$K$51,4,FALSE),"")</f>
        <v/>
      </c>
    </row>
    <row r="23" ht="34" spans="2:20">
      <c r="B23" s="1" t="s">
        <v>246</v>
      </c>
      <c r="C23" s="1" t="s">
        <v>428</v>
      </c>
      <c r="D23" s="1" t="s">
        <v>466</v>
      </c>
      <c r="E23" s="1" t="s">
        <v>436</v>
      </c>
      <c r="F23" s="1" t="s">
        <v>431</v>
      </c>
      <c r="G23" s="1" t="s">
        <v>432</v>
      </c>
      <c r="H23" s="1" t="s">
        <v>467</v>
      </c>
      <c r="I23" s="1" t="s">
        <v>390</v>
      </c>
      <c r="J23" s="1" t="s">
        <v>430</v>
      </c>
      <c r="K23" s="1">
        <v>0</v>
      </c>
      <c r="L23" s="1">
        <v>1.5</v>
      </c>
      <c r="N23" s="1" t="s">
        <v>25</v>
      </c>
      <c r="O23" s="1" t="s">
        <v>25</v>
      </c>
      <c r="P23" s="19" t="s">
        <v>468</v>
      </c>
      <c r="S23" s="27" t="str">
        <f>IFERROR(VLOOKUP(B23,skill!$G$4:$K$51,5,FALSE),"")</f>
        <v>棒棒糖</v>
      </c>
      <c r="T23" s="27" t="str">
        <f>IFERROR(VLOOKUP(B23,skill!$H$4:$K$51,4,FALSE),"")</f>
        <v/>
      </c>
    </row>
    <row r="24" spans="2:20">
      <c r="B24" s="1" t="s">
        <v>247</v>
      </c>
      <c r="C24" s="1" t="s">
        <v>428</v>
      </c>
      <c r="D24" s="1" t="s">
        <v>440</v>
      </c>
      <c r="E24" s="1" t="s">
        <v>430</v>
      </c>
      <c r="F24" s="1" t="s">
        <v>431</v>
      </c>
      <c r="G24" s="1" t="s">
        <v>438</v>
      </c>
      <c r="I24" s="1" t="s">
        <v>441</v>
      </c>
      <c r="J24" s="1" t="s">
        <v>442</v>
      </c>
      <c r="K24" s="1">
        <v>2</v>
      </c>
      <c r="L24" s="1">
        <v>0</v>
      </c>
      <c r="N24" s="1" t="s">
        <v>25</v>
      </c>
      <c r="O24" s="1" t="s">
        <v>25</v>
      </c>
      <c r="P24" s="1" t="s">
        <v>443</v>
      </c>
      <c r="Q24" s="1" t="s">
        <v>444</v>
      </c>
      <c r="S24" s="27" t="str">
        <f>IFERROR(VLOOKUP(B24,skill!$G$4:$K$51,5,FALSE),"")</f>
        <v/>
      </c>
      <c r="T24" s="27" t="str">
        <f>IFERROR(VLOOKUP(B24,skill!$H$4:$K$51,4,FALSE),"")</f>
        <v>棒棒糖</v>
      </c>
    </row>
    <row r="25" ht="17" spans="2:20">
      <c r="B25" s="1" t="s">
        <v>249</v>
      </c>
      <c r="C25" s="1" t="s">
        <v>428</v>
      </c>
      <c r="D25" s="1" t="s">
        <v>440</v>
      </c>
      <c r="E25" s="1" t="s">
        <v>430</v>
      </c>
      <c r="F25" s="1" t="s">
        <v>431</v>
      </c>
      <c r="G25" s="1" t="s">
        <v>438</v>
      </c>
      <c r="I25" s="1" t="s">
        <v>384</v>
      </c>
      <c r="J25" s="1" t="s">
        <v>455</v>
      </c>
      <c r="K25" s="1">
        <v>0</v>
      </c>
      <c r="L25" s="1">
        <v>10</v>
      </c>
      <c r="N25" s="1" t="s">
        <v>25</v>
      </c>
      <c r="O25" s="1" t="s">
        <v>433</v>
      </c>
      <c r="P25" s="19" t="s">
        <v>469</v>
      </c>
      <c r="S25" s="27" t="str">
        <f>IFERROR(VLOOKUP(B25,skill!$G$4:$K$51,5,FALSE),"")</f>
        <v>软糖</v>
      </c>
      <c r="T25" s="27" t="str">
        <f>IFERROR(VLOOKUP(B25,skill!$H$4:$K$51,4,FALSE),"")</f>
        <v/>
      </c>
    </row>
    <row r="26" spans="2:20">
      <c r="B26" s="1" t="s">
        <v>250</v>
      </c>
      <c r="C26" s="1" t="s">
        <v>428</v>
      </c>
      <c r="D26" s="1" t="s">
        <v>440</v>
      </c>
      <c r="E26" s="1" t="s">
        <v>430</v>
      </c>
      <c r="F26" s="1" t="s">
        <v>431</v>
      </c>
      <c r="G26" s="1" t="s">
        <v>438</v>
      </c>
      <c r="I26" s="1" t="s">
        <v>441</v>
      </c>
      <c r="J26" s="1" t="s">
        <v>470</v>
      </c>
      <c r="K26" s="1">
        <v>1</v>
      </c>
      <c r="L26" s="1">
        <v>0</v>
      </c>
      <c r="N26" s="1" t="s">
        <v>25</v>
      </c>
      <c r="O26" s="1" t="s">
        <v>25</v>
      </c>
      <c r="P26" s="1" t="s">
        <v>443</v>
      </c>
      <c r="Q26" s="1" t="s">
        <v>444</v>
      </c>
      <c r="S26" s="27" t="str">
        <f>IFERROR(VLOOKUP(B26,skill!$G$4:$K$51,5,FALSE),"")</f>
        <v/>
      </c>
      <c r="T26" s="27" t="str">
        <f>IFERROR(VLOOKUP(B26,skill!$H$4:$K$51,4,FALSE),"")</f>
        <v>软糖</v>
      </c>
    </row>
    <row r="27" ht="34" spans="2:20">
      <c r="B27" s="1" t="s">
        <v>252</v>
      </c>
      <c r="C27" s="1" t="s">
        <v>428</v>
      </c>
      <c r="D27" s="1" t="s">
        <v>456</v>
      </c>
      <c r="E27" s="1" t="s">
        <v>430</v>
      </c>
      <c r="F27" s="1" t="s">
        <v>431</v>
      </c>
      <c r="G27" s="1" t="s">
        <v>438</v>
      </c>
      <c r="I27" s="1" t="s">
        <v>447</v>
      </c>
      <c r="J27" s="1" t="s">
        <v>448</v>
      </c>
      <c r="K27" s="1">
        <v>0</v>
      </c>
      <c r="L27" s="1">
        <v>6</v>
      </c>
      <c r="N27" s="1" t="s">
        <v>25</v>
      </c>
      <c r="O27" s="1" t="s">
        <v>433</v>
      </c>
      <c r="P27" s="19" t="s">
        <v>471</v>
      </c>
      <c r="Q27" s="1" t="s">
        <v>450</v>
      </c>
      <c r="S27" s="27" t="str">
        <f>IFERROR(VLOOKUP(B27,skill!$G$4:$K$51,5,FALSE),"")</f>
        <v>杯子蛋糕</v>
      </c>
      <c r="T27" s="27" t="str">
        <f>IFERROR(VLOOKUP(B27,skill!$H$4:$K$51,4,FALSE),"")</f>
        <v/>
      </c>
    </row>
    <row r="28" spans="2:20">
      <c r="B28" s="1" t="s">
        <v>253</v>
      </c>
      <c r="C28" s="1" t="s">
        <v>428</v>
      </c>
      <c r="D28" s="1" t="s">
        <v>440</v>
      </c>
      <c r="E28" s="1" t="s">
        <v>430</v>
      </c>
      <c r="F28" s="1" t="s">
        <v>431</v>
      </c>
      <c r="G28" s="1" t="s">
        <v>438</v>
      </c>
      <c r="I28" s="1" t="s">
        <v>441</v>
      </c>
      <c r="J28" s="1" t="s">
        <v>442</v>
      </c>
      <c r="K28" s="1">
        <v>1</v>
      </c>
      <c r="L28" s="1">
        <v>0</v>
      </c>
      <c r="N28" s="1" t="s">
        <v>25</v>
      </c>
      <c r="O28" s="1" t="s">
        <v>25</v>
      </c>
      <c r="P28" s="1" t="s">
        <v>443</v>
      </c>
      <c r="Q28" s="1" t="s">
        <v>444</v>
      </c>
      <c r="S28" s="27" t="str">
        <f>IFERROR(VLOOKUP(B28,skill!$G$4:$K$51,5,FALSE),"")</f>
        <v/>
      </c>
      <c r="T28" s="27" t="str">
        <f>IFERROR(VLOOKUP(B28,skill!$H$4:$K$51,4,FALSE),"")</f>
        <v>杯子蛋糕</v>
      </c>
    </row>
    <row r="29" spans="2:20">
      <c r="B29" s="1" t="s">
        <v>256</v>
      </c>
      <c r="C29" s="1" t="s">
        <v>428</v>
      </c>
      <c r="D29" s="1" t="s">
        <v>440</v>
      </c>
      <c r="E29" s="1" t="s">
        <v>430</v>
      </c>
      <c r="F29" s="1" t="s">
        <v>431</v>
      </c>
      <c r="G29" s="1" t="s">
        <v>438</v>
      </c>
      <c r="I29" s="1" t="s">
        <v>390</v>
      </c>
      <c r="J29" s="1" t="s">
        <v>472</v>
      </c>
      <c r="K29" s="1">
        <v>0</v>
      </c>
      <c r="L29" s="1">
        <v>1.2</v>
      </c>
      <c r="M29" s="1" t="s">
        <v>473</v>
      </c>
      <c r="N29" s="1" t="s">
        <v>25</v>
      </c>
      <c r="O29" s="1" t="s">
        <v>25</v>
      </c>
      <c r="P29" s="1" t="s">
        <v>474</v>
      </c>
      <c r="S29" s="27" t="str">
        <f>IFERROR(VLOOKUP(B29,skill!$G$4:$K$51,5,FALSE),"")</f>
        <v>慕斯蛋糕</v>
      </c>
      <c r="T29" s="27" t="str">
        <f>IFERROR(VLOOKUP(B29,skill!$H$4:$K$51,4,FALSE),"")</f>
        <v/>
      </c>
    </row>
    <row r="30" spans="2:20">
      <c r="B30" s="1" t="s">
        <v>257</v>
      </c>
      <c r="C30" s="1" t="s">
        <v>428</v>
      </c>
      <c r="D30" s="1" t="s">
        <v>440</v>
      </c>
      <c r="E30" s="1" t="s">
        <v>430</v>
      </c>
      <c r="F30" s="1" t="s">
        <v>431</v>
      </c>
      <c r="G30" s="1" t="s">
        <v>438</v>
      </c>
      <c r="I30" s="1" t="s">
        <v>447</v>
      </c>
      <c r="J30" s="1" t="s">
        <v>448</v>
      </c>
      <c r="K30" s="1">
        <v>0</v>
      </c>
      <c r="L30" s="1">
        <v>5</v>
      </c>
      <c r="N30" s="1" t="s">
        <v>25</v>
      </c>
      <c r="O30" s="1" t="s">
        <v>433</v>
      </c>
      <c r="P30" s="1" t="s">
        <v>459</v>
      </c>
      <c r="Q30" s="1" t="s">
        <v>450</v>
      </c>
      <c r="S30" s="27" t="str">
        <f>IFERROR(VLOOKUP(B30,skill!$G$4:$K$51,5,FALSE),"")</f>
        <v/>
      </c>
      <c r="T30" s="27" t="str">
        <f>IFERROR(VLOOKUP(B30,skill!$H$4:$K$51,4,FALSE),"")</f>
        <v>慕斯蛋糕</v>
      </c>
    </row>
    <row r="31" ht="17" spans="2:20">
      <c r="B31" s="1" t="s">
        <v>259</v>
      </c>
      <c r="C31" s="1" t="s">
        <v>428</v>
      </c>
      <c r="D31" s="1" t="s">
        <v>440</v>
      </c>
      <c r="E31" s="1" t="s">
        <v>430</v>
      </c>
      <c r="F31" s="1" t="s">
        <v>431</v>
      </c>
      <c r="G31" s="1" t="s">
        <v>438</v>
      </c>
      <c r="I31" s="1" t="s">
        <v>451</v>
      </c>
      <c r="J31" s="1" t="s">
        <v>430</v>
      </c>
      <c r="K31" s="1">
        <v>0</v>
      </c>
      <c r="L31" s="1">
        <v>10</v>
      </c>
      <c r="N31" s="1" t="s">
        <v>25</v>
      </c>
      <c r="O31" s="1" t="s">
        <v>433</v>
      </c>
      <c r="P31" s="19" t="s">
        <v>475</v>
      </c>
      <c r="S31" s="27" t="str">
        <f>IFERROR(VLOOKUP(B31,skill!$G$4:$K$51,5,FALSE),"")</f>
        <v>太妃糖</v>
      </c>
      <c r="T31" s="27" t="str">
        <f>IFERROR(VLOOKUP(B31,skill!$H$4:$K$51,4,FALSE),"")</f>
        <v/>
      </c>
    </row>
    <row r="32" spans="2:20">
      <c r="B32" s="1" t="s">
        <v>260</v>
      </c>
      <c r="C32" s="1" t="s">
        <v>428</v>
      </c>
      <c r="D32" s="1" t="s">
        <v>440</v>
      </c>
      <c r="E32" s="1" t="s">
        <v>430</v>
      </c>
      <c r="F32" s="1" t="s">
        <v>431</v>
      </c>
      <c r="G32" s="1" t="s">
        <v>438</v>
      </c>
      <c r="I32" s="1" t="s">
        <v>441</v>
      </c>
      <c r="J32" s="1" t="s">
        <v>470</v>
      </c>
      <c r="K32" s="1">
        <v>2</v>
      </c>
      <c r="L32" s="1">
        <v>0</v>
      </c>
      <c r="N32" s="1" t="s">
        <v>25</v>
      </c>
      <c r="O32" s="1" t="s">
        <v>25</v>
      </c>
      <c r="P32" s="1" t="s">
        <v>443</v>
      </c>
      <c r="Q32" s="1" t="s">
        <v>444</v>
      </c>
      <c r="S32" s="27" t="str">
        <f>IFERROR(VLOOKUP(B32,skill!$G$4:$K$51,5,FALSE),"")</f>
        <v/>
      </c>
      <c r="T32" s="27" t="str">
        <f>IFERROR(VLOOKUP(B32,skill!$H$4:$K$51,4,FALSE),"")</f>
        <v>太妃糖</v>
      </c>
    </row>
    <row r="33" s="25" customFormat="1" ht="17" spans="1:20">
      <c r="A33" s="9"/>
      <c r="B33" s="9" t="s">
        <v>262</v>
      </c>
      <c r="C33" s="1" t="s">
        <v>428</v>
      </c>
      <c r="D33" s="1" t="s">
        <v>440</v>
      </c>
      <c r="E33" s="1" t="s">
        <v>430</v>
      </c>
      <c r="F33" s="1" t="s">
        <v>431</v>
      </c>
      <c r="G33" s="1" t="s">
        <v>438</v>
      </c>
      <c r="H33" s="1"/>
      <c r="I33" s="1" t="s">
        <v>384</v>
      </c>
      <c r="J33" s="1" t="s">
        <v>458</v>
      </c>
      <c r="K33" s="1">
        <v>0</v>
      </c>
      <c r="L33" s="1">
        <v>10</v>
      </c>
      <c r="M33" s="1"/>
      <c r="N33" s="1" t="s">
        <v>25</v>
      </c>
      <c r="O33" s="1" t="s">
        <v>433</v>
      </c>
      <c r="P33" s="19" t="s">
        <v>476</v>
      </c>
      <c r="S33" s="27" t="str">
        <f>IFERROR(VLOOKUP(B33,skill!$G$4:$K$51,5,FALSE),"")</f>
        <v>牛轧糖</v>
      </c>
      <c r="T33" s="27" t="str">
        <f>IFERROR(VLOOKUP(B33,skill!$H$4:$K$51,4,FALSE),"")</f>
        <v/>
      </c>
    </row>
    <row r="34" spans="2:20">
      <c r="B34" s="1" t="s">
        <v>263</v>
      </c>
      <c r="C34" s="1" t="s">
        <v>428</v>
      </c>
      <c r="D34" s="1" t="s">
        <v>440</v>
      </c>
      <c r="E34" s="1" t="s">
        <v>430</v>
      </c>
      <c r="F34" s="1" t="s">
        <v>431</v>
      </c>
      <c r="G34" s="1" t="s">
        <v>438</v>
      </c>
      <c r="I34" s="1" t="s">
        <v>441</v>
      </c>
      <c r="J34" s="1" t="s">
        <v>442</v>
      </c>
      <c r="K34" s="1">
        <v>2</v>
      </c>
      <c r="L34" s="1">
        <v>0</v>
      </c>
      <c r="N34" s="1" t="s">
        <v>25</v>
      </c>
      <c r="O34" s="1" t="s">
        <v>25</v>
      </c>
      <c r="P34" s="1" t="s">
        <v>443</v>
      </c>
      <c r="Q34" s="1" t="s">
        <v>444</v>
      </c>
      <c r="S34" s="27" t="str">
        <f>IFERROR(VLOOKUP(B34,skill!$G$4:$K$51,5,FALSE),"")</f>
        <v/>
      </c>
      <c r="T34" s="27" t="str">
        <f>IFERROR(VLOOKUP(B34,skill!$H$4:$K$51,4,FALSE),"")</f>
        <v>牛轧糖</v>
      </c>
    </row>
    <row r="35" ht="34" spans="2:20">
      <c r="B35" s="1" t="s">
        <v>266</v>
      </c>
      <c r="C35" s="1" t="s">
        <v>428</v>
      </c>
      <c r="D35" s="1" t="s">
        <v>435</v>
      </c>
      <c r="E35" s="1" t="s">
        <v>477</v>
      </c>
      <c r="F35" s="1" t="s">
        <v>431</v>
      </c>
      <c r="G35" s="1" t="s">
        <v>438</v>
      </c>
      <c r="I35" s="1" t="s">
        <v>387</v>
      </c>
      <c r="J35" s="1" t="s">
        <v>430</v>
      </c>
      <c r="K35" s="1">
        <v>0</v>
      </c>
      <c r="L35" s="1">
        <v>0.2</v>
      </c>
      <c r="N35" s="1" t="s">
        <v>25</v>
      </c>
      <c r="O35" s="1" t="s">
        <v>433</v>
      </c>
      <c r="P35" s="19" t="s">
        <v>454</v>
      </c>
      <c r="S35" s="27" t="str">
        <f>IFERROR(VLOOKUP(B35,skill!$G$4:$K$51,5,FALSE),"")</f>
        <v/>
      </c>
      <c r="T35" s="27" t="str">
        <f>IFERROR(VLOOKUP(B35,skill!$H$4:$K$51,4,FALSE),"")</f>
        <v>蛋卷</v>
      </c>
    </row>
    <row r="36" spans="2:20">
      <c r="B36" s="1" t="s">
        <v>265</v>
      </c>
      <c r="C36" s="1" t="s">
        <v>428</v>
      </c>
      <c r="D36" s="1" t="s">
        <v>440</v>
      </c>
      <c r="E36" s="1" t="s">
        <v>430</v>
      </c>
      <c r="F36" s="1" t="s">
        <v>431</v>
      </c>
      <c r="G36" s="1" t="s">
        <v>438</v>
      </c>
      <c r="I36" s="1" t="s">
        <v>463</v>
      </c>
      <c r="J36" s="1" t="s">
        <v>430</v>
      </c>
      <c r="K36" s="1">
        <v>0</v>
      </c>
      <c r="L36" s="1">
        <v>4</v>
      </c>
      <c r="N36" s="1" t="s">
        <v>433</v>
      </c>
      <c r="O36" s="1" t="s">
        <v>25</v>
      </c>
      <c r="P36" s="1" t="s">
        <v>478</v>
      </c>
      <c r="S36" s="27" t="str">
        <f>IFERROR(VLOOKUP(B36,skill!$G$4:$K$51,5,FALSE),"")</f>
        <v>蛋卷</v>
      </c>
      <c r="T36" s="27" t="str">
        <f>IFERROR(VLOOKUP(B36,skill!$H$4:$K$51,4,FALSE),"")</f>
        <v/>
      </c>
    </row>
    <row r="37" spans="2:20">
      <c r="B37" s="1" t="s">
        <v>268</v>
      </c>
      <c r="C37" s="1" t="s">
        <v>428</v>
      </c>
      <c r="D37" s="1" t="s">
        <v>440</v>
      </c>
      <c r="E37" s="1" t="s">
        <v>430</v>
      </c>
      <c r="F37" s="1" t="s">
        <v>431</v>
      </c>
      <c r="G37" s="1" t="s">
        <v>438</v>
      </c>
      <c r="I37" s="1" t="s">
        <v>387</v>
      </c>
      <c r="J37" s="1" t="s">
        <v>458</v>
      </c>
      <c r="K37" s="1">
        <v>0</v>
      </c>
      <c r="L37" s="1">
        <v>1.5</v>
      </c>
      <c r="N37" s="1" t="s">
        <v>25</v>
      </c>
      <c r="O37" s="1" t="s">
        <v>433</v>
      </c>
      <c r="P37" s="1" t="s">
        <v>479</v>
      </c>
      <c r="S37" s="27" t="str">
        <f>IFERROR(VLOOKUP(B37,skill!$G$4:$K$51,5,FALSE),"")</f>
        <v>巧克力棒</v>
      </c>
      <c r="T37" s="27" t="str">
        <f>IFERROR(VLOOKUP(B37,skill!$H$4:$K$51,4,FALSE),"")</f>
        <v/>
      </c>
    </row>
    <row r="38" spans="2:20">
      <c r="B38" s="1" t="s">
        <v>269</v>
      </c>
      <c r="C38" s="1" t="s">
        <v>428</v>
      </c>
      <c r="D38" s="1" t="s">
        <v>440</v>
      </c>
      <c r="E38" s="1" t="s">
        <v>430</v>
      </c>
      <c r="F38" s="1" t="s">
        <v>431</v>
      </c>
      <c r="G38" s="1" t="s">
        <v>438</v>
      </c>
      <c r="I38" s="1" t="s">
        <v>441</v>
      </c>
      <c r="J38" s="1" t="s">
        <v>480</v>
      </c>
      <c r="K38" s="1">
        <v>1</v>
      </c>
      <c r="L38" s="1">
        <v>0</v>
      </c>
      <c r="N38" s="1" t="s">
        <v>25</v>
      </c>
      <c r="O38" s="1" t="s">
        <v>25</v>
      </c>
      <c r="P38" s="1" t="s">
        <v>443</v>
      </c>
      <c r="Q38" s="1" t="s">
        <v>444</v>
      </c>
      <c r="S38" s="27" t="str">
        <f>IFERROR(VLOOKUP(B38,skill!$G$4:$K$51,5,FALSE),"")</f>
        <v/>
      </c>
      <c r="T38" s="27" t="str">
        <f>IFERROR(VLOOKUP(B38,skill!$H$4:$K$51,4,FALSE),"")</f>
        <v>巧克力棒</v>
      </c>
    </row>
    <row r="39" spans="2:20">
      <c r="B39" s="1" t="s">
        <v>271</v>
      </c>
      <c r="C39" s="1" t="s">
        <v>428</v>
      </c>
      <c r="D39" s="1" t="s">
        <v>440</v>
      </c>
      <c r="E39" s="1" t="s">
        <v>430</v>
      </c>
      <c r="F39" s="1" t="s">
        <v>431</v>
      </c>
      <c r="G39" s="1" t="s">
        <v>438</v>
      </c>
      <c r="I39" s="1" t="s">
        <v>481</v>
      </c>
      <c r="J39" s="1" t="s">
        <v>448</v>
      </c>
      <c r="K39" s="1">
        <v>0</v>
      </c>
      <c r="L39" s="1">
        <v>5</v>
      </c>
      <c r="N39" s="1" t="s">
        <v>25</v>
      </c>
      <c r="O39" s="1" t="s">
        <v>25</v>
      </c>
      <c r="P39" s="1" t="s">
        <v>482</v>
      </c>
      <c r="Q39" s="1" t="s">
        <v>450</v>
      </c>
      <c r="S39" s="27" t="str">
        <f>IFERROR(VLOOKUP(B39,skill!$G$4:$K$51,5,FALSE),"")</f>
        <v>闪电泡芙</v>
      </c>
      <c r="T39" s="27" t="str">
        <f>IFERROR(VLOOKUP(B39,skill!$H$4:$K$51,4,FALSE),"")</f>
        <v/>
      </c>
    </row>
    <row r="40" ht="34" spans="2:20">
      <c r="B40" s="1" t="s">
        <v>272</v>
      </c>
      <c r="C40" s="1" t="s">
        <v>428</v>
      </c>
      <c r="D40" s="1" t="s">
        <v>483</v>
      </c>
      <c r="E40" s="1" t="s">
        <v>430</v>
      </c>
      <c r="F40" s="1" t="s">
        <v>431</v>
      </c>
      <c r="G40" s="1" t="s">
        <v>438</v>
      </c>
      <c r="I40" s="1" t="s">
        <v>387</v>
      </c>
      <c r="J40" s="1" t="s">
        <v>455</v>
      </c>
      <c r="K40" s="1">
        <v>0</v>
      </c>
      <c r="L40" s="1">
        <v>0.8</v>
      </c>
      <c r="N40" s="1" t="s">
        <v>25</v>
      </c>
      <c r="O40" s="1" t="s">
        <v>433</v>
      </c>
      <c r="P40" s="19" t="s">
        <v>484</v>
      </c>
      <c r="S40" s="27" t="str">
        <f>IFERROR(VLOOKUP(B40,skill!$G$4:$K$51,5,FALSE),"")</f>
        <v/>
      </c>
      <c r="T40" s="27" t="str">
        <f>IFERROR(VLOOKUP(B40,skill!$H$4:$K$51,4,FALSE),"")</f>
        <v>闪电泡芙</v>
      </c>
    </row>
    <row r="41" spans="2:20">
      <c r="B41" s="1" t="s">
        <v>274</v>
      </c>
      <c r="C41" s="1" t="s">
        <v>428</v>
      </c>
      <c r="D41" s="1" t="s">
        <v>440</v>
      </c>
      <c r="E41" s="1" t="s">
        <v>430</v>
      </c>
      <c r="F41" s="1" t="s">
        <v>431</v>
      </c>
      <c r="G41" s="1" t="s">
        <v>438</v>
      </c>
      <c r="I41" s="1" t="s">
        <v>387</v>
      </c>
      <c r="J41" s="1" t="s">
        <v>453</v>
      </c>
      <c r="K41" s="1">
        <v>0</v>
      </c>
      <c r="L41" s="1">
        <v>1</v>
      </c>
      <c r="N41" s="1" t="s">
        <v>25</v>
      </c>
      <c r="O41" s="1" t="s">
        <v>433</v>
      </c>
      <c r="P41" s="1" t="s">
        <v>479</v>
      </c>
      <c r="S41" s="27" t="str">
        <f>IFERROR(VLOOKUP(B41,skill!$G$4:$K$51,5,FALSE),"")</f>
        <v>糖葫芦</v>
      </c>
      <c r="T41" s="27" t="str">
        <f>IFERROR(VLOOKUP(B41,skill!$H$4:$K$51,4,FALSE),"")</f>
        <v/>
      </c>
    </row>
    <row r="42" spans="2:20">
      <c r="B42" s="1" t="s">
        <v>275</v>
      </c>
      <c r="C42" s="1" t="s">
        <v>428</v>
      </c>
      <c r="D42" s="1" t="s">
        <v>440</v>
      </c>
      <c r="E42" s="1" t="s">
        <v>430</v>
      </c>
      <c r="F42" s="1" t="s">
        <v>431</v>
      </c>
      <c r="G42" s="1" t="s">
        <v>438</v>
      </c>
      <c r="I42" s="1" t="s">
        <v>441</v>
      </c>
      <c r="J42" s="1" t="s">
        <v>442</v>
      </c>
      <c r="K42" s="1">
        <v>2</v>
      </c>
      <c r="L42" s="1">
        <v>0</v>
      </c>
      <c r="N42" s="1" t="s">
        <v>25</v>
      </c>
      <c r="O42" s="1" t="s">
        <v>25</v>
      </c>
      <c r="P42" s="1" t="s">
        <v>443</v>
      </c>
      <c r="Q42" s="1" t="s">
        <v>444</v>
      </c>
      <c r="S42" s="27" t="str">
        <f>IFERROR(VLOOKUP(B42,skill!$G$4:$K$51,5,FALSE),"")</f>
        <v/>
      </c>
      <c r="T42" s="27" t="str">
        <f>IFERROR(VLOOKUP(B42,skill!$H$4:$K$51,4,FALSE),"")</f>
        <v>糖葫芦</v>
      </c>
    </row>
    <row r="43" ht="34" spans="2:20">
      <c r="B43" s="1" t="s">
        <v>276</v>
      </c>
      <c r="C43" s="1" t="s">
        <v>428</v>
      </c>
      <c r="D43" s="1" t="s">
        <v>440</v>
      </c>
      <c r="E43" s="1" t="s">
        <v>430</v>
      </c>
      <c r="F43" s="1" t="s">
        <v>431</v>
      </c>
      <c r="G43" s="1" t="s">
        <v>438</v>
      </c>
      <c r="I43" s="1" t="s">
        <v>447</v>
      </c>
      <c r="J43" s="1" t="s">
        <v>448</v>
      </c>
      <c r="K43" s="1">
        <v>0</v>
      </c>
      <c r="L43" s="1">
        <v>1.5</v>
      </c>
      <c r="M43" s="1" t="s">
        <v>485</v>
      </c>
      <c r="N43" s="1" t="s">
        <v>25</v>
      </c>
      <c r="O43" s="1" t="s">
        <v>25</v>
      </c>
      <c r="P43" s="19" t="s">
        <v>486</v>
      </c>
      <c r="Q43" s="1" t="s">
        <v>450</v>
      </c>
      <c r="S43" s="27" t="str">
        <f>IFERROR(VLOOKUP(B43,skill!$G$4:$K$51,5,FALSE),"")</f>
        <v>舒芙蕾</v>
      </c>
      <c r="T43" s="27" t="str">
        <f>IFERROR(VLOOKUP(B43,skill!$H$4:$K$51,4,FALSE),"")</f>
        <v/>
      </c>
    </row>
    <row r="44" spans="2:20">
      <c r="B44" s="1" t="s">
        <v>278</v>
      </c>
      <c r="C44" s="1" t="s">
        <v>428</v>
      </c>
      <c r="D44" s="1" t="s">
        <v>440</v>
      </c>
      <c r="E44" s="1" t="s">
        <v>430</v>
      </c>
      <c r="F44" s="1" t="s">
        <v>431</v>
      </c>
      <c r="G44" s="1" t="s">
        <v>438</v>
      </c>
      <c r="I44" s="1" t="s">
        <v>463</v>
      </c>
      <c r="J44" s="1" t="s">
        <v>430</v>
      </c>
      <c r="K44" s="1">
        <v>0</v>
      </c>
      <c r="L44" s="1">
        <v>5</v>
      </c>
      <c r="N44" s="1" t="s">
        <v>433</v>
      </c>
      <c r="O44" s="1" t="s">
        <v>25</v>
      </c>
      <c r="P44" s="1" t="s">
        <v>464</v>
      </c>
      <c r="S44" s="27" t="str">
        <f>IFERROR(VLOOKUP(B44,skill!$G$4:$K$51,5,FALSE),"")</f>
        <v>桃酥</v>
      </c>
      <c r="T44" s="27" t="str">
        <f>IFERROR(VLOOKUP(B44,skill!$H$4:$K$51,4,FALSE),"")</f>
        <v/>
      </c>
    </row>
    <row r="45" ht="34" spans="2:20">
      <c r="B45" s="1" t="s">
        <v>487</v>
      </c>
      <c r="C45" s="1" t="s">
        <v>428</v>
      </c>
      <c r="D45" s="1" t="s">
        <v>435</v>
      </c>
      <c r="E45" s="1" t="s">
        <v>455</v>
      </c>
      <c r="F45" s="1" t="s">
        <v>431</v>
      </c>
      <c r="G45" s="1" t="s">
        <v>488</v>
      </c>
      <c r="H45" s="1" t="s">
        <v>489</v>
      </c>
      <c r="I45" s="1" t="s">
        <v>390</v>
      </c>
      <c r="J45" s="1" t="s">
        <v>455</v>
      </c>
      <c r="K45" s="1">
        <v>0</v>
      </c>
      <c r="L45" s="1">
        <v>0</v>
      </c>
      <c r="M45" s="1" t="s">
        <v>490</v>
      </c>
      <c r="N45" s="1" t="s">
        <v>25</v>
      </c>
      <c r="O45" s="1" t="s">
        <v>25</v>
      </c>
      <c r="P45" s="19" t="s">
        <v>491</v>
      </c>
      <c r="S45" s="27" t="str">
        <f>IFERROR(VLOOKUP(B45,skill!$G$4:$K$51,5,FALSE),"")</f>
        <v/>
      </c>
      <c r="T45" s="27" t="str">
        <f>IFERROR(VLOOKUP(B45,skill!$H$4:$K$51,4,FALSE),"")</f>
        <v/>
      </c>
    </row>
    <row r="46" spans="2:20">
      <c r="B46" s="1" t="s">
        <v>280</v>
      </c>
      <c r="C46" s="1" t="s">
        <v>428</v>
      </c>
      <c r="D46" s="1" t="s">
        <v>440</v>
      </c>
      <c r="E46" s="1" t="s">
        <v>430</v>
      </c>
      <c r="F46" s="1" t="s">
        <v>431</v>
      </c>
      <c r="G46" s="1" t="s">
        <v>438</v>
      </c>
      <c r="I46" s="1" t="s">
        <v>463</v>
      </c>
      <c r="J46" s="1" t="s">
        <v>430</v>
      </c>
      <c r="K46" s="1">
        <v>0</v>
      </c>
      <c r="L46" s="1">
        <v>4</v>
      </c>
      <c r="N46" s="1" t="s">
        <v>433</v>
      </c>
      <c r="O46" s="1" t="s">
        <v>25</v>
      </c>
      <c r="P46" s="1" t="s">
        <v>464</v>
      </c>
      <c r="S46" s="27" t="str">
        <f>IFERROR(VLOOKUP(B46,skill!$G$4:$K$51,5,FALSE),"")</f>
        <v>月饼</v>
      </c>
      <c r="T46" s="27" t="str">
        <f>IFERROR(VLOOKUP(B46,skill!$H$4:$K$51,4,FALSE),"")</f>
        <v/>
      </c>
    </row>
    <row r="47" spans="2:20">
      <c r="B47" s="1" t="s">
        <v>281</v>
      </c>
      <c r="C47" s="1" t="s">
        <v>428</v>
      </c>
      <c r="D47" s="1" t="s">
        <v>440</v>
      </c>
      <c r="E47" s="1" t="s">
        <v>430</v>
      </c>
      <c r="F47" s="1" t="s">
        <v>431</v>
      </c>
      <c r="G47" s="1" t="s">
        <v>438</v>
      </c>
      <c r="I47" s="1" t="s">
        <v>390</v>
      </c>
      <c r="J47" s="1" t="s">
        <v>458</v>
      </c>
      <c r="K47" s="1">
        <v>0</v>
      </c>
      <c r="L47" s="1">
        <v>2.5</v>
      </c>
      <c r="N47" s="1" t="s">
        <v>25</v>
      </c>
      <c r="O47" s="1" t="s">
        <v>433</v>
      </c>
      <c r="P47" s="1" t="s">
        <v>479</v>
      </c>
      <c r="S47" s="27" t="str">
        <f>IFERROR(VLOOKUP(B47,skill!$G$4:$K$51,5,FALSE),"")</f>
        <v/>
      </c>
      <c r="T47" s="27" t="str">
        <f>IFERROR(VLOOKUP(B47,skill!$H$4:$K$51,4,FALSE),"")</f>
        <v>月饼</v>
      </c>
    </row>
    <row r="48" ht="17" spans="2:20">
      <c r="B48" s="1" t="s">
        <v>284</v>
      </c>
      <c r="C48" s="1" t="s">
        <v>428</v>
      </c>
      <c r="D48" s="1" t="s">
        <v>435</v>
      </c>
      <c r="E48" s="1" t="s">
        <v>453</v>
      </c>
      <c r="F48" s="1" t="s">
        <v>437</v>
      </c>
      <c r="G48" s="1" t="s">
        <v>438</v>
      </c>
      <c r="I48" s="1" t="s">
        <v>387</v>
      </c>
      <c r="J48" s="1" t="s">
        <v>458</v>
      </c>
      <c r="K48" s="1">
        <v>0</v>
      </c>
      <c r="L48" s="1">
        <v>5</v>
      </c>
      <c r="N48" s="1" t="s">
        <v>25</v>
      </c>
      <c r="O48" s="1" t="s">
        <v>433</v>
      </c>
      <c r="P48" s="19" t="s">
        <v>479</v>
      </c>
      <c r="S48" s="27" t="str">
        <f>IFERROR(VLOOKUP(B48,skill!$G$4:$K$51,5,FALSE),"")</f>
        <v/>
      </c>
      <c r="T48" s="27" t="str">
        <f>IFERROR(VLOOKUP(B48,skill!$H$4:$K$51,4,FALSE),"")</f>
        <v>华夫饼</v>
      </c>
    </row>
    <row r="49" ht="17" spans="2:20">
      <c r="B49" s="1" t="s">
        <v>283</v>
      </c>
      <c r="C49" s="1" t="s">
        <v>428</v>
      </c>
      <c r="D49" s="1" t="s">
        <v>440</v>
      </c>
      <c r="E49" s="1" t="s">
        <v>430</v>
      </c>
      <c r="F49" s="1" t="s">
        <v>431</v>
      </c>
      <c r="G49" s="1" t="s">
        <v>438</v>
      </c>
      <c r="I49" s="1" t="s">
        <v>463</v>
      </c>
      <c r="J49" s="1" t="s">
        <v>430</v>
      </c>
      <c r="K49" s="1">
        <v>0</v>
      </c>
      <c r="L49" s="1">
        <v>7</v>
      </c>
      <c r="N49" s="1" t="s">
        <v>433</v>
      </c>
      <c r="O49" s="1" t="s">
        <v>25</v>
      </c>
      <c r="P49" s="19" t="s">
        <v>492</v>
      </c>
      <c r="S49" s="27" t="str">
        <f>IFERROR(VLOOKUP(B49,skill!$G$4:$K$51,5,FALSE),"")</f>
        <v>华夫饼</v>
      </c>
      <c r="T49" s="27" t="str">
        <f>IFERROR(VLOOKUP(B49,skill!$H$4:$K$51,4,FALSE),"")</f>
        <v/>
      </c>
    </row>
    <row r="50" ht="34" spans="2:20">
      <c r="B50" s="1" t="s">
        <v>286</v>
      </c>
      <c r="C50" s="1" t="s">
        <v>428</v>
      </c>
      <c r="D50" s="1" t="s">
        <v>460</v>
      </c>
      <c r="E50" s="1" t="s">
        <v>455</v>
      </c>
      <c r="F50" s="1" t="s">
        <v>431</v>
      </c>
      <c r="G50" s="1" t="s">
        <v>438</v>
      </c>
      <c r="I50" s="1" t="s">
        <v>463</v>
      </c>
      <c r="J50" s="1" t="s">
        <v>453</v>
      </c>
      <c r="K50" s="1">
        <v>0</v>
      </c>
      <c r="L50" s="1">
        <v>2</v>
      </c>
      <c r="N50" s="1" t="s">
        <v>433</v>
      </c>
      <c r="O50" s="1" t="s">
        <v>25</v>
      </c>
      <c r="P50" s="19" t="s">
        <v>493</v>
      </c>
      <c r="S50" s="27" t="str">
        <f>IFERROR(VLOOKUP(B50,skill!$G$4:$K$51,5,FALSE),"")</f>
        <v>铜锣烧</v>
      </c>
      <c r="T50" s="27" t="str">
        <f>IFERROR(VLOOKUP(B50,skill!$H$4:$K$51,4,FALSE),"")</f>
        <v/>
      </c>
    </row>
    <row r="51" ht="17" spans="2:20">
      <c r="B51" s="1" t="s">
        <v>287</v>
      </c>
      <c r="C51" s="1" t="s">
        <v>428</v>
      </c>
      <c r="D51" s="1" t="s">
        <v>440</v>
      </c>
      <c r="E51" s="1" t="s">
        <v>430</v>
      </c>
      <c r="F51" s="1" t="s">
        <v>431</v>
      </c>
      <c r="G51" s="1" t="s">
        <v>438</v>
      </c>
      <c r="I51" s="1" t="s">
        <v>384</v>
      </c>
      <c r="J51" s="1" t="s">
        <v>453</v>
      </c>
      <c r="K51" s="1">
        <v>0</v>
      </c>
      <c r="L51" s="1">
        <v>50</v>
      </c>
      <c r="N51" s="1" t="s">
        <v>25</v>
      </c>
      <c r="O51" s="1" t="s">
        <v>433</v>
      </c>
      <c r="P51" s="19" t="s">
        <v>476</v>
      </c>
      <c r="S51" s="27" t="str">
        <f>IFERROR(VLOOKUP(B51,skill!$G$4:$K$51,5,FALSE),"")</f>
        <v/>
      </c>
      <c r="T51" s="27" t="str">
        <f>IFERROR(VLOOKUP(B51,skill!$H$4:$K$51,4,FALSE),"")</f>
        <v>铜锣烧</v>
      </c>
    </row>
    <row r="52" ht="34" spans="2:20">
      <c r="B52" s="1" t="s">
        <v>289</v>
      </c>
      <c r="C52" s="1" t="s">
        <v>428</v>
      </c>
      <c r="D52" s="1" t="s">
        <v>440</v>
      </c>
      <c r="E52" s="1" t="s">
        <v>430</v>
      </c>
      <c r="F52" s="1" t="s">
        <v>431</v>
      </c>
      <c r="G52" s="1" t="s">
        <v>438</v>
      </c>
      <c r="I52" s="1" t="s">
        <v>451</v>
      </c>
      <c r="J52" s="1" t="s">
        <v>430</v>
      </c>
      <c r="K52" s="1">
        <v>0</v>
      </c>
      <c r="L52" s="1">
        <v>10</v>
      </c>
      <c r="N52" s="1" t="s">
        <v>25</v>
      </c>
      <c r="O52" s="1" t="s">
        <v>433</v>
      </c>
      <c r="P52" s="19" t="s">
        <v>494</v>
      </c>
      <c r="S52" s="27" t="str">
        <f>IFERROR(VLOOKUP(B52,skill!$G$4:$K$51,5,FALSE),"")</f>
        <v>奶油蛋糕</v>
      </c>
      <c r="T52" s="27" t="str">
        <f>IFERROR(VLOOKUP(B52,skill!$H$4:$K$51,4,FALSE),"")</f>
        <v/>
      </c>
    </row>
    <row r="53" ht="17" spans="2:20">
      <c r="B53" s="1" t="s">
        <v>290</v>
      </c>
      <c r="C53" s="1" t="s">
        <v>428</v>
      </c>
      <c r="D53" s="1" t="s">
        <v>440</v>
      </c>
      <c r="E53" s="1" t="s">
        <v>430</v>
      </c>
      <c r="F53" s="1" t="s">
        <v>431</v>
      </c>
      <c r="G53" s="1" t="s">
        <v>438</v>
      </c>
      <c r="I53" s="1" t="s">
        <v>495</v>
      </c>
      <c r="J53" s="1" t="s">
        <v>472</v>
      </c>
      <c r="K53" s="1">
        <v>0</v>
      </c>
      <c r="L53" s="1">
        <v>0</v>
      </c>
      <c r="M53" s="1" t="s">
        <v>473</v>
      </c>
      <c r="N53" s="1" t="s">
        <v>25</v>
      </c>
      <c r="O53" s="1" t="s">
        <v>25</v>
      </c>
      <c r="P53" s="19" t="s">
        <v>496</v>
      </c>
      <c r="S53" s="27" t="str">
        <f>IFERROR(VLOOKUP(B53,skill!$G$4:$K$51,5,FALSE),"")</f>
        <v/>
      </c>
      <c r="T53" s="27" t="str">
        <f>IFERROR(VLOOKUP(B53,skill!$H$4:$K$51,4,FALSE),"")</f>
        <v>奶油蛋糕</v>
      </c>
    </row>
    <row r="54" spans="2:20">
      <c r="B54" s="1" t="s">
        <v>291</v>
      </c>
      <c r="C54" s="1" t="s">
        <v>428</v>
      </c>
      <c r="D54" s="1" t="s">
        <v>440</v>
      </c>
      <c r="E54" s="1" t="s">
        <v>430</v>
      </c>
      <c r="F54" s="1" t="s">
        <v>431</v>
      </c>
      <c r="G54" s="1" t="s">
        <v>438</v>
      </c>
      <c r="I54" s="1" t="s">
        <v>447</v>
      </c>
      <c r="J54" s="1" t="s">
        <v>448</v>
      </c>
      <c r="K54" s="1">
        <v>0</v>
      </c>
      <c r="L54" s="1">
        <v>40</v>
      </c>
      <c r="N54" s="1" t="s">
        <v>25</v>
      </c>
      <c r="O54" s="1" t="s">
        <v>433</v>
      </c>
      <c r="P54" s="1" t="s">
        <v>459</v>
      </c>
      <c r="Q54" s="1" t="s">
        <v>450</v>
      </c>
      <c r="S54" s="27" t="str">
        <f>IFERROR(VLOOKUP(B54,skill!$G$4:$K$51,5,FALSE),"")</f>
        <v>甜甜圈</v>
      </c>
      <c r="T54" s="27" t="str">
        <f>IFERROR(VLOOKUP(B54,skill!$H$4:$K$51,4,FALSE),"")</f>
        <v/>
      </c>
    </row>
    <row r="55" ht="34" spans="2:20">
      <c r="B55" s="1" t="s">
        <v>294</v>
      </c>
      <c r="C55" s="1" t="s">
        <v>428</v>
      </c>
      <c r="D55" s="1" t="s">
        <v>456</v>
      </c>
      <c r="E55" s="1" t="s">
        <v>430</v>
      </c>
      <c r="F55" s="1" t="s">
        <v>431</v>
      </c>
      <c r="G55" s="1" t="s">
        <v>438</v>
      </c>
      <c r="I55" s="1" t="s">
        <v>387</v>
      </c>
      <c r="J55" s="1" t="s">
        <v>430</v>
      </c>
      <c r="K55" s="1">
        <v>0</v>
      </c>
      <c r="L55" s="1">
        <v>3</v>
      </c>
      <c r="N55" s="1" t="s">
        <v>25</v>
      </c>
      <c r="O55" s="1" t="s">
        <v>433</v>
      </c>
      <c r="P55" s="19" t="s">
        <v>497</v>
      </c>
      <c r="S55" s="27" t="str">
        <f>IFERROR(VLOOKUP(B55,skill!$G$4:$K$51,5,FALSE),"")</f>
        <v>椪糖</v>
      </c>
      <c r="T55" s="27" t="str">
        <f>IFERROR(VLOOKUP(B55,skill!$H$4:$K$51,4,FALSE),"")</f>
        <v/>
      </c>
    </row>
    <row r="56" spans="2:20">
      <c r="B56" s="1" t="s">
        <v>295</v>
      </c>
      <c r="C56" s="1" t="s">
        <v>428</v>
      </c>
      <c r="D56" s="1" t="s">
        <v>440</v>
      </c>
      <c r="E56" s="1" t="s">
        <v>430</v>
      </c>
      <c r="F56" s="1" t="s">
        <v>431</v>
      </c>
      <c r="G56" s="1" t="s">
        <v>438</v>
      </c>
      <c r="I56" s="1" t="s">
        <v>441</v>
      </c>
      <c r="J56" s="1" t="s">
        <v>470</v>
      </c>
      <c r="K56" s="1">
        <v>3</v>
      </c>
      <c r="L56" s="1">
        <v>0</v>
      </c>
      <c r="N56" s="1" t="s">
        <v>25</v>
      </c>
      <c r="O56" s="1" t="s">
        <v>25</v>
      </c>
      <c r="P56" s="1" t="s">
        <v>443</v>
      </c>
      <c r="Q56" s="1" t="s">
        <v>444</v>
      </c>
      <c r="S56" s="27" t="str">
        <f>IFERROR(VLOOKUP(B56,skill!$G$4:$K$51,5,FALSE),"")</f>
        <v/>
      </c>
      <c r="T56" s="27" t="str">
        <f>IFERROR(VLOOKUP(B56,skill!$H$4:$K$51,4,FALSE),"")</f>
        <v>椪糖</v>
      </c>
    </row>
    <row r="57" ht="34" spans="2:20">
      <c r="B57" s="1" t="s">
        <v>298</v>
      </c>
      <c r="C57" s="1" t="s">
        <v>428</v>
      </c>
      <c r="D57" s="1" t="s">
        <v>435</v>
      </c>
      <c r="E57" s="1" t="s">
        <v>436</v>
      </c>
      <c r="F57" s="1" t="s">
        <v>431</v>
      </c>
      <c r="G57" s="1" t="s">
        <v>438</v>
      </c>
      <c r="I57" s="1" t="s">
        <v>390</v>
      </c>
      <c r="J57" s="1" t="s">
        <v>458</v>
      </c>
      <c r="K57" s="1">
        <v>0</v>
      </c>
      <c r="L57" s="1">
        <v>1.2</v>
      </c>
      <c r="N57" s="1" t="s">
        <v>25</v>
      </c>
      <c r="O57" s="1" t="s">
        <v>25</v>
      </c>
      <c r="P57" s="19" t="s">
        <v>498</v>
      </c>
      <c r="S57" s="27" t="str">
        <f>IFERROR(VLOOKUP(B57,skill!$G$4:$K$51,5,FALSE),"")</f>
        <v/>
      </c>
      <c r="T57" s="27" t="str">
        <f>IFERROR(VLOOKUP(B57,skill!$H$4:$K$51,4,FALSE),"")</f>
        <v>芭菲</v>
      </c>
    </row>
    <row r="58" spans="2:20">
      <c r="B58" s="1" t="s">
        <v>297</v>
      </c>
      <c r="C58" s="1" t="s">
        <v>428</v>
      </c>
      <c r="D58" s="1" t="s">
        <v>440</v>
      </c>
      <c r="E58" s="1" t="s">
        <v>430</v>
      </c>
      <c r="F58" s="1" t="s">
        <v>431</v>
      </c>
      <c r="G58" s="1" t="s">
        <v>438</v>
      </c>
      <c r="I58" s="1" t="s">
        <v>463</v>
      </c>
      <c r="J58" s="1" t="s">
        <v>430</v>
      </c>
      <c r="K58" s="1">
        <v>0</v>
      </c>
      <c r="L58" s="1">
        <v>9</v>
      </c>
      <c r="N58" s="1" t="s">
        <v>433</v>
      </c>
      <c r="O58" s="1" t="s">
        <v>25</v>
      </c>
      <c r="P58" s="1" t="s">
        <v>478</v>
      </c>
      <c r="S58" s="27" t="str">
        <f>IFERROR(VLOOKUP(B58,skill!$G$4:$K$51,5,FALSE),"")</f>
        <v>芭菲</v>
      </c>
      <c r="T58" s="27" t="str">
        <f>IFERROR(VLOOKUP(B58,skill!$H$4:$K$51,4,FALSE),"")</f>
        <v/>
      </c>
    </row>
    <row r="59" spans="2:20">
      <c r="B59" s="1" t="s">
        <v>301</v>
      </c>
      <c r="C59" s="1" t="s">
        <v>428</v>
      </c>
      <c r="D59" s="1" t="s">
        <v>440</v>
      </c>
      <c r="E59" s="1" t="s">
        <v>430</v>
      </c>
      <c r="F59" s="1" t="s">
        <v>431</v>
      </c>
      <c r="G59" s="1" t="s">
        <v>438</v>
      </c>
      <c r="I59" s="1" t="s">
        <v>390</v>
      </c>
      <c r="J59" s="1" t="s">
        <v>455</v>
      </c>
      <c r="K59" s="1">
        <v>0</v>
      </c>
      <c r="L59" s="1">
        <v>3</v>
      </c>
      <c r="N59" s="1" t="s">
        <v>25</v>
      </c>
      <c r="O59" s="1" t="s">
        <v>25</v>
      </c>
      <c r="P59" s="1" t="s">
        <v>499</v>
      </c>
      <c r="S59" s="27" t="str">
        <f>IFERROR(VLOOKUP(B59,skill!$G$4:$K$51,5,FALSE),"")</f>
        <v/>
      </c>
      <c r="T59" s="27" t="str">
        <f>IFERROR(VLOOKUP(B59,skill!$H$4:$K$51,4,FALSE),"")</f>
        <v>圣代</v>
      </c>
    </row>
    <row r="60" spans="2:20">
      <c r="B60" s="1" t="s">
        <v>300</v>
      </c>
      <c r="C60" s="1" t="s">
        <v>428</v>
      </c>
      <c r="D60" s="1" t="s">
        <v>440</v>
      </c>
      <c r="E60" s="1" t="s">
        <v>430</v>
      </c>
      <c r="F60" s="1" t="s">
        <v>431</v>
      </c>
      <c r="G60" s="1" t="s">
        <v>438</v>
      </c>
      <c r="I60" s="1" t="s">
        <v>463</v>
      </c>
      <c r="J60" s="1" t="s">
        <v>430</v>
      </c>
      <c r="K60" s="1">
        <v>0</v>
      </c>
      <c r="L60" s="1">
        <v>4</v>
      </c>
      <c r="N60" s="1" t="s">
        <v>433</v>
      </c>
      <c r="O60" s="1" t="s">
        <v>25</v>
      </c>
      <c r="P60" s="1" t="s">
        <v>464</v>
      </c>
      <c r="S60" s="27" t="str">
        <f>IFERROR(VLOOKUP(B60,skill!$G$4:$K$51,5,FALSE),"")</f>
        <v>圣代</v>
      </c>
      <c r="T60" s="27" t="str">
        <f>IFERROR(VLOOKUP(B60,skill!$H$4:$K$51,4,FALSE),"")</f>
        <v/>
      </c>
    </row>
    <row r="61" spans="2:20">
      <c r="B61" s="1" t="s">
        <v>303</v>
      </c>
      <c r="C61" s="1" t="s">
        <v>428</v>
      </c>
      <c r="D61" s="1" t="s">
        <v>440</v>
      </c>
      <c r="E61" s="1" t="s">
        <v>430</v>
      </c>
      <c r="F61" s="1" t="s">
        <v>431</v>
      </c>
      <c r="G61" s="1" t="s">
        <v>438</v>
      </c>
      <c r="I61" s="1" t="s">
        <v>447</v>
      </c>
      <c r="J61" s="1" t="s">
        <v>448</v>
      </c>
      <c r="K61" s="1">
        <v>0</v>
      </c>
      <c r="L61" s="1">
        <v>20</v>
      </c>
      <c r="N61" s="1" t="s">
        <v>25</v>
      </c>
      <c r="O61" s="1" t="s">
        <v>433</v>
      </c>
      <c r="P61" s="1" t="s">
        <v>459</v>
      </c>
      <c r="Q61" s="1" t="s">
        <v>450</v>
      </c>
      <c r="S61" s="27" t="str">
        <f>IFERROR(VLOOKUP(B61,skill!$G$4:$K$51,5,FALSE),"")</f>
        <v>瑞士卷</v>
      </c>
      <c r="T61" s="27" t="str">
        <f>IFERROR(VLOOKUP(B61,skill!$H$4:$K$51,4,FALSE),"")</f>
        <v/>
      </c>
    </row>
    <row r="62" spans="2:20">
      <c r="B62" s="1" t="s">
        <v>304</v>
      </c>
      <c r="C62" s="1" t="s">
        <v>428</v>
      </c>
      <c r="D62" s="1" t="s">
        <v>440</v>
      </c>
      <c r="E62" s="1" t="s">
        <v>430</v>
      </c>
      <c r="F62" s="1" t="s">
        <v>431</v>
      </c>
      <c r="G62" s="1" t="s">
        <v>438</v>
      </c>
      <c r="I62" s="1" t="s">
        <v>387</v>
      </c>
      <c r="J62" s="1" t="s">
        <v>477</v>
      </c>
      <c r="K62" s="1">
        <v>0</v>
      </c>
      <c r="L62" s="1">
        <v>1</v>
      </c>
      <c r="N62" s="1" t="s">
        <v>25</v>
      </c>
      <c r="O62" s="1" t="s">
        <v>433</v>
      </c>
      <c r="P62" s="1" t="s">
        <v>500</v>
      </c>
      <c r="S62" s="27" t="str">
        <f>IFERROR(VLOOKUP(B62,skill!$G$4:$K$51,5,FALSE),"")</f>
        <v/>
      </c>
      <c r="T62" s="27" t="str">
        <f>IFERROR(VLOOKUP(B62,skill!$H$4:$K$51,4,FALSE),"")</f>
        <v>瑞士卷</v>
      </c>
    </row>
    <row r="63" spans="2:20">
      <c r="B63" s="26" t="s">
        <v>307</v>
      </c>
      <c r="C63" s="26" t="s">
        <v>428</v>
      </c>
      <c r="D63" s="26" t="s">
        <v>440</v>
      </c>
      <c r="E63" s="26" t="s">
        <v>430</v>
      </c>
      <c r="F63" s="26" t="s">
        <v>431</v>
      </c>
      <c r="G63" s="26" t="s">
        <v>438</v>
      </c>
      <c r="H63" s="26"/>
      <c r="I63" s="26" t="s">
        <v>501</v>
      </c>
      <c r="J63" s="26" t="s">
        <v>430</v>
      </c>
      <c r="K63" s="26">
        <v>0</v>
      </c>
      <c r="L63" s="26">
        <v>0</v>
      </c>
      <c r="M63" s="26" t="s">
        <v>502</v>
      </c>
      <c r="N63" s="26" t="s">
        <v>25</v>
      </c>
      <c r="O63" s="26" t="s">
        <v>25</v>
      </c>
      <c r="P63" s="26" t="s">
        <v>503</v>
      </c>
      <c r="S63" s="27" t="str">
        <f>IFERROR(VLOOKUP(B63,skill!$G$4:$K$51,5,FALSE),"")</f>
        <v/>
      </c>
      <c r="T63" s="27" t="str">
        <f>IFERROR(VLOOKUP(B63,skill!$H$4:$K$51,4,FALSE),"")</f>
        <v>杨枝甘露</v>
      </c>
    </row>
    <row r="64" spans="2:20">
      <c r="B64" s="1" t="s">
        <v>306</v>
      </c>
      <c r="C64" s="1" t="s">
        <v>428</v>
      </c>
      <c r="D64" s="1" t="s">
        <v>440</v>
      </c>
      <c r="E64" s="1" t="s">
        <v>430</v>
      </c>
      <c r="F64" s="1" t="s">
        <v>431</v>
      </c>
      <c r="G64" s="1" t="s">
        <v>438</v>
      </c>
      <c r="I64" s="1" t="s">
        <v>463</v>
      </c>
      <c r="J64" s="1" t="s">
        <v>430</v>
      </c>
      <c r="K64" s="1">
        <v>0</v>
      </c>
      <c r="L64" s="1">
        <v>7</v>
      </c>
      <c r="N64" s="1" t="s">
        <v>433</v>
      </c>
      <c r="O64" s="1" t="s">
        <v>25</v>
      </c>
      <c r="P64" s="1" t="s">
        <v>478</v>
      </c>
      <c r="S64" s="27" t="str">
        <f>IFERROR(VLOOKUP(B64,skill!$G$4:$K$51,5,FALSE),"")</f>
        <v>杨枝甘露</v>
      </c>
      <c r="T64" s="27" t="str">
        <f>IFERROR(VLOOKUP(B64,skill!$H$4:$K$51,4,FALSE),"")</f>
        <v/>
      </c>
    </row>
    <row r="65" spans="2:20">
      <c r="B65" s="1" t="s">
        <v>309</v>
      </c>
      <c r="C65" s="1" t="s">
        <v>428</v>
      </c>
      <c r="D65" s="1" t="s">
        <v>440</v>
      </c>
      <c r="E65" s="1" t="s">
        <v>430</v>
      </c>
      <c r="F65" s="1" t="s">
        <v>431</v>
      </c>
      <c r="G65" s="1" t="s">
        <v>438</v>
      </c>
      <c r="I65" s="1" t="s">
        <v>387</v>
      </c>
      <c r="J65" s="1" t="s">
        <v>430</v>
      </c>
      <c r="K65" s="1">
        <v>0</v>
      </c>
      <c r="L65" s="1">
        <v>8</v>
      </c>
      <c r="N65" s="1" t="s">
        <v>25</v>
      </c>
      <c r="O65" s="1" t="s">
        <v>433</v>
      </c>
      <c r="P65" s="1" t="s">
        <v>479</v>
      </c>
      <c r="S65" s="27" t="str">
        <f>IFERROR(VLOOKUP(B65,skill!$G$4:$K$51,5,FALSE),"")</f>
        <v/>
      </c>
      <c r="T65" s="27" t="str">
        <f>IFERROR(VLOOKUP(B65,skill!$H$4:$K$51,4,FALSE),"")</f>
        <v/>
      </c>
    </row>
    <row r="66" spans="2:20">
      <c r="B66" s="25" t="s">
        <v>310</v>
      </c>
      <c r="C66" s="25" t="s">
        <v>428</v>
      </c>
      <c r="D66" s="25" t="s">
        <v>440</v>
      </c>
      <c r="E66" s="25" t="s">
        <v>430</v>
      </c>
      <c r="F66" s="25" t="s">
        <v>431</v>
      </c>
      <c r="G66" s="25" t="s">
        <v>438</v>
      </c>
      <c r="H66" s="25"/>
      <c r="I66" s="25" t="s">
        <v>501</v>
      </c>
      <c r="J66" s="25" t="s">
        <v>472</v>
      </c>
      <c r="K66" s="25">
        <v>0</v>
      </c>
      <c r="L66" s="25">
        <v>0</v>
      </c>
      <c r="M66" s="25" t="s">
        <v>473</v>
      </c>
      <c r="N66" s="25" t="s">
        <v>25</v>
      </c>
      <c r="O66" s="25" t="s">
        <v>25</v>
      </c>
      <c r="P66" s="25" t="s">
        <v>504</v>
      </c>
      <c r="S66" s="27" t="str">
        <f>IFERROR(VLOOKUP(B66,skill!$G$4:$K$51,5,FALSE),"")</f>
        <v/>
      </c>
      <c r="T66" s="27" t="str">
        <f>IFERROR(VLOOKUP(B66,skill!$H$4:$K$51,4,FALSE),"")</f>
        <v/>
      </c>
    </row>
    <row r="67" ht="34" spans="2:20">
      <c r="B67" s="1" t="s">
        <v>312</v>
      </c>
      <c r="C67" s="1" t="s">
        <v>428</v>
      </c>
      <c r="D67" s="1" t="s">
        <v>435</v>
      </c>
      <c r="E67" s="1" t="s">
        <v>455</v>
      </c>
      <c r="F67" s="1" t="s">
        <v>431</v>
      </c>
      <c r="G67" s="1" t="s">
        <v>438</v>
      </c>
      <c r="I67" s="1" t="s">
        <v>387</v>
      </c>
      <c r="J67" s="1" t="s">
        <v>458</v>
      </c>
      <c r="K67" s="1">
        <v>0</v>
      </c>
      <c r="L67" s="1">
        <v>0.5</v>
      </c>
      <c r="N67" s="1" t="s">
        <v>25</v>
      </c>
      <c r="O67" s="1" t="s">
        <v>433</v>
      </c>
      <c r="P67" s="19" t="s">
        <v>454</v>
      </c>
      <c r="S67" s="27" t="str">
        <f>IFERROR(VLOOKUP(B67,skill!$G$4:$K$51,5,FALSE),"")</f>
        <v>苹果派</v>
      </c>
      <c r="T67" s="27" t="str">
        <f>IFERROR(VLOOKUP(B67,skill!$H$4:$K$51,4,FALSE),"")</f>
        <v/>
      </c>
    </row>
    <row r="68" spans="2:20">
      <c r="B68" s="1" t="s">
        <v>314</v>
      </c>
      <c r="C68" s="1" t="s">
        <v>428</v>
      </c>
      <c r="D68" s="1" t="s">
        <v>440</v>
      </c>
      <c r="E68" s="1" t="s">
        <v>430</v>
      </c>
      <c r="F68" s="1" t="s">
        <v>431</v>
      </c>
      <c r="G68" s="1" t="s">
        <v>438</v>
      </c>
      <c r="I68" s="1" t="s">
        <v>390</v>
      </c>
      <c r="J68" s="1" t="s">
        <v>472</v>
      </c>
      <c r="K68" s="1">
        <v>0</v>
      </c>
      <c r="L68" s="1">
        <v>2</v>
      </c>
      <c r="M68" s="1" t="s">
        <v>473</v>
      </c>
      <c r="N68" s="1" t="s">
        <v>25</v>
      </c>
      <c r="O68" s="1" t="s">
        <v>25</v>
      </c>
      <c r="P68" s="1" t="s">
        <v>474</v>
      </c>
      <c r="S68" s="27" t="str">
        <f>IFERROR(VLOOKUP(B68,skill!$G$4:$K$51,5,FALSE),"")</f>
        <v>水果蛋糕</v>
      </c>
      <c r="T68" s="27" t="str">
        <f>IFERROR(VLOOKUP(B68,skill!$H$4:$K$51,4,FALSE),"")</f>
        <v/>
      </c>
    </row>
    <row r="69" ht="34" spans="2:20">
      <c r="B69" s="1" t="s">
        <v>315</v>
      </c>
      <c r="C69" s="1" t="s">
        <v>428</v>
      </c>
      <c r="D69" s="1" t="s">
        <v>505</v>
      </c>
      <c r="E69" s="1" t="s">
        <v>477</v>
      </c>
      <c r="F69" s="1" t="s">
        <v>431</v>
      </c>
      <c r="G69" s="1" t="s">
        <v>488</v>
      </c>
      <c r="H69" s="1" t="s">
        <v>506</v>
      </c>
      <c r="I69" s="1" t="s">
        <v>447</v>
      </c>
      <c r="J69" s="1" t="s">
        <v>448</v>
      </c>
      <c r="K69" s="1">
        <v>0</v>
      </c>
      <c r="L69" s="1">
        <v>0</v>
      </c>
      <c r="M69" s="1" t="s">
        <v>507</v>
      </c>
      <c r="N69" s="1" t="s">
        <v>25</v>
      </c>
      <c r="O69" s="1" t="s">
        <v>25</v>
      </c>
      <c r="P69" s="19" t="s">
        <v>508</v>
      </c>
      <c r="Q69" s="1" t="s">
        <v>450</v>
      </c>
      <c r="S69" s="27" t="str">
        <f>IFERROR(VLOOKUP(B69,skill!$G$4:$K$51,5,FALSE),"")</f>
        <v/>
      </c>
      <c r="T69" s="27" t="str">
        <f>IFERROR(VLOOKUP(B69,skill!$H$4:$K$51,4,FALSE),"")</f>
        <v>水果蛋糕</v>
      </c>
    </row>
    <row r="70" ht="34" spans="2:20">
      <c r="B70" s="1" t="s">
        <v>316</v>
      </c>
      <c r="C70" s="1" t="s">
        <v>428</v>
      </c>
      <c r="D70" s="1" t="s">
        <v>509</v>
      </c>
      <c r="E70" s="1" t="s">
        <v>477</v>
      </c>
      <c r="F70" s="1" t="s">
        <v>437</v>
      </c>
      <c r="G70" s="1" t="s">
        <v>488</v>
      </c>
      <c r="H70" s="1" t="s">
        <v>510</v>
      </c>
      <c r="I70" s="1" t="s">
        <v>390</v>
      </c>
      <c r="J70" s="1" t="s">
        <v>477</v>
      </c>
      <c r="K70" s="1">
        <v>0</v>
      </c>
      <c r="L70" s="1">
        <v>0</v>
      </c>
      <c r="M70" s="1" t="s">
        <v>511</v>
      </c>
      <c r="N70" s="1" t="s">
        <v>25</v>
      </c>
      <c r="O70" s="1" t="s">
        <v>25</v>
      </c>
      <c r="P70" s="19" t="s">
        <v>512</v>
      </c>
      <c r="Q70" s="1" t="s">
        <v>444</v>
      </c>
      <c r="S70" s="27" t="str">
        <f>IFERROR(VLOOKUP(B70,skill!$G$4:$K$51,5,FALSE),"")</f>
        <v>巧克力</v>
      </c>
      <c r="T70" s="27" t="str">
        <f>IFERROR(VLOOKUP(B70,skill!$H$4:$K$51,4,FALSE),"")</f>
        <v/>
      </c>
    </row>
    <row r="71" ht="34" spans="2:20">
      <c r="B71" s="1" t="s">
        <v>317</v>
      </c>
      <c r="C71" s="1" t="s">
        <v>428</v>
      </c>
      <c r="D71" s="1" t="s">
        <v>435</v>
      </c>
      <c r="E71" s="1" t="s">
        <v>436</v>
      </c>
      <c r="F71" s="1" t="s">
        <v>437</v>
      </c>
      <c r="G71" s="1" t="s">
        <v>438</v>
      </c>
      <c r="I71" s="1" t="s">
        <v>447</v>
      </c>
      <c r="J71" s="1" t="s">
        <v>448</v>
      </c>
      <c r="K71" s="1">
        <v>0</v>
      </c>
      <c r="L71" s="1">
        <v>10</v>
      </c>
      <c r="N71" s="1" t="s">
        <v>25</v>
      </c>
      <c r="O71" s="1" t="s">
        <v>433</v>
      </c>
      <c r="P71" s="19" t="s">
        <v>449</v>
      </c>
      <c r="Q71" s="1" t="s">
        <v>450</v>
      </c>
      <c r="S71" s="27" t="str">
        <f>IFERROR(VLOOKUP(B71,skill!$G$4:$K$51,5,FALSE),"")</f>
        <v>牛角包</v>
      </c>
      <c r="T71" s="27" t="str">
        <f>IFERROR(VLOOKUP(B71,skill!$H$4:$K$51,4,FALSE),"")</f>
        <v/>
      </c>
    </row>
    <row r="72" spans="2:20">
      <c r="B72" s="1" t="s">
        <v>320</v>
      </c>
      <c r="C72" s="1" t="s">
        <v>428</v>
      </c>
      <c r="D72" s="1" t="s">
        <v>440</v>
      </c>
      <c r="E72" s="1" t="s">
        <v>430</v>
      </c>
      <c r="F72" s="1" t="s">
        <v>431</v>
      </c>
      <c r="G72" s="1" t="s">
        <v>438</v>
      </c>
      <c r="I72" s="1" t="s">
        <v>390</v>
      </c>
      <c r="J72" s="1" t="s">
        <v>458</v>
      </c>
      <c r="K72" s="1">
        <v>0</v>
      </c>
      <c r="L72" s="1">
        <v>1.5</v>
      </c>
      <c r="N72" s="1" t="s">
        <v>25</v>
      </c>
      <c r="O72" s="1" t="s">
        <v>25</v>
      </c>
      <c r="P72" s="1" t="s">
        <v>499</v>
      </c>
      <c r="S72" s="27" t="str">
        <f>IFERROR(VLOOKUP(B72,skill!$G$4:$K$51,5,FALSE),"")</f>
        <v/>
      </c>
      <c r="T72" s="27" t="str">
        <f>IFERROR(VLOOKUP(B72,skill!$H$4:$K$51,4,FALSE),"")</f>
        <v>蝴蝶酥</v>
      </c>
    </row>
    <row r="73" spans="2:20">
      <c r="B73" s="1" t="s">
        <v>319</v>
      </c>
      <c r="C73" s="1" t="s">
        <v>428</v>
      </c>
      <c r="D73" s="1" t="s">
        <v>440</v>
      </c>
      <c r="E73" s="1" t="s">
        <v>430</v>
      </c>
      <c r="F73" s="1" t="s">
        <v>431</v>
      </c>
      <c r="G73" s="1" t="s">
        <v>438</v>
      </c>
      <c r="I73" s="1" t="s">
        <v>463</v>
      </c>
      <c r="J73" s="1" t="s">
        <v>430</v>
      </c>
      <c r="K73" s="1">
        <v>0</v>
      </c>
      <c r="L73" s="1">
        <v>3</v>
      </c>
      <c r="N73" s="1" t="s">
        <v>433</v>
      </c>
      <c r="O73" s="1" t="s">
        <v>25</v>
      </c>
      <c r="P73" s="1" t="s">
        <v>464</v>
      </c>
      <c r="S73" s="27" t="str">
        <f>IFERROR(VLOOKUP(B73,skill!$G$4:$K$51,5,FALSE),"")</f>
        <v>蝴蝶酥</v>
      </c>
      <c r="T73" s="27" t="str">
        <f>IFERROR(VLOOKUP(B73,skill!$H$4:$K$51,4,FALSE),"")</f>
        <v/>
      </c>
    </row>
    <row r="74" spans="2:20">
      <c r="B74" s="1" t="s">
        <v>322</v>
      </c>
      <c r="C74" s="1" t="s">
        <v>428</v>
      </c>
      <c r="D74" s="1" t="s">
        <v>440</v>
      </c>
      <c r="E74" s="1" t="s">
        <v>430</v>
      </c>
      <c r="F74" s="1" t="s">
        <v>431</v>
      </c>
      <c r="G74" s="1" t="s">
        <v>438</v>
      </c>
      <c r="I74" s="1" t="s">
        <v>390</v>
      </c>
      <c r="J74" s="1" t="s">
        <v>453</v>
      </c>
      <c r="K74" s="1">
        <v>0</v>
      </c>
      <c r="L74" s="1">
        <v>1.3</v>
      </c>
      <c r="N74" s="1" t="s">
        <v>25</v>
      </c>
      <c r="O74" s="1" t="s">
        <v>25</v>
      </c>
      <c r="P74" s="1" t="s">
        <v>499</v>
      </c>
      <c r="S74" s="27" t="str">
        <f>IFERROR(VLOOKUP(B74,skill!$G$4:$K$51,5,FALSE),"")</f>
        <v>拐杖糖</v>
      </c>
      <c r="T74" s="27" t="str">
        <f>IFERROR(VLOOKUP(B74,skill!$H$4:$K$51,4,FALSE),"")</f>
        <v/>
      </c>
    </row>
    <row r="75" spans="2:20">
      <c r="B75" s="1" t="s">
        <v>323</v>
      </c>
      <c r="C75" s="1" t="s">
        <v>428</v>
      </c>
      <c r="D75" s="1" t="s">
        <v>440</v>
      </c>
      <c r="E75" s="1" t="s">
        <v>430</v>
      </c>
      <c r="F75" s="1" t="s">
        <v>431</v>
      </c>
      <c r="G75" s="1" t="s">
        <v>438</v>
      </c>
      <c r="I75" s="1" t="s">
        <v>441</v>
      </c>
      <c r="J75" s="1" t="s">
        <v>436</v>
      </c>
      <c r="K75" s="1">
        <v>1</v>
      </c>
      <c r="L75" s="1">
        <v>0</v>
      </c>
      <c r="N75" s="1" t="s">
        <v>25</v>
      </c>
      <c r="O75" s="1" t="s">
        <v>25</v>
      </c>
      <c r="P75" s="1" t="s">
        <v>443</v>
      </c>
      <c r="Q75" s="1" t="s">
        <v>444</v>
      </c>
      <c r="S75" s="27" t="str">
        <f>IFERROR(VLOOKUP(B75,skill!$G$4:$K$51,5,FALSE),"")</f>
        <v/>
      </c>
      <c r="T75" s="27" t="str">
        <f>IFERROR(VLOOKUP(B75,skill!$H$4:$K$51,4,FALSE),"")</f>
        <v>拐杖糖</v>
      </c>
    </row>
    <row r="76" ht="34" spans="2:20">
      <c r="B76" s="1" t="s">
        <v>324</v>
      </c>
      <c r="C76" s="1" t="s">
        <v>428</v>
      </c>
      <c r="D76" s="1" t="s">
        <v>440</v>
      </c>
      <c r="E76" s="1" t="s">
        <v>430</v>
      </c>
      <c r="F76" s="1" t="s">
        <v>431</v>
      </c>
      <c r="G76" s="1" t="s">
        <v>438</v>
      </c>
      <c r="I76" s="1" t="s">
        <v>513</v>
      </c>
      <c r="J76" s="1" t="s">
        <v>477</v>
      </c>
      <c r="K76" s="1">
        <v>0</v>
      </c>
      <c r="L76" s="1">
        <v>0</v>
      </c>
      <c r="M76" s="1" t="s">
        <v>514</v>
      </c>
      <c r="N76" s="1" t="s">
        <v>25</v>
      </c>
      <c r="O76" s="1" t="s">
        <v>25</v>
      </c>
      <c r="P76" s="19" t="s">
        <v>515</v>
      </c>
      <c r="Q76" s="1" t="s">
        <v>444</v>
      </c>
      <c r="S76" s="27" t="str">
        <f>IFERROR(VLOOKUP(B76,skill!$G$4:$K$51,5,FALSE),"")</f>
        <v>大棒棒糖</v>
      </c>
      <c r="T76" s="27" t="str">
        <f>IFERROR(VLOOKUP(B76,skill!$H$4:$K$51,4,FALSE),"")</f>
        <v/>
      </c>
    </row>
    <row r="77" ht="34" spans="2:20">
      <c r="B77" s="1" t="s">
        <v>326</v>
      </c>
      <c r="C77" s="1" t="s">
        <v>428</v>
      </c>
      <c r="D77" s="1" t="s">
        <v>456</v>
      </c>
      <c r="E77" s="1" t="s">
        <v>430</v>
      </c>
      <c r="F77" s="1" t="s">
        <v>431</v>
      </c>
      <c r="G77" s="1" t="s">
        <v>438</v>
      </c>
      <c r="I77" s="1" t="s">
        <v>390</v>
      </c>
      <c r="J77" s="1" t="s">
        <v>430</v>
      </c>
      <c r="K77" s="1">
        <v>0</v>
      </c>
      <c r="L77" s="1">
        <v>2</v>
      </c>
      <c r="N77" s="1" t="s">
        <v>25</v>
      </c>
      <c r="O77" s="1" t="s">
        <v>25</v>
      </c>
      <c r="P77" s="19" t="s">
        <v>516</v>
      </c>
      <c r="S77" s="27" t="str">
        <f>IFERROR(VLOOKUP(B77,skill!$G$4:$K$51,5,FALSE),"")</f>
        <v>棉花糖</v>
      </c>
      <c r="T77" s="27" t="str">
        <f>IFERROR(VLOOKUP(B77,skill!$H$4:$K$51,4,FALSE),"")</f>
        <v/>
      </c>
    </row>
    <row r="78" spans="2:20">
      <c r="B78" s="1" t="s">
        <v>327</v>
      </c>
      <c r="C78" s="1" t="s">
        <v>428</v>
      </c>
      <c r="D78" s="1" t="s">
        <v>440</v>
      </c>
      <c r="E78" s="1" t="s">
        <v>430</v>
      </c>
      <c r="F78" s="1" t="s">
        <v>431</v>
      </c>
      <c r="G78" s="1" t="s">
        <v>438</v>
      </c>
      <c r="I78" s="1" t="s">
        <v>441</v>
      </c>
      <c r="J78" s="1" t="s">
        <v>442</v>
      </c>
      <c r="K78" s="1">
        <v>0</v>
      </c>
      <c r="L78" s="1">
        <v>0</v>
      </c>
      <c r="N78" s="1" t="s">
        <v>25</v>
      </c>
      <c r="O78" s="1" t="s">
        <v>25</v>
      </c>
      <c r="P78" s="1" t="s">
        <v>443</v>
      </c>
      <c r="Q78" s="1" t="s">
        <v>444</v>
      </c>
      <c r="S78" s="27" t="str">
        <f>IFERROR(VLOOKUP(B78,skill!$G$4:$K$51,5,FALSE),"")</f>
        <v/>
      </c>
      <c r="T78" s="27" t="str">
        <f>IFERROR(VLOOKUP(B78,skill!$H$4:$K$51,4,FALSE),"")</f>
        <v>棉花糖</v>
      </c>
    </row>
    <row r="79" spans="2:20">
      <c r="B79" s="1" t="s">
        <v>328</v>
      </c>
      <c r="C79" s="1" t="s">
        <v>428</v>
      </c>
      <c r="D79" s="1" t="s">
        <v>440</v>
      </c>
      <c r="E79" s="1" t="s">
        <v>430</v>
      </c>
      <c r="F79" s="1" t="s">
        <v>431</v>
      </c>
      <c r="G79" s="1" t="s">
        <v>438</v>
      </c>
      <c r="I79" s="1" t="s">
        <v>517</v>
      </c>
      <c r="J79" s="1" t="s">
        <v>430</v>
      </c>
      <c r="K79" s="1">
        <v>0</v>
      </c>
      <c r="L79" s="1">
        <v>3</v>
      </c>
      <c r="M79" s="1" t="s">
        <v>473</v>
      </c>
      <c r="N79" s="1" t="s">
        <v>25</v>
      </c>
      <c r="O79" s="1" t="s">
        <v>25</v>
      </c>
      <c r="P79" s="1" t="s">
        <v>518</v>
      </c>
      <c r="S79" s="27" t="str">
        <f>IFERROR(VLOOKUP(B79,skill!$G$4:$K$51,5,FALSE),"")</f>
        <v>双层蛋糕</v>
      </c>
      <c r="T79" s="27" t="str">
        <f>IFERROR(VLOOKUP(B79,skill!$H$4:$K$51,4,FALSE),"")</f>
        <v/>
      </c>
    </row>
    <row r="80" ht="34" spans="2:20">
      <c r="B80" s="1" t="s">
        <v>329</v>
      </c>
      <c r="C80" s="1" t="s">
        <v>428</v>
      </c>
      <c r="D80" s="1" t="s">
        <v>440</v>
      </c>
      <c r="E80" s="1" t="s">
        <v>430</v>
      </c>
      <c r="F80" s="1" t="s">
        <v>431</v>
      </c>
      <c r="G80" s="1" t="s">
        <v>438</v>
      </c>
      <c r="I80" s="1" t="s">
        <v>513</v>
      </c>
      <c r="J80" s="1" t="s">
        <v>477</v>
      </c>
      <c r="K80" s="1">
        <v>1</v>
      </c>
      <c r="L80" s="1">
        <v>0</v>
      </c>
      <c r="M80" t="s">
        <v>519</v>
      </c>
      <c r="N80" s="1" t="s">
        <v>25</v>
      </c>
      <c r="O80" s="1" t="s">
        <v>25</v>
      </c>
      <c r="P80" s="19" t="s">
        <v>520</v>
      </c>
      <c r="Q80" s="1" t="s">
        <v>444</v>
      </c>
      <c r="S80" s="27"/>
      <c r="T80" s="27" t="str">
        <f>IFERROR(VLOOKUP(B80,skill!$H$4:$K$51,4,FALSE),"")</f>
        <v/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Y92"/>
  <sheetViews>
    <sheetView workbookViewId="0">
      <selection activeCell="A1" sqref="A1"/>
    </sheetView>
  </sheetViews>
  <sheetFormatPr defaultColWidth="9.23076923076923" defaultRowHeight="16.8"/>
  <cols>
    <col min="1" max="1" width="9.23076923076923" style="1" customWidth="1"/>
    <col min="2" max="2" width="11.5384615384615" style="1" customWidth="1"/>
    <col min="3" max="3" width="22.7596153846154" style="1" customWidth="1"/>
    <col min="4" max="4" width="16.4807692307692" style="1" customWidth="1"/>
    <col min="5" max="5" width="28.8461538461538" style="1" customWidth="1"/>
    <col min="6" max="10" width="28.8461538461538" style="9" customWidth="1"/>
    <col min="11" max="11" width="21.0576923076923" style="1" customWidth="1"/>
    <col min="12" max="12" width="19.0673076923077" style="1" customWidth="1"/>
    <col min="13" max="14" width="16.3846153846154" style="1" customWidth="1"/>
    <col min="15" max="15" width="46.4711538461538" style="1" customWidth="1"/>
    <col min="16" max="17" width="9.23076923076923" style="1" customWidth="1"/>
    <col min="18" max="18" width="11.4615384615385" style="1" customWidth="1"/>
    <col min="19" max="23" width="9.23076923076923" style="1" customWidth="1"/>
    <col min="24" max="24" width="20.9903846153846" style="1" customWidth="1"/>
    <col min="25" max="25" width="106.134615384615" style="1" customWidth="1"/>
    <col min="26" max="16384" width="9.23076923076923" style="1" customWidth="1"/>
  </cols>
  <sheetData>
    <row r="2" ht="18" customHeight="1" spans="1:16">
      <c r="A2" s="1" t="s">
        <v>1</v>
      </c>
      <c r="B2" s="10" t="s">
        <v>521</v>
      </c>
      <c r="C2" s="10" t="s">
        <v>522</v>
      </c>
      <c r="D2" s="10" t="s">
        <v>523</v>
      </c>
      <c r="E2" s="10" t="s">
        <v>524</v>
      </c>
      <c r="F2" s="16"/>
      <c r="G2" s="16"/>
      <c r="H2" s="16"/>
      <c r="I2" s="16"/>
      <c r="J2" s="16"/>
      <c r="K2" s="10" t="s">
        <v>525</v>
      </c>
      <c r="L2" s="10" t="s">
        <v>526</v>
      </c>
      <c r="M2" s="10" t="s">
        <v>527</v>
      </c>
      <c r="N2" s="10" t="s">
        <v>528</v>
      </c>
      <c r="O2" s="10" t="s">
        <v>529</v>
      </c>
      <c r="P2" s="1" t="s">
        <v>530</v>
      </c>
    </row>
    <row r="3" ht="34" spans="1:17">
      <c r="A3" s="1">
        <v>1</v>
      </c>
      <c r="B3" s="10" t="s">
        <v>24</v>
      </c>
      <c r="C3" s="1" t="s">
        <v>28</v>
      </c>
      <c r="D3" s="1">
        <v>10</v>
      </c>
      <c r="E3" s="17" t="s">
        <v>531</v>
      </c>
      <c r="F3" s="18"/>
      <c r="G3" s="18"/>
      <c r="H3" s="18"/>
      <c r="I3" s="18"/>
      <c r="J3" s="18"/>
      <c r="K3" s="1" t="s">
        <v>532</v>
      </c>
      <c r="L3" s="1" t="s">
        <v>533</v>
      </c>
      <c r="M3" s="1" t="s">
        <v>534</v>
      </c>
      <c r="N3" s="1" t="s">
        <v>535</v>
      </c>
      <c r="O3" s="1" t="s">
        <v>536</v>
      </c>
      <c r="P3" s="1">
        <v>3</v>
      </c>
      <c r="Q3" s="1">
        <f>P3*10</f>
        <v>30</v>
      </c>
    </row>
    <row r="4" ht="51" spans="1:17">
      <c r="A4" s="1">
        <v>2</v>
      </c>
      <c r="B4" s="11" t="s">
        <v>30</v>
      </c>
      <c r="C4" s="1" t="s">
        <v>28</v>
      </c>
      <c r="D4" s="1">
        <v>10</v>
      </c>
      <c r="E4" s="19" t="s">
        <v>537</v>
      </c>
      <c r="F4" s="20"/>
      <c r="G4" s="20"/>
      <c r="H4" s="20"/>
      <c r="I4" s="20"/>
      <c r="J4" s="20"/>
      <c r="K4" s="1" t="s">
        <v>538</v>
      </c>
      <c r="L4" s="1" t="s">
        <v>533</v>
      </c>
      <c r="M4" s="1" t="s">
        <v>539</v>
      </c>
      <c r="N4" s="1" t="s">
        <v>540</v>
      </c>
      <c r="O4" s="1" t="s">
        <v>541</v>
      </c>
      <c r="P4" s="1">
        <v>5</v>
      </c>
      <c r="Q4" s="1">
        <f>P4*3*2</f>
        <v>30</v>
      </c>
    </row>
    <row r="5" ht="34" spans="1:17">
      <c r="A5" s="1">
        <v>3</v>
      </c>
      <c r="B5" s="10" t="s">
        <v>33</v>
      </c>
      <c r="C5" s="1" t="s">
        <v>28</v>
      </c>
      <c r="D5" s="1">
        <v>40</v>
      </c>
      <c r="E5" s="19" t="s">
        <v>542</v>
      </c>
      <c r="F5" s="20"/>
      <c r="G5" s="20"/>
      <c r="H5" s="20"/>
      <c r="I5" s="20"/>
      <c r="J5" s="20"/>
      <c r="K5" s="1" t="s">
        <v>538</v>
      </c>
      <c r="L5" s="1" t="s">
        <v>533</v>
      </c>
      <c r="M5" s="1" t="s">
        <v>534</v>
      </c>
      <c r="N5" s="1" t="s">
        <v>535</v>
      </c>
      <c r="O5" s="1" t="s">
        <v>543</v>
      </c>
      <c r="Q5" s="1">
        <v>30</v>
      </c>
    </row>
    <row r="6" ht="34" spans="1:16">
      <c r="A6" s="1">
        <v>4</v>
      </c>
      <c r="B6" s="12" t="s">
        <v>36</v>
      </c>
      <c r="C6" s="1" t="s">
        <v>28</v>
      </c>
      <c r="D6" s="1">
        <v>10</v>
      </c>
      <c r="E6" s="19" t="s">
        <v>544</v>
      </c>
      <c r="F6" s="20"/>
      <c r="G6" s="20"/>
      <c r="H6" s="20"/>
      <c r="I6" s="20"/>
      <c r="J6" s="20"/>
      <c r="K6" s="1" t="s">
        <v>545</v>
      </c>
      <c r="L6" s="1" t="s">
        <v>546</v>
      </c>
      <c r="M6" s="1" t="s">
        <v>547</v>
      </c>
      <c r="N6" s="1" t="s">
        <v>545</v>
      </c>
      <c r="O6" s="1" t="s">
        <v>548</v>
      </c>
      <c r="P6" s="1">
        <v>2</v>
      </c>
    </row>
    <row r="7" ht="34" spans="1:18">
      <c r="A7" s="1">
        <v>5</v>
      </c>
      <c r="B7" s="10" t="s">
        <v>39</v>
      </c>
      <c r="C7" s="1" t="s">
        <v>28</v>
      </c>
      <c r="D7" s="1">
        <v>10</v>
      </c>
      <c r="E7" s="19" t="s">
        <v>549</v>
      </c>
      <c r="F7" s="20"/>
      <c r="G7" s="20"/>
      <c r="H7" s="20"/>
      <c r="I7" s="20"/>
      <c r="J7" s="20"/>
      <c r="K7" s="1" t="s">
        <v>538</v>
      </c>
      <c r="L7" s="1" t="s">
        <v>533</v>
      </c>
      <c r="M7" s="1" t="s">
        <v>534</v>
      </c>
      <c r="N7" s="1" t="s">
        <v>535</v>
      </c>
      <c r="O7" s="1" t="s">
        <v>550</v>
      </c>
      <c r="P7" s="1">
        <v>8</v>
      </c>
      <c r="Q7" s="1">
        <v>8</v>
      </c>
      <c r="R7" s="1" t="s">
        <v>551</v>
      </c>
    </row>
    <row r="8" ht="34" spans="1:17">
      <c r="A8" s="1">
        <v>6</v>
      </c>
      <c r="B8" s="10" t="s">
        <v>42</v>
      </c>
      <c r="C8" s="1" t="s">
        <v>28</v>
      </c>
      <c r="D8" s="1">
        <v>10</v>
      </c>
      <c r="E8" s="19" t="s">
        <v>552</v>
      </c>
      <c r="F8" s="20"/>
      <c r="G8" s="20"/>
      <c r="H8" s="20"/>
      <c r="I8" s="20"/>
      <c r="J8" s="20"/>
      <c r="K8" s="1" t="s">
        <v>532</v>
      </c>
      <c r="L8" s="1" t="s">
        <v>553</v>
      </c>
      <c r="M8" s="1" t="s">
        <v>534</v>
      </c>
      <c r="N8" s="1" t="s">
        <v>535</v>
      </c>
      <c r="O8" s="1" t="s">
        <v>554</v>
      </c>
      <c r="P8" s="1">
        <v>0.4</v>
      </c>
      <c r="Q8" s="1">
        <v>20</v>
      </c>
    </row>
    <row r="9" ht="34" spans="1:17">
      <c r="A9" s="1">
        <v>7</v>
      </c>
      <c r="B9" s="10" t="s">
        <v>45</v>
      </c>
      <c r="C9" s="1" t="s">
        <v>28</v>
      </c>
      <c r="D9" s="1">
        <v>10</v>
      </c>
      <c r="E9" s="19" t="s">
        <v>555</v>
      </c>
      <c r="F9" s="20"/>
      <c r="G9" s="20"/>
      <c r="H9" s="20"/>
      <c r="I9" s="20"/>
      <c r="J9" s="20"/>
      <c r="K9" s="1" t="s">
        <v>538</v>
      </c>
      <c r="L9" s="1" t="s">
        <v>546</v>
      </c>
      <c r="M9" s="1" t="s">
        <v>534</v>
      </c>
      <c r="N9" s="1" t="s">
        <v>535</v>
      </c>
      <c r="O9" s="1" t="s">
        <v>556</v>
      </c>
      <c r="P9" s="1">
        <v>10</v>
      </c>
      <c r="Q9" s="1">
        <v>30</v>
      </c>
    </row>
    <row r="10" ht="34" spans="1:24">
      <c r="A10" s="1">
        <v>8</v>
      </c>
      <c r="B10" s="11" t="s">
        <v>48</v>
      </c>
      <c r="C10" s="1" t="s">
        <v>28</v>
      </c>
      <c r="D10" s="1">
        <v>10</v>
      </c>
      <c r="E10" s="19" t="s">
        <v>557</v>
      </c>
      <c r="F10" s="20"/>
      <c r="G10" s="20"/>
      <c r="H10" s="20"/>
      <c r="I10" s="20"/>
      <c r="J10" s="20"/>
      <c r="K10" s="1" t="s">
        <v>558</v>
      </c>
      <c r="L10" s="1" t="s">
        <v>553</v>
      </c>
      <c r="M10" s="1" t="s">
        <v>539</v>
      </c>
      <c r="N10" s="1" t="s">
        <v>535</v>
      </c>
      <c r="O10" s="1" t="s">
        <v>559</v>
      </c>
      <c r="P10" s="1">
        <v>5</v>
      </c>
      <c r="Q10" s="1">
        <v>5</v>
      </c>
      <c r="X10" s="1" t="s">
        <v>560</v>
      </c>
    </row>
    <row r="11" ht="51" spans="1:17">
      <c r="A11" s="1">
        <v>9</v>
      </c>
      <c r="B11" s="10" t="s">
        <v>51</v>
      </c>
      <c r="C11" s="1" t="s">
        <v>28</v>
      </c>
      <c r="D11" s="1">
        <v>10</v>
      </c>
      <c r="E11" s="19" t="s">
        <v>561</v>
      </c>
      <c r="F11" s="20"/>
      <c r="G11" s="20"/>
      <c r="H11" s="20"/>
      <c r="I11" s="20"/>
      <c r="J11" s="20"/>
      <c r="K11" s="1" t="s">
        <v>532</v>
      </c>
      <c r="L11" s="1" t="s">
        <v>533</v>
      </c>
      <c r="M11" s="1" t="s">
        <v>534</v>
      </c>
      <c r="N11" s="1" t="s">
        <v>562</v>
      </c>
      <c r="O11" s="1" t="s">
        <v>563</v>
      </c>
      <c r="P11" s="1">
        <v>0.15</v>
      </c>
      <c r="Q11" s="1">
        <f>P11*3*5</f>
        <v>2.25</v>
      </c>
    </row>
    <row r="12" ht="17.6" customHeight="1" spans="1:25">
      <c r="A12" s="1">
        <v>10</v>
      </c>
      <c r="B12" s="12" t="s">
        <v>55</v>
      </c>
      <c r="C12" s="1" t="s">
        <v>28</v>
      </c>
      <c r="D12" s="1">
        <v>10</v>
      </c>
      <c r="E12" s="1" t="s">
        <v>564</v>
      </c>
      <c r="K12" s="1" t="s">
        <v>545</v>
      </c>
      <c r="L12" s="1" t="s">
        <v>533</v>
      </c>
      <c r="M12" s="1" t="s">
        <v>565</v>
      </c>
      <c r="N12" s="1" t="s">
        <v>545</v>
      </c>
      <c r="O12" s="1" t="s">
        <v>566</v>
      </c>
      <c r="P12" s="1">
        <v>8</v>
      </c>
      <c r="W12" s="1" t="s">
        <v>567</v>
      </c>
      <c r="X12" s="1" t="s">
        <v>568</v>
      </c>
      <c r="Y12" s="1" t="s">
        <v>569</v>
      </c>
    </row>
    <row r="13" ht="51" spans="1:25">
      <c r="A13" s="1">
        <v>11</v>
      </c>
      <c r="B13" s="11" t="s">
        <v>59</v>
      </c>
      <c r="C13" s="1" t="s">
        <v>28</v>
      </c>
      <c r="D13" s="1">
        <v>10</v>
      </c>
      <c r="E13" s="21" t="s">
        <v>570</v>
      </c>
      <c r="F13" s="20"/>
      <c r="G13" s="20"/>
      <c r="H13" s="20"/>
      <c r="I13" s="20"/>
      <c r="J13" s="20"/>
      <c r="K13" s="1" t="s">
        <v>532</v>
      </c>
      <c r="L13" s="1" t="s">
        <v>546</v>
      </c>
      <c r="M13" s="1" t="s">
        <v>539</v>
      </c>
      <c r="N13" s="1" t="s">
        <v>540</v>
      </c>
      <c r="O13" s="1" t="s">
        <v>571</v>
      </c>
      <c r="P13" s="1">
        <v>0.2</v>
      </c>
      <c r="Q13" s="1">
        <f>2*5*0.2</f>
        <v>2</v>
      </c>
      <c r="W13" s="1" t="s">
        <v>572</v>
      </c>
      <c r="X13" s="1" t="s">
        <v>573</v>
      </c>
      <c r="Y13" s="1" t="s">
        <v>574</v>
      </c>
    </row>
    <row r="14" ht="34" spans="1:25">
      <c r="A14" s="1">
        <v>12</v>
      </c>
      <c r="B14" s="1" t="s">
        <v>63</v>
      </c>
      <c r="C14" s="1" t="s">
        <v>28</v>
      </c>
      <c r="D14" s="1">
        <v>10</v>
      </c>
      <c r="E14" s="19" t="s">
        <v>575</v>
      </c>
      <c r="F14" s="20"/>
      <c r="G14" s="20"/>
      <c r="H14" s="20"/>
      <c r="I14" s="20"/>
      <c r="J14" s="20"/>
      <c r="K14" s="1" t="s">
        <v>576</v>
      </c>
      <c r="L14" s="1" t="s">
        <v>553</v>
      </c>
      <c r="M14" s="1" t="s">
        <v>577</v>
      </c>
      <c r="N14" s="1" t="s">
        <v>576</v>
      </c>
      <c r="O14" s="1" t="s">
        <v>578</v>
      </c>
      <c r="S14" s="1" t="s">
        <v>538</v>
      </c>
      <c r="T14" s="1" t="s">
        <v>532</v>
      </c>
      <c r="U14" s="1" t="s">
        <v>579</v>
      </c>
      <c r="X14" s="1" t="s">
        <v>580</v>
      </c>
      <c r="Y14" s="1" t="s">
        <v>581</v>
      </c>
    </row>
    <row r="15" ht="34" spans="1:25">
      <c r="A15" s="1">
        <v>13</v>
      </c>
      <c r="B15" s="13" t="s">
        <v>67</v>
      </c>
      <c r="C15" s="1" t="s">
        <v>28</v>
      </c>
      <c r="D15" s="1">
        <v>10</v>
      </c>
      <c r="E15" s="19" t="s">
        <v>582</v>
      </c>
      <c r="F15" s="20"/>
      <c r="G15" s="20"/>
      <c r="H15" s="20"/>
      <c r="I15" s="20"/>
      <c r="J15" s="20"/>
      <c r="K15" s="1" t="s">
        <v>545</v>
      </c>
      <c r="L15" s="1" t="s">
        <v>553</v>
      </c>
      <c r="M15" s="1" t="s">
        <v>565</v>
      </c>
      <c r="N15" s="1" t="s">
        <v>545</v>
      </c>
      <c r="O15" s="1" t="s">
        <v>583</v>
      </c>
      <c r="R15" s="1" t="s">
        <v>584</v>
      </c>
      <c r="S15" s="1">
        <v>30</v>
      </c>
      <c r="T15" s="1">
        <v>2</v>
      </c>
      <c r="X15" s="1" t="s">
        <v>585</v>
      </c>
      <c r="Y15" s="1" t="s">
        <v>586</v>
      </c>
    </row>
    <row r="16" ht="51" spans="1:25">
      <c r="A16" s="1">
        <v>14</v>
      </c>
      <c r="B16" s="10" t="s">
        <v>71</v>
      </c>
      <c r="C16" s="1" t="s">
        <v>73</v>
      </c>
      <c r="D16" s="1">
        <v>20</v>
      </c>
      <c r="E16" s="19" t="s">
        <v>587</v>
      </c>
      <c r="F16" s="20">
        <v>1</v>
      </c>
      <c r="G16" s="20"/>
      <c r="H16" s="20"/>
      <c r="I16" s="20"/>
      <c r="J16" s="20"/>
      <c r="K16" s="1" t="s">
        <v>532</v>
      </c>
      <c r="L16" s="1" t="s">
        <v>588</v>
      </c>
      <c r="M16" s="1" t="s">
        <v>534</v>
      </c>
      <c r="N16" s="1" t="s">
        <v>535</v>
      </c>
      <c r="O16" s="1" t="s">
        <v>589</v>
      </c>
      <c r="P16" s="1">
        <v>1</v>
      </c>
      <c r="Q16" s="1">
        <f>6*P16</f>
        <v>6</v>
      </c>
      <c r="R16" s="1" t="s">
        <v>590</v>
      </c>
      <c r="S16" s="1">
        <v>90</v>
      </c>
      <c r="T16" s="1">
        <v>6</v>
      </c>
      <c r="U16" s="1">
        <v>2</v>
      </c>
      <c r="W16" s="1" t="s">
        <v>591</v>
      </c>
      <c r="X16" s="1" t="s">
        <v>592</v>
      </c>
      <c r="Y16" s="1" t="s">
        <v>593</v>
      </c>
    </row>
    <row r="17" ht="34" spans="1:25">
      <c r="A17" s="1">
        <v>15</v>
      </c>
      <c r="B17" s="12" t="s">
        <v>75</v>
      </c>
      <c r="C17" s="1" t="s">
        <v>28</v>
      </c>
      <c r="D17" s="1">
        <v>20</v>
      </c>
      <c r="E17" s="22" t="s">
        <v>594</v>
      </c>
      <c r="F17" s="20">
        <v>1</v>
      </c>
      <c r="G17" s="20"/>
      <c r="H17" s="20"/>
      <c r="I17" s="20"/>
      <c r="J17" s="20"/>
      <c r="K17" s="1" t="s">
        <v>545</v>
      </c>
      <c r="L17" s="1" t="s">
        <v>588</v>
      </c>
      <c r="M17" s="1" t="s">
        <v>547</v>
      </c>
      <c r="N17" s="1" t="s">
        <v>545</v>
      </c>
      <c r="O17" s="1" t="s">
        <v>595</v>
      </c>
      <c r="R17" s="1" t="s">
        <v>596</v>
      </c>
      <c r="S17" s="1">
        <v>150</v>
      </c>
      <c r="T17" s="1">
        <v>12</v>
      </c>
      <c r="U17" s="1">
        <v>4</v>
      </c>
      <c r="X17" s="1" t="s">
        <v>597</v>
      </c>
      <c r="Y17" s="1" t="s">
        <v>598</v>
      </c>
    </row>
    <row r="18" spans="3:25">
      <c r="C18" s="1" t="s">
        <v>28</v>
      </c>
      <c r="R18" s="1" t="s">
        <v>599</v>
      </c>
      <c r="S18" s="1">
        <v>240</v>
      </c>
      <c r="T18" s="1">
        <v>18</v>
      </c>
      <c r="U18" s="1">
        <v>7</v>
      </c>
      <c r="X18" s="1" t="s">
        <v>600</v>
      </c>
      <c r="Y18" s="1" t="s">
        <v>601</v>
      </c>
    </row>
    <row r="19" ht="51" spans="1:25">
      <c r="A19" s="1">
        <v>16</v>
      </c>
      <c r="B19" s="11" t="s">
        <v>78</v>
      </c>
      <c r="C19" s="1" t="s">
        <v>73</v>
      </c>
      <c r="D19" s="1">
        <v>20</v>
      </c>
      <c r="E19" s="19" t="s">
        <v>602</v>
      </c>
      <c r="F19" s="20"/>
      <c r="G19" s="20"/>
      <c r="H19" s="20"/>
      <c r="I19" s="20"/>
      <c r="J19" s="20"/>
      <c r="K19" s="1" t="s">
        <v>579</v>
      </c>
      <c r="L19" s="1" t="s">
        <v>588</v>
      </c>
      <c r="M19" s="1" t="s">
        <v>603</v>
      </c>
      <c r="N19" s="1" t="s">
        <v>604</v>
      </c>
      <c r="O19" s="1" t="s">
        <v>605</v>
      </c>
      <c r="P19" s="1">
        <v>1.5</v>
      </c>
      <c r="Q19" s="1">
        <f>3*P19*0.6</f>
        <v>2.7</v>
      </c>
      <c r="X19" s="1" t="s">
        <v>606</v>
      </c>
      <c r="Y19" s="1" t="s">
        <v>607</v>
      </c>
    </row>
    <row r="20" ht="51" spans="1:25">
      <c r="A20" s="1">
        <v>17</v>
      </c>
      <c r="B20" s="11" t="s">
        <v>81</v>
      </c>
      <c r="C20" s="1" t="s">
        <v>73</v>
      </c>
      <c r="D20" s="1">
        <v>20</v>
      </c>
      <c r="E20" s="21" t="s">
        <v>608</v>
      </c>
      <c r="F20" s="20">
        <v>1</v>
      </c>
      <c r="G20" s="20"/>
      <c r="H20" s="20"/>
      <c r="I20" s="20"/>
      <c r="J20" s="20"/>
      <c r="K20" s="1" t="s">
        <v>609</v>
      </c>
      <c r="L20" s="1" t="s">
        <v>610</v>
      </c>
      <c r="M20" s="1" t="s">
        <v>539</v>
      </c>
      <c r="N20" s="1" t="s">
        <v>611</v>
      </c>
      <c r="P20" s="1">
        <v>10</v>
      </c>
      <c r="Q20" s="1">
        <f>P20*2*5</f>
        <v>100</v>
      </c>
      <c r="W20" s="1" t="s">
        <v>612</v>
      </c>
      <c r="X20" s="1" t="s">
        <v>613</v>
      </c>
      <c r="Y20" s="1" t="s">
        <v>614</v>
      </c>
    </row>
    <row r="21" ht="51" spans="1:25">
      <c r="A21" s="1">
        <v>18</v>
      </c>
      <c r="B21" s="14" t="s">
        <v>84</v>
      </c>
      <c r="C21" s="1" t="s">
        <v>73</v>
      </c>
      <c r="D21" s="1">
        <v>20</v>
      </c>
      <c r="E21" s="21" t="s">
        <v>615</v>
      </c>
      <c r="F21" s="20"/>
      <c r="G21" s="20"/>
      <c r="H21" s="20"/>
      <c r="I21" s="20"/>
      <c r="J21" s="20"/>
      <c r="K21" s="1" t="s">
        <v>616</v>
      </c>
      <c r="L21" s="1" t="s">
        <v>610</v>
      </c>
      <c r="M21" s="1" t="s">
        <v>565</v>
      </c>
      <c r="N21" s="1" t="s">
        <v>545</v>
      </c>
      <c r="O21" s="1" t="s">
        <v>617</v>
      </c>
      <c r="X21" s="1" t="s">
        <v>618</v>
      </c>
      <c r="Y21" s="1" t="s">
        <v>619</v>
      </c>
    </row>
    <row r="22" ht="51" spans="1:25">
      <c r="A22" s="1">
        <v>19</v>
      </c>
      <c r="B22" s="12" t="s">
        <v>88</v>
      </c>
      <c r="C22" s="1" t="s">
        <v>28</v>
      </c>
      <c r="D22" s="1">
        <v>20</v>
      </c>
      <c r="E22" s="21" t="s">
        <v>620</v>
      </c>
      <c r="F22" s="20"/>
      <c r="G22" s="20"/>
      <c r="H22" s="20"/>
      <c r="I22" s="20"/>
      <c r="J22" s="20"/>
      <c r="K22" s="1" t="s">
        <v>579</v>
      </c>
      <c r="L22" s="1" t="s">
        <v>610</v>
      </c>
      <c r="M22" s="1" t="s">
        <v>565</v>
      </c>
      <c r="N22" s="1" t="s">
        <v>621</v>
      </c>
      <c r="O22" s="1" t="s">
        <v>622</v>
      </c>
      <c r="P22" s="1">
        <v>1.2</v>
      </c>
      <c r="Q22" s="1">
        <f>P22*3*30*0.2</f>
        <v>21.6</v>
      </c>
      <c r="X22" s="1" t="s">
        <v>623</v>
      </c>
      <c r="Y22" s="1" t="s">
        <v>624</v>
      </c>
    </row>
    <row r="23" spans="3:25">
      <c r="C23" s="1" t="s">
        <v>28</v>
      </c>
      <c r="W23" s="1" t="s">
        <v>625</v>
      </c>
      <c r="X23" s="1" t="s">
        <v>626</v>
      </c>
      <c r="Y23" s="1" t="s">
        <v>627</v>
      </c>
    </row>
    <row r="24" ht="34" spans="1:25">
      <c r="A24" s="1">
        <v>20</v>
      </c>
      <c r="B24" s="11" t="s">
        <v>95</v>
      </c>
      <c r="C24" s="1" t="s">
        <v>28</v>
      </c>
      <c r="D24" s="1">
        <v>20</v>
      </c>
      <c r="E24" s="19" t="s">
        <v>628</v>
      </c>
      <c r="F24" s="20"/>
      <c r="G24" s="20"/>
      <c r="H24" s="20"/>
      <c r="I24" s="20"/>
      <c r="J24" s="20"/>
      <c r="K24" s="1" t="s">
        <v>558</v>
      </c>
      <c r="L24" s="1" t="s">
        <v>588</v>
      </c>
      <c r="M24" s="1" t="s">
        <v>539</v>
      </c>
      <c r="N24" s="1" t="s">
        <v>604</v>
      </c>
      <c r="O24" s="1" t="s">
        <v>629</v>
      </c>
      <c r="P24" s="1">
        <v>10</v>
      </c>
      <c r="Q24" s="1">
        <f>P24*3</f>
        <v>30</v>
      </c>
      <c r="W24" s="1" t="s">
        <v>522</v>
      </c>
      <c r="X24" s="1" t="s">
        <v>630</v>
      </c>
      <c r="Y24" s="1" t="s">
        <v>631</v>
      </c>
    </row>
    <row r="25" spans="3:25">
      <c r="C25" s="1" t="s">
        <v>28</v>
      </c>
      <c r="X25" s="1" t="s">
        <v>630</v>
      </c>
      <c r="Y25" s="1" t="s">
        <v>632</v>
      </c>
    </row>
    <row r="26" ht="51" spans="1:25">
      <c r="A26" s="1">
        <v>21</v>
      </c>
      <c r="B26" s="11" t="s">
        <v>102</v>
      </c>
      <c r="C26" s="1" t="s">
        <v>28</v>
      </c>
      <c r="D26" s="1">
        <v>20</v>
      </c>
      <c r="E26" s="19" t="s">
        <v>633</v>
      </c>
      <c r="F26" s="20">
        <v>1</v>
      </c>
      <c r="G26" s="20"/>
      <c r="H26" s="20"/>
      <c r="I26" s="20"/>
      <c r="J26" s="20"/>
      <c r="K26" s="1" t="s">
        <v>634</v>
      </c>
      <c r="L26" s="1" t="s">
        <v>588</v>
      </c>
      <c r="M26" s="1" t="s">
        <v>539</v>
      </c>
      <c r="N26" s="1" t="s">
        <v>562</v>
      </c>
      <c r="O26" s="1" t="s">
        <v>635</v>
      </c>
      <c r="P26" s="1">
        <v>10</v>
      </c>
      <c r="Q26" s="1">
        <f>P26*5*3</f>
        <v>150</v>
      </c>
      <c r="W26" s="1" t="s">
        <v>636</v>
      </c>
      <c r="X26" s="1" t="s">
        <v>637</v>
      </c>
      <c r="Y26" s="1" t="s">
        <v>638</v>
      </c>
    </row>
    <row r="27" spans="3:25">
      <c r="C27" s="1" t="s">
        <v>28</v>
      </c>
      <c r="X27" s="1" t="s">
        <v>639</v>
      </c>
      <c r="Y27" s="1" t="s">
        <v>640</v>
      </c>
    </row>
    <row r="28" ht="52" customHeight="1" spans="1:25">
      <c r="A28" s="1">
        <v>22</v>
      </c>
      <c r="B28" s="10" t="s">
        <v>109</v>
      </c>
      <c r="C28" s="1" t="s">
        <v>111</v>
      </c>
      <c r="D28" s="1">
        <v>30</v>
      </c>
      <c r="E28" s="19" t="s">
        <v>641</v>
      </c>
      <c r="F28" s="20">
        <v>1</v>
      </c>
      <c r="G28" s="20"/>
      <c r="H28" s="20"/>
      <c r="I28" s="20"/>
      <c r="J28" s="20"/>
      <c r="K28" s="1" t="s">
        <v>532</v>
      </c>
      <c r="L28" s="1" t="s">
        <v>588</v>
      </c>
      <c r="M28" s="1" t="s">
        <v>534</v>
      </c>
      <c r="N28" s="1" t="s">
        <v>535</v>
      </c>
      <c r="O28" s="1" t="s">
        <v>642</v>
      </c>
      <c r="P28" s="1">
        <v>0.2</v>
      </c>
      <c r="Q28" s="1">
        <f>P28*D28</f>
        <v>6</v>
      </c>
      <c r="W28" s="1" t="s">
        <v>643</v>
      </c>
      <c r="X28" s="1" t="s">
        <v>644</v>
      </c>
      <c r="Y28" s="1" t="s">
        <v>645</v>
      </c>
    </row>
    <row r="29" ht="51" spans="1:25">
      <c r="A29" s="1">
        <v>23</v>
      </c>
      <c r="B29" s="11" t="s">
        <v>115</v>
      </c>
      <c r="C29" s="1" t="s">
        <v>111</v>
      </c>
      <c r="D29" s="1">
        <v>30</v>
      </c>
      <c r="E29" s="19" t="s">
        <v>646</v>
      </c>
      <c r="F29" s="20">
        <v>1</v>
      </c>
      <c r="G29" s="20"/>
      <c r="H29" s="20"/>
      <c r="I29" s="20"/>
      <c r="J29" s="20"/>
      <c r="K29" s="1" t="s">
        <v>647</v>
      </c>
      <c r="L29" s="1" t="s">
        <v>588</v>
      </c>
      <c r="M29" s="1" t="s">
        <v>539</v>
      </c>
      <c r="N29" s="1" t="s">
        <v>562</v>
      </c>
      <c r="O29" s="1" t="s">
        <v>648</v>
      </c>
      <c r="P29" s="1">
        <v>1.5</v>
      </c>
      <c r="Q29" s="1">
        <f>P29*2*4</f>
        <v>12</v>
      </c>
      <c r="X29" s="1" t="s">
        <v>649</v>
      </c>
      <c r="Y29" s="1" t="s">
        <v>650</v>
      </c>
    </row>
    <row r="30" ht="51" spans="1:25">
      <c r="A30" s="1">
        <v>24</v>
      </c>
      <c r="B30" s="12" t="s">
        <v>118</v>
      </c>
      <c r="C30" s="1" t="s">
        <v>28</v>
      </c>
      <c r="D30" s="1">
        <v>30</v>
      </c>
      <c r="E30" s="21" t="s">
        <v>651</v>
      </c>
      <c r="F30" s="20"/>
      <c r="G30" s="20"/>
      <c r="H30" s="20"/>
      <c r="I30" s="20"/>
      <c r="J30" s="20"/>
      <c r="K30" s="1" t="s">
        <v>634</v>
      </c>
      <c r="L30" s="1" t="s">
        <v>588</v>
      </c>
      <c r="M30" s="1" t="s">
        <v>565</v>
      </c>
      <c r="N30" s="1" t="s">
        <v>611</v>
      </c>
      <c r="O30" s="1" t="s">
        <v>652</v>
      </c>
      <c r="P30" s="1">
        <v>0.8</v>
      </c>
      <c r="Q30" s="1">
        <f>P30*5*5</f>
        <v>20</v>
      </c>
      <c r="W30" s="1" t="s">
        <v>539</v>
      </c>
      <c r="X30" s="1" t="s">
        <v>653</v>
      </c>
      <c r="Y30" s="1" t="s">
        <v>654</v>
      </c>
    </row>
    <row r="31" spans="3:25">
      <c r="C31" s="1" t="s">
        <v>28</v>
      </c>
      <c r="X31" s="1" t="s">
        <v>653</v>
      </c>
      <c r="Y31" s="1" t="s">
        <v>655</v>
      </c>
    </row>
    <row r="32" spans="3:25">
      <c r="C32" s="1" t="s">
        <v>28</v>
      </c>
      <c r="X32" s="1" t="s">
        <v>656</v>
      </c>
      <c r="Y32" s="23" t="s">
        <v>657</v>
      </c>
    </row>
    <row r="33" ht="51" spans="1:25">
      <c r="A33" s="1">
        <v>25</v>
      </c>
      <c r="B33" s="11" t="s">
        <v>121</v>
      </c>
      <c r="C33" s="1" t="s">
        <v>28</v>
      </c>
      <c r="D33" s="1">
        <v>30</v>
      </c>
      <c r="E33" s="19" t="s">
        <v>658</v>
      </c>
      <c r="F33" s="20"/>
      <c r="H33" s="20"/>
      <c r="I33" s="20"/>
      <c r="J33" s="20"/>
      <c r="K33" s="1" t="s">
        <v>532</v>
      </c>
      <c r="L33" s="1" t="s">
        <v>588</v>
      </c>
      <c r="M33" s="1" t="s">
        <v>539</v>
      </c>
      <c r="N33" s="1" t="s">
        <v>659</v>
      </c>
      <c r="O33" s="1" t="s">
        <v>660</v>
      </c>
      <c r="P33" s="1">
        <v>1</v>
      </c>
      <c r="Q33" s="1">
        <f>P33*4*3</f>
        <v>12</v>
      </c>
      <c r="W33" s="1" t="s">
        <v>621</v>
      </c>
      <c r="X33" s="1" t="s">
        <v>661</v>
      </c>
      <c r="Y33" s="23" t="s">
        <v>662</v>
      </c>
    </row>
    <row r="34" spans="3:25">
      <c r="C34" s="1" t="s">
        <v>28</v>
      </c>
      <c r="W34" s="1" t="s">
        <v>663</v>
      </c>
      <c r="X34" s="1" t="s">
        <v>664</v>
      </c>
      <c r="Y34" s="23" t="s">
        <v>665</v>
      </c>
    </row>
    <row r="35" spans="3:3">
      <c r="C35" s="1" t="s">
        <v>28</v>
      </c>
    </row>
    <row r="36" ht="34" spans="1:15">
      <c r="A36" s="1">
        <v>26</v>
      </c>
      <c r="B36" s="12" t="s">
        <v>124</v>
      </c>
      <c r="C36" s="1" t="s">
        <v>73</v>
      </c>
      <c r="D36" s="1">
        <v>40</v>
      </c>
      <c r="E36" s="19" t="s">
        <v>666</v>
      </c>
      <c r="F36" s="20"/>
      <c r="G36" s="20"/>
      <c r="H36" s="20"/>
      <c r="I36" s="20"/>
      <c r="J36" s="20"/>
      <c r="K36" s="1" t="s">
        <v>545</v>
      </c>
      <c r="L36" s="1" t="s">
        <v>588</v>
      </c>
      <c r="M36" s="1" t="s">
        <v>565</v>
      </c>
      <c r="N36" s="1" t="s">
        <v>545</v>
      </c>
      <c r="O36" s="1" t="s">
        <v>545</v>
      </c>
    </row>
    <row r="37" spans="3:25">
      <c r="C37" s="1" t="s">
        <v>73</v>
      </c>
      <c r="X37" s="1" t="s">
        <v>567</v>
      </c>
      <c r="Y37" s="1" t="s">
        <v>569</v>
      </c>
    </row>
    <row r="38" ht="34" spans="1:25">
      <c r="A38" s="1">
        <v>27</v>
      </c>
      <c r="B38" s="14" t="s">
        <v>127</v>
      </c>
      <c r="C38" s="1" t="s">
        <v>73</v>
      </c>
      <c r="D38" s="1">
        <v>40</v>
      </c>
      <c r="E38" s="21" t="s">
        <v>667</v>
      </c>
      <c r="F38" s="20"/>
      <c r="G38" s="20"/>
      <c r="H38" s="20"/>
      <c r="I38" s="20"/>
      <c r="J38" s="20"/>
      <c r="K38" s="1" t="s">
        <v>579</v>
      </c>
      <c r="L38" s="1" t="s">
        <v>610</v>
      </c>
      <c r="M38" s="1" t="s">
        <v>534</v>
      </c>
      <c r="N38" s="1" t="s">
        <v>611</v>
      </c>
      <c r="O38" s="1" t="s">
        <v>668</v>
      </c>
      <c r="Q38" s="1">
        <f>4</f>
        <v>4</v>
      </c>
      <c r="X38" s="1" t="s">
        <v>669</v>
      </c>
      <c r="Y38" s="1" t="s">
        <v>670</v>
      </c>
    </row>
    <row r="39" spans="3:25">
      <c r="C39" s="1" t="s">
        <v>73</v>
      </c>
      <c r="X39" s="1" t="s">
        <v>671</v>
      </c>
      <c r="Y39" s="1" t="s">
        <v>672</v>
      </c>
    </row>
    <row r="40" ht="51" spans="1:25">
      <c r="A40" s="1">
        <v>27</v>
      </c>
      <c r="B40" s="10" t="s">
        <v>130</v>
      </c>
      <c r="C40" s="1" t="s">
        <v>73</v>
      </c>
      <c r="D40" s="1">
        <v>40</v>
      </c>
      <c r="E40" s="19" t="s">
        <v>673</v>
      </c>
      <c r="F40" s="20">
        <v>1</v>
      </c>
      <c r="G40" s="20"/>
      <c r="H40" s="20"/>
      <c r="I40" s="20"/>
      <c r="J40" s="20"/>
      <c r="K40" s="1" t="s">
        <v>579</v>
      </c>
      <c r="L40" s="1" t="s">
        <v>610</v>
      </c>
      <c r="M40" s="1" t="s">
        <v>534</v>
      </c>
      <c r="N40" s="1" t="s">
        <v>562</v>
      </c>
      <c r="O40" s="1" t="s">
        <v>674</v>
      </c>
      <c r="Q40" s="1">
        <f>2*5</f>
        <v>10</v>
      </c>
      <c r="X40" s="1" t="s">
        <v>675</v>
      </c>
      <c r="Y40" s="1" t="s">
        <v>676</v>
      </c>
    </row>
    <row r="41" ht="17.6" customHeight="1" spans="3:25">
      <c r="C41" s="1" t="s">
        <v>73</v>
      </c>
      <c r="X41" s="1" t="s">
        <v>677</v>
      </c>
      <c r="Y41" s="1" t="s">
        <v>678</v>
      </c>
    </row>
    <row r="42" ht="34" spans="1:15">
      <c r="A42" s="1">
        <v>28</v>
      </c>
      <c r="B42" s="10" t="s">
        <v>133</v>
      </c>
      <c r="C42" s="1" t="s">
        <v>73</v>
      </c>
      <c r="D42" s="1">
        <v>40</v>
      </c>
      <c r="E42" s="19" t="s">
        <v>679</v>
      </c>
      <c r="F42" s="20">
        <v>1</v>
      </c>
      <c r="G42" s="20"/>
      <c r="H42" s="20"/>
      <c r="I42" s="20"/>
      <c r="J42" s="20"/>
      <c r="K42" s="1" t="s">
        <v>532</v>
      </c>
      <c r="L42" s="1" t="s">
        <v>610</v>
      </c>
      <c r="M42" s="1" t="s">
        <v>534</v>
      </c>
      <c r="N42" s="1" t="s">
        <v>562</v>
      </c>
      <c r="O42" s="1" t="s">
        <v>680</v>
      </c>
    </row>
    <row r="43" spans="3:25">
      <c r="C43" s="1" t="s">
        <v>73</v>
      </c>
      <c r="X43" s="1" t="s">
        <v>681</v>
      </c>
      <c r="Y43" s="1" t="s">
        <v>682</v>
      </c>
    </row>
    <row r="44" ht="51" spans="1:25">
      <c r="A44" s="1">
        <v>29</v>
      </c>
      <c r="B44" s="10" t="s">
        <v>136</v>
      </c>
      <c r="C44" s="1" t="s">
        <v>73</v>
      </c>
      <c r="D44" s="1">
        <v>40</v>
      </c>
      <c r="E44" s="19" t="s">
        <v>683</v>
      </c>
      <c r="F44" s="20">
        <v>1</v>
      </c>
      <c r="G44" s="20"/>
      <c r="H44" s="20"/>
      <c r="I44" s="20"/>
      <c r="J44" s="20"/>
      <c r="K44" s="1" t="s">
        <v>609</v>
      </c>
      <c r="L44" s="1" t="s">
        <v>610</v>
      </c>
      <c r="M44" s="1" t="s">
        <v>534</v>
      </c>
      <c r="N44" s="1" t="s">
        <v>659</v>
      </c>
      <c r="X44" s="1" t="s">
        <v>684</v>
      </c>
      <c r="Y44" s="1" t="s">
        <v>685</v>
      </c>
    </row>
    <row r="45" spans="3:25">
      <c r="C45" s="1" t="s">
        <v>73</v>
      </c>
      <c r="X45" s="1" t="s">
        <v>686</v>
      </c>
      <c r="Y45" s="1" t="s">
        <v>687</v>
      </c>
    </row>
    <row r="46" ht="51" spans="1:25">
      <c r="A46" s="1">
        <v>30</v>
      </c>
      <c r="B46" s="10" t="s">
        <v>139</v>
      </c>
      <c r="C46" s="1" t="s">
        <v>73</v>
      </c>
      <c r="D46" s="1">
        <v>40</v>
      </c>
      <c r="E46" s="19" t="s">
        <v>688</v>
      </c>
      <c r="F46" s="20">
        <v>1</v>
      </c>
      <c r="G46" s="20"/>
      <c r="H46" s="20"/>
      <c r="I46" s="20"/>
      <c r="J46" s="20"/>
      <c r="K46" s="1" t="s">
        <v>609</v>
      </c>
      <c r="L46" s="1" t="s">
        <v>610</v>
      </c>
      <c r="M46" s="1" t="s">
        <v>565</v>
      </c>
      <c r="N46" s="1" t="s">
        <v>621</v>
      </c>
      <c r="X46" s="1" t="s">
        <v>689</v>
      </c>
      <c r="Y46" s="1" t="s">
        <v>690</v>
      </c>
    </row>
    <row r="47" spans="3:25">
      <c r="C47" s="1" t="s">
        <v>73</v>
      </c>
      <c r="X47" s="1" t="s">
        <v>691</v>
      </c>
      <c r="Y47" s="1" t="s">
        <v>692</v>
      </c>
    </row>
    <row r="48" ht="34" spans="1:25">
      <c r="A48" s="1">
        <v>31</v>
      </c>
      <c r="B48" s="12" t="s">
        <v>142</v>
      </c>
      <c r="C48" s="1" t="s">
        <v>73</v>
      </c>
      <c r="D48" s="1">
        <v>40</v>
      </c>
      <c r="E48" s="19" t="s">
        <v>693</v>
      </c>
      <c r="K48" s="1" t="s">
        <v>545</v>
      </c>
      <c r="L48" s="1" t="s">
        <v>610</v>
      </c>
      <c r="M48" s="1" t="s">
        <v>565</v>
      </c>
      <c r="N48" s="1" t="s">
        <v>621</v>
      </c>
      <c r="X48" s="1" t="s">
        <v>694</v>
      </c>
      <c r="Y48" s="1" t="s">
        <v>695</v>
      </c>
    </row>
    <row r="49" spans="3:25">
      <c r="C49" s="1" t="s">
        <v>73</v>
      </c>
      <c r="X49" s="1" t="s">
        <v>696</v>
      </c>
      <c r="Y49" s="1" t="s">
        <v>697</v>
      </c>
    </row>
    <row r="50" ht="17.6" spans="1:25">
      <c r="A50" s="1">
        <v>32</v>
      </c>
      <c r="B50" s="12" t="s">
        <v>145</v>
      </c>
      <c r="C50" s="1" t="s">
        <v>73</v>
      </c>
      <c r="D50" s="1">
        <v>40</v>
      </c>
      <c r="E50" s="1" t="s">
        <v>698</v>
      </c>
      <c r="F50" s="20"/>
      <c r="G50" s="20"/>
      <c r="H50" s="20"/>
      <c r="I50" s="20"/>
      <c r="J50" s="20"/>
      <c r="K50" s="1" t="s">
        <v>532</v>
      </c>
      <c r="L50" s="1" t="s">
        <v>588</v>
      </c>
      <c r="M50" s="1" t="s">
        <v>539</v>
      </c>
      <c r="N50" s="1" t="s">
        <v>699</v>
      </c>
      <c r="Q50" s="1">
        <f>4*6</f>
        <v>24</v>
      </c>
      <c r="X50" s="1" t="s">
        <v>700</v>
      </c>
      <c r="Y50" s="1" t="s">
        <v>701</v>
      </c>
    </row>
    <row r="51" spans="3:25">
      <c r="C51" s="1" t="s">
        <v>73</v>
      </c>
      <c r="X51" s="1" t="s">
        <v>702</v>
      </c>
      <c r="Y51" s="1" t="s">
        <v>703</v>
      </c>
    </row>
    <row r="52" ht="51" spans="1:25">
      <c r="A52" s="1">
        <v>33</v>
      </c>
      <c r="B52" s="15" t="s">
        <v>148</v>
      </c>
      <c r="C52" s="1" t="s">
        <v>73</v>
      </c>
      <c r="D52" s="1">
        <v>40</v>
      </c>
      <c r="E52" s="19" t="s">
        <v>704</v>
      </c>
      <c r="F52" s="20"/>
      <c r="G52" s="20"/>
      <c r="H52" s="20"/>
      <c r="I52" s="20"/>
      <c r="J52" s="20"/>
      <c r="K52" s="1" t="s">
        <v>579</v>
      </c>
      <c r="L52" s="1" t="s">
        <v>705</v>
      </c>
      <c r="M52" s="1" t="s">
        <v>534</v>
      </c>
      <c r="X52" s="1" t="s">
        <v>706</v>
      </c>
      <c r="Y52" s="1" t="s">
        <v>707</v>
      </c>
    </row>
    <row r="53" spans="3:25">
      <c r="C53" s="1" t="s">
        <v>73</v>
      </c>
      <c r="X53" s="1" t="s">
        <v>708</v>
      </c>
      <c r="Y53" s="1" t="s">
        <v>709</v>
      </c>
    </row>
    <row r="54" ht="51" spans="1:13">
      <c r="A54" s="1">
        <v>34</v>
      </c>
      <c r="B54" s="10" t="s">
        <v>151</v>
      </c>
      <c r="C54" s="1" t="s">
        <v>111</v>
      </c>
      <c r="D54" s="1">
        <v>60</v>
      </c>
      <c r="E54" s="19" t="s">
        <v>710</v>
      </c>
      <c r="F54" s="20"/>
      <c r="G54" s="20"/>
      <c r="H54" s="20"/>
      <c r="I54" s="20"/>
      <c r="J54" s="20"/>
      <c r="K54" s="1" t="s">
        <v>579</v>
      </c>
      <c r="L54" s="1" t="s">
        <v>705</v>
      </c>
      <c r="M54" s="1" t="s">
        <v>534</v>
      </c>
    </row>
    <row r="55" spans="3:3">
      <c r="C55" s="1" t="s">
        <v>111</v>
      </c>
    </row>
    <row r="56" ht="34" spans="1:6">
      <c r="A56" s="1">
        <v>35</v>
      </c>
      <c r="B56" s="10" t="s">
        <v>154</v>
      </c>
      <c r="C56" s="1" t="s">
        <v>73</v>
      </c>
      <c r="D56" s="1">
        <v>60</v>
      </c>
      <c r="E56" s="19" t="s">
        <v>711</v>
      </c>
      <c r="F56" s="9">
        <v>1</v>
      </c>
    </row>
    <row r="57" spans="3:13">
      <c r="C57" s="1" t="s">
        <v>73</v>
      </c>
      <c r="F57" s="20"/>
      <c r="G57" s="20"/>
      <c r="H57" s="20"/>
      <c r="I57" s="20"/>
      <c r="J57" s="20"/>
      <c r="K57" s="1" t="s">
        <v>532</v>
      </c>
      <c r="L57" s="1" t="s">
        <v>588</v>
      </c>
      <c r="M57" s="1" t="s">
        <v>565</v>
      </c>
    </row>
    <row r="58" spans="3:3">
      <c r="C58" s="1" t="s">
        <v>73</v>
      </c>
    </row>
    <row r="59" ht="34" spans="1:6">
      <c r="A59" s="1">
        <v>36</v>
      </c>
      <c r="B59" s="12" t="s">
        <v>157</v>
      </c>
      <c r="C59" s="1" t="s">
        <v>73</v>
      </c>
      <c r="D59" s="1">
        <v>60</v>
      </c>
      <c r="E59" s="19" t="s">
        <v>712</v>
      </c>
      <c r="F59" s="9">
        <v>1</v>
      </c>
    </row>
    <row r="60" spans="3:13">
      <c r="C60" s="1" t="s">
        <v>73</v>
      </c>
      <c r="F60" s="20"/>
      <c r="G60" s="20"/>
      <c r="H60" s="20"/>
      <c r="I60" s="20"/>
      <c r="J60" s="20"/>
      <c r="K60" s="1" t="s">
        <v>524</v>
      </c>
      <c r="L60" s="1" t="s">
        <v>610</v>
      </c>
      <c r="M60" s="1" t="s">
        <v>534</v>
      </c>
    </row>
    <row r="61" spans="3:3">
      <c r="C61" s="1" t="s">
        <v>73</v>
      </c>
    </row>
    <row r="62" ht="51" spans="1:13">
      <c r="A62" s="1">
        <v>37</v>
      </c>
      <c r="B62" s="10" t="s">
        <v>160</v>
      </c>
      <c r="C62" s="1" t="s">
        <v>111</v>
      </c>
      <c r="D62" s="1">
        <v>60</v>
      </c>
      <c r="E62" s="19" t="s">
        <v>713</v>
      </c>
      <c r="F62" s="20">
        <v>1</v>
      </c>
      <c r="G62" s="20"/>
      <c r="H62" s="20"/>
      <c r="I62" s="20"/>
      <c r="J62" s="20"/>
      <c r="K62" s="1" t="s">
        <v>532</v>
      </c>
      <c r="L62" s="1" t="s">
        <v>610</v>
      </c>
      <c r="M62" s="1" t="s">
        <v>565</v>
      </c>
    </row>
    <row r="63" spans="3:3">
      <c r="C63" s="1" t="s">
        <v>111</v>
      </c>
    </row>
    <row r="64" ht="34" spans="1:13">
      <c r="A64" s="1">
        <v>38</v>
      </c>
      <c r="B64" s="12" t="s">
        <v>163</v>
      </c>
      <c r="C64" s="1" t="s">
        <v>111</v>
      </c>
      <c r="D64" s="1">
        <v>60</v>
      </c>
      <c r="E64" s="19" t="s">
        <v>714</v>
      </c>
      <c r="F64" s="20">
        <v>1</v>
      </c>
      <c r="G64" s="20"/>
      <c r="H64" s="20"/>
      <c r="I64" s="20"/>
      <c r="J64" s="20"/>
      <c r="K64" s="1" t="s">
        <v>532</v>
      </c>
      <c r="L64" s="1" t="s">
        <v>588</v>
      </c>
      <c r="M64" s="1" t="s">
        <v>534</v>
      </c>
    </row>
    <row r="65" spans="3:3">
      <c r="C65" s="1" t="s">
        <v>111</v>
      </c>
    </row>
    <row r="66" ht="51" spans="1:5">
      <c r="A66" s="1">
        <v>39</v>
      </c>
      <c r="B66" s="10" t="s">
        <v>166</v>
      </c>
      <c r="C66" s="1" t="s">
        <v>73</v>
      </c>
      <c r="D66" s="1">
        <v>60</v>
      </c>
      <c r="E66" s="19" t="s">
        <v>715</v>
      </c>
    </row>
    <row r="67" spans="3:13">
      <c r="C67" s="1" t="s">
        <v>73</v>
      </c>
      <c r="F67" s="20"/>
      <c r="G67" s="20"/>
      <c r="H67" s="20"/>
      <c r="I67" s="20"/>
      <c r="J67" s="20"/>
      <c r="K67" s="1" t="s">
        <v>545</v>
      </c>
      <c r="L67" s="1" t="s">
        <v>588</v>
      </c>
      <c r="M67" s="1" t="s">
        <v>565</v>
      </c>
    </row>
    <row r="68" spans="3:3">
      <c r="C68" s="1" t="s">
        <v>73</v>
      </c>
    </row>
    <row r="69" ht="51" spans="1:6">
      <c r="A69" s="1">
        <v>40</v>
      </c>
      <c r="B69" s="12" t="s">
        <v>169</v>
      </c>
      <c r="C69" s="1" t="s">
        <v>73</v>
      </c>
      <c r="D69" s="1">
        <v>60</v>
      </c>
      <c r="E69" s="19" t="s">
        <v>716</v>
      </c>
      <c r="F69" s="9">
        <v>1</v>
      </c>
    </row>
    <row r="70" spans="3:13">
      <c r="C70" s="1" t="s">
        <v>73</v>
      </c>
      <c r="F70" s="20"/>
      <c r="G70" s="20"/>
      <c r="H70" s="20"/>
      <c r="I70" s="20"/>
      <c r="J70" s="20"/>
      <c r="K70" s="1" t="s">
        <v>579</v>
      </c>
      <c r="L70" s="1" t="s">
        <v>610</v>
      </c>
      <c r="M70" s="1" t="s">
        <v>539</v>
      </c>
    </row>
    <row r="71" spans="3:3">
      <c r="C71" s="1" t="s">
        <v>73</v>
      </c>
    </row>
    <row r="72" ht="34" spans="1:13">
      <c r="A72" s="1">
        <v>41</v>
      </c>
      <c r="B72" s="15" t="s">
        <v>172</v>
      </c>
      <c r="C72" s="1" t="s">
        <v>111</v>
      </c>
      <c r="D72" s="1">
        <v>60</v>
      </c>
      <c r="E72" s="19" t="s">
        <v>717</v>
      </c>
      <c r="F72" s="20"/>
      <c r="G72" s="20"/>
      <c r="H72" s="20"/>
      <c r="I72" s="20"/>
      <c r="J72" s="20"/>
      <c r="K72" s="1" t="s">
        <v>545</v>
      </c>
      <c r="L72" s="1" t="s">
        <v>588</v>
      </c>
      <c r="M72" s="1" t="s">
        <v>565</v>
      </c>
    </row>
    <row r="73" spans="3:3">
      <c r="C73" s="1" t="s">
        <v>111</v>
      </c>
    </row>
    <row r="74" ht="34" spans="1:13">
      <c r="A74" s="1">
        <v>42</v>
      </c>
      <c r="B74" s="12" t="s">
        <v>175</v>
      </c>
      <c r="C74" s="1" t="s">
        <v>73</v>
      </c>
      <c r="D74" s="1">
        <v>30</v>
      </c>
      <c r="E74" s="19" t="s">
        <v>718</v>
      </c>
      <c r="F74" s="20"/>
      <c r="G74" s="20"/>
      <c r="H74" s="20"/>
      <c r="I74" s="20"/>
      <c r="J74" s="20"/>
      <c r="K74" s="1" t="s">
        <v>579</v>
      </c>
      <c r="L74" s="1" t="s">
        <v>588</v>
      </c>
      <c r="M74" s="1" t="s">
        <v>534</v>
      </c>
    </row>
    <row r="75" spans="3:3">
      <c r="C75" s="1" t="s">
        <v>177</v>
      </c>
    </row>
    <row r="76" ht="34" spans="1:22">
      <c r="A76" s="1">
        <v>43</v>
      </c>
      <c r="B76" s="10" t="s">
        <v>179</v>
      </c>
      <c r="C76" s="1" t="s">
        <v>181</v>
      </c>
      <c r="D76" s="1">
        <v>30</v>
      </c>
      <c r="E76" s="19" t="s">
        <v>719</v>
      </c>
      <c r="F76" s="20"/>
      <c r="G76" s="20"/>
      <c r="H76" s="20"/>
      <c r="I76" s="20"/>
      <c r="J76" s="20"/>
      <c r="K76" s="1" t="s">
        <v>579</v>
      </c>
      <c r="L76" s="1" t="s">
        <v>610</v>
      </c>
      <c r="M76" s="1" t="s">
        <v>539</v>
      </c>
      <c r="O76" s="10"/>
      <c r="P76" s="24"/>
      <c r="Q76" s="24"/>
      <c r="R76" s="24"/>
      <c r="S76" s="24"/>
      <c r="T76" s="24"/>
      <c r="U76" s="24"/>
      <c r="V76" s="24"/>
    </row>
    <row r="77" ht="17.6" customHeight="1" spans="3:16">
      <c r="C77" s="1" t="s">
        <v>73</v>
      </c>
      <c r="P77" s="24"/>
    </row>
    <row r="78" ht="34" spans="1:22">
      <c r="A78" s="1">
        <v>44</v>
      </c>
      <c r="B78" s="11" t="s">
        <v>183</v>
      </c>
      <c r="C78" s="1" t="s">
        <v>73</v>
      </c>
      <c r="D78" s="1">
        <v>40</v>
      </c>
      <c r="E78" s="19" t="s">
        <v>720</v>
      </c>
      <c r="P78" s="24"/>
      <c r="Q78" s="24"/>
      <c r="R78" s="24"/>
      <c r="S78" s="24"/>
      <c r="T78" s="24"/>
      <c r="U78" s="24"/>
      <c r="V78" s="24"/>
    </row>
    <row r="79" spans="3:13">
      <c r="C79" s="1" t="s">
        <v>177</v>
      </c>
      <c r="F79" s="20"/>
      <c r="G79" s="20"/>
      <c r="H79" s="20"/>
      <c r="I79" s="20"/>
      <c r="J79" s="20"/>
      <c r="K79" s="1" t="s">
        <v>524</v>
      </c>
      <c r="L79" s="1" t="s">
        <v>705</v>
      </c>
      <c r="M79" s="1" t="s">
        <v>539</v>
      </c>
    </row>
    <row r="80" spans="3:3">
      <c r="C80" s="1" t="s">
        <v>177</v>
      </c>
    </row>
    <row r="81" ht="34" spans="1:16">
      <c r="A81" s="1">
        <v>45</v>
      </c>
      <c r="B81" s="11" t="s">
        <v>186</v>
      </c>
      <c r="C81" s="1" t="s">
        <v>111</v>
      </c>
      <c r="D81" s="1">
        <v>110</v>
      </c>
      <c r="E81" s="19" t="s">
        <v>721</v>
      </c>
      <c r="P81" s="24"/>
    </row>
    <row r="82" ht="17.6" customHeight="1" spans="3:22">
      <c r="C82" s="1" t="s">
        <v>111</v>
      </c>
      <c r="O82" s="24"/>
      <c r="P82" s="24"/>
      <c r="Q82" s="24"/>
      <c r="R82" s="24"/>
      <c r="S82" s="24"/>
      <c r="T82" s="24"/>
      <c r="U82" s="24"/>
      <c r="V82" s="24"/>
    </row>
    <row r="83" ht="17.6" customHeight="1" spans="3:22">
      <c r="C83" s="1" t="s">
        <v>111</v>
      </c>
      <c r="O83" s="24"/>
      <c r="P83" s="24"/>
      <c r="Q83" s="24"/>
      <c r="R83" s="24"/>
      <c r="S83" s="24"/>
      <c r="T83" s="24"/>
      <c r="U83" s="24"/>
      <c r="V83" s="24"/>
    </row>
    <row r="84" ht="17.6" spans="3:22">
      <c r="C84" s="1" t="s">
        <v>188</v>
      </c>
      <c r="F84" s="20"/>
      <c r="G84" s="20"/>
      <c r="H84" s="20"/>
      <c r="I84" s="20"/>
      <c r="J84" s="20"/>
      <c r="K84" s="1" t="s">
        <v>579</v>
      </c>
      <c r="L84" s="1" t="s">
        <v>705</v>
      </c>
      <c r="M84" s="1" t="s">
        <v>534</v>
      </c>
      <c r="O84" s="24"/>
      <c r="P84" s="24"/>
      <c r="Q84" s="24"/>
      <c r="R84" s="24"/>
      <c r="S84" s="24"/>
      <c r="T84" s="24"/>
      <c r="U84" s="24"/>
      <c r="V84" s="24"/>
    </row>
    <row r="85" ht="17.6" customHeight="1" spans="3:22">
      <c r="C85" s="1" t="s">
        <v>188</v>
      </c>
      <c r="O85" s="24"/>
      <c r="P85" s="24"/>
      <c r="Q85" s="24"/>
      <c r="R85" s="24"/>
      <c r="S85" s="24"/>
      <c r="T85" s="24"/>
      <c r="U85" s="24"/>
      <c r="V85" s="24"/>
    </row>
    <row r="86" ht="51" spans="1:22">
      <c r="A86" s="1">
        <v>46</v>
      </c>
      <c r="B86" s="11" t="s">
        <v>190</v>
      </c>
      <c r="C86" s="1" t="s">
        <v>111</v>
      </c>
      <c r="D86" s="1">
        <v>90</v>
      </c>
      <c r="E86" s="19" t="s">
        <v>722</v>
      </c>
      <c r="O86" s="24"/>
      <c r="P86" s="24"/>
      <c r="Q86" s="24"/>
      <c r="R86" s="24"/>
      <c r="S86" s="24"/>
      <c r="T86" s="24"/>
      <c r="U86" s="24"/>
      <c r="V86" s="24"/>
    </row>
    <row r="87" ht="17.6" spans="3:22">
      <c r="C87" s="1" t="s">
        <v>111</v>
      </c>
      <c r="K87" s="1" t="s">
        <v>524</v>
      </c>
      <c r="L87" s="1" t="s">
        <v>705</v>
      </c>
      <c r="M87" s="1" t="s">
        <v>565</v>
      </c>
      <c r="P87" s="24"/>
      <c r="Q87" s="24"/>
      <c r="R87" s="24"/>
      <c r="S87" s="24"/>
      <c r="T87" s="24"/>
      <c r="U87" s="24"/>
      <c r="V87" s="24"/>
    </row>
    <row r="88" spans="3:3">
      <c r="C88" s="1" t="s">
        <v>111</v>
      </c>
    </row>
    <row r="89" ht="30" customHeight="1" spans="1:5">
      <c r="A89" s="1">
        <v>47</v>
      </c>
      <c r="B89" s="12" t="s">
        <v>193</v>
      </c>
      <c r="C89" s="1" t="s">
        <v>195</v>
      </c>
      <c r="D89" s="1">
        <v>160</v>
      </c>
      <c r="E89" s="1" t="s">
        <v>723</v>
      </c>
    </row>
    <row r="90" spans="3:3">
      <c r="C90" s="1" t="s">
        <v>195</v>
      </c>
    </row>
    <row r="91" spans="3:3">
      <c r="C91" s="1" t="s">
        <v>196</v>
      </c>
    </row>
    <row r="92" spans="3:3">
      <c r="C92" s="1" t="s">
        <v>196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2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724</v>
      </c>
      <c r="N4" s="3" t="s">
        <v>724</v>
      </c>
      <c r="O4" s="3" t="s">
        <v>724</v>
      </c>
      <c r="P4" s="3" t="s">
        <v>724</v>
      </c>
      <c r="Q4" s="3"/>
      <c r="R4" s="3"/>
      <c r="V4" s="6"/>
      <c r="W4" s="6"/>
      <c r="X4" s="6"/>
      <c r="Y4" s="6"/>
      <c r="Z4" s="6"/>
      <c r="AA4" s="6"/>
      <c r="AB4" s="6"/>
      <c r="AC4" s="6"/>
      <c r="AD4" s="6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724</v>
      </c>
      <c r="N5" s="3" t="s">
        <v>724</v>
      </c>
      <c r="O5" s="3" t="s">
        <v>724</v>
      </c>
      <c r="P5" s="3" t="s">
        <v>725</v>
      </c>
      <c r="Q5" s="3"/>
      <c r="R5" s="3"/>
      <c r="V5" s="6"/>
      <c r="W5" s="6"/>
      <c r="X5" s="6"/>
      <c r="Y5" s="6"/>
      <c r="Z5" s="6"/>
      <c r="AA5" s="6"/>
      <c r="AB5" s="6"/>
      <c r="AC5" s="6"/>
      <c r="AD5" s="6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726</v>
      </c>
      <c r="K6" s="3" t="s">
        <v>726</v>
      </c>
      <c r="L6" s="3" t="s">
        <v>726</v>
      </c>
      <c r="M6" s="4" t="s">
        <v>727</v>
      </c>
      <c r="N6" s="4" t="s">
        <v>727</v>
      </c>
      <c r="O6" s="3" t="s">
        <v>728</v>
      </c>
      <c r="P6" s="5"/>
      <c r="Q6" s="3" t="s">
        <v>729</v>
      </c>
      <c r="R6" s="3" t="s">
        <v>726</v>
      </c>
      <c r="V6" s="6"/>
      <c r="W6" s="6"/>
      <c r="X6" s="6"/>
      <c r="Y6" s="7">
        <v>1</v>
      </c>
      <c r="Z6" s="7">
        <v>2</v>
      </c>
      <c r="AA6" s="7">
        <v>3</v>
      </c>
      <c r="AB6" s="7"/>
      <c r="AC6" s="6"/>
      <c r="AD6" s="6"/>
      <c r="AG6" s="6"/>
      <c r="AH6" s="6"/>
      <c r="AI6" s="6"/>
      <c r="AJ6" s="8"/>
      <c r="AK6" s="8"/>
      <c r="AL6" s="8"/>
      <c r="AM6" s="6"/>
      <c r="AN6" s="6"/>
      <c r="AO6" s="6"/>
    </row>
    <row r="7" ht="45" customHeight="1" spans="8:41">
      <c r="H7" s="2"/>
      <c r="I7" s="2"/>
      <c r="J7" s="3" t="s">
        <v>726</v>
      </c>
      <c r="K7" s="3" t="s">
        <v>726</v>
      </c>
      <c r="L7" s="3" t="s">
        <v>726</v>
      </c>
      <c r="M7" s="4" t="s">
        <v>728</v>
      </c>
      <c r="N7" s="4" t="s">
        <v>728</v>
      </c>
      <c r="O7" s="3" t="s">
        <v>728</v>
      </c>
      <c r="P7" s="5"/>
      <c r="Q7" s="3" t="s">
        <v>729</v>
      </c>
      <c r="R7" s="3" t="s">
        <v>726</v>
      </c>
      <c r="V7" s="6"/>
      <c r="W7" s="6"/>
      <c r="X7" s="6"/>
      <c r="Y7" s="7">
        <v>4</v>
      </c>
      <c r="Z7" s="7">
        <v>5</v>
      </c>
      <c r="AA7" s="7">
        <v>6</v>
      </c>
      <c r="AB7" s="7"/>
      <c r="AC7" s="6"/>
      <c r="AD7" s="6"/>
      <c r="AG7" s="6"/>
      <c r="AH7" s="6"/>
      <c r="AI7" s="6"/>
      <c r="AJ7" s="8"/>
      <c r="AK7" s="6"/>
      <c r="AL7" s="8"/>
      <c r="AM7" s="6"/>
      <c r="AN7" s="6"/>
      <c r="AO7" s="6"/>
    </row>
    <row r="8" ht="45" customHeight="1" spans="8:41">
      <c r="H8" s="3" t="s">
        <v>726</v>
      </c>
      <c r="I8" s="3" t="s">
        <v>726</v>
      </c>
      <c r="J8" s="3" t="s">
        <v>726</v>
      </c>
      <c r="K8" s="3" t="s">
        <v>726</v>
      </c>
      <c r="L8" s="3" t="s">
        <v>729</v>
      </c>
      <c r="M8" s="5"/>
      <c r="N8" s="5"/>
      <c r="O8" s="5"/>
      <c r="P8" s="5"/>
      <c r="Q8" s="3" t="s">
        <v>729</v>
      </c>
      <c r="R8" s="3" t="s">
        <v>726</v>
      </c>
      <c r="V8" s="6"/>
      <c r="W8" s="6"/>
      <c r="X8" s="6"/>
      <c r="Y8" s="7">
        <v>7</v>
      </c>
      <c r="Z8" s="7">
        <v>8</v>
      </c>
      <c r="AA8" s="7">
        <v>9</v>
      </c>
      <c r="AB8" s="7"/>
      <c r="AC8" s="6"/>
      <c r="AD8" s="6"/>
      <c r="AG8" s="6"/>
      <c r="AH8" s="6"/>
      <c r="AI8" s="6"/>
      <c r="AJ8" s="8"/>
      <c r="AK8" s="8"/>
      <c r="AL8" s="8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725</v>
      </c>
      <c r="N9" s="3" t="s">
        <v>725</v>
      </c>
      <c r="O9" s="3" t="s">
        <v>725</v>
      </c>
      <c r="P9" s="3" t="s">
        <v>725</v>
      </c>
      <c r="Q9" s="3"/>
      <c r="R9" s="3"/>
      <c r="V9" s="6"/>
      <c r="W9" s="6"/>
      <c r="X9" s="6"/>
      <c r="Y9" s="6"/>
      <c r="Z9" s="6"/>
      <c r="AA9" s="6"/>
      <c r="AB9" s="6"/>
      <c r="AC9" s="6"/>
      <c r="AD9" s="6"/>
      <c r="AG9" s="6"/>
      <c r="AH9" s="6"/>
      <c r="AI9" s="6"/>
      <c r="AJ9" s="2" t="s">
        <v>730</v>
      </c>
      <c r="AK9" s="2" t="s">
        <v>730</v>
      </c>
      <c r="AL9" s="2" t="s">
        <v>730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724</v>
      </c>
      <c r="N10" s="3" t="s">
        <v>724</v>
      </c>
      <c r="O10" s="3" t="s">
        <v>724</v>
      </c>
      <c r="P10" s="3" t="s">
        <v>724</v>
      </c>
      <c r="Q10" s="3"/>
      <c r="R10" s="3"/>
      <c r="V10" s="6"/>
      <c r="W10" s="6"/>
      <c r="X10" s="6"/>
      <c r="Y10" s="6"/>
      <c r="Z10" s="6"/>
      <c r="AA10" s="6"/>
      <c r="AB10" s="6"/>
      <c r="AC10" s="6"/>
      <c r="AD10" s="6"/>
      <c r="AG10" s="6"/>
      <c r="AH10" s="6"/>
      <c r="AI10" s="6"/>
      <c r="AJ10" s="2" t="s">
        <v>731</v>
      </c>
      <c r="AK10" s="2" t="s">
        <v>731</v>
      </c>
      <c r="AL10" s="2" t="s">
        <v>731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724</v>
      </c>
      <c r="N11" s="3" t="s">
        <v>724</v>
      </c>
      <c r="O11" s="2"/>
      <c r="P11" s="2"/>
      <c r="Q11" s="2"/>
      <c r="R11" s="2"/>
      <c r="V11" s="6"/>
      <c r="W11" s="6"/>
      <c r="X11" s="6"/>
      <c r="Y11" s="6"/>
      <c r="Z11" s="6"/>
      <c r="AA11" s="6"/>
      <c r="AB11" s="6"/>
      <c r="AC11" s="6"/>
      <c r="AD11" s="6"/>
      <c r="AG11" s="6"/>
      <c r="AH11" s="6"/>
      <c r="AI11" s="6"/>
      <c r="AJ11" s="2" t="s">
        <v>731</v>
      </c>
      <c r="AK11" s="2" t="s">
        <v>731</v>
      </c>
      <c r="AL11" s="2" t="s">
        <v>731</v>
      </c>
      <c r="AM11" s="6"/>
      <c r="AN11" s="6"/>
      <c r="AO11" s="6"/>
    </row>
    <row r="12" ht="45" customHeight="1" spans="8:18">
      <c r="H12" s="2"/>
      <c r="I12" s="2"/>
      <c r="J12" s="2"/>
      <c r="K12" s="2"/>
      <c r="L12" s="2"/>
      <c r="M12" s="3" t="s">
        <v>724</v>
      </c>
      <c r="N12" s="3" t="s">
        <v>724</v>
      </c>
      <c r="O12" s="2"/>
      <c r="P12" s="2"/>
      <c r="Q12" s="2"/>
      <c r="R12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</vt:lpstr>
      <vt:lpstr>定义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2026-07-22T10:01:32Z</dcterms:created>
  <dcterms:modified xsi:type="dcterms:W3CDTF">2026-07-22T10:16:32Z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FA4589C4B52B89EC0028606AAE1AF51F_42</vt:lpwstr>
  </property>
</Properties>
</file>