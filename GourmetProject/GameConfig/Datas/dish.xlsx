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ish_base" sheetId="1" state="visible" r:id="rId3"/>
    <sheet name="dish_variant" sheetId="2" state="visible" r:id="rId4"/>
    <sheet name="skill" sheetId="3" state="visible" r:id="rId5"/>
    <sheet name="flavor" sheetId="4" state="visible" r:id="rId6"/>
    <sheet name="cake_layer_buff" sheetId="5" state="visible" r:id="rId7"/>
    <sheet name="sub_skill" sheetId="6" state="visible" r:id="rId8"/>
    <sheet name="食物设计" sheetId="7" state="visible" r:id="rId9"/>
    <sheet name="定义" sheetId="8" state="visible" r:id="rId10"/>
  </sheets>
  <definedNames>
    <definedName function="false" hidden="true" localSheetId="5" name="_xlnm._FilterDatabase" vbProcedure="false">sub_skill!$C$1:$C$69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<sst xmlns="http://schemas.openxmlformats.org/spreadsheetml/2006/main" count="2818" uniqueCount="672">
  <si>
    <t xml:space="preserve">##var</t>
  </si>
  <si>
    <t xml:space="preserve">id</t>
  </si>
  <si>
    <t xml:space="preserve">name</t>
  </si>
  <si>
    <t xml:space="preserve">deliciousness</t>
  </si>
  <si>
    <t xml:space="preserve">allowRotate</t>
  </si>
  <si>
    <t xml:space="preserve">skills</t>
  </si>
  <si>
    <t xml:space="preserve">category</t>
  </si>
  <si>
    <t xml:space="preserve">countAs</t>
  </si>
  <si>
    <t xml:space="preserve">*shapeRows</t>
  </si>
  <si>
    <t xml:space="preserve">##comment</t>
  </si>
  <si>
    <r>
      <rPr>
        <sz val="11"/>
        <color theme="1"/>
        <rFont val="Linux Libertine G"/>
        <family val="2"/>
      </rPr>
      <t xml:space="preserve">菜品基础</t>
    </r>
    <r>
      <rPr>
        <sz val="11"/>
        <color theme="1"/>
        <rFont val="宋体"/>
        <family val="0"/>
        <charset val="134"/>
      </rPr>
      <t xml:space="preserve">ID</t>
    </r>
  </si>
  <si>
    <t xml:space="preserve">菜品名称</t>
  </si>
  <si>
    <t xml:space="preserve">基础美味度</t>
  </si>
  <si>
    <t xml:space="preserve">是否允许旋转摆放</t>
  </si>
  <si>
    <r>
      <rPr>
        <sz val="11"/>
        <color theme="1"/>
        <rFont val="Linux Libertine G"/>
        <family val="2"/>
      </rPr>
      <t xml:space="preserve">技能</t>
    </r>
    <r>
      <rPr>
        <sz val="11"/>
        <color theme="1"/>
        <rFont val="宋体"/>
        <family val="0"/>
        <charset val="134"/>
      </rPr>
      <t xml:space="preserve">ID</t>
    </r>
    <r>
      <rPr>
        <sz val="11"/>
        <color theme="1"/>
        <rFont val="Linux Libertine G"/>
        <family val="2"/>
      </rPr>
      <t xml:space="preserve">列表</t>
    </r>
    <r>
      <rPr>
        <sz val="11"/>
        <color theme="1"/>
        <rFont val="宋体"/>
        <family val="0"/>
        <charset val="134"/>
      </rPr>
      <t xml:space="preserve">(| </t>
    </r>
    <r>
      <rPr>
        <sz val="11"/>
        <color theme="1"/>
        <rFont val="Linux Libertine G"/>
        <family val="2"/>
      </rPr>
      <t xml:space="preserve">分隔</t>
    </r>
    <r>
      <rPr>
        <sz val="11"/>
        <color theme="1"/>
        <rFont val="宋体"/>
        <family val="0"/>
        <charset val="134"/>
      </rPr>
      <t xml:space="preserve">)</t>
    </r>
  </si>
  <si>
    <r>
      <rPr>
        <sz val="11"/>
        <color theme="1"/>
        <rFont val="Linux Libertine G"/>
        <family val="2"/>
      </rPr>
      <t xml:space="preserve">菜品分类</t>
    </r>
    <r>
      <rPr>
        <sz val="11"/>
        <color theme="1"/>
        <rFont val="宋体"/>
        <family val="0"/>
        <charset val="134"/>
      </rPr>
      <t xml:space="preserve">(</t>
    </r>
    <r>
      <rPr>
        <sz val="11"/>
        <color theme="1"/>
        <rFont val="Linux Libertine G"/>
        <family val="2"/>
      </rPr>
      <t xml:space="preserve">如</t>
    </r>
    <r>
      <rPr>
        <sz val="11"/>
        <color theme="1"/>
        <rFont val="宋体"/>
        <family val="0"/>
        <charset val="134"/>
      </rPr>
      <t xml:space="preserve">cake;</t>
    </r>
    <r>
      <rPr>
        <sz val="11"/>
        <color theme="1"/>
        <rFont val="Linux Libertine G"/>
        <family val="2"/>
      </rPr>
      <t xml:space="preserve">空</t>
    </r>
    <r>
      <rPr>
        <sz val="11"/>
        <color theme="1"/>
        <rFont val="宋体"/>
        <family val="0"/>
        <charset val="134"/>
      </rPr>
      <t xml:space="preserve">=</t>
    </r>
    <r>
      <rPr>
        <sz val="11"/>
        <color theme="1"/>
        <rFont val="Linux Libertine G"/>
        <family val="2"/>
      </rPr>
      <t xml:space="preserve">无</t>
    </r>
    <r>
      <rPr>
        <sz val="11"/>
        <color theme="1"/>
        <rFont val="宋体"/>
        <family val="0"/>
        <charset val="134"/>
      </rPr>
      <t xml:space="preserve">)</t>
    </r>
  </si>
  <si>
    <r>
      <rPr>
        <sz val="11"/>
        <color theme="1"/>
        <rFont val="Linux Libertine G"/>
        <family val="2"/>
      </rPr>
      <t xml:space="preserve">视为食物数</t>
    </r>
    <r>
      <rPr>
        <sz val="11"/>
        <color theme="1"/>
        <rFont val="宋体"/>
        <family val="0"/>
        <charset val="134"/>
      </rPr>
      <t xml:space="preserve">(</t>
    </r>
    <r>
      <rPr>
        <sz val="11"/>
        <color theme="1"/>
        <rFont val="Linux Libertine G"/>
        <family val="2"/>
      </rPr>
      <t xml:space="preserve">默认</t>
    </r>
    <r>
      <rPr>
        <sz val="11"/>
        <color theme="1"/>
        <rFont val="宋体"/>
        <family val="0"/>
        <charset val="134"/>
      </rPr>
      <t xml:space="preserve">1)</t>
    </r>
  </si>
  <si>
    <t xml:space="preserve">菜品形状行列表</t>
  </si>
  <si>
    <t xml:space="preserve">##type</t>
  </si>
  <si>
    <t xml:space="preserve">string</t>
  </si>
  <si>
    <t xml:space="preserve">int</t>
  </si>
  <si>
    <t xml:space="preserve">bool</t>
  </si>
  <si>
    <t xml:space="preserve">list,string</t>
  </si>
  <si>
    <t xml:space="preserve">cookie</t>
  </si>
  <si>
    <t xml:space="preserve">曲奇</t>
  </si>
  <si>
    <t xml:space="preserve">false</t>
  </si>
  <si>
    <t xml:space="preserve">sk_cookie</t>
  </si>
  <si>
    <t xml:space="preserve">X</t>
  </si>
  <si>
    <t xml:space="preserve">macaron</t>
  </si>
  <si>
    <t xml:space="preserve">马卡龙</t>
  </si>
  <si>
    <t xml:space="preserve">sk_macaron</t>
  </si>
  <si>
    <t xml:space="preserve">pudding</t>
  </si>
  <si>
    <t xml:space="preserve">布丁</t>
  </si>
  <si>
    <t xml:space="preserve">sk_pudding</t>
  </si>
  <si>
    <t xml:space="preserve">puff</t>
  </si>
  <si>
    <t xml:space="preserve">泡芙</t>
  </si>
  <si>
    <t xml:space="preserve">sk_puff</t>
  </si>
  <si>
    <t xml:space="preserve">eggtart</t>
  </si>
  <si>
    <t xml:space="preserve">蛋挞</t>
  </si>
  <si>
    <t xml:space="preserve">sk_eggtart</t>
  </si>
  <si>
    <t xml:space="preserve">mochi</t>
  </si>
  <si>
    <t xml:space="preserve">麻薯</t>
  </si>
  <si>
    <t xml:space="preserve">sk_mochi</t>
  </si>
  <si>
    <t xml:space="preserve">daifuku</t>
  </si>
  <si>
    <t xml:space="preserve">大福</t>
  </si>
  <si>
    <t xml:space="preserve">sk_daifuku</t>
  </si>
  <si>
    <t xml:space="preserve">choco_candy</t>
  </si>
  <si>
    <t xml:space="preserve">巧克力糖</t>
  </si>
  <si>
    <t xml:space="preserve">sk_choco_candy</t>
  </si>
  <si>
    <t xml:space="preserve">jelly</t>
  </si>
  <si>
    <t xml:space="preserve">果冻</t>
  </si>
  <si>
    <t xml:space="preserve">sk_jelly</t>
  </si>
  <si>
    <r>
      <rPr>
        <sz val="11"/>
        <color theme="1"/>
        <rFont val="宋体"/>
        <family val="0"/>
        <charset val="134"/>
      </rPr>
      <t xml:space="preserve">0</t>
    </r>
    <r>
      <rPr>
        <sz val="11"/>
        <color theme="1"/>
        <rFont val="Linux Libertine G"/>
        <family val="2"/>
      </rPr>
      <t xml:space="preserve">周</t>
    </r>
  </si>
  <si>
    <t xml:space="preserve">cream_cell</t>
  </si>
  <si>
    <t xml:space="preserve">奶油小格</t>
  </si>
  <si>
    <t xml:space="preserve">sk_cream_cell</t>
  </si>
  <si>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周</t>
    </r>
  </si>
  <si>
    <t xml:space="preserve">sugarbean</t>
  </si>
  <si>
    <t xml:space="preserve">糖豆</t>
  </si>
  <si>
    <t xml:space="preserve">sk_sugarbean</t>
  </si>
  <si>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周</t>
    </r>
  </si>
  <si>
    <t xml:space="preserve">gold_choco</t>
  </si>
  <si>
    <t xml:space="preserve">金巧克力</t>
  </si>
  <si>
    <t xml:space="preserve">sk_gold_choco</t>
  </si>
  <si>
    <r>
      <rPr>
        <sz val="11"/>
        <color theme="1"/>
        <rFont val="宋体"/>
        <family val="0"/>
        <charset val="134"/>
      </rPr>
      <t xml:space="preserve">3</t>
    </r>
    <r>
      <rPr>
        <sz val="11"/>
        <color theme="1"/>
        <rFont val="Linux Libertine G"/>
        <family val="2"/>
      </rPr>
      <t xml:space="preserve">周</t>
    </r>
  </si>
  <si>
    <t xml:space="preserve">milk_slice</t>
  </si>
  <si>
    <t xml:space="preserve">奶片</t>
  </si>
  <si>
    <t xml:space="preserve">sk_milk_slice</t>
  </si>
  <si>
    <r>
      <rPr>
        <sz val="11"/>
        <color theme="1"/>
        <rFont val="宋体"/>
        <family val="0"/>
        <charset val="134"/>
      </rPr>
      <t xml:space="preserve">4</t>
    </r>
    <r>
      <rPr>
        <sz val="11"/>
        <color theme="1"/>
        <rFont val="Linux Libertine G"/>
        <family val="2"/>
      </rPr>
      <t xml:space="preserve">周</t>
    </r>
  </si>
  <si>
    <t xml:space="preserve">sundae</t>
  </si>
  <si>
    <t xml:space="preserve">圣代</t>
  </si>
  <si>
    <t xml:space="preserve">sk_sundae</t>
  </si>
  <si>
    <t xml:space="preserve">XX</t>
  </si>
  <si>
    <t xml:space="preserve">cone</t>
  </si>
  <si>
    <t xml:space="preserve">甜筒</t>
  </si>
  <si>
    <t xml:space="preserve">sk_cone</t>
  </si>
  <si>
    <t xml:space="preserve">lollipop</t>
  </si>
  <si>
    <t xml:space="preserve">棒棒糖</t>
  </si>
  <si>
    <t xml:space="preserve">sk_lollipop</t>
  </si>
  <si>
    <t xml:space="preserve">gummy</t>
  </si>
  <si>
    <t xml:space="preserve">软糖</t>
  </si>
  <si>
    <t xml:space="preserve">sk_gummy</t>
  </si>
  <si>
    <t xml:space="preserve">cupcake</t>
  </si>
  <si>
    <t xml:space="preserve">杯子蛋糕</t>
  </si>
  <si>
    <t xml:space="preserve">sk_cupcake</t>
  </si>
  <si>
    <t xml:space="preserve">cake</t>
  </si>
  <si>
    <t xml:space="preserve">mousse</t>
  </si>
  <si>
    <t xml:space="preserve">慕斯蛋糕</t>
  </si>
  <si>
    <t xml:space="preserve">sk_mousse</t>
  </si>
  <si>
    <t xml:space="preserve">普通</t>
  </si>
  <si>
    <t xml:space="preserve">加强</t>
  </si>
  <si>
    <t xml:space="preserve">10,35</t>
  </si>
  <si>
    <t xml:space="preserve">35,60</t>
  </si>
  <si>
    <t xml:space="preserve">toffee</t>
  </si>
  <si>
    <t xml:space="preserve">太妃糖</t>
  </si>
  <si>
    <t xml:space="preserve">sk_toffee</t>
  </si>
  <si>
    <t xml:space="preserve">10,40</t>
  </si>
  <si>
    <t xml:space="preserve">40,70</t>
  </si>
  <si>
    <t xml:space="preserve">20,45</t>
  </si>
  <si>
    <t xml:space="preserve">45,80</t>
  </si>
  <si>
    <t xml:space="preserve">nougat</t>
  </si>
  <si>
    <t xml:space="preserve">牛轧糖</t>
  </si>
  <si>
    <t xml:space="preserve">sk_nougat</t>
  </si>
  <si>
    <t xml:space="preserve">30,55</t>
  </si>
  <si>
    <t xml:space="preserve">55,100</t>
  </si>
  <si>
    <t xml:space="preserve">70,120</t>
  </si>
  <si>
    <t xml:space="preserve">eggroll</t>
  </si>
  <si>
    <t xml:space="preserve">蛋卷</t>
  </si>
  <si>
    <t xml:space="preserve">sk_eggroll</t>
  </si>
  <si>
    <t xml:space="preserve">XXX</t>
  </si>
  <si>
    <t xml:space="preserve">9+</t>
  </si>
  <si>
    <t xml:space="preserve">80,130</t>
  </si>
  <si>
    <t xml:space="preserve">choco_bar</t>
  </si>
  <si>
    <t xml:space="preserve">巧克力棒</t>
  </si>
  <si>
    <t xml:space="preserve">sk_choco_bar</t>
  </si>
  <si>
    <t xml:space="preserve">eclair</t>
  </si>
  <si>
    <t xml:space="preserve">闪电泡芙</t>
  </si>
  <si>
    <t xml:space="preserve">sk_eclair</t>
  </si>
  <si>
    <t xml:space="preserve">tanghulu</t>
  </si>
  <si>
    <t xml:space="preserve">糖葫芦</t>
  </si>
  <si>
    <t xml:space="preserve">sk_tanghulu</t>
  </si>
  <si>
    <t xml:space="preserve">souffle</t>
  </si>
  <si>
    <t xml:space="preserve">舒芙蕾</t>
  </si>
  <si>
    <t xml:space="preserve">sk_souffle</t>
  </si>
  <si>
    <t xml:space="preserve">taosu</t>
  </si>
  <si>
    <t xml:space="preserve">桃酥</t>
  </si>
  <si>
    <t xml:space="preserve">sk_taosu</t>
  </si>
  <si>
    <t xml:space="preserve">mooncake</t>
  </si>
  <si>
    <t xml:space="preserve">月饼</t>
  </si>
  <si>
    <t xml:space="preserve">sk_mooncake</t>
  </si>
  <si>
    <t xml:space="preserve">waffle</t>
  </si>
  <si>
    <t xml:space="preserve">华夫饼</t>
  </si>
  <si>
    <t xml:space="preserve">sk_waffle</t>
  </si>
  <si>
    <t xml:space="preserve">dorayaki</t>
  </si>
  <si>
    <t xml:space="preserve">铜锣烧</t>
  </si>
  <si>
    <t xml:space="preserve">sk_dorayaki</t>
  </si>
  <si>
    <t xml:space="preserve">cream_cake</t>
  </si>
  <si>
    <t xml:space="preserve">奶油蛋糕</t>
  </si>
  <si>
    <t xml:space="preserve">sk_cream_cake</t>
  </si>
  <si>
    <t xml:space="preserve">donut</t>
  </si>
  <si>
    <t xml:space="preserve">甜甜圈</t>
  </si>
  <si>
    <t xml:space="preserve">sk_donut</t>
  </si>
  <si>
    <t xml:space="preserve">pengtang</t>
  </si>
  <si>
    <t xml:space="preserve">椪糖</t>
  </si>
  <si>
    <t xml:space="preserve">sk_pengtang</t>
  </si>
  <si>
    <t xml:space="preserve">parfait</t>
  </si>
  <si>
    <t xml:space="preserve">芭菲</t>
  </si>
  <si>
    <t xml:space="preserve">sk_parfait</t>
  </si>
  <si>
    <t xml:space="preserve">sundae_big</t>
  </si>
  <si>
    <t xml:space="preserve">sk_sundae_big</t>
  </si>
  <si>
    <t xml:space="preserve">swiss_roll</t>
  </si>
  <si>
    <t xml:space="preserve">瑞士卷</t>
  </si>
  <si>
    <t xml:space="preserve">sk_swiss_roll</t>
  </si>
  <si>
    <t xml:space="preserve">mango_sago</t>
  </si>
  <si>
    <t xml:space="preserve">杨枝甘露</t>
  </si>
  <si>
    <t xml:space="preserve">sk_mango_sago</t>
  </si>
  <si>
    <t xml:space="preserve">chiffion</t>
  </si>
  <si>
    <t xml:space="preserve">戚风蛋糕</t>
  </si>
  <si>
    <t xml:space="preserve">sk_chiffon</t>
  </si>
  <si>
    <t xml:space="preserve">apple_pie</t>
  </si>
  <si>
    <t xml:space="preserve">苹果派</t>
  </si>
  <si>
    <t xml:space="preserve">sk_apple_pie</t>
  </si>
  <si>
    <t xml:space="preserve">fruit_cake</t>
  </si>
  <si>
    <t xml:space="preserve">水果蛋糕</t>
  </si>
  <si>
    <t xml:space="preserve">sk_fruit_cake</t>
  </si>
  <si>
    <t xml:space="preserve">chocolate</t>
  </si>
  <si>
    <t xml:space="preserve">巧克力</t>
  </si>
  <si>
    <t xml:space="preserve">sk_chocolate</t>
  </si>
  <si>
    <t xml:space="preserve">croissant</t>
  </si>
  <si>
    <t xml:space="preserve">牛角包</t>
  </si>
  <si>
    <t xml:space="preserve">sk_croissant</t>
  </si>
  <si>
    <t xml:space="preserve">X.</t>
  </si>
  <si>
    <t xml:space="preserve">palmier</t>
  </si>
  <si>
    <t xml:space="preserve">蝴蝶酥</t>
  </si>
  <si>
    <t xml:space="preserve">sk_palmier</t>
  </si>
  <si>
    <t xml:space="preserve">.X</t>
  </si>
  <si>
    <t xml:space="preserve">candycane</t>
  </si>
  <si>
    <t xml:space="preserve">拐杖糖</t>
  </si>
  <si>
    <t xml:space="preserve">sk_candycane</t>
  </si>
  <si>
    <t xml:space="preserve">big_lollipop</t>
  </si>
  <si>
    <t xml:space="preserve">大棒棒糖</t>
  </si>
  <si>
    <t xml:space="preserve">sk_big_lollipop</t>
  </si>
  <si>
    <t xml:space="preserve">.X.</t>
  </si>
  <si>
    <t xml:space="preserve">marshmallow</t>
  </si>
  <si>
    <t xml:space="preserve">棉花糖</t>
  </si>
  <si>
    <t xml:space="preserve">sk_marshmallow</t>
  </si>
  <si>
    <t xml:space="preserve">double_cake</t>
  </si>
  <si>
    <t xml:space="preserve">双层蛋糕</t>
  </si>
  <si>
    <t xml:space="preserve">sk_double_cake</t>
  </si>
  <si>
    <t xml:space="preserve">.XXX.</t>
  </si>
  <si>
    <t xml:space="preserve">XXXXX</t>
  </si>
  <si>
    <t xml:space="preserve">baseId</t>
  </si>
  <si>
    <t xml:space="preserve">flavorId</t>
  </si>
  <si>
    <t xml:space="preserve">baseWeight</t>
  </si>
  <si>
    <t xml:space="preserve">price</t>
  </si>
  <si>
    <t xml:space="preserve">hiddenRange</t>
  </si>
  <si>
    <t xml:space="preserve">rotation</t>
  </si>
  <si>
    <r>
      <rPr>
        <sz val="11"/>
        <color theme="1"/>
        <rFont val="Linux Libertine G"/>
        <family val="2"/>
      </rPr>
      <t xml:space="preserve">菜品变体</t>
    </r>
    <r>
      <rPr>
        <sz val="11"/>
        <color theme="1"/>
        <rFont val="宋体"/>
        <family val="0"/>
        <charset val="134"/>
      </rPr>
      <t xml:space="preserve">ID</t>
    </r>
  </si>
  <si>
    <r>
      <rPr>
        <sz val="11"/>
        <color theme="1"/>
        <rFont val="Linux Libertine G"/>
        <family val="2"/>
      </rPr>
      <t xml:space="preserve">引用的菜品基础</t>
    </r>
    <r>
      <rPr>
        <sz val="11"/>
        <color theme="1"/>
        <rFont val="宋体"/>
        <family val="0"/>
        <charset val="134"/>
      </rPr>
      <t xml:space="preserve">ID</t>
    </r>
  </si>
  <si>
    <r>
      <rPr>
        <sz val="11"/>
        <color theme="1"/>
        <rFont val="Linux Libertine G"/>
        <family val="2"/>
      </rPr>
      <t xml:space="preserve">风味标签</t>
    </r>
    <r>
      <rPr>
        <sz val="11"/>
        <color theme="1"/>
        <rFont val="宋体"/>
        <family val="0"/>
        <charset val="134"/>
      </rPr>
      <t xml:space="preserve">ID(</t>
    </r>
    <r>
      <rPr>
        <sz val="11"/>
        <color theme="1"/>
        <rFont val="Linux Libertine G"/>
        <family val="2"/>
      </rPr>
      <t xml:space="preserve">可空</t>
    </r>
    <r>
      <rPr>
        <sz val="11"/>
        <color theme="1"/>
        <rFont val="宋体"/>
        <family val="0"/>
        <charset val="134"/>
      </rPr>
      <t xml:space="preserve">,</t>
    </r>
    <r>
      <rPr>
        <sz val="11"/>
        <color theme="1"/>
        <rFont val="Linux Libertine G"/>
        <family val="2"/>
      </rPr>
      <t xml:space="preserve">单槽</t>
    </r>
    <r>
      <rPr>
        <sz val="11"/>
        <color theme="1"/>
        <rFont val="宋体"/>
        <family val="0"/>
        <charset val="134"/>
      </rPr>
      <t xml:space="preserve">)</t>
    </r>
  </si>
  <si>
    <t xml:space="preserve">随机基础权重</t>
  </si>
  <si>
    <t xml:space="preserve">商店价格</t>
  </si>
  <si>
    <r>
      <rPr>
        <sz val="11"/>
        <color theme="1"/>
        <rFont val="Linux Libertine G"/>
        <family val="2"/>
      </rPr>
      <t xml:space="preserve">出现隐藏分区间</t>
    </r>
    <r>
      <rPr>
        <sz val="11"/>
        <color theme="1"/>
        <rFont val="宋体"/>
        <family val="0"/>
        <charset val="134"/>
      </rPr>
      <t xml:space="preserve">(</t>
    </r>
    <r>
      <rPr>
        <sz val="11"/>
        <color theme="1"/>
        <rFont val="Linux Libertine G"/>
        <family val="2"/>
      </rPr>
      <t xml:space="preserve">单元格</t>
    </r>
    <r>
      <rPr>
        <sz val="11"/>
        <color theme="1"/>
        <rFont val="宋体"/>
        <family val="0"/>
        <charset val="134"/>
      </rPr>
      <t xml:space="preserve">: min,max)</t>
    </r>
  </si>
  <si>
    <r>
      <rPr>
        <sz val="11"/>
        <color theme="1"/>
        <rFont val="Linux Libertine G"/>
        <family val="2"/>
      </rPr>
      <t xml:space="preserve">固定旋转朝向</t>
    </r>
    <r>
      <rPr>
        <sz val="11"/>
        <color theme="1"/>
        <rFont val="宋体"/>
        <family val="0"/>
        <charset val="134"/>
      </rPr>
      <t xml:space="preserve">(</t>
    </r>
    <r>
      <rPr>
        <sz val="11"/>
        <color theme="1"/>
        <rFont val="Linux Libertine G"/>
        <family val="2"/>
      </rPr>
      <t xml:space="preserve">整格四向</t>
    </r>
    <r>
      <rPr>
        <sz val="11"/>
        <color theme="1"/>
        <rFont val="宋体"/>
        <family val="0"/>
        <charset val="134"/>
      </rPr>
      <t xml:space="preserve">)</t>
    </r>
  </si>
  <si>
    <t xml:space="preserve">float</t>
  </si>
  <si>
    <t xml:space="preserve">HiddenRange</t>
  </si>
  <si>
    <t xml:space="preserve">DishRotation</t>
  </si>
  <si>
    <t xml:space="preserve">Deg0</t>
  </si>
  <si>
    <t xml:space="preserve">t_sweet</t>
  </si>
  <si>
    <t xml:space="preserve">t_bitter</t>
  </si>
  <si>
    <t xml:space="preserve">t_rust</t>
  </si>
  <si>
    <t xml:space="preserve">t_numb</t>
  </si>
  <si>
    <t xml:space="preserve">t_sour</t>
  </si>
  <si>
    <t xml:space="preserve">t_salty</t>
  </si>
  <si>
    <t xml:space="preserve">subSkills</t>
  </si>
  <si>
    <r>
      <rPr>
        <sz val="11"/>
        <color theme="1"/>
        <rFont val="Linux Libertine G"/>
        <family val="2"/>
      </rPr>
      <t xml:space="preserve">技能</t>
    </r>
    <r>
      <rPr>
        <sz val="11"/>
        <color theme="1"/>
        <rFont val="宋体"/>
        <family val="0"/>
        <charset val="134"/>
      </rPr>
      <t xml:space="preserve">ID</t>
    </r>
  </si>
  <si>
    <r>
      <rPr>
        <sz val="11"/>
        <color theme="1"/>
        <rFont val="Linux Libertine G"/>
        <family val="2"/>
      </rPr>
      <t xml:space="preserve">有序引用的子技能</t>
    </r>
    <r>
      <rPr>
        <sz val="11"/>
        <color theme="1"/>
        <rFont val="宋体"/>
        <family val="0"/>
        <charset val="134"/>
      </rPr>
      <t xml:space="preserve">ID</t>
    </r>
    <r>
      <rPr>
        <sz val="11"/>
        <color theme="1"/>
        <rFont val="Linux Libertine G"/>
        <family val="2"/>
      </rPr>
      <t xml:space="preserve">列表</t>
    </r>
    <r>
      <rPr>
        <sz val="11"/>
        <color theme="1"/>
        <rFont val="宋体"/>
        <family val="0"/>
        <charset val="134"/>
      </rPr>
      <t xml:space="preserve">(| </t>
    </r>
    <r>
      <rPr>
        <sz val="11"/>
        <color theme="1"/>
        <rFont val="Linux Libertine G"/>
        <family val="2"/>
      </rPr>
      <t xml:space="preserve">分隔</t>
    </r>
    <r>
      <rPr>
        <sz val="11"/>
        <color theme="1"/>
        <rFont val="宋体"/>
        <family val="0"/>
        <charset val="134"/>
      </rPr>
      <t xml:space="preserve">)</t>
    </r>
  </si>
  <si>
    <t xml:space="preserve">ss_edge_multflat_v3</t>
  </si>
  <si>
    <t xml:space="preserve">ss_flat_per_dish_adj_v8|ss_transfer_row_n1</t>
  </si>
  <si>
    <t xml:space="preserve">ss_flat_per_empty_adj_vm2</t>
  </si>
  <si>
    <t xml:space="preserve">ss_layer_per_dish_adj_v2</t>
  </si>
  <si>
    <t xml:space="preserve">ss_flat_per_run_v6</t>
  </si>
  <si>
    <t xml:space="preserve">ss_multflat_per_dish_col_v1</t>
  </si>
  <si>
    <t xml:space="preserve">ss_flat_per_dish_row_v10</t>
  </si>
  <si>
    <t xml:space="preserve">ss_permflat_per_tag_v5</t>
  </si>
  <si>
    <t xml:space="preserve">ss_multflat_per_dish_all_adj_v0p2</t>
  </si>
  <si>
    <t xml:space="preserve">ss_layer_add_v5</t>
  </si>
  <si>
    <t xml:space="preserve">ss_extra_settle_v1|ss_transfer_all_n1</t>
  </si>
  <si>
    <t xml:space="preserve">ss_grant_gold_filled_adj_v30</t>
  </si>
  <si>
    <t xml:space="preserve">ss_layer_filled_row_v10</t>
  </si>
  <si>
    <t xml:space="preserve">ss_multflat_per_dish_row_v2|ss_count_as_base_v1</t>
  </si>
  <si>
    <t xml:space="preserve">ss_layer_add_v10</t>
  </si>
  <si>
    <t xml:space="preserve">|ss_temp_copy_v1</t>
  </si>
  <si>
    <t xml:space="preserve">ss_shape_mult_adj_v1p5|ss_transfer_col_n2</t>
  </si>
  <si>
    <t xml:space="preserve">ss_mult_per_dish_adj_v1p2|ss_transfer_adj_n2</t>
  </si>
  <si>
    <t xml:space="preserve">ss_copy_skill_adj_v1|ss_layer_per_tag_v6</t>
  </si>
  <si>
    <t xml:space="preserve">ss_mult_v1p5|ss_extra_settle_v1</t>
  </si>
  <si>
    <t xml:space="preserve">ss_perm_flat_v10|ss_transfer_all_n2</t>
  </si>
  <si>
    <t xml:space="preserve">ss_extra_settle_v1|ss_transfer_adj_n2</t>
  </si>
  <si>
    <t xml:space="preserve">ss_multflat_per_dish_all_v0p2|ss_count_as_base_v3</t>
  </si>
  <si>
    <t xml:space="preserve">ss_multflat_adj_v5|ss_transfer_all_n3</t>
  </si>
  <si>
    <t xml:space="preserve">ss_consume_layer_v10|ss_multflat_v5</t>
  </si>
  <si>
    <t xml:space="preserve">ss_multflat_col_v3|ss_transfer_row_n3</t>
  </si>
  <si>
    <t xml:space="preserve">ss_layer_mult_v1p5</t>
  </si>
  <si>
    <t xml:space="preserve">ss_mult_tier_dishcount_row_row</t>
  </si>
  <si>
    <t xml:space="preserve">ss_copy_skill_adj_v1|ss_count_as_base_v4</t>
  </si>
  <si>
    <t xml:space="preserve">ss_mult_v3|ss_count_as_filled_row_v9</t>
  </si>
  <si>
    <t xml:space="preserve">ss_count_as_col_v2|ss_multflat_v4</t>
  </si>
  <si>
    <t xml:space="preserve">ss_perm_flat_v10|ss_flat_category_cat_v10</t>
  </si>
  <si>
    <t xml:space="preserve">ss_layer_add_v15|ss_multflat_v5</t>
  </si>
  <si>
    <t xml:space="preserve">ss_multflat_per_tag_v5|ss_transfer_col</t>
  </si>
  <si>
    <t xml:space="preserve">ss_mult_per_dish_adj_v1p2|ss_count_as_base_v9</t>
  </si>
  <si>
    <t xml:space="preserve">ss_mult_col_v2|ss_count_as_base_v4</t>
  </si>
  <si>
    <t xml:space="preserve">ss_layer_add_v20|ss_multflat_all_v0p5</t>
  </si>
  <si>
    <t xml:space="preserve">ss_copy_skill_adj_v2|ss_count_as_base_v7</t>
  </si>
  <si>
    <t xml:space="preserve">ss_multflat_v5|ss_multflat_category_cat_v5</t>
  </si>
  <si>
    <t xml:space="preserve">ss_multflat_per_dish_row_adj_v0p3</t>
  </si>
  <si>
    <t xml:space="preserve">ss_mult_v2|ss_layer_tier_all</t>
  </si>
  <si>
    <t xml:space="preserve">ss_mult_tier_skilltype_all_all</t>
  </si>
  <si>
    <t xml:space="preserve">ss_layer_per_dish_adj_v2_2</t>
  </si>
  <si>
    <t xml:space="preserve">ss_mult_adj_v1p5|ss_count_as_base_v3</t>
  </si>
  <si>
    <t xml:space="preserve">ss_mult_col_v1p4|ss_transfer_adj</t>
  </si>
  <si>
    <t xml:space="preserve">ss_trigger_transfer_all</t>
  </si>
  <si>
    <t xml:space="preserve">ss_mult_per_tag_v1p5|ss_transfer_row</t>
  </si>
  <si>
    <t xml:space="preserve">ss_copy_cat_skill_v3</t>
  </si>
  <si>
    <t xml:space="preserve">desc</t>
  </si>
  <si>
    <t xml:space="preserve">effectType</t>
  </si>
  <si>
    <t xml:space="preserve">effectParam</t>
  </si>
  <si>
    <t xml:space="preserve">effectValue</t>
  </si>
  <si>
    <t xml:space="preserve">termId</t>
  </si>
  <si>
    <r>
      <rPr>
        <sz val="11"/>
        <color theme="1"/>
        <rFont val="Linux Libertine G"/>
        <family val="2"/>
      </rPr>
      <t xml:space="preserve">风味</t>
    </r>
    <r>
      <rPr>
        <sz val="11"/>
        <color theme="1"/>
        <rFont val="宋体"/>
        <family val="0"/>
        <charset val="134"/>
      </rPr>
      <t xml:space="preserve">ID</t>
    </r>
  </si>
  <si>
    <t xml:space="preserve">风味名称</t>
  </si>
  <si>
    <t xml:space="preserve">风味描述</t>
  </si>
  <si>
    <t xml:space="preserve">效果类型</t>
  </si>
  <si>
    <t xml:space="preserve">效果参数</t>
  </si>
  <si>
    <t xml:space="preserve">效果数值</t>
  </si>
  <si>
    <r>
      <rPr>
        <sz val="11"/>
        <color theme="1"/>
        <rFont val="Linux Libertine G"/>
        <family val="2"/>
      </rPr>
      <t xml:space="preserve">关联术语</t>
    </r>
    <r>
      <rPr>
        <sz val="11"/>
        <color theme="1"/>
        <rFont val="宋体"/>
        <family val="0"/>
        <charset val="134"/>
      </rPr>
      <t xml:space="preserve">ID</t>
    </r>
  </si>
  <si>
    <t xml:space="preserve">FlavorEffectType</t>
  </si>
  <si>
    <t xml:space="preserve">list,float</t>
  </si>
  <si>
    <t xml:space="preserve">甜</t>
  </si>
  <si>
    <t xml:space="preserve">优先结算</t>
  </si>
  <si>
    <t xml:space="preserve">SettlementLayer</t>
  </si>
  <si>
    <t xml:space="preserve">1</t>
  </si>
  <si>
    <r>
      <rPr>
        <sz val="11"/>
        <color theme="1"/>
        <rFont val="Linux Libertine G"/>
        <family val="2"/>
      </rPr>
      <t xml:space="preserve">结算优先级 </t>
    </r>
    <r>
      <rPr>
        <sz val="11"/>
        <color theme="1"/>
        <rFont val="宋体"/>
        <family val="0"/>
        <charset val="134"/>
      </rPr>
      <t xml:space="preserve">+1 </t>
    </r>
    <r>
      <rPr>
        <sz val="11"/>
        <color theme="1"/>
        <rFont val="Linux Libertine G"/>
        <family val="2"/>
      </rPr>
      <t xml:space="preserve">层，越先结算。</t>
    </r>
  </si>
  <si>
    <t xml:space="preserve">苦</t>
  </si>
  <si>
    <t xml:space="preserve">后置结算</t>
  </si>
  <si>
    <t xml:space="preserve">-1</t>
  </si>
  <si>
    <r>
      <rPr>
        <sz val="11"/>
        <color theme="1"/>
        <rFont val="Linux Libertine G"/>
        <family val="2"/>
      </rPr>
      <t xml:space="preserve">结算优先级 </t>
    </r>
    <r>
      <rPr>
        <sz val="11"/>
        <color theme="1"/>
        <rFont val="宋体"/>
        <family val="0"/>
        <charset val="134"/>
      </rPr>
      <t xml:space="preserve">-1 </t>
    </r>
    <r>
      <rPr>
        <sz val="11"/>
        <color theme="1"/>
        <rFont val="Linux Libertine G"/>
        <family val="2"/>
      </rPr>
      <t xml:space="preserve">层，越后结算。</t>
    </r>
  </si>
  <si>
    <t xml:space="preserve">鲜</t>
  </si>
  <si>
    <r>
      <rPr>
        <sz val="11"/>
        <color theme="1"/>
        <rFont val="Linux Libertine G"/>
        <family val="2"/>
      </rPr>
      <t xml:space="preserve">结算时
</t>
    </r>
    <r>
      <rPr>
        <sz val="11"/>
        <color theme="1"/>
        <rFont val="宋体"/>
        <family val="0"/>
        <charset val="134"/>
      </rPr>
      <t xml:space="preserve">+5</t>
    </r>
    <r>
      <rPr>
        <sz val="11"/>
        <color theme="1"/>
        <rFont val="Linux Libertine G"/>
        <family val="2"/>
      </rPr>
      <t xml:space="preserve">金币</t>
    </r>
  </si>
  <si>
    <t xml:space="preserve">GrantGold</t>
  </si>
  <si>
    <t xml:space="preserve">5</t>
  </si>
  <si>
    <r>
      <rPr>
        <sz val="11"/>
        <color theme="1"/>
        <rFont val="Linux Libertine G"/>
        <family val="2"/>
      </rPr>
      <t xml:space="preserve">结算时获得 </t>
    </r>
    <r>
      <rPr>
        <sz val="11"/>
        <color theme="1"/>
        <rFont val="宋体"/>
        <family val="0"/>
        <charset val="134"/>
      </rPr>
      <t xml:space="preserve">5 </t>
    </r>
    <r>
      <rPr>
        <sz val="11"/>
        <color theme="1"/>
        <rFont val="Linux Libertine G"/>
        <family val="2"/>
      </rPr>
      <t xml:space="preserve">金币。</t>
    </r>
  </si>
  <si>
    <t xml:space="preserve">麻</t>
  </si>
  <si>
    <r>
      <rPr>
        <sz val="11"/>
        <color theme="1"/>
        <rFont val="Linux Libertine G"/>
        <family val="2"/>
      </rPr>
      <t xml:space="preserve">食物旋转</t>
    </r>
    <r>
      <rPr>
        <sz val="11"/>
        <color theme="1"/>
        <rFont val="宋体"/>
        <family val="0"/>
        <charset val="134"/>
      </rPr>
      <t xml:space="preserve">90</t>
    </r>
    <r>
      <rPr>
        <sz val="11"/>
        <color theme="1"/>
        <rFont val="Linux Libertine G"/>
        <family val="2"/>
      </rPr>
      <t xml:space="preserve">度</t>
    </r>
  </si>
  <si>
    <t xml:space="preserve">Rotate</t>
  </si>
  <si>
    <r>
      <rPr>
        <sz val="11"/>
        <color theme="1"/>
        <rFont val="Linux Libertine G"/>
        <family val="2"/>
      </rPr>
      <t xml:space="preserve">上菜时逆时针旋转 </t>
    </r>
    <r>
      <rPr>
        <sz val="11"/>
        <color theme="1"/>
        <rFont val="宋体"/>
        <family val="0"/>
        <charset val="134"/>
      </rPr>
      <t xml:space="preserve">90 </t>
    </r>
    <r>
      <rPr>
        <sz val="11"/>
        <color theme="1"/>
        <rFont val="Linux Libertine G"/>
        <family val="2"/>
      </rPr>
      <t xml:space="preserve">度（可叠加）。</t>
    </r>
  </si>
  <si>
    <t xml:space="preserve">酸</t>
  </si>
  <si>
    <r>
      <rPr>
        <sz val="11"/>
        <color theme="1"/>
        <rFont val="Linux Libertine G"/>
        <family val="2"/>
      </rPr>
      <t xml:space="preserve">结算时若未上菜
场上同菜谱食物倍率 </t>
    </r>
    <r>
      <rPr>
        <sz val="11"/>
        <color theme="1"/>
        <rFont val="宋体"/>
        <family val="0"/>
        <charset val="134"/>
      </rPr>
      <t xml:space="preserve">×1.5</t>
    </r>
  </si>
  <si>
    <t xml:space="preserve">SourRecipeMult</t>
  </si>
  <si>
    <t xml:space="preserve">1.5</t>
  </si>
  <si>
    <r>
      <rPr>
        <sz val="11"/>
        <color theme="1"/>
        <rFont val="Linux Libertine G"/>
        <family val="2"/>
      </rPr>
      <t xml:space="preserve">整体结算末尾，若未上菜，则场上同菜谱食物倍率 </t>
    </r>
    <r>
      <rPr>
        <sz val="11"/>
        <color theme="1"/>
        <rFont val="宋体"/>
        <family val="0"/>
        <charset val="134"/>
      </rPr>
      <t xml:space="preserve">×1.5</t>
    </r>
    <r>
      <rPr>
        <sz val="11"/>
        <color theme="1"/>
        <rFont val="Linux Libertine G"/>
        <family val="2"/>
      </rPr>
      <t xml:space="preserve">。</t>
    </r>
  </si>
  <si>
    <t xml:space="preserve">咸</t>
  </si>
  <si>
    <t xml:space="preserve">结算时若未上菜
场上每有一个同菜谱食物
 +2 金币</t>
  </si>
  <si>
    <t xml:space="preserve">SaltyRecipeGold</t>
  </si>
  <si>
    <t xml:space="preserve">2</t>
  </si>
  <si>
    <r>
      <rPr>
        <sz val="11"/>
        <color theme="1"/>
        <rFont val="Linux Libertine G"/>
        <family val="2"/>
      </rPr>
      <t xml:space="preserve">整体结算末尾，若未上菜，则场上每个同菜谱食物 </t>
    </r>
    <r>
      <rPr>
        <sz val="11"/>
        <color theme="1"/>
        <rFont val="宋体"/>
        <family val="0"/>
        <charset val="134"/>
      </rPr>
      <t xml:space="preserve">+2 </t>
    </r>
    <r>
      <rPr>
        <sz val="11"/>
        <color theme="1"/>
        <rFont val="Linux Libertine G"/>
        <family val="2"/>
      </rPr>
      <t xml:space="preserve">金币。</t>
    </r>
  </si>
  <si>
    <t xml:space="preserve">order</t>
  </si>
  <si>
    <t xml:space="preserve">threshold</t>
  </si>
  <si>
    <t xml:space="preserve">valuePerLayer</t>
  </si>
  <si>
    <r>
      <rPr>
        <sz val="11"/>
        <color theme="1"/>
        <rFont val="Linux Libertine G"/>
        <family val="2"/>
      </rPr>
      <t xml:space="preserve">档位</t>
    </r>
    <r>
      <rPr>
        <sz val="11"/>
        <color theme="1"/>
        <rFont val="宋体"/>
        <family val="0"/>
        <charset val="134"/>
      </rPr>
      <t xml:space="preserve">ID</t>
    </r>
  </si>
  <si>
    <t xml:space="preserve">执行顺序</t>
  </si>
  <si>
    <r>
      <rPr>
        <sz val="11"/>
        <color theme="1"/>
        <rFont val="Linux Libertine G"/>
        <family val="2"/>
      </rPr>
      <t xml:space="preserve">层数阈值</t>
    </r>
    <r>
      <rPr>
        <sz val="11"/>
        <color theme="1"/>
        <rFont val="宋体"/>
        <family val="0"/>
        <charset val="134"/>
      </rPr>
      <t xml:space="preserve">(&gt;=</t>
    </r>
    <r>
      <rPr>
        <sz val="11"/>
        <color theme="1"/>
        <rFont val="Linux Libertine G"/>
        <family val="2"/>
      </rPr>
      <t xml:space="preserve">生效</t>
    </r>
    <r>
      <rPr>
        <sz val="11"/>
        <color theme="1"/>
        <rFont val="宋体"/>
        <family val="0"/>
        <charset val="134"/>
      </rPr>
      <t xml:space="preserve">)</t>
    </r>
  </si>
  <si>
    <t xml:space="preserve">作用分类</t>
  </si>
  <si>
    <r>
      <rPr>
        <sz val="11"/>
        <color theme="1"/>
        <rFont val="Linux Libertine G"/>
        <family val="2"/>
      </rPr>
      <t xml:space="preserve">效果类型</t>
    </r>
    <r>
      <rPr>
        <sz val="11"/>
        <color theme="1"/>
        <rFont val="宋体"/>
        <family val="0"/>
        <charset val="134"/>
      </rPr>
      <t xml:space="preserve">(SkillActionType)</t>
    </r>
  </si>
  <si>
    <t xml:space="preserve">每层系数</t>
  </si>
  <si>
    <t xml:space="preserve">描述</t>
  </si>
  <si>
    <t xml:space="preserve">SkillActionType</t>
  </si>
  <si>
    <t xml:space="preserve">clb_flat</t>
  </si>
  <si>
    <t xml:space="preserve">AddFlat</t>
  </si>
  <si>
    <r>
      <rPr>
        <sz val="11"/>
        <color theme="1"/>
        <rFont val="Linux Libertine G"/>
        <family val="2"/>
      </rPr>
      <t xml:space="preserve">欢乐蛋糕≥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层：所有蛋糕基础分 </t>
    </r>
    <r>
      <rPr>
        <sz val="11"/>
        <color theme="1"/>
        <rFont val="宋体"/>
        <family val="0"/>
        <charset val="134"/>
      </rPr>
      <t xml:space="preserve">+5×</t>
    </r>
    <r>
      <rPr>
        <sz val="11"/>
        <color theme="1"/>
        <rFont val="Linux Libertine G"/>
        <family val="2"/>
      </rPr>
      <t xml:space="preserve">层数。</t>
    </r>
  </si>
  <si>
    <t xml:space="preserve">clb_multflat</t>
  </si>
  <si>
    <t xml:space="preserve">AddMultFlat</t>
  </si>
  <si>
    <r>
      <rPr>
        <sz val="11"/>
        <color theme="1"/>
        <rFont val="Linux Libertine G"/>
        <family val="2"/>
      </rPr>
      <t xml:space="preserve">欢乐蛋糕≥</t>
    </r>
    <r>
      <rPr>
        <sz val="11"/>
        <color theme="1"/>
        <rFont val="宋体"/>
        <family val="0"/>
        <charset val="134"/>
      </rPr>
      <t xml:space="preserve">50</t>
    </r>
    <r>
      <rPr>
        <sz val="11"/>
        <color theme="1"/>
        <rFont val="Linux Libertine G"/>
        <family val="2"/>
      </rPr>
      <t xml:space="preserve">层：所有蛋糕倍率 </t>
    </r>
    <r>
      <rPr>
        <sz val="11"/>
        <color theme="1"/>
        <rFont val="宋体"/>
        <family val="0"/>
        <charset val="134"/>
      </rPr>
      <t xml:space="preserve">+0.1×</t>
    </r>
    <r>
      <rPr>
        <sz val="11"/>
        <color theme="1"/>
        <rFont val="Linux Libertine G"/>
        <family val="2"/>
      </rPr>
      <t xml:space="preserve">层数。</t>
    </r>
  </si>
  <si>
    <t xml:space="preserve">clb_mult</t>
  </si>
  <si>
    <t xml:space="preserve">AddMult</t>
  </si>
  <si>
    <r>
      <rPr>
        <sz val="11"/>
        <color theme="1"/>
        <rFont val="Linux Libertine G"/>
        <family val="2"/>
      </rPr>
      <t xml:space="preserve">欢乐蛋糕≥</t>
    </r>
    <r>
      <rPr>
        <sz val="11"/>
        <color theme="1"/>
        <rFont val="宋体"/>
        <family val="0"/>
        <charset val="134"/>
      </rPr>
      <t xml:space="preserve">100</t>
    </r>
    <r>
      <rPr>
        <sz val="11"/>
        <color theme="1"/>
        <rFont val="Linux Libertine G"/>
        <family val="2"/>
      </rPr>
      <t xml:space="preserve">层：所有蛋糕倍率 </t>
    </r>
    <r>
      <rPr>
        <sz val="11"/>
        <color theme="1"/>
        <rFont val="宋体"/>
        <family val="0"/>
        <charset val="134"/>
      </rPr>
      <t xml:space="preserve">×(0.02×</t>
    </r>
    <r>
      <rPr>
        <sz val="11"/>
        <color theme="1"/>
        <rFont val="Linux Libertine G"/>
        <family val="2"/>
      </rPr>
      <t xml:space="preserve">层数</t>
    </r>
    <r>
      <rPr>
        <sz val="11"/>
        <color theme="1"/>
        <rFont val="宋体"/>
        <family val="0"/>
        <charset val="134"/>
      </rPr>
      <t xml:space="preserve">)</t>
    </r>
    <r>
      <rPr>
        <sz val="11"/>
        <color theme="1"/>
        <rFont val="Linux Libertine G"/>
        <family val="2"/>
      </rPr>
      <t xml:space="preserve">。</t>
    </r>
  </si>
  <si>
    <t xml:space="preserve">trigger</t>
  </si>
  <si>
    <t xml:space="preserve">condType</t>
  </si>
  <si>
    <t xml:space="preserve">condScope</t>
  </si>
  <si>
    <t xml:space="preserve">condUnit</t>
  </si>
  <si>
    <t xml:space="preserve">condMode</t>
  </si>
  <si>
    <t xml:space="preserve">condParam</t>
  </si>
  <si>
    <t xml:space="preserve">actionType</t>
  </si>
  <si>
    <t xml:space="preserve">actionScope</t>
  </si>
  <si>
    <t xml:space="preserve">actionCount</t>
  </si>
  <si>
    <t xml:space="preserve">actionValue</t>
  </si>
  <si>
    <t xml:space="preserve">actionParam</t>
  </si>
  <si>
    <t xml:space="preserve">isPassive</t>
  </si>
  <si>
    <t xml:space="preserve">signed</t>
  </si>
  <si>
    <t xml:space="preserve">descTemplate</t>
  </si>
  <si>
    <r>
      <rPr>
        <sz val="11"/>
        <color theme="1"/>
        <rFont val="Linux Libertine G"/>
        <family val="2"/>
      </rPr>
      <t xml:space="preserve">子技能</t>
    </r>
    <r>
      <rPr>
        <sz val="11"/>
        <color theme="1"/>
        <rFont val="宋体"/>
        <family val="0"/>
        <charset val="134"/>
      </rPr>
      <t xml:space="preserve">ID(</t>
    </r>
    <r>
      <rPr>
        <sz val="11"/>
        <color theme="1"/>
        <rFont val="Linux Libertine G"/>
        <family val="2"/>
      </rPr>
      <t xml:space="preserve">主键</t>
    </r>
    <r>
      <rPr>
        <sz val="11"/>
        <color theme="1"/>
        <rFont val="宋体"/>
        <family val="0"/>
        <charset val="134"/>
      </rPr>
      <t xml:space="preserve">)</t>
    </r>
  </si>
  <si>
    <t xml:space="preserve">触发时机</t>
  </si>
  <si>
    <t xml:space="preserve">前提类型</t>
  </si>
  <si>
    <t xml:space="preserve">前提作用域</t>
  </si>
  <si>
    <t xml:space="preserve">计数单位</t>
  </si>
  <si>
    <t xml:space="preserve">计数模式</t>
  </si>
  <si>
    <t xml:space="preserve">前提附加参数</t>
  </si>
  <si>
    <t xml:space="preserve">行为类型</t>
  </si>
  <si>
    <t xml:space="preserve">行为作用域</t>
  </si>
  <si>
    <r>
      <rPr>
        <sz val="11"/>
        <color theme="1"/>
        <rFont val="Linux Libertine G"/>
        <family val="2"/>
      </rPr>
      <t xml:space="preserve">随机目标数</t>
    </r>
    <r>
      <rPr>
        <sz val="11"/>
        <color theme="1"/>
        <rFont val="宋体"/>
        <family val="0"/>
        <charset val="134"/>
      </rPr>
      <t xml:space="preserve">(0=</t>
    </r>
    <r>
      <rPr>
        <sz val="11"/>
        <color theme="1"/>
        <rFont val="Linux Libertine G"/>
        <family val="2"/>
      </rPr>
      <t xml:space="preserve">全部</t>
    </r>
    <r>
      <rPr>
        <sz val="11"/>
        <color theme="1"/>
        <rFont val="宋体"/>
        <family val="0"/>
        <charset val="134"/>
      </rPr>
      <t xml:space="preserve">)</t>
    </r>
  </si>
  <si>
    <t xml:space="preserve">行为数值</t>
  </si>
  <si>
    <t xml:space="preserve">行为参数</t>
  </si>
  <si>
    <t xml:space="preserve">是否被动</t>
  </si>
  <si>
    <t xml:space="preserve">数值正负号</t>
  </si>
  <si>
    <t xml:space="preserve">占位符描述模板</t>
  </si>
  <si>
    <r>
      <rPr>
        <sz val="11"/>
        <color theme="1"/>
        <rFont val="Linux Libertine G"/>
        <family val="2"/>
      </rPr>
      <t xml:space="preserve">关联术语</t>
    </r>
    <r>
      <rPr>
        <sz val="11"/>
        <color theme="1"/>
        <rFont val="宋体"/>
        <family val="0"/>
        <charset val="134"/>
      </rPr>
      <t xml:space="preserve">ID(</t>
    </r>
    <r>
      <rPr>
        <sz val="11"/>
        <color theme="1"/>
        <rFont val="Linux Libertine G"/>
        <family val="2"/>
      </rPr>
      <t xml:space="preserve">可空</t>
    </r>
    <r>
      <rPr>
        <sz val="11"/>
        <color theme="1"/>
        <rFont val="宋体"/>
        <family val="0"/>
        <charset val="134"/>
      </rPr>
      <t xml:space="preserve">)</t>
    </r>
  </si>
  <si>
    <t xml:space="preserve">SkillTrigger</t>
  </si>
  <si>
    <t xml:space="preserve">SkillConditionType</t>
  </si>
  <si>
    <t xml:space="preserve">SkillScope</t>
  </si>
  <si>
    <t xml:space="preserve">CountUnit</t>
  </si>
  <si>
    <t xml:space="preserve">CountMode</t>
  </si>
  <si>
    <t xml:space="preserve">OnSettle</t>
  </si>
  <si>
    <t xml:space="preserve">Edge</t>
  </si>
  <si>
    <t xml:space="preserve">Self</t>
  </si>
  <si>
    <t xml:space="preserve">Instances</t>
  </si>
  <si>
    <t xml:space="preserve">Gate</t>
  </si>
  <si>
    <t xml:space="preserve">true</t>
  </si>
  <si>
    <r>
      <rPr>
        <sz val="11"/>
        <color theme="1"/>
        <rFont val="Linux Libertine G"/>
        <family val="2"/>
      </rPr>
      <t xml:space="preserve">处在棋盘边缘时
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倍率 </t>
    </r>
    <r>
      <rPr>
        <sz val="11"/>
        <color theme="1"/>
        <rFont val="宋体"/>
        <family val="0"/>
        <charset val="134"/>
      </rPr>
      <t xml:space="preserve">{0}</t>
    </r>
  </si>
  <si>
    <t xml:space="preserve">ss_flat_per_dish_adj_v8</t>
  </si>
  <si>
    <t xml:space="preserve">DishCount</t>
  </si>
  <si>
    <t xml:space="preserve">Round</t>
  </si>
  <si>
    <t xml:space="preserve">Kinds</t>
  </si>
  <si>
    <t xml:space="preserve">Per</t>
  </si>
  <si>
    <r>
      <rPr>
        <sz val="11"/>
        <color theme="1"/>
        <rFont val="宋体"/>
        <family val="0"/>
        <charset val="134"/>
      </rPr>
      <t xml:space="preserve">{cscope}</t>
    </r>
    <r>
      <rPr>
        <sz val="11"/>
        <color theme="1"/>
        <rFont val="Linux Libertine G"/>
        <family val="2"/>
      </rPr>
      <t xml:space="preserve">每有 </t>
    </r>
    <r>
      <rPr>
        <sz val="11"/>
        <color theme="1"/>
        <rFont val="宋体"/>
        <family val="0"/>
        <charset val="134"/>
      </rPr>
      <t xml:space="preserve">1 {unit}</t>
    </r>
    <r>
      <rPr>
        <sz val="11"/>
        <color theme="1"/>
        <rFont val="Linux Libertine G"/>
        <family val="2"/>
      </rPr>
      <t xml:space="preserve">食物
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分数 </t>
    </r>
    <r>
      <rPr>
        <sz val="11"/>
        <color theme="1"/>
        <rFont val="宋体"/>
        <family val="0"/>
        <charset val="134"/>
      </rPr>
      <t xml:space="preserve">{0}</t>
    </r>
  </si>
  <si>
    <t xml:space="preserve">ss_transfer_row_n1</t>
  </si>
  <si>
    <t xml:space="preserve">None</t>
  </si>
  <si>
    <t xml:space="preserve">TransferSkills</t>
  </si>
  <si>
    <t xml:space="preserve">Row</t>
  </si>
  <si>
    <r>
      <rPr>
        <sz val="11"/>
        <color theme="1"/>
        <rFont val="Linux Libertine G"/>
        <family val="2"/>
      </rPr>
      <t xml:space="preserve">甜蜜传递至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食物</t>
    </r>
  </si>
  <si>
    <t xml:space="preserve">term_sweet_transfer</t>
  </si>
  <si>
    <t xml:space="preserve">EmptyCell</t>
  </si>
  <si>
    <r>
      <rPr>
        <sz val="11"/>
        <color theme="1"/>
        <rFont val="宋体"/>
        <family val="0"/>
        <charset val="134"/>
      </rPr>
      <t xml:space="preserve">{cscope}</t>
    </r>
    <r>
      <rPr>
        <sz val="11"/>
        <color theme="1"/>
        <rFont val="Linux Libertine G"/>
        <family val="2"/>
      </rPr>
      <t xml:space="preserve">每有 </t>
    </r>
    <r>
      <rPr>
        <sz val="11"/>
        <color theme="1"/>
        <rFont val="宋体"/>
        <family val="0"/>
        <charset val="134"/>
      </rPr>
      <t xml:space="preserve">1 </t>
    </r>
    <r>
      <rPr>
        <sz val="11"/>
        <color theme="1"/>
        <rFont val="Linux Libertine G"/>
        <family val="2"/>
      </rPr>
      <t xml:space="preserve">个空格
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分数 </t>
    </r>
    <r>
      <rPr>
        <sz val="11"/>
        <color theme="1"/>
        <rFont val="宋体"/>
        <family val="0"/>
        <charset val="134"/>
      </rPr>
      <t xml:space="preserve">{0}</t>
    </r>
  </si>
  <si>
    <t xml:space="preserve">AddLayer</t>
  </si>
  <si>
    <t xml:space="preserve">CakeBuff</t>
  </si>
  <si>
    <r>
      <rPr>
        <sz val="11"/>
        <color theme="1"/>
        <rFont val="宋体"/>
        <family val="0"/>
        <charset val="134"/>
      </rPr>
      <t xml:space="preserve">{cscope}</t>
    </r>
    <r>
      <rPr>
        <sz val="11"/>
        <color theme="1"/>
        <rFont val="Linux Libertine G"/>
        <family val="2"/>
      </rPr>
      <t xml:space="preserve">每有 </t>
    </r>
    <r>
      <rPr>
        <sz val="11"/>
        <color theme="1"/>
        <rFont val="宋体"/>
        <family val="0"/>
        <charset val="134"/>
      </rPr>
      <t xml:space="preserve">1 {unit}</t>
    </r>
    <r>
      <rPr>
        <sz val="11"/>
        <color theme="1"/>
        <rFont val="Linux Libertine G"/>
        <family val="2"/>
      </rPr>
      <t xml:space="preserve">食物
欢乐蛋糕 </t>
    </r>
    <r>
      <rPr>
        <sz val="11"/>
        <color theme="1"/>
        <rFont val="宋体"/>
        <family val="0"/>
        <charset val="134"/>
      </rPr>
      <t xml:space="preserve">{0} </t>
    </r>
    <r>
      <rPr>
        <sz val="11"/>
        <color theme="1"/>
        <rFont val="Linux Libertine G"/>
        <family val="2"/>
      </rPr>
      <t xml:space="preserve">层</t>
    </r>
  </si>
  <si>
    <t xml:space="preserve">clb</t>
  </si>
  <si>
    <t xml:space="preserve">PermanentAddFlat</t>
  </si>
  <si>
    <r>
      <rPr>
        <sz val="11"/>
        <color theme="1"/>
        <rFont val="Linux Libertine G"/>
        <family val="2"/>
      </rPr>
      <t xml:space="preserve">结算时
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分数永久 </t>
    </r>
    <r>
      <rPr>
        <sz val="11"/>
        <color theme="1"/>
        <rFont val="宋体"/>
        <family val="0"/>
        <charset val="134"/>
      </rPr>
      <t xml:space="preserve">{0}</t>
    </r>
  </si>
  <si>
    <t xml:space="preserve">ColumnAndSelf</t>
  </si>
  <si>
    <r>
      <rPr>
        <sz val="11"/>
        <color theme="1"/>
        <rFont val="宋体"/>
        <family val="0"/>
        <charset val="134"/>
      </rPr>
      <t xml:space="preserve">{cscope}</t>
    </r>
    <r>
      <rPr>
        <sz val="11"/>
        <color theme="1"/>
        <rFont val="Linux Libertine G"/>
        <family val="2"/>
      </rPr>
      <t xml:space="preserve">每有 </t>
    </r>
    <r>
      <rPr>
        <sz val="11"/>
        <color theme="1"/>
        <rFont val="宋体"/>
        <family val="0"/>
        <charset val="134"/>
      </rPr>
      <t xml:space="preserve">1 {unit}</t>
    </r>
    <r>
      <rPr>
        <sz val="11"/>
        <color theme="1"/>
        <rFont val="Linux Libertine G"/>
        <family val="2"/>
      </rPr>
      <t xml:space="preserve">食物
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倍率 </t>
    </r>
    <r>
      <rPr>
        <sz val="11"/>
        <color theme="1"/>
        <rFont val="宋体"/>
        <family val="0"/>
        <charset val="134"/>
      </rPr>
      <t xml:space="preserve">{0}</t>
    </r>
  </si>
  <si>
    <t xml:space="preserve">RowAndSelf</t>
  </si>
  <si>
    <t xml:space="preserve">TagCount</t>
  </si>
  <si>
    <r>
      <rPr>
        <sz val="11"/>
        <color theme="1"/>
        <rFont val="Linux Libertine G"/>
        <family val="2"/>
      </rPr>
      <t xml:space="preserve">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个技能
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分数永久 </t>
    </r>
    <r>
      <rPr>
        <sz val="11"/>
        <color theme="1"/>
        <rFont val="宋体"/>
        <family val="0"/>
        <charset val="134"/>
      </rPr>
      <t xml:space="preserve">{0}</t>
    </r>
  </si>
  <si>
    <t xml:space="preserve">RoundAndSelf</t>
  </si>
  <si>
    <r>
      <rPr>
        <sz val="11"/>
        <color theme="1"/>
        <rFont val="Linux Libertine G"/>
        <family val="2"/>
      </rPr>
      <t xml:space="preserve">欢乐蛋糕 </t>
    </r>
    <r>
      <rPr>
        <sz val="11"/>
        <color theme="1"/>
        <rFont val="宋体"/>
        <family val="0"/>
        <charset val="134"/>
      </rPr>
      <t xml:space="preserve">{0} </t>
    </r>
    <r>
      <rPr>
        <sz val="11"/>
        <color theme="1"/>
        <rFont val="Linux Libertine G"/>
        <family val="2"/>
      </rPr>
      <t xml:space="preserve">层</t>
    </r>
  </si>
  <si>
    <t xml:space="preserve">ss_extra_settle_v1</t>
  </si>
  <si>
    <t xml:space="preserve">ExtraSettlement</t>
  </si>
  <si>
    <r>
      <rPr>
        <sz val="11"/>
        <color theme="1"/>
        <rFont val="Linux Libertine G"/>
        <family val="2"/>
      </rPr>
      <t xml:space="preserve">技能额外结算 </t>
    </r>
    <r>
      <rPr>
        <sz val="11"/>
        <color theme="1"/>
        <rFont val="宋体"/>
        <family val="0"/>
        <charset val="134"/>
      </rPr>
      <t xml:space="preserve">{0} </t>
    </r>
    <r>
      <rPr>
        <sz val="11"/>
        <color theme="1"/>
        <rFont val="Linux Libertine G"/>
        <family val="2"/>
      </rPr>
      <t xml:space="preserve">次</t>
    </r>
  </si>
  <si>
    <t xml:space="preserve">设计比较危险</t>
  </si>
  <si>
    <t xml:space="preserve">ss_transfer_all_n1</t>
  </si>
  <si>
    <t xml:space="preserve">Other</t>
  </si>
  <si>
    <t xml:space="preserve">PositionFilled</t>
  </si>
  <si>
    <r>
      <rPr>
        <sz val="11"/>
        <color theme="1"/>
        <rFont val="Linux Libertine G"/>
        <family val="2"/>
      </rPr>
      <t xml:space="preserve">若</t>
    </r>
    <r>
      <rPr>
        <sz val="11"/>
        <color theme="1"/>
        <rFont val="宋体"/>
        <family val="0"/>
        <charset val="134"/>
      </rPr>
      <t xml:space="preserve">{cscope}</t>
    </r>
    <r>
      <rPr>
        <sz val="11"/>
        <color theme="1"/>
        <rFont val="Linux Libertine G"/>
        <family val="2"/>
      </rPr>
      <t xml:space="preserve">被填满
</t>
    </r>
    <r>
      <rPr>
        <sz val="11"/>
        <color theme="1"/>
        <rFont val="宋体"/>
        <family val="0"/>
        <charset val="134"/>
      </rPr>
      <t xml:space="preserve">+{0} </t>
    </r>
    <r>
      <rPr>
        <sz val="11"/>
        <color theme="1"/>
        <rFont val="Linux Libertine G"/>
        <family val="2"/>
      </rPr>
      <t xml:space="preserve">金币</t>
    </r>
  </si>
  <si>
    <t xml:space="preserve">运营向的比较少</t>
  </si>
  <si>
    <r>
      <rPr>
        <sz val="11"/>
        <color theme="1"/>
        <rFont val="Linux Libertine G"/>
        <family val="2"/>
      </rPr>
      <t xml:space="preserve">若</t>
    </r>
    <r>
      <rPr>
        <sz val="11"/>
        <color theme="1"/>
        <rFont val="宋体"/>
        <family val="0"/>
        <charset val="134"/>
      </rPr>
      <t xml:space="preserve">{cscope}</t>
    </r>
    <r>
      <rPr>
        <sz val="11"/>
        <color theme="1"/>
        <rFont val="Linux Libertine G"/>
        <family val="2"/>
      </rPr>
      <t xml:space="preserve">被填满
欢乐蛋糕 </t>
    </r>
    <r>
      <rPr>
        <sz val="11"/>
        <color theme="1"/>
        <rFont val="宋体"/>
        <family val="0"/>
        <charset val="134"/>
      </rPr>
      <t xml:space="preserve">{0} </t>
    </r>
    <r>
      <rPr>
        <sz val="11"/>
        <color theme="1"/>
        <rFont val="Linux Libertine G"/>
        <family val="2"/>
      </rPr>
      <t xml:space="preserve">层</t>
    </r>
  </si>
  <si>
    <t xml:space="preserve">ss_multflat_per_dish_row_v2</t>
  </si>
  <si>
    <t xml:space="preserve">ss_count_as_base_v1</t>
  </si>
  <si>
    <t xml:space="preserve">AddCountAs</t>
  </si>
  <si>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视为 </t>
    </r>
    <r>
      <rPr>
        <sz val="11"/>
        <color theme="1"/>
        <rFont val="宋体"/>
        <family val="0"/>
        <charset val="134"/>
      </rPr>
      <t xml:space="preserve">{countas} </t>
    </r>
    <r>
      <rPr>
        <sz val="11"/>
        <color theme="1"/>
        <rFont val="Linux Libertine G"/>
        <family val="2"/>
      </rPr>
      <t xml:space="preserve">个食物</t>
    </r>
  </si>
  <si>
    <t xml:space="preserve">ss_temp_copy_v1</t>
  </si>
  <si>
    <t xml:space="preserve">OnServe</t>
  </si>
  <si>
    <t xml:space="preserve">TempCopyDish</t>
  </si>
  <si>
    <t xml:space="preserve">复制至空格中
并立即结算此食物</t>
  </si>
  <si>
    <t xml:space="preserve">需要立即结算</t>
  </si>
  <si>
    <t xml:space="preserve">ss_shape_mult_adj_v1p5</t>
  </si>
  <si>
    <t xml:space="preserve">ShapeMatch</t>
  </si>
  <si>
    <t xml:space="preserve">1x1</t>
  </si>
  <si>
    <r>
      <rPr>
        <sz val="11"/>
        <color theme="1"/>
        <rFont val="宋体"/>
        <family val="0"/>
        <charset val="134"/>
      </rPr>
      <t xml:space="preserve">{cscope}</t>
    </r>
    <r>
      <rPr>
        <sz val="11"/>
        <color theme="1"/>
        <rFont val="Linux Libertine G"/>
        <family val="2"/>
      </rPr>
      <t xml:space="preserve">有占 </t>
    </r>
    <r>
      <rPr>
        <sz val="11"/>
        <color theme="1"/>
        <rFont val="宋体"/>
        <family val="0"/>
        <charset val="134"/>
      </rPr>
      <t xml:space="preserve">1 </t>
    </r>
    <r>
      <rPr>
        <sz val="11"/>
        <color theme="1"/>
        <rFont val="Linux Libertine G"/>
        <family val="2"/>
      </rPr>
      <t xml:space="preserve">格的食物时
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倍率 </t>
    </r>
    <r>
      <rPr>
        <sz val="11"/>
        <color theme="1"/>
        <rFont val="宋体"/>
        <family val="0"/>
        <charset val="134"/>
      </rPr>
      <t xml:space="preserve">×{0}</t>
    </r>
  </si>
  <si>
    <t xml:space="preserve">ss_transfer_col_n2</t>
  </si>
  <si>
    <t xml:space="preserve">Column</t>
  </si>
  <si>
    <t xml:space="preserve">ss_mult_per_dish_adj_v1p2</t>
  </si>
  <si>
    <r>
      <rPr>
        <sz val="11"/>
        <color theme="1"/>
        <rFont val="宋体"/>
        <family val="0"/>
        <charset val="134"/>
      </rPr>
      <t xml:space="preserve">{cscope}</t>
    </r>
    <r>
      <rPr>
        <sz val="11"/>
        <color theme="1"/>
        <rFont val="Linux Libertine G"/>
        <family val="2"/>
      </rPr>
      <t xml:space="preserve">每有 </t>
    </r>
    <r>
      <rPr>
        <sz val="11"/>
        <color theme="1"/>
        <rFont val="宋体"/>
        <family val="0"/>
        <charset val="134"/>
      </rPr>
      <t xml:space="preserve">1 {unit}</t>
    </r>
    <r>
      <rPr>
        <sz val="11"/>
        <color theme="1"/>
        <rFont val="Linux Libertine G"/>
        <family val="2"/>
      </rPr>
      <t xml:space="preserve">食物
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倍率 </t>
    </r>
    <r>
      <rPr>
        <sz val="11"/>
        <color theme="1"/>
        <rFont val="宋体"/>
        <family val="0"/>
        <charset val="134"/>
      </rPr>
      <t xml:space="preserve">×{0}</t>
    </r>
  </si>
  <si>
    <t xml:space="preserve">ss_transfer_adj_n2</t>
  </si>
  <si>
    <t xml:space="preserve">ss_copy_skill_adj_v1</t>
  </si>
  <si>
    <t xml:space="preserve">CopySkill</t>
  </si>
  <si>
    <r>
      <rPr>
        <sz val="11"/>
        <color theme="1"/>
        <rFont val="Linux Libertine G"/>
        <family val="2"/>
      </rPr>
      <t xml:space="preserve">复制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食物的 </t>
    </r>
    <r>
      <rPr>
        <sz val="11"/>
        <color theme="1"/>
        <rFont val="宋体"/>
        <family val="0"/>
        <charset val="134"/>
      </rPr>
      <t xml:space="preserve">{0} </t>
    </r>
    <r>
      <rPr>
        <sz val="11"/>
        <color theme="1"/>
        <rFont val="Linux Libertine G"/>
        <family val="2"/>
      </rPr>
      <t xml:space="preserve">个技能</t>
    </r>
  </si>
  <si>
    <t xml:space="preserve">ss_layer_per_tag_v6</t>
  </si>
  <si>
    <r>
      <rPr>
        <sz val="11"/>
        <color theme="1"/>
        <rFont val="Linux Libertine G"/>
        <family val="2"/>
      </rPr>
      <t xml:space="preserve">每有 </t>
    </r>
    <r>
      <rPr>
        <sz val="11"/>
        <color theme="1"/>
        <rFont val="宋体"/>
        <family val="0"/>
        <charset val="134"/>
      </rPr>
      <t xml:space="preserve">1 </t>
    </r>
    <r>
      <rPr>
        <sz val="11"/>
        <color theme="1"/>
        <rFont val="Linux Libertine G"/>
        <family val="2"/>
      </rPr>
      <t xml:space="preserve">个技能
欢乐蛋糕 </t>
    </r>
    <r>
      <rPr>
        <sz val="11"/>
        <color theme="1"/>
        <rFont val="宋体"/>
        <family val="0"/>
        <charset val="134"/>
      </rPr>
      <t xml:space="preserve">{0} </t>
    </r>
    <r>
      <rPr>
        <sz val="11"/>
        <color theme="1"/>
        <rFont val="Linux Libertine G"/>
        <family val="2"/>
      </rPr>
      <t xml:space="preserve">层</t>
    </r>
  </si>
  <si>
    <t xml:space="preserve">ss_mult_v1p5</t>
  </si>
  <si>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倍率 </t>
    </r>
    <r>
      <rPr>
        <sz val="11"/>
        <color theme="1"/>
        <rFont val="宋体"/>
        <family val="0"/>
        <charset val="134"/>
      </rPr>
      <t xml:space="preserve">×{0}</t>
    </r>
  </si>
  <si>
    <t xml:space="preserve">ss_perm_flat_v10</t>
  </si>
  <si>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分数永久 </t>
    </r>
    <r>
      <rPr>
        <sz val="11"/>
        <color theme="1"/>
        <rFont val="宋体"/>
        <family val="0"/>
        <charset val="134"/>
      </rPr>
      <t xml:space="preserve">{0}</t>
    </r>
  </si>
  <si>
    <t xml:space="preserve">ss_transfer_all_n2</t>
  </si>
  <si>
    <t xml:space="preserve">ss_multflat_per_dish_all_v0p2</t>
  </si>
  <si>
    <t xml:space="preserve">All</t>
  </si>
  <si>
    <t xml:space="preserve">ss_count_as_base_v3</t>
  </si>
  <si>
    <t xml:space="preserve">ss_multflat_adj_v5</t>
  </si>
  <si>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倍率 </t>
    </r>
    <r>
      <rPr>
        <sz val="11"/>
        <color theme="1"/>
        <rFont val="宋体"/>
        <family val="0"/>
        <charset val="134"/>
      </rPr>
      <t xml:space="preserve">{0}</t>
    </r>
  </si>
  <si>
    <t xml:space="preserve">ss_transfer_all_n3</t>
  </si>
  <si>
    <t xml:space="preserve">ss_consume_layer_v10</t>
  </si>
  <si>
    <t xml:space="preserve">ConsumeLayer</t>
  </si>
  <si>
    <r>
      <rPr>
        <sz val="11"/>
        <color theme="1"/>
        <rFont val="Linux Libertine G"/>
        <family val="2"/>
      </rPr>
      <t xml:space="preserve">消耗 </t>
    </r>
    <r>
      <rPr>
        <sz val="11"/>
        <color theme="1"/>
        <rFont val="宋体"/>
        <family val="0"/>
        <charset val="134"/>
      </rPr>
      <t xml:space="preserve">{0} </t>
    </r>
    <r>
      <rPr>
        <sz val="11"/>
        <color theme="1"/>
        <rFont val="Linux Libertine G"/>
        <family val="2"/>
      </rPr>
      <t xml:space="preserve">层欢乐蛋糕</t>
    </r>
  </si>
  <si>
    <t xml:space="preserve">ss_multflat_v5</t>
  </si>
  <si>
    <t xml:space="preserve">ss_multflat_col_v3</t>
  </si>
  <si>
    <t xml:space="preserve">ss_transfer_row_n3</t>
  </si>
  <si>
    <t xml:space="preserve">multfloor:5</t>
  </si>
  <si>
    <r>
      <rPr>
        <sz val="11"/>
        <color theme="1"/>
        <rFont val="Linux Libertine G"/>
        <family val="2"/>
      </rPr>
      <t xml:space="preserve">欢乐蛋糕 </t>
    </r>
    <r>
      <rPr>
        <sz val="11"/>
        <color theme="1"/>
        <rFont val="宋体"/>
        <family val="0"/>
        <charset val="134"/>
      </rPr>
      <t xml:space="preserve">×{0} </t>
    </r>
    <r>
      <rPr>
        <sz val="11"/>
        <color theme="1"/>
        <rFont val="Linux Libertine G"/>
        <family val="2"/>
      </rPr>
      <t xml:space="preserve">层
至少 </t>
    </r>
    <r>
      <rPr>
        <sz val="11"/>
        <color theme="1"/>
        <rFont val="宋体"/>
        <family val="0"/>
        <charset val="134"/>
      </rPr>
      <t xml:space="preserve">+{floor} </t>
    </r>
    <r>
      <rPr>
        <sz val="11"/>
        <color theme="1"/>
        <rFont val="Linux Libertine G"/>
        <family val="2"/>
      </rPr>
      <t xml:space="preserve">层</t>
    </r>
  </si>
  <si>
    <t xml:space="preserve">除需要严格刨除自身时，才刨除</t>
  </si>
  <si>
    <t xml:space="preserve">Reach</t>
  </si>
  <si>
    <t xml:space="preserve">tiers:5|15|25</t>
  </si>
  <si>
    <t xml:space="preserve">tiervals:1.5|2.5|5</t>
  </si>
  <si>
    <r>
      <rPr>
        <sz val="11"/>
        <color theme="1"/>
        <rFont val="宋体"/>
        <family val="0"/>
        <charset val="134"/>
      </rPr>
      <t xml:space="preserve">{cscope}</t>
    </r>
    <r>
      <rPr>
        <sz val="11"/>
        <color theme="1"/>
        <rFont val="Linux Libertine G"/>
        <family val="2"/>
      </rPr>
      <t xml:space="preserve">食物达 </t>
    </r>
    <r>
      <rPr>
        <sz val="11"/>
        <color theme="1"/>
        <rFont val="宋体"/>
        <family val="0"/>
        <charset val="134"/>
      </rPr>
      <t xml:space="preserve">{tiers} </t>
    </r>
    <r>
      <rPr>
        <sz val="11"/>
        <color theme="1"/>
        <rFont val="Linux Libertine G"/>
        <family val="2"/>
      </rPr>
      <t xml:space="preserve">个时
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倍率 </t>
    </r>
    <r>
      <rPr>
        <sz val="11"/>
        <color theme="1"/>
        <rFont val="宋体"/>
        <family val="0"/>
        <charset val="134"/>
      </rPr>
      <t xml:space="preserve">×{tiervals}</t>
    </r>
  </si>
  <si>
    <t xml:space="preserve">ss_count_as_base_v4</t>
  </si>
  <si>
    <t xml:space="preserve">ss_mult_v3</t>
  </si>
  <si>
    <t xml:space="preserve">ss_count_as_filled_row_v9</t>
  </si>
  <si>
    <r>
      <rPr>
        <sz val="11"/>
        <color theme="1"/>
        <rFont val="Linux Libertine G"/>
        <family val="2"/>
      </rPr>
      <t xml:space="preserve">若</t>
    </r>
    <r>
      <rPr>
        <sz val="11"/>
        <color theme="1"/>
        <rFont val="宋体"/>
        <family val="0"/>
        <charset val="134"/>
      </rPr>
      <t xml:space="preserve">{cscope}</t>
    </r>
    <r>
      <rPr>
        <sz val="11"/>
        <color theme="1"/>
        <rFont val="Linux Libertine G"/>
        <family val="2"/>
      </rPr>
      <t xml:space="preserve">被填满
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额外视为 </t>
    </r>
    <r>
      <rPr>
        <sz val="11"/>
        <color theme="1"/>
        <rFont val="宋体"/>
        <family val="0"/>
        <charset val="134"/>
      </rPr>
      <t xml:space="preserve">{0} </t>
    </r>
    <r>
      <rPr>
        <sz val="11"/>
        <color theme="1"/>
        <rFont val="Linux Libertine G"/>
        <family val="2"/>
      </rPr>
      <t xml:space="preserve">个食物</t>
    </r>
  </si>
  <si>
    <t xml:space="preserve">ss_count_as_col_v2</t>
  </si>
  <si>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额外视为 </t>
    </r>
    <r>
      <rPr>
        <sz val="11"/>
        <color theme="1"/>
        <rFont val="宋体"/>
        <family val="0"/>
        <charset val="134"/>
      </rPr>
      <t xml:space="preserve">{0} </t>
    </r>
    <r>
      <rPr>
        <sz val="11"/>
        <color theme="1"/>
        <rFont val="Linux Libertine G"/>
        <family val="2"/>
      </rPr>
      <t xml:space="preserve">个食物</t>
    </r>
  </si>
  <si>
    <t xml:space="preserve">ss_multflat_v4</t>
  </si>
  <si>
    <t xml:space="preserve">ss_flat_category_cat_v10</t>
  </si>
  <si>
    <t xml:space="preserve">Category</t>
  </si>
  <si>
    <t xml:space="preserve">cat:cake</t>
  </si>
  <si>
    <r>
      <rPr>
        <sz val="11"/>
        <color theme="1"/>
        <rFont val="Linux Libertine G"/>
        <family val="2"/>
      </rPr>
      <t xml:space="preserve">将分数加到所有</t>
    </r>
    <r>
      <rPr>
        <sz val="11"/>
        <color theme="1"/>
        <rFont val="宋体"/>
        <family val="0"/>
        <charset val="134"/>
      </rPr>
      <t xml:space="preserve">{cat}</t>
    </r>
    <r>
      <rPr>
        <sz val="11"/>
        <color theme="1"/>
        <rFont val="Linux Libertine G"/>
        <family val="2"/>
      </rPr>
      <t xml:space="preserve">上
（每个</t>
    </r>
    <r>
      <rPr>
        <sz val="11"/>
        <color theme="1"/>
        <rFont val="宋体"/>
        <family val="0"/>
        <charset val="134"/>
      </rPr>
      <t xml:space="preserve">{cat} {0} </t>
    </r>
    <r>
      <rPr>
        <sz val="11"/>
        <color theme="1"/>
        <rFont val="Linux Libertine G"/>
        <family val="2"/>
      </rPr>
      <t xml:space="preserve">分）</t>
    </r>
  </si>
  <si>
    <t xml:space="preserve">ss_layer_add_v15</t>
  </si>
  <si>
    <t xml:space="preserve">ss_multflat_per_tag_v5</t>
  </si>
  <si>
    <r>
      <rPr>
        <sz val="11"/>
        <color theme="1"/>
        <rFont val="宋体"/>
        <family val="0"/>
        <charset val="134"/>
      </rPr>
      <t xml:space="preserve">{cscope}</t>
    </r>
    <r>
      <rPr>
        <sz val="11"/>
        <color theme="1"/>
        <rFont val="Linux Libertine G"/>
        <family val="2"/>
      </rPr>
      <t xml:space="preserve">每有 </t>
    </r>
    <r>
      <rPr>
        <sz val="11"/>
        <color theme="1"/>
        <rFont val="宋体"/>
        <family val="0"/>
        <charset val="134"/>
      </rPr>
      <t xml:space="preserve">1 </t>
    </r>
    <r>
      <rPr>
        <sz val="11"/>
        <color theme="1"/>
        <rFont val="Linux Libertine G"/>
        <family val="2"/>
      </rPr>
      <t xml:space="preserve">个技能
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倍率 </t>
    </r>
    <r>
      <rPr>
        <sz val="11"/>
        <color theme="1"/>
        <rFont val="宋体"/>
        <family val="0"/>
        <charset val="134"/>
      </rPr>
      <t xml:space="preserve">{0}</t>
    </r>
  </si>
  <si>
    <t xml:space="preserve">ss_transfer_col</t>
  </si>
  <si>
    <t xml:space="preserve">ss_count_as_base_v9</t>
  </si>
  <si>
    <t xml:space="preserve">ss_mult_col_v2</t>
  </si>
  <si>
    <t xml:space="preserve">ss_layer_add_v20</t>
  </si>
  <si>
    <t xml:space="preserve">ss_multflat_all_v0p5</t>
  </si>
  <si>
    <t xml:space="preserve">ss_copy_skill_adj_v2</t>
  </si>
  <si>
    <t xml:space="preserve">ss_count_as_base_v7</t>
  </si>
  <si>
    <t xml:space="preserve">ss_multflat_category_cat_v5</t>
  </si>
  <si>
    <r>
      <rPr>
        <sz val="11"/>
        <color theme="1"/>
        <rFont val="Linux Libertine G"/>
        <family val="2"/>
      </rPr>
      <t xml:space="preserve">将倍率 </t>
    </r>
    <r>
      <rPr>
        <sz val="11"/>
        <color theme="1"/>
        <rFont val="宋体"/>
        <family val="0"/>
        <charset val="134"/>
      </rPr>
      <t xml:space="preserve">{0} </t>
    </r>
    <r>
      <rPr>
        <sz val="11"/>
        <color theme="1"/>
        <rFont val="Linux Libertine G"/>
        <family val="2"/>
      </rPr>
      <t xml:space="preserve">加到所有</t>
    </r>
    <r>
      <rPr>
        <sz val="11"/>
        <color theme="1"/>
        <rFont val="宋体"/>
        <family val="0"/>
        <charset val="134"/>
      </rPr>
      <t xml:space="preserve">{cat}</t>
    </r>
    <r>
      <rPr>
        <sz val="11"/>
        <color theme="1"/>
        <rFont val="Linux Libertine G"/>
        <family val="2"/>
      </rPr>
      <t xml:space="preserve">上</t>
    </r>
  </si>
  <si>
    <t xml:space="preserve">ss_mult_v2</t>
  </si>
  <si>
    <t xml:space="preserve">ss_layer_tier_all</t>
  </si>
  <si>
    <t xml:space="preserve">CategoryCount</t>
  </si>
  <si>
    <t xml:space="preserve">cake;tiers:3|5|8</t>
  </si>
  <si>
    <t xml:space="preserve">tiervals:10|20|40</t>
  </si>
  <si>
    <r>
      <rPr>
        <sz val="11"/>
        <color theme="1"/>
        <rFont val="Linux Libertine G"/>
        <family val="2"/>
      </rPr>
      <t xml:space="preserve">蛋糕数量达 </t>
    </r>
    <r>
      <rPr>
        <sz val="11"/>
        <color theme="1"/>
        <rFont val="宋体"/>
        <family val="0"/>
        <charset val="134"/>
      </rPr>
      <t xml:space="preserve">{tiers} </t>
    </r>
    <r>
      <rPr>
        <sz val="11"/>
        <color theme="1"/>
        <rFont val="Linux Libertine G"/>
        <family val="2"/>
      </rPr>
      <t xml:space="preserve">时
欢乐蛋糕 </t>
    </r>
    <r>
      <rPr>
        <sz val="11"/>
        <color theme="1"/>
        <rFont val="宋体"/>
        <family val="0"/>
        <charset val="134"/>
      </rPr>
      <t xml:space="preserve">+{tiervals} </t>
    </r>
    <r>
      <rPr>
        <sz val="11"/>
        <color theme="1"/>
        <rFont val="Linux Libertine G"/>
        <family val="2"/>
      </rPr>
      <t xml:space="preserve">层</t>
    </r>
  </si>
  <si>
    <t xml:space="preserve">SkillTypeCount</t>
  </si>
  <si>
    <t xml:space="preserve">TransferSkills;tiers:3|5|8</t>
  </si>
  <si>
    <t xml:space="preserve">tiervals:1.5|2.5|5;skilltype:TransferSkills</t>
  </si>
  <si>
    <r>
      <rPr>
        <sz val="11"/>
        <color theme="1"/>
        <rFont val="Linux Libertine G"/>
        <family val="2"/>
      </rPr>
      <t xml:space="preserve">带甜蜜传递的食物达 </t>
    </r>
    <r>
      <rPr>
        <sz val="11"/>
        <color theme="1"/>
        <rFont val="宋体"/>
        <family val="0"/>
        <charset val="134"/>
      </rPr>
      <t xml:space="preserve">{tiers} </t>
    </r>
    <r>
      <rPr>
        <sz val="11"/>
        <color theme="1"/>
        <rFont val="Linux Libertine G"/>
        <family val="2"/>
      </rPr>
      <t xml:space="preserve">种时
此类食物倍率 </t>
    </r>
    <r>
      <rPr>
        <sz val="11"/>
        <color theme="1"/>
        <rFont val="宋体"/>
        <family val="0"/>
        <charset val="134"/>
      </rPr>
      <t xml:space="preserve">×{tiervals}</t>
    </r>
  </si>
  <si>
    <t xml:space="preserve">ss_mult_adj_v1p5</t>
  </si>
  <si>
    <t xml:space="preserve">ss_mult_col_v1p4</t>
  </si>
  <si>
    <t xml:space="preserve">ss_transfer_adj</t>
  </si>
  <si>
    <t xml:space="preserve">TriggerSweetTransfer</t>
  </si>
  <si>
    <t xml:space="preserve">axis:rowcol;skilltype:TransferSkills</t>
  </si>
  <si>
    <t xml:space="preserve">同行同列带甜蜜传递的食物
各执行一次它们的甜蜜传递</t>
  </si>
  <si>
    <t xml:space="preserve">ss_mult_per_tag_v1p5</t>
  </si>
  <si>
    <r>
      <rPr>
        <sz val="11"/>
        <color theme="1"/>
        <rFont val="宋体"/>
        <family val="0"/>
        <charset val="134"/>
      </rPr>
      <t xml:space="preserve">{cscope}</t>
    </r>
    <r>
      <rPr>
        <sz val="11"/>
        <color theme="1"/>
        <rFont val="Linux Libertine G"/>
        <family val="2"/>
      </rPr>
      <t xml:space="preserve">每有 </t>
    </r>
    <r>
      <rPr>
        <sz val="11"/>
        <color theme="1"/>
        <rFont val="宋体"/>
        <family val="0"/>
        <charset val="134"/>
      </rPr>
      <t xml:space="preserve">1 </t>
    </r>
    <r>
      <rPr>
        <sz val="11"/>
        <color theme="1"/>
        <rFont val="Linux Libertine G"/>
        <family val="2"/>
      </rPr>
      <t xml:space="preserve">个技能
</t>
    </r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倍率 </t>
    </r>
    <r>
      <rPr>
        <sz val="11"/>
        <color theme="1"/>
        <rFont val="宋体"/>
        <family val="0"/>
        <charset val="134"/>
      </rPr>
      <t xml:space="preserve">×{0}</t>
    </r>
  </si>
  <si>
    <t xml:space="preserve">ss_transfer_row</t>
  </si>
  <si>
    <r>
      <rPr>
        <sz val="11"/>
        <color theme="1"/>
        <rFont val="宋体"/>
        <family val="0"/>
        <charset val="134"/>
      </rPr>
      <t xml:space="preserve">{ascope}</t>
    </r>
    <r>
      <rPr>
        <sz val="11"/>
        <color theme="1"/>
        <rFont val="Linux Libertine G"/>
        <family val="2"/>
      </rPr>
      <t xml:space="preserve">获得 </t>
    </r>
    <r>
      <rPr>
        <sz val="11"/>
        <color theme="1"/>
        <rFont val="宋体"/>
        <family val="0"/>
        <charset val="134"/>
      </rPr>
      <t xml:space="preserve">{0} </t>
    </r>
    <r>
      <rPr>
        <sz val="11"/>
        <color theme="1"/>
        <rFont val="Linux Libertine G"/>
        <family val="2"/>
      </rPr>
      <t xml:space="preserve">种不同的</t>
    </r>
    <r>
      <rPr>
        <sz val="11"/>
        <color theme="1"/>
        <rFont val="宋体"/>
        <family val="0"/>
        <charset val="134"/>
      </rPr>
      <t xml:space="preserve">{cat}</t>
    </r>
    <r>
      <rPr>
        <sz val="11"/>
        <color theme="1"/>
        <rFont val="Linux Libertine G"/>
        <family val="2"/>
      </rPr>
      <t xml:space="preserve">技能</t>
    </r>
  </si>
  <si>
    <t xml:space="preserve">菜品</t>
  </si>
  <si>
    <t xml:space="preserve">形状</t>
  </si>
  <si>
    <t xml:space="preserve">美味度</t>
  </si>
  <si>
    <t xml:space="preserve">技能</t>
  </si>
  <si>
    <t xml:space="preserve">作用范围</t>
  </si>
  <si>
    <t xml:space="preserve">作用乘区</t>
  </si>
  <si>
    <r>
      <rPr>
        <sz val="12"/>
        <rFont val="Linux Libertine G"/>
        <family val="2"/>
      </rPr>
      <t xml:space="preserve">（前期</t>
    </r>
    <r>
      <rPr>
        <sz val="12"/>
        <rFont val="宋体-简"/>
        <family val="0"/>
        <charset val="134"/>
      </rPr>
      <t xml:space="preserve">/</t>
    </r>
    <r>
      <rPr>
        <sz val="12"/>
        <rFont val="Linux Libertine G"/>
        <family val="2"/>
      </rPr>
      <t xml:space="preserve">中期</t>
    </r>
    <r>
      <rPr>
        <sz val="12"/>
        <rFont val="宋体-简"/>
        <family val="0"/>
        <charset val="134"/>
      </rPr>
      <t xml:space="preserve">/</t>
    </r>
    <r>
      <rPr>
        <sz val="12"/>
        <rFont val="Linux Libertine G"/>
        <family val="2"/>
      </rPr>
      <t xml:space="preserve">后期）</t>
    </r>
  </si>
  <si>
    <r>
      <rPr>
        <sz val="12"/>
        <rFont val="Linux Libertine G"/>
        <family val="2"/>
      </rPr>
      <t xml:space="preserve">所属</t>
    </r>
    <r>
      <rPr>
        <sz val="12"/>
        <rFont val="宋体-简"/>
        <family val="0"/>
        <charset val="134"/>
      </rPr>
      <t xml:space="preserve">build</t>
    </r>
  </si>
  <si>
    <t xml:space="preserve">备注</t>
  </si>
  <si>
    <t xml:space="preserve">技能列举</t>
  </si>
  <si>
    <r>
      <rPr>
        <sz val="11"/>
        <color theme="1"/>
        <rFont val="Linux Libertine G"/>
        <family val="2"/>
      </rPr>
      <t xml:space="preserve">处在边缘时，倍率</t>
    </r>
    <r>
      <rPr>
        <sz val="11"/>
        <color theme="1"/>
        <rFont val="宋体"/>
        <family val="0"/>
        <charset val="134"/>
      </rPr>
      <t xml:space="preserve">+3</t>
    </r>
  </si>
  <si>
    <t xml:space="preserve">加倍率</t>
  </si>
  <si>
    <t xml:space="preserve">前</t>
  </si>
  <si>
    <t xml:space="preserve">小而多</t>
  </si>
  <si>
    <t xml:space="preserve">行为</t>
  </si>
  <si>
    <t xml:space="preserve">甜蜜传递：使目标食物获得并结算此技能</t>
  </si>
  <si>
    <r>
      <rPr>
        <sz val="11"/>
        <color theme="1"/>
        <rFont val="Linux Libertine G"/>
        <family val="2"/>
      </rPr>
      <t xml:space="preserve">周围每有一种食物，分数</t>
    </r>
    <r>
      <rPr>
        <sz val="11"/>
        <color theme="1"/>
        <rFont val="宋体"/>
        <family val="0"/>
        <charset val="134"/>
      </rPr>
      <t xml:space="preserve">+8</t>
    </r>
    <r>
      <rPr>
        <sz val="11"/>
        <color theme="1"/>
        <rFont val="Linux Libertine G"/>
        <family val="2"/>
      </rPr>
      <t xml:space="preserve">。甜蜜传递至同行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个食物</t>
    </r>
  </si>
  <si>
    <t xml:space="preserve">分数</t>
  </si>
  <si>
    <t xml:space="preserve">传递</t>
  </si>
  <si>
    <r>
      <rPr>
        <sz val="11"/>
        <color theme="1"/>
        <rFont val="Linux Libertine G"/>
        <family val="2"/>
      </rPr>
      <t xml:space="preserve">前提</t>
    </r>
    <r>
      <rPr>
        <sz val="11"/>
        <color theme="1"/>
        <rFont val="宋体"/>
        <family val="0"/>
        <charset val="134"/>
      </rPr>
      <t xml:space="preserve">+</t>
    </r>
    <r>
      <rPr>
        <sz val="11"/>
        <color theme="1"/>
        <rFont val="Linux Libertine G"/>
        <family val="2"/>
      </rPr>
      <t xml:space="preserve">行为</t>
    </r>
  </si>
  <si>
    <r>
      <rPr>
        <sz val="11"/>
        <color theme="1"/>
        <rFont val="Linux Libertine G"/>
        <family val="2"/>
      </rPr>
      <t xml:space="preserve">周围每有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个空格，分数</t>
    </r>
    <r>
      <rPr>
        <sz val="11"/>
        <color theme="1"/>
        <rFont val="宋体"/>
        <family val="0"/>
        <charset val="134"/>
      </rPr>
      <t xml:space="preserve">-2</t>
    </r>
  </si>
  <si>
    <t xml:space="preserve">本食物默认不写</t>
  </si>
  <si>
    <r>
      <rPr>
        <sz val="11"/>
        <color theme="1"/>
        <rFont val="Linux Libertine G"/>
        <family val="2"/>
      </rPr>
      <t xml:space="preserve">行为</t>
    </r>
    <r>
      <rPr>
        <sz val="11"/>
        <color theme="1"/>
        <rFont val="宋体"/>
        <family val="0"/>
        <charset val="134"/>
      </rPr>
      <t xml:space="preserve">+</t>
    </r>
    <r>
      <rPr>
        <sz val="11"/>
        <color theme="1"/>
        <rFont val="Linux Libertine G"/>
        <family val="2"/>
      </rPr>
      <t xml:space="preserve">行为</t>
    </r>
  </si>
  <si>
    <r>
      <rPr>
        <sz val="11"/>
        <color theme="1"/>
        <rFont val="Linux Libertine G"/>
        <family val="2"/>
      </rPr>
      <t xml:space="preserve">周围每有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个食物，蛋糕</t>
    </r>
    <r>
      <rPr>
        <sz val="11"/>
        <color theme="1"/>
        <rFont val="宋体"/>
        <family val="0"/>
        <charset val="134"/>
      </rPr>
      <t xml:space="preserve">+2</t>
    </r>
    <r>
      <rPr>
        <sz val="11"/>
        <color theme="1"/>
        <rFont val="Linux Libertine G"/>
        <family val="2"/>
      </rPr>
      <t xml:space="preserve">层</t>
    </r>
  </si>
  <si>
    <t xml:space="preserve">buff</t>
  </si>
  <si>
    <t xml:space="preserve">多辅一</t>
  </si>
  <si>
    <r>
      <rPr>
        <sz val="11"/>
        <color theme="1"/>
        <rFont val="Linux Libertine G"/>
        <family val="2"/>
      </rPr>
      <t xml:space="preserve">前提</t>
    </r>
    <r>
      <rPr>
        <sz val="11"/>
        <color theme="1"/>
        <rFont val="宋体"/>
        <family val="0"/>
        <charset val="134"/>
      </rPr>
      <t xml:space="preserve">+</t>
    </r>
    <r>
      <rPr>
        <sz val="11"/>
        <color theme="1"/>
        <rFont val="Linux Libertine G"/>
        <family val="2"/>
      </rPr>
      <t xml:space="preserve">行为</t>
    </r>
    <r>
      <rPr>
        <sz val="11"/>
        <color theme="1"/>
        <rFont val="宋体"/>
        <family val="0"/>
        <charset val="134"/>
      </rPr>
      <t xml:space="preserve">+</t>
    </r>
    <r>
      <rPr>
        <sz val="11"/>
        <color theme="1"/>
        <rFont val="Linux Libertine G"/>
        <family val="2"/>
      </rPr>
      <t xml:space="preserve">行为</t>
    </r>
  </si>
  <si>
    <r>
      <rPr>
        <sz val="11"/>
        <color theme="1"/>
        <rFont val="Linux Libertine G"/>
        <family val="2"/>
      </rPr>
      <t xml:space="preserve">结算时，分数永久</t>
    </r>
    <r>
      <rPr>
        <sz val="11"/>
        <color theme="1"/>
        <rFont val="宋体"/>
        <family val="0"/>
        <charset val="134"/>
      </rPr>
      <t xml:space="preserve">+6</t>
    </r>
  </si>
  <si>
    <r>
      <rPr>
        <sz val="11"/>
        <color theme="1"/>
        <rFont val="Linux Libertine G"/>
        <family val="2"/>
      </rPr>
      <t xml:space="preserve">行为</t>
    </r>
    <r>
      <rPr>
        <sz val="11"/>
        <color theme="1"/>
        <rFont val="宋体"/>
        <family val="0"/>
        <charset val="134"/>
      </rPr>
      <t xml:space="preserve">+</t>
    </r>
    <r>
      <rPr>
        <sz val="11"/>
        <color theme="1"/>
        <rFont val="Linux Libertine G"/>
        <family val="2"/>
      </rPr>
      <t xml:space="preserve">行为</t>
    </r>
    <r>
      <rPr>
        <sz val="11"/>
        <color theme="1"/>
        <rFont val="宋体"/>
        <family val="0"/>
        <charset val="134"/>
      </rPr>
      <t xml:space="preserve">+</t>
    </r>
    <r>
      <rPr>
        <sz val="11"/>
        <color theme="1"/>
        <rFont val="Linux Libertine G"/>
        <family val="2"/>
      </rPr>
      <t xml:space="preserve">行为</t>
    </r>
  </si>
  <si>
    <r>
      <rPr>
        <sz val="11"/>
        <color theme="1"/>
        <rFont val="Linux Libertine G"/>
        <family val="2"/>
      </rPr>
      <t xml:space="preserve">本列每有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个食物，倍率</t>
    </r>
    <r>
      <rPr>
        <sz val="11"/>
        <color theme="1"/>
        <rFont val="宋体"/>
        <family val="0"/>
        <charset val="134"/>
      </rPr>
      <t xml:space="preserve">+1</t>
    </r>
  </si>
  <si>
    <t xml:space="preserve">乘倍率</t>
  </si>
  <si>
    <t xml:space="preserve">前中</t>
  </si>
  <si>
    <r>
      <rPr>
        <sz val="11"/>
        <color theme="1"/>
        <rFont val="Linux Libertine G"/>
        <family val="2"/>
      </rPr>
      <t xml:space="preserve">本行每有一个食物，分数</t>
    </r>
    <r>
      <rPr>
        <sz val="11"/>
        <color theme="1"/>
        <rFont val="宋体"/>
        <family val="0"/>
        <charset val="134"/>
      </rPr>
      <t xml:space="preserve">+10</t>
    </r>
  </si>
  <si>
    <r>
      <rPr>
        <sz val="11"/>
        <color theme="1"/>
        <rFont val="Linux Libertine G"/>
        <family val="2"/>
      </rPr>
      <t xml:space="preserve">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个技能，分数永久</t>
    </r>
    <r>
      <rPr>
        <sz val="11"/>
        <color theme="1"/>
        <rFont val="宋体"/>
        <family val="0"/>
        <charset val="134"/>
      </rPr>
      <t xml:space="preserve">+5</t>
    </r>
  </si>
  <si>
    <t xml:space="preserve">永久加分数</t>
  </si>
  <si>
    <t xml:space="preserve">前提</t>
  </si>
  <si>
    <r>
      <rPr>
        <sz val="11"/>
        <color theme="1"/>
        <rFont val="Linux Libertine G"/>
        <family val="2"/>
      </rPr>
      <t xml:space="preserve">本行每有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种食物，周围及自身食物倍率</t>
    </r>
    <r>
      <rPr>
        <sz val="11"/>
        <color theme="1"/>
        <rFont val="宋体"/>
        <family val="0"/>
        <charset val="134"/>
      </rPr>
      <t xml:space="preserve">+0.2</t>
    </r>
  </si>
  <si>
    <r>
      <rPr>
        <sz val="11"/>
        <color theme="1"/>
        <rFont val="Linux Libertine G"/>
        <family val="2"/>
      </rPr>
      <t xml:space="preserve">蛋糕</t>
    </r>
    <r>
      <rPr>
        <sz val="11"/>
        <color theme="1"/>
        <rFont val="宋体"/>
        <family val="0"/>
        <charset val="134"/>
      </rPr>
      <t xml:space="preserve">+5</t>
    </r>
    <r>
      <rPr>
        <sz val="11"/>
        <color theme="1"/>
        <rFont val="Linux Libertine G"/>
        <family val="2"/>
      </rPr>
      <t xml:space="preserve">层</t>
    </r>
  </si>
  <si>
    <t xml:space="preserve">类别</t>
  </si>
  <si>
    <t xml:space="preserve">技能机制</t>
  </si>
  <si>
    <t xml:space="preserve">技能详情</t>
  </si>
  <si>
    <r>
      <rPr>
        <sz val="11"/>
        <color theme="1"/>
        <rFont val="Linux Libertine G"/>
        <family val="2"/>
      </rPr>
      <t xml:space="preserve">技能额外结算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次。甜蜜传递至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个食物</t>
    </r>
  </si>
  <si>
    <t xml:space="preserve">结算</t>
  </si>
  <si>
    <t xml:space="preserve">前中后</t>
  </si>
  <si>
    <t xml:space="preserve">让一个未结算的食物，再次结算一次技能</t>
  </si>
  <si>
    <t xml:space="preserve">空间</t>
  </si>
  <si>
    <t xml:space="preserve">位置检测</t>
  </si>
  <si>
    <r>
      <rPr>
        <sz val="11"/>
        <color theme="1"/>
        <rFont val="Linux Libertine G"/>
        <family val="2"/>
      </rPr>
      <t xml:space="preserve">如果（同行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全部）被填满</t>
    </r>
  </si>
  <si>
    <r>
      <rPr>
        <sz val="11"/>
        <color theme="1"/>
        <rFont val="Linux Libertine G"/>
        <family val="2"/>
      </rPr>
      <t xml:space="preserve">若周围被填满，获得</t>
    </r>
    <r>
      <rPr>
        <sz val="11"/>
        <color theme="1"/>
        <rFont val="宋体"/>
        <family val="0"/>
        <charset val="134"/>
      </rPr>
      <t xml:space="preserve">30</t>
    </r>
    <r>
      <rPr>
        <sz val="11"/>
        <color theme="1"/>
        <rFont val="Linux Libertine G"/>
        <family val="2"/>
      </rPr>
      <t xml:space="preserve">个金币</t>
    </r>
  </si>
  <si>
    <t xml:space="preserve">金币</t>
  </si>
  <si>
    <t xml:space="preserve">通用</t>
  </si>
  <si>
    <t xml:space="preserve">空格检测</t>
  </si>
  <si>
    <r>
      <rPr>
        <sz val="11"/>
        <color theme="1"/>
        <rFont val="Linux Libertine G"/>
        <family val="2"/>
      </rPr>
      <t xml:space="preserve">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个空格</t>
    </r>
  </si>
  <si>
    <r>
      <rPr>
        <sz val="11"/>
        <color theme="1"/>
        <rFont val="Linux Libertine G"/>
        <family val="2"/>
      </rPr>
      <t xml:space="preserve">若同行被填满，蛋糕</t>
    </r>
    <r>
      <rPr>
        <sz val="11"/>
        <color theme="1"/>
        <rFont val="宋体"/>
        <family val="0"/>
        <charset val="134"/>
      </rPr>
      <t xml:space="preserve">+10</t>
    </r>
    <r>
      <rPr>
        <sz val="11"/>
        <color theme="1"/>
        <rFont val="Linux Libertine G"/>
        <family val="2"/>
      </rPr>
      <t xml:space="preserve">层</t>
    </r>
  </si>
  <si>
    <t xml:space="preserve">边缘检测</t>
  </si>
  <si>
    <t xml:space="preserve">若本食物处在边缘</t>
  </si>
  <si>
    <r>
      <rPr>
        <sz val="11"/>
        <color theme="1"/>
        <rFont val="Linux Libertine G"/>
        <family val="2"/>
      </rPr>
      <t xml:space="preserve">视为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个食物，本行每有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个食物，倍率</t>
    </r>
    <r>
      <rPr>
        <sz val="11"/>
        <color theme="1"/>
        <rFont val="宋体"/>
        <family val="0"/>
        <charset val="134"/>
      </rPr>
      <t xml:space="preserve">+2</t>
    </r>
  </si>
  <si>
    <t xml:space="preserve">中</t>
  </si>
  <si>
    <t xml:space="preserve">数量</t>
  </si>
  <si>
    <t xml:space="preserve">检测数量</t>
  </si>
  <si>
    <r>
      <rPr>
        <sz val="11"/>
        <color theme="1"/>
        <rFont val="Linux Libertine G"/>
        <family val="2"/>
      </rPr>
      <t xml:space="preserve">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（种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个）食物</t>
    </r>
  </si>
  <si>
    <r>
      <rPr>
        <sz val="11"/>
        <color theme="1"/>
        <rFont val="Linux Libertine G"/>
        <family val="2"/>
      </rPr>
      <t xml:space="preserve">蛋糕</t>
    </r>
    <r>
      <rPr>
        <sz val="11"/>
        <color theme="1"/>
        <rFont val="宋体"/>
        <family val="0"/>
        <charset val="134"/>
      </rPr>
      <t xml:space="preserve">+10</t>
    </r>
    <r>
      <rPr>
        <sz val="11"/>
        <color theme="1"/>
        <rFont val="Linux Libertine G"/>
        <family val="2"/>
      </rPr>
      <t xml:space="preserve">层，复制本菜品至空格中</t>
    </r>
  </si>
  <si>
    <t xml:space="preserve">阶梯数量</t>
  </si>
  <si>
    <r>
      <rPr>
        <sz val="11"/>
        <color theme="1"/>
        <rFont val="Linux Libertine G"/>
        <family val="2"/>
      </rPr>
      <t xml:space="preserve">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空）食物数量达到</t>
    </r>
    <r>
      <rPr>
        <sz val="11"/>
        <color theme="1"/>
        <rFont val="宋体"/>
        <family val="0"/>
        <charset val="134"/>
      </rPr>
      <t xml:space="preserve">[2/5/10]</t>
    </r>
    <r>
      <rPr>
        <sz val="11"/>
        <color theme="1"/>
        <rFont val="Linux Libertine G"/>
        <family val="2"/>
      </rPr>
      <t xml:space="preserve">时</t>
    </r>
  </si>
  <si>
    <t xml:space="preserve">大小检测</t>
  </si>
  <si>
    <r>
      <rPr>
        <sz val="11"/>
        <color theme="1"/>
        <rFont val="Linux Libertine G"/>
        <family val="2"/>
      </rPr>
      <t xml:space="preserve">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（种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个）（大于等于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小于等于）</t>
    </r>
    <r>
      <rPr>
        <sz val="11"/>
        <color theme="1"/>
        <rFont val="宋体"/>
        <family val="0"/>
        <charset val="134"/>
      </rPr>
      <t xml:space="preserve">3</t>
    </r>
    <r>
      <rPr>
        <sz val="11"/>
        <color theme="1"/>
        <rFont val="Linux Libertine G"/>
        <family val="2"/>
      </rPr>
      <t xml:space="preserve">格的食物</t>
    </r>
  </si>
  <si>
    <r>
      <rPr>
        <sz val="11"/>
        <color theme="1"/>
        <rFont val="Linux Libertine G"/>
        <family val="2"/>
      </rPr>
      <t xml:space="preserve">周围有占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格的食物时，倍率</t>
    </r>
    <r>
      <rPr>
        <sz val="11"/>
        <color theme="1"/>
        <rFont val="宋体"/>
        <family val="0"/>
        <charset val="134"/>
      </rPr>
      <t xml:space="preserve">x1.5</t>
    </r>
    <r>
      <rPr>
        <sz val="11"/>
        <color theme="1"/>
        <rFont val="Linux Libertine G"/>
        <family val="2"/>
      </rPr>
      <t xml:space="preserve">。甜蜜传递至同列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个食物</t>
    </r>
  </si>
  <si>
    <t xml:space="preserve">顺序检测</t>
  </si>
  <si>
    <r>
      <rPr>
        <sz val="11"/>
        <color theme="1"/>
        <rFont val="Linux Libertine G"/>
        <family val="2"/>
      </rPr>
      <t xml:space="preserve">（前面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后面）每有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个食物</t>
    </r>
  </si>
  <si>
    <r>
      <rPr>
        <sz val="11"/>
        <color theme="1"/>
        <rFont val="Linux Libertine G"/>
        <family val="2"/>
      </rPr>
      <t xml:space="preserve">周围每有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个食物，倍率</t>
    </r>
    <r>
      <rPr>
        <sz val="11"/>
        <color theme="1"/>
        <rFont val="宋体"/>
        <family val="0"/>
        <charset val="134"/>
      </rPr>
      <t xml:space="preserve">x1.2</t>
    </r>
    <r>
      <rPr>
        <sz val="11"/>
        <color theme="1"/>
        <rFont val="Linux Libertine G"/>
        <family val="2"/>
      </rPr>
      <t xml:space="preserve">。甜蜜传递至周围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个食物</t>
    </r>
  </si>
  <si>
    <t xml:space="preserve">种类</t>
  </si>
  <si>
    <t xml:space="preserve">空间相同检测</t>
  </si>
  <si>
    <r>
      <rPr>
        <sz val="11"/>
        <color theme="1"/>
        <rFont val="Linux Libertine G"/>
        <family val="2"/>
      </rPr>
      <t xml:space="preserve">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（种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个）相同的食物</t>
    </r>
  </si>
  <si>
    <r>
      <rPr>
        <sz val="11"/>
        <color theme="1"/>
        <rFont val="Linux Libertine G"/>
        <family val="2"/>
      </rPr>
      <t xml:space="preserve">获得周围食物的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个技能。每有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个技能，使蛋糕</t>
    </r>
    <r>
      <rPr>
        <sz val="11"/>
        <color theme="1"/>
        <rFont val="宋体"/>
        <family val="0"/>
        <charset val="134"/>
      </rPr>
      <t xml:space="preserve">+6</t>
    </r>
    <r>
      <rPr>
        <sz val="11"/>
        <color theme="1"/>
        <rFont val="Linux Libertine G"/>
        <family val="2"/>
      </rPr>
      <t xml:space="preserve">层</t>
    </r>
  </si>
  <si>
    <t xml:space="preserve">中后</t>
  </si>
  <si>
    <t xml:space="preserve">大局相同检测</t>
  </si>
  <si>
    <t xml:space="preserve">本局每结算过一次本种菜品</t>
  </si>
  <si>
    <r>
      <rPr>
        <sz val="11"/>
        <color theme="1"/>
        <rFont val="Linux Libertine G"/>
        <family val="2"/>
      </rPr>
      <t xml:space="preserve">倍率</t>
    </r>
    <r>
      <rPr>
        <sz val="11"/>
        <color theme="1"/>
        <rFont val="宋体"/>
        <family val="0"/>
        <charset val="134"/>
      </rPr>
      <t xml:space="preserve">x1.5</t>
    </r>
    <r>
      <rPr>
        <sz val="11"/>
        <color theme="1"/>
        <rFont val="Linux Libertine G"/>
        <family val="2"/>
      </rPr>
      <t xml:space="preserve">。技能额外结算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次</t>
    </r>
  </si>
  <si>
    <t xml:space="preserve">小局相同检测</t>
  </si>
  <si>
    <r>
      <rPr>
        <sz val="11"/>
        <color theme="1"/>
        <rFont val="Linux Libertine G"/>
        <family val="2"/>
      </rPr>
      <t xml:space="preserve">本次美食品鉴，每（结算过一次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有一个）本种菜品</t>
    </r>
  </si>
  <si>
    <t xml:space="preserve">标签</t>
  </si>
  <si>
    <t xml:space="preserve">标签检测</t>
  </si>
  <si>
    <r>
      <rPr>
        <sz val="11"/>
        <color theme="1"/>
        <rFont val="Linux Libertine G"/>
        <family val="2"/>
      </rPr>
      <t xml:space="preserve">本食物每有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（种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个）技能</t>
    </r>
  </si>
  <si>
    <r>
      <rPr>
        <sz val="11"/>
        <color theme="1"/>
        <rFont val="Linux Libertine G"/>
        <family val="2"/>
      </rPr>
      <t xml:space="preserve">分数永久</t>
    </r>
    <r>
      <rPr>
        <sz val="11"/>
        <color theme="1"/>
        <rFont val="宋体"/>
        <family val="0"/>
        <charset val="134"/>
      </rPr>
      <t xml:space="preserve">+10</t>
    </r>
    <r>
      <rPr>
        <sz val="11"/>
        <color theme="1"/>
        <rFont val="Linux Libertine G"/>
        <family val="2"/>
      </rPr>
      <t xml:space="preserve">。甜蜜传递至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个食物</t>
    </r>
  </si>
  <si>
    <t xml:space="preserve">永久乘分数</t>
  </si>
  <si>
    <t xml:space="preserve">形状检测</t>
  </si>
  <si>
    <r>
      <rPr>
        <sz val="11"/>
        <color theme="1"/>
        <rFont val="Linux Libertine G"/>
        <family val="2"/>
      </rPr>
      <t xml:space="preserve">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（种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个）</t>
    </r>
    <r>
      <rPr>
        <sz val="11"/>
        <color theme="1"/>
        <rFont val="宋体"/>
        <family val="0"/>
        <charset val="134"/>
      </rPr>
      <t xml:space="preserve">1*1</t>
    </r>
    <r>
      <rPr>
        <sz val="11"/>
        <color theme="1"/>
        <rFont val="Linux Libertine G"/>
        <family val="2"/>
      </rPr>
      <t xml:space="preserve">的食物</t>
    </r>
  </si>
  <si>
    <r>
      <rPr>
        <sz val="11"/>
        <color theme="1"/>
        <rFont val="Linux Libertine G"/>
        <family val="2"/>
      </rPr>
      <t xml:space="preserve">若（周围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全部）存在</t>
    </r>
    <r>
      <rPr>
        <sz val="11"/>
        <color theme="1"/>
        <rFont val="宋体"/>
        <family val="0"/>
        <charset val="134"/>
      </rPr>
      <t xml:space="preserve">xx</t>
    </r>
    <r>
      <rPr>
        <sz val="11"/>
        <color theme="1"/>
        <rFont val="Linux Libertine G"/>
        <family val="2"/>
      </rPr>
      <t xml:space="preserve">形状的空格</t>
    </r>
  </si>
  <si>
    <r>
      <rPr>
        <sz val="11"/>
        <color theme="1"/>
        <rFont val="Linux Libertine G"/>
        <family val="2"/>
      </rPr>
      <t xml:space="preserve">技能额外结算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次。甜蜜传递至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个周围食物</t>
    </r>
  </si>
  <si>
    <t xml:space="preserve">上菜</t>
  </si>
  <si>
    <t xml:space="preserve">上菜时检测</t>
  </si>
  <si>
    <r>
      <rPr>
        <sz val="11"/>
        <color theme="1"/>
        <rFont val="Linux Libertine G"/>
        <family val="2"/>
      </rPr>
      <t xml:space="preserve">上菜时，（同行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全部）每有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（种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个）食物</t>
    </r>
  </si>
  <si>
    <t xml:space="preserve">上菜检测</t>
  </si>
  <si>
    <t xml:space="preserve">上菜时</t>
  </si>
  <si>
    <r>
      <rPr>
        <sz val="11"/>
        <color theme="1"/>
        <rFont val="Linux Libertine G"/>
        <family val="2"/>
      </rPr>
      <t xml:space="preserve">视为</t>
    </r>
    <r>
      <rPr>
        <sz val="11"/>
        <color theme="1"/>
        <rFont val="宋体"/>
        <family val="0"/>
        <charset val="134"/>
      </rPr>
      <t xml:space="preserve">4</t>
    </r>
    <r>
      <rPr>
        <sz val="11"/>
        <color theme="1"/>
        <rFont val="Linux Libertine G"/>
        <family val="2"/>
      </rPr>
      <t xml:space="preserve">个食物，每有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个食物，倍率</t>
    </r>
    <r>
      <rPr>
        <sz val="11"/>
        <color theme="1"/>
        <rFont val="宋体"/>
        <family val="0"/>
        <charset val="134"/>
      </rPr>
      <t xml:space="preserve">+0.2</t>
    </r>
  </si>
  <si>
    <t xml:space="preserve">菜谱</t>
  </si>
  <si>
    <t xml:space="preserve">菜谱检测</t>
  </si>
  <si>
    <r>
      <rPr>
        <sz val="11"/>
        <color theme="1"/>
        <rFont val="Linux Libertine G"/>
        <family val="2"/>
      </rPr>
      <t xml:space="preserve">菜谱中食物（大于等于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小于等于）</t>
    </r>
    <r>
      <rPr>
        <sz val="11"/>
        <color theme="1"/>
        <rFont val="宋体"/>
        <family val="0"/>
        <charset val="134"/>
      </rPr>
      <t xml:space="preserve">3</t>
    </r>
    <r>
      <rPr>
        <sz val="11"/>
        <color theme="1"/>
        <rFont val="Linux Libertine G"/>
        <family val="2"/>
      </rPr>
      <t xml:space="preserve">（种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个）时</t>
    </r>
  </si>
  <si>
    <r>
      <rPr>
        <sz val="11"/>
        <color theme="1"/>
        <rFont val="Linux Libertine G"/>
        <family val="2"/>
      </rPr>
      <t xml:space="preserve">周围食物倍率</t>
    </r>
    <r>
      <rPr>
        <sz val="11"/>
        <color theme="1"/>
        <rFont val="宋体"/>
        <family val="0"/>
        <charset val="134"/>
      </rPr>
      <t xml:space="preserve">+5</t>
    </r>
    <r>
      <rPr>
        <sz val="11"/>
        <color theme="1"/>
        <rFont val="Linux Libertine G"/>
        <family val="2"/>
      </rPr>
      <t xml:space="preserve">。甜蜜传递至</t>
    </r>
    <r>
      <rPr>
        <sz val="11"/>
        <color theme="1"/>
        <rFont val="宋体"/>
        <family val="0"/>
        <charset val="134"/>
      </rPr>
      <t xml:space="preserve">3</t>
    </r>
    <r>
      <rPr>
        <sz val="11"/>
        <color theme="1"/>
        <rFont val="Linux Libertine G"/>
        <family val="2"/>
      </rPr>
      <t xml:space="preserve">个食物</t>
    </r>
  </si>
  <si>
    <t xml:space="preserve">倍率</t>
  </si>
  <si>
    <t xml:space="preserve">特定种类检测</t>
  </si>
  <si>
    <r>
      <rPr>
        <sz val="11"/>
        <color theme="1"/>
        <rFont val="Linux Libertine G"/>
        <family val="2"/>
      </rPr>
      <t xml:space="preserve">带有“蛋糕”的食物数量达到</t>
    </r>
    <r>
      <rPr>
        <sz val="11"/>
        <color theme="1"/>
        <rFont val="宋体"/>
        <family val="0"/>
        <charset val="134"/>
      </rPr>
      <t xml:space="preserve">4</t>
    </r>
    <r>
      <rPr>
        <sz val="11"/>
        <color theme="1"/>
        <rFont val="Linux Libertine G"/>
        <family val="2"/>
      </rPr>
      <t xml:space="preserve">（种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个）时</t>
    </r>
  </si>
  <si>
    <r>
      <rPr>
        <sz val="11"/>
        <color theme="1"/>
        <rFont val="Linux Libertine G"/>
        <family val="2"/>
      </rPr>
      <t xml:space="preserve">消耗</t>
    </r>
    <r>
      <rPr>
        <sz val="11"/>
        <color theme="1"/>
        <rFont val="宋体"/>
        <family val="0"/>
        <charset val="134"/>
      </rPr>
      <t xml:space="preserve">10</t>
    </r>
    <r>
      <rPr>
        <sz val="11"/>
        <color theme="1"/>
        <rFont val="Linux Libertine G"/>
        <family val="2"/>
      </rPr>
      <t xml:space="preserve">层欢乐蛋糕，倍率</t>
    </r>
    <r>
      <rPr>
        <sz val="11"/>
        <color theme="1"/>
        <rFont val="宋体"/>
        <family val="0"/>
        <charset val="134"/>
      </rPr>
      <t xml:space="preserve">+5</t>
    </r>
  </si>
  <si>
    <t xml:space="preserve">传递检测</t>
  </si>
  <si>
    <r>
      <rPr>
        <sz val="11"/>
        <color theme="1"/>
        <rFont val="Linux Libertine G"/>
        <family val="2"/>
      </rPr>
      <t xml:space="preserve">本食物每有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个被传递的技能</t>
    </r>
  </si>
  <si>
    <t xml:space="preserve">本食物有被传递的技能时</t>
  </si>
  <si>
    <t xml:space="preserve">传递次数检测</t>
  </si>
  <si>
    <r>
      <rPr>
        <sz val="11"/>
        <color theme="1"/>
        <rFont val="Linux Libertine G"/>
        <family val="2"/>
      </rPr>
      <t xml:space="preserve">本局传递次数达到</t>
    </r>
    <r>
      <rPr>
        <sz val="11"/>
        <color theme="1"/>
        <rFont val="宋体"/>
        <family val="0"/>
        <charset val="134"/>
      </rPr>
      <t xml:space="preserve">10</t>
    </r>
    <r>
      <rPr>
        <sz val="11"/>
        <color theme="1"/>
        <rFont val="Linux Libertine G"/>
        <family val="2"/>
      </rPr>
      <t xml:space="preserve">次时</t>
    </r>
  </si>
  <si>
    <r>
      <rPr>
        <sz val="11"/>
        <color theme="1"/>
        <rFont val="Linux Libertine G"/>
        <family val="2"/>
      </rPr>
      <t xml:space="preserve">同列食物倍率</t>
    </r>
    <r>
      <rPr>
        <sz val="11"/>
        <color theme="1"/>
        <rFont val="宋体"/>
        <family val="0"/>
        <charset val="134"/>
      </rPr>
      <t xml:space="preserve">+3</t>
    </r>
    <r>
      <rPr>
        <sz val="11"/>
        <color theme="1"/>
        <rFont val="Linux Libertine G"/>
        <family val="2"/>
      </rPr>
      <t xml:space="preserve">。甜蜜传递至同行</t>
    </r>
    <r>
      <rPr>
        <sz val="11"/>
        <color theme="1"/>
        <rFont val="宋体"/>
        <family val="0"/>
        <charset val="134"/>
      </rPr>
      <t xml:space="preserve">3</t>
    </r>
    <r>
      <rPr>
        <sz val="11"/>
        <color theme="1"/>
        <rFont val="Linux Libertine G"/>
        <family val="2"/>
      </rPr>
      <t xml:space="preserve">个食物</t>
    </r>
  </si>
  <si>
    <t xml:space="preserve">蛋糕</t>
  </si>
  <si>
    <t xml:space="preserve">层数检测</t>
  </si>
  <si>
    <r>
      <rPr>
        <sz val="11"/>
        <color theme="1"/>
        <rFont val="Linux Libertine G"/>
        <family val="2"/>
      </rPr>
      <t xml:space="preserve">欢乐蛋糕层数小于等于</t>
    </r>
    <r>
      <rPr>
        <sz val="11"/>
        <color theme="1"/>
        <rFont val="宋体"/>
        <family val="0"/>
        <charset val="134"/>
      </rPr>
      <t xml:space="preserve">10</t>
    </r>
    <r>
      <rPr>
        <sz val="11"/>
        <color theme="1"/>
        <rFont val="Linux Libertine G"/>
        <family val="2"/>
      </rPr>
      <t xml:space="preserve">层时</t>
    </r>
  </si>
  <si>
    <t xml:space="preserve">状态</t>
  </si>
  <si>
    <t xml:space="preserve">特殊状态检测</t>
  </si>
  <si>
    <r>
      <rPr>
        <sz val="11"/>
        <color theme="1"/>
        <rFont val="Linux Libertine G"/>
        <family val="2"/>
      </rPr>
      <t xml:space="preserve">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空）有</t>
    </r>
    <r>
      <rPr>
        <sz val="11"/>
        <color theme="1"/>
        <rFont val="宋体"/>
        <family val="0"/>
        <charset val="134"/>
      </rPr>
      <t xml:space="preserve">n</t>
    </r>
    <r>
      <rPr>
        <sz val="11"/>
        <color theme="1"/>
        <rFont val="Linux Libertine G"/>
        <family val="2"/>
      </rPr>
      <t xml:space="preserve">个（失效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消耗）的食物时</t>
    </r>
  </si>
  <si>
    <r>
      <rPr>
        <sz val="11"/>
        <color theme="1"/>
        <rFont val="Linux Libertine G"/>
        <family val="2"/>
      </rPr>
      <t xml:space="preserve">蛋糕</t>
    </r>
    <r>
      <rPr>
        <sz val="11"/>
        <color theme="1"/>
        <rFont val="宋体"/>
        <family val="0"/>
        <charset val="134"/>
      </rPr>
      <t xml:space="preserve">x1.5</t>
    </r>
    <r>
      <rPr>
        <sz val="11"/>
        <color theme="1"/>
        <rFont val="Linux Libertine G"/>
        <family val="2"/>
      </rPr>
      <t xml:space="preserve">层，至少</t>
    </r>
    <r>
      <rPr>
        <sz val="11"/>
        <color theme="1"/>
        <rFont val="宋体"/>
        <family val="0"/>
        <charset val="134"/>
      </rPr>
      <t xml:space="preserve">+5</t>
    </r>
    <r>
      <rPr>
        <sz val="11"/>
        <color theme="1"/>
        <rFont val="Linux Libertine G"/>
        <family val="2"/>
      </rPr>
      <t xml:space="preserve">层</t>
    </r>
  </si>
  <si>
    <r>
      <rPr>
        <sz val="11"/>
        <color theme="1"/>
        <rFont val="Linux Libertine G"/>
        <family val="2"/>
      </rPr>
      <t xml:space="preserve">同行食物达「</t>
    </r>
    <r>
      <rPr>
        <sz val="11"/>
        <color theme="1"/>
        <rFont val="宋体"/>
        <family val="0"/>
        <charset val="134"/>
      </rPr>
      <t xml:space="preserve">5/15/25</t>
    </r>
    <r>
      <rPr>
        <sz val="11"/>
        <color theme="1"/>
        <rFont val="Linux Libertine G"/>
        <family val="2"/>
      </rPr>
      <t xml:space="preserve">」个时，同行食物倍率</t>
    </r>
    <r>
      <rPr>
        <sz val="11"/>
        <color theme="1"/>
        <rFont val="宋体"/>
        <family val="0"/>
        <charset val="134"/>
      </rPr>
      <t xml:space="preserve">x</t>
    </r>
    <r>
      <rPr>
        <sz val="11"/>
        <color theme="1"/>
        <rFont val="Linux Libertine G"/>
        <family val="2"/>
      </rPr>
      <t xml:space="preserve">「</t>
    </r>
    <r>
      <rPr>
        <sz val="11"/>
        <color theme="1"/>
        <rFont val="宋体"/>
        <family val="0"/>
        <charset val="134"/>
      </rPr>
      <t xml:space="preserve">1.5/2.5/5</t>
    </r>
    <r>
      <rPr>
        <sz val="11"/>
        <color theme="1"/>
        <rFont val="Linux Libertine G"/>
        <family val="2"/>
      </rPr>
      <t xml:space="preserve">」</t>
    </r>
  </si>
  <si>
    <t xml:space="preserve">层数消耗</t>
  </si>
  <si>
    <r>
      <rPr>
        <sz val="11"/>
        <color theme="1"/>
        <rFont val="Linux Libertine G"/>
        <family val="2"/>
      </rPr>
      <t xml:space="preserve">消耗（</t>
    </r>
    <r>
      <rPr>
        <sz val="11"/>
        <color theme="1"/>
        <rFont val="宋体"/>
        <family val="0"/>
        <charset val="134"/>
      </rPr>
      <t xml:space="preserve">5</t>
    </r>
    <r>
      <rPr>
        <sz val="11"/>
        <color theme="1"/>
        <rFont val="Linux Libertine G"/>
        <family val="2"/>
      </rPr>
      <t xml:space="preserve">层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所有）欢乐蛋糕层数</t>
    </r>
  </si>
  <si>
    <t xml:space="preserve">层数转化分数</t>
  </si>
  <si>
    <r>
      <rPr>
        <sz val="11"/>
        <color theme="1"/>
        <rFont val="Linux Libertine G"/>
        <family val="2"/>
      </rPr>
      <t xml:space="preserve">每</t>
    </r>
    <r>
      <rPr>
        <sz val="11"/>
        <color theme="1"/>
        <rFont val="宋体"/>
        <family val="0"/>
        <charset val="134"/>
      </rPr>
      <t xml:space="preserve">10</t>
    </r>
    <r>
      <rPr>
        <sz val="11"/>
        <color theme="1"/>
        <rFont val="Linux Libertine G"/>
        <family val="2"/>
      </rPr>
      <t xml:space="preserve">层使（周围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下一个结算）（全部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随机两个）食物分数（</t>
    </r>
    <r>
      <rPr>
        <sz val="11"/>
        <color theme="1"/>
        <rFont val="宋体"/>
        <family val="0"/>
        <charset val="134"/>
      </rPr>
      <t xml:space="preserve">x1.5/+10</t>
    </r>
    <r>
      <rPr>
        <sz val="11"/>
        <color theme="1"/>
        <rFont val="Linux Libertine G"/>
        <family val="2"/>
      </rPr>
      <t xml:space="preserve">）</t>
    </r>
  </si>
  <si>
    <r>
      <rPr>
        <sz val="11"/>
        <color theme="1"/>
        <rFont val="Linux Libertine G"/>
        <family val="2"/>
      </rPr>
      <t xml:space="preserve">视为</t>
    </r>
    <r>
      <rPr>
        <sz val="11"/>
        <color theme="1"/>
        <rFont val="宋体"/>
        <family val="0"/>
        <charset val="134"/>
      </rPr>
      <t xml:space="preserve">5</t>
    </r>
    <r>
      <rPr>
        <sz val="11"/>
        <color theme="1"/>
        <rFont val="Linux Libertine G"/>
        <family val="2"/>
      </rPr>
      <t xml:space="preserve">个食物，复制周围食物的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个技能</t>
    </r>
  </si>
  <si>
    <t xml:space="preserve">层数转化结算</t>
  </si>
  <si>
    <r>
      <rPr>
        <sz val="11"/>
        <color theme="1"/>
        <rFont val="Linux Libertine G"/>
        <family val="2"/>
      </rPr>
      <t xml:space="preserve">每</t>
    </r>
    <r>
      <rPr>
        <sz val="11"/>
        <color theme="1"/>
        <rFont val="宋体"/>
        <family val="0"/>
        <charset val="134"/>
      </rPr>
      <t xml:space="preserve">10</t>
    </r>
    <r>
      <rPr>
        <sz val="11"/>
        <color theme="1"/>
        <rFont val="Linux Libertine G"/>
        <family val="2"/>
      </rPr>
      <t xml:space="preserve">层使（周围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下一个结算）（全部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随机两个）食物额外结算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次</t>
    </r>
  </si>
  <si>
    <t xml:space="preserve">层数增加</t>
  </si>
  <si>
    <r>
      <rPr>
        <sz val="11"/>
        <color theme="1"/>
        <rFont val="Linux Libertine G"/>
        <family val="2"/>
      </rPr>
      <t xml:space="preserve">欢乐蛋糕层数（</t>
    </r>
    <r>
      <rPr>
        <sz val="11"/>
        <color theme="1"/>
        <rFont val="宋体"/>
        <family val="0"/>
        <charset val="134"/>
      </rPr>
      <t xml:space="preserve">x1.5/+10</t>
    </r>
    <r>
      <rPr>
        <sz val="11"/>
        <color theme="1"/>
        <rFont val="Linux Libertine G"/>
        <family val="2"/>
      </rPr>
      <t xml:space="preserve">）</t>
    </r>
  </si>
  <si>
    <r>
      <rPr>
        <sz val="11"/>
        <color theme="1"/>
        <rFont val="Linux Libertine G"/>
        <family val="2"/>
      </rPr>
      <t xml:space="preserve">倍率</t>
    </r>
    <r>
      <rPr>
        <sz val="11"/>
        <color theme="1"/>
        <rFont val="宋体"/>
        <family val="0"/>
        <charset val="134"/>
      </rPr>
      <t xml:space="preserve">x3</t>
    </r>
    <r>
      <rPr>
        <sz val="11"/>
        <color theme="1"/>
        <rFont val="Linux Libertine G"/>
        <family val="2"/>
      </rPr>
      <t xml:space="preserve">。同行被填满时，视为</t>
    </r>
    <r>
      <rPr>
        <sz val="11"/>
        <color theme="1"/>
        <rFont val="宋体"/>
        <family val="0"/>
        <charset val="134"/>
      </rPr>
      <t xml:space="preserve">10</t>
    </r>
    <r>
      <rPr>
        <sz val="11"/>
        <color theme="1"/>
        <rFont val="Linux Libertine G"/>
        <family val="2"/>
      </rPr>
      <t xml:space="preserve">个食物</t>
    </r>
  </si>
  <si>
    <t xml:space="preserve">多次结算</t>
  </si>
  <si>
    <r>
      <rPr>
        <sz val="11"/>
        <color theme="1"/>
        <rFont val="Linux Libertine G"/>
        <family val="2"/>
      </rPr>
      <t xml:space="preserve">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全部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本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下一个结算）（随机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个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空）食物，（周围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全部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本）（随机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个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空）额外结算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次</t>
    </r>
  </si>
  <si>
    <r>
      <rPr>
        <sz val="11"/>
        <color theme="1"/>
        <rFont val="Linux Libertine G"/>
        <family val="2"/>
      </rPr>
      <t xml:space="preserve">同列食物额外被视为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个食物，倍率</t>
    </r>
    <r>
      <rPr>
        <sz val="11"/>
        <color theme="1"/>
        <rFont val="宋体"/>
        <family val="0"/>
        <charset val="134"/>
      </rPr>
      <t xml:space="preserve">+4</t>
    </r>
  </si>
  <si>
    <t xml:space="preserve">分数增加</t>
  </si>
  <si>
    <r>
      <rPr>
        <sz val="11"/>
        <color theme="1"/>
        <rFont val="Linux Libertine G"/>
        <family val="2"/>
      </rPr>
      <t xml:space="preserve">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下一个结算）（全部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随机两个）食物分数（</t>
    </r>
    <r>
      <rPr>
        <sz val="11"/>
        <color theme="1"/>
        <rFont val="宋体"/>
        <family val="0"/>
        <charset val="134"/>
      </rPr>
      <t xml:space="preserve">x1.5/+10</t>
    </r>
    <r>
      <rPr>
        <sz val="11"/>
        <color theme="1"/>
        <rFont val="Linux Libertine G"/>
        <family val="2"/>
      </rPr>
      <t xml:space="preserve">）</t>
    </r>
  </si>
  <si>
    <t xml:space="preserve">分数传递</t>
  </si>
  <si>
    <r>
      <rPr>
        <sz val="11"/>
        <color theme="1"/>
        <rFont val="Linux Libertine G"/>
        <family val="2"/>
      </rPr>
      <t xml:space="preserve">将（所有</t>
    </r>
    <r>
      <rPr>
        <sz val="11"/>
        <color theme="1"/>
        <rFont val="宋体"/>
        <family val="0"/>
        <charset val="134"/>
      </rPr>
      <t xml:space="preserve">/1</t>
    </r>
    <r>
      <rPr>
        <sz val="11"/>
        <color theme="1"/>
        <rFont val="Linux Libertine G"/>
        <family val="2"/>
      </rPr>
      <t xml:space="preserve">个）（周围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任意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下一个结算）食物分数（的</t>
    </r>
    <r>
      <rPr>
        <sz val="11"/>
        <color theme="1"/>
        <rFont val="宋体"/>
        <family val="0"/>
        <charset val="134"/>
      </rPr>
      <t xml:space="preserve">1/3</t>
    </r>
    <r>
      <rPr>
        <sz val="11"/>
        <color theme="1"/>
        <rFont val="Linux Libertine G"/>
        <family val="2"/>
      </rPr>
      <t xml:space="preserve">），加至（本</t>
    </r>
    <r>
      <rPr>
        <sz val="11"/>
        <color theme="1"/>
        <rFont val="宋体"/>
        <family val="0"/>
        <charset val="134"/>
      </rPr>
      <t xml:space="preserve">/n</t>
    </r>
    <r>
      <rPr>
        <sz val="11"/>
        <color theme="1"/>
        <rFont val="Linux Libertine G"/>
        <family val="2"/>
      </rPr>
      <t xml:space="preserve">个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所有）（同列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任意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下一个结算）食物上</t>
    </r>
  </si>
  <si>
    <r>
      <rPr>
        <sz val="11"/>
        <color theme="1"/>
        <rFont val="Linux Libertine G"/>
        <family val="2"/>
      </rPr>
      <t xml:space="preserve">分数永久</t>
    </r>
    <r>
      <rPr>
        <sz val="11"/>
        <color theme="1"/>
        <rFont val="宋体"/>
        <family val="0"/>
        <charset val="134"/>
      </rPr>
      <t xml:space="preserve">+10</t>
    </r>
    <r>
      <rPr>
        <sz val="11"/>
        <color theme="1"/>
        <rFont val="Linux Libertine G"/>
        <family val="2"/>
      </rPr>
      <t xml:space="preserve">，将分数加到所有蛋糕上</t>
    </r>
  </si>
  <si>
    <t xml:space="preserve">经济运营</t>
  </si>
  <si>
    <r>
      <rPr>
        <sz val="11"/>
        <color theme="1"/>
        <rFont val="Linux Libertine G"/>
        <family val="2"/>
      </rPr>
      <t xml:space="preserve">获得</t>
    </r>
    <r>
      <rPr>
        <sz val="11"/>
        <color theme="1"/>
        <rFont val="宋体"/>
        <family val="0"/>
        <charset val="134"/>
      </rPr>
      <t xml:space="preserve">5</t>
    </r>
    <r>
      <rPr>
        <sz val="11"/>
        <color theme="1"/>
        <rFont val="Linux Libertine G"/>
        <family val="2"/>
      </rPr>
      <t xml:space="preserve">个金币</t>
    </r>
  </si>
  <si>
    <t xml:space="preserve">临时复制</t>
  </si>
  <si>
    <r>
      <rPr>
        <sz val="11"/>
        <color theme="1"/>
        <rFont val="Linux Libertine G"/>
        <family val="2"/>
      </rPr>
      <t xml:space="preserve">临时复制（周围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下一个结算）（全部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随机两个）食物的到空格中</t>
    </r>
  </si>
  <si>
    <r>
      <rPr>
        <sz val="11"/>
        <color theme="1"/>
        <rFont val="Linux Libertine G"/>
        <family val="2"/>
      </rPr>
      <t xml:space="preserve">蛋糕层数</t>
    </r>
    <r>
      <rPr>
        <sz val="11"/>
        <color theme="1"/>
        <rFont val="宋体"/>
        <family val="0"/>
        <charset val="134"/>
      </rPr>
      <t xml:space="preserve">+15</t>
    </r>
    <r>
      <rPr>
        <sz val="11"/>
        <color theme="1"/>
        <rFont val="Linux Libertine G"/>
        <family val="2"/>
      </rPr>
      <t xml:space="preserve">，倍率</t>
    </r>
    <r>
      <rPr>
        <sz val="11"/>
        <color theme="1"/>
        <rFont val="宋体"/>
        <family val="0"/>
        <charset val="134"/>
      </rPr>
      <t xml:space="preserve">+5</t>
    </r>
  </si>
  <si>
    <t xml:space="preserve">分数永久增长</t>
  </si>
  <si>
    <r>
      <rPr>
        <sz val="11"/>
        <color theme="1"/>
        <rFont val="Linux Libertine G"/>
        <family val="2"/>
      </rPr>
      <t xml:space="preserve">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下一个结算）（全部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随机两个）食物的分数永久（</t>
    </r>
    <r>
      <rPr>
        <sz val="11"/>
        <color theme="1"/>
        <rFont val="宋体"/>
        <family val="0"/>
        <charset val="134"/>
      </rPr>
      <t xml:space="preserve">x1.5/+10</t>
    </r>
    <r>
      <rPr>
        <sz val="11"/>
        <color theme="1"/>
        <rFont val="Linux Libertine G"/>
        <family val="2"/>
      </rPr>
      <t xml:space="preserve">）分</t>
    </r>
  </si>
  <si>
    <t xml:space="preserve">消耗食物</t>
  </si>
  <si>
    <r>
      <rPr>
        <sz val="11"/>
        <color theme="1"/>
        <rFont val="Linux Libertine G"/>
        <family val="2"/>
      </rPr>
      <t xml:space="preserve">消耗（周围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全部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本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下一个结算）（随机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个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空）食物</t>
    </r>
  </si>
  <si>
    <r>
      <rPr>
        <sz val="11"/>
        <color theme="1"/>
        <rFont val="Linux Libertine G"/>
        <family val="2"/>
      </rPr>
      <t xml:space="preserve">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个技能，倍率</t>
    </r>
    <r>
      <rPr>
        <sz val="11"/>
        <color theme="1"/>
        <rFont val="宋体"/>
        <family val="0"/>
        <charset val="134"/>
      </rPr>
      <t xml:space="preserve">+5</t>
    </r>
    <r>
      <rPr>
        <sz val="11"/>
        <color theme="1"/>
        <rFont val="Linux Libertine G"/>
        <family val="2"/>
      </rPr>
      <t xml:space="preserve">。甜蜜传递至同列食物</t>
    </r>
  </si>
  <si>
    <t xml:space="preserve">技能复制</t>
  </si>
  <si>
    <r>
      <rPr>
        <sz val="11"/>
        <color theme="1"/>
        <rFont val="Linux Libertine G"/>
        <family val="2"/>
      </rPr>
      <t xml:space="preserve">复制（周围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全部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本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下一个结算）（随机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个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空）食物的任意一个技能</t>
    </r>
  </si>
  <si>
    <t xml:space="preserve">技能获得</t>
  </si>
  <si>
    <r>
      <rPr>
        <sz val="11"/>
        <color theme="1"/>
        <rFont val="Linux Libertine G"/>
        <family val="2"/>
      </rPr>
      <t xml:space="preserve">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全部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本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下一个结算）（随机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个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空）食物获得技能</t>
    </r>
  </si>
  <si>
    <r>
      <rPr>
        <sz val="11"/>
        <color theme="1"/>
        <rFont val="Linux Libertine G"/>
        <family val="2"/>
      </rPr>
      <t xml:space="preserve">视为</t>
    </r>
    <r>
      <rPr>
        <sz val="11"/>
        <color theme="1"/>
        <rFont val="宋体"/>
        <family val="0"/>
        <charset val="134"/>
      </rPr>
      <t xml:space="preserve">10</t>
    </r>
    <r>
      <rPr>
        <sz val="11"/>
        <color theme="1"/>
        <rFont val="Linux Libertine G"/>
        <family val="2"/>
      </rPr>
      <t xml:space="preserve">个食物，周围每有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个食物，倍率</t>
    </r>
    <r>
      <rPr>
        <sz val="11"/>
        <color theme="1"/>
        <rFont val="宋体"/>
        <family val="0"/>
        <charset val="134"/>
      </rPr>
      <t xml:space="preserve">x1.2</t>
    </r>
  </si>
  <si>
    <t xml:space="preserve">后</t>
  </si>
  <si>
    <t xml:space="preserve">失效食物</t>
  </si>
  <si>
    <r>
      <rPr>
        <sz val="11"/>
        <color theme="1"/>
        <rFont val="Linux Libertine G"/>
        <family val="2"/>
      </rPr>
      <t xml:space="preserve">使（周围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全部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本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下一个结算）（随机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个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空）食物技能在本局失效</t>
    </r>
  </si>
  <si>
    <t xml:space="preserve">多数菜</t>
  </si>
  <si>
    <r>
      <rPr>
        <sz val="11"/>
        <color theme="1"/>
        <rFont val="Linux Libertine G"/>
        <family val="2"/>
      </rPr>
      <t xml:space="preserve">本菜视为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Linux Libertine G"/>
        <family val="2"/>
      </rPr>
      <t xml:space="preserve">种菜</t>
    </r>
  </si>
  <si>
    <r>
      <rPr>
        <sz val="11"/>
        <color theme="1"/>
        <rFont val="Linux Libertine G"/>
        <family val="2"/>
      </rPr>
      <t xml:space="preserve">视为</t>
    </r>
    <r>
      <rPr>
        <sz val="11"/>
        <color theme="1"/>
        <rFont val="宋体"/>
        <family val="0"/>
        <charset val="134"/>
      </rPr>
      <t xml:space="preserve">5</t>
    </r>
    <r>
      <rPr>
        <sz val="11"/>
        <color theme="1"/>
        <rFont val="Linux Libertine G"/>
        <family val="2"/>
      </rPr>
      <t xml:space="preserve">个食物，同列食物倍率</t>
    </r>
    <r>
      <rPr>
        <sz val="11"/>
        <color theme="1"/>
        <rFont val="宋体"/>
        <family val="0"/>
        <charset val="134"/>
      </rPr>
      <t xml:space="preserve">x2</t>
    </r>
  </si>
  <si>
    <r>
      <rPr>
        <sz val="11"/>
        <color theme="1"/>
        <rFont val="Linux Libertine G"/>
        <family val="2"/>
      </rPr>
      <t xml:space="preserve">蛋糕层数</t>
    </r>
    <r>
      <rPr>
        <sz val="11"/>
        <color theme="1"/>
        <rFont val="宋体"/>
        <family val="0"/>
        <charset val="134"/>
      </rPr>
      <t xml:space="preserve">+20</t>
    </r>
    <r>
      <rPr>
        <sz val="11"/>
        <color theme="1"/>
        <rFont val="Linux Libertine G"/>
        <family val="2"/>
      </rPr>
      <t xml:space="preserve">，所有食物倍率</t>
    </r>
    <r>
      <rPr>
        <sz val="11"/>
        <color theme="1"/>
        <rFont val="宋体"/>
        <family val="0"/>
        <charset val="134"/>
      </rPr>
      <t xml:space="preserve">+0.5</t>
    </r>
  </si>
  <si>
    <r>
      <rPr>
        <sz val="11"/>
        <color theme="1"/>
        <rFont val="Linux Libertine G"/>
        <family val="2"/>
      </rPr>
      <t xml:space="preserve">视为</t>
    </r>
    <r>
      <rPr>
        <sz val="11"/>
        <color theme="1"/>
        <rFont val="宋体"/>
        <family val="0"/>
        <charset val="134"/>
      </rPr>
      <t xml:space="preserve">8</t>
    </r>
    <r>
      <rPr>
        <sz val="11"/>
        <color theme="1"/>
        <rFont val="Linux Libertine G"/>
        <family val="2"/>
      </rPr>
      <t xml:space="preserve">个食物，复制周围的两个技能</t>
    </r>
  </si>
  <si>
    <r>
      <rPr>
        <sz val="11"/>
        <color theme="1"/>
        <rFont val="Linux Libertine G"/>
        <family val="2"/>
      </rPr>
      <t xml:space="preserve">倍率</t>
    </r>
    <r>
      <rPr>
        <sz val="11"/>
        <color theme="1"/>
        <rFont val="宋体"/>
        <family val="0"/>
        <charset val="134"/>
      </rPr>
      <t xml:space="preserve">+5</t>
    </r>
    <r>
      <rPr>
        <sz val="11"/>
        <color theme="1"/>
        <rFont val="Linux Libertine G"/>
        <family val="2"/>
      </rPr>
      <t xml:space="preserve">，将倍率加到所有蛋糕上</t>
    </r>
  </si>
  <si>
    <r>
      <rPr>
        <sz val="11"/>
        <color theme="1"/>
        <rFont val="Linux Libertine G"/>
        <family val="2"/>
      </rPr>
      <t xml:space="preserve">同行每有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个食物，周围食物倍率</t>
    </r>
    <r>
      <rPr>
        <sz val="11"/>
        <color theme="1"/>
        <rFont val="宋体"/>
        <family val="0"/>
        <charset val="134"/>
      </rPr>
      <t xml:space="preserve">+0.3</t>
    </r>
  </si>
  <si>
    <r>
      <rPr>
        <sz val="11"/>
        <color theme="1"/>
        <rFont val="Linux Libertine G"/>
        <family val="2"/>
      </rPr>
      <t xml:space="preserve">倍率</t>
    </r>
    <r>
      <rPr>
        <sz val="11"/>
        <color theme="1"/>
        <rFont val="宋体"/>
        <family val="0"/>
        <charset val="134"/>
      </rPr>
      <t xml:space="preserve">x2</t>
    </r>
    <r>
      <rPr>
        <sz val="11"/>
        <color theme="1"/>
        <rFont val="Linux Libertine G"/>
        <family val="2"/>
      </rPr>
      <t xml:space="preserve">。蛋糕数量达</t>
    </r>
    <r>
      <rPr>
        <sz val="11"/>
        <color theme="1"/>
        <rFont val="宋体"/>
        <family val="0"/>
        <charset val="134"/>
      </rPr>
      <t xml:space="preserve">3/5/8</t>
    </r>
    <r>
      <rPr>
        <sz val="11"/>
        <color theme="1"/>
        <rFont val="Linux Libertine G"/>
        <family val="2"/>
      </rPr>
      <t xml:space="preserve">时，蛋糕层数</t>
    </r>
    <r>
      <rPr>
        <sz val="11"/>
        <color theme="1"/>
        <rFont val="宋体"/>
        <family val="0"/>
        <charset val="134"/>
      </rPr>
      <t xml:space="preserve">+10/20/40</t>
    </r>
  </si>
  <si>
    <r>
      <rPr>
        <sz val="11"/>
        <color theme="1"/>
        <rFont val="Linux Libertine G"/>
        <family val="2"/>
      </rPr>
      <t xml:space="preserve">带有甜蜜传递的食物达「</t>
    </r>
    <r>
      <rPr>
        <sz val="11"/>
        <color theme="1"/>
        <rFont val="宋体"/>
        <family val="0"/>
        <charset val="134"/>
      </rPr>
      <t xml:space="preserve">3/5/8</t>
    </r>
    <r>
      <rPr>
        <sz val="11"/>
        <color theme="1"/>
        <rFont val="Linux Libertine G"/>
        <family val="2"/>
      </rPr>
      <t xml:space="preserve">」种，此类食物倍率</t>
    </r>
    <r>
      <rPr>
        <sz val="11"/>
        <color theme="1"/>
        <rFont val="宋体"/>
        <family val="0"/>
        <charset val="134"/>
      </rPr>
      <t xml:space="preserve">x</t>
    </r>
    <r>
      <rPr>
        <sz val="11"/>
        <color theme="1"/>
        <rFont val="Linux Libertine G"/>
        <family val="2"/>
      </rPr>
      <t xml:space="preserve">「</t>
    </r>
    <r>
      <rPr>
        <sz val="11"/>
        <color theme="1"/>
        <rFont val="宋体"/>
        <family val="0"/>
        <charset val="134"/>
      </rPr>
      <t xml:space="preserve">1.5/2.5/5</t>
    </r>
    <r>
      <rPr>
        <sz val="11"/>
        <color theme="1"/>
        <rFont val="Linux Libertine G"/>
        <family val="2"/>
      </rPr>
      <t xml:space="preserve">」</t>
    </r>
  </si>
  <si>
    <r>
      <rPr>
        <sz val="11"/>
        <color theme="1"/>
        <rFont val="Linux Libertine G"/>
        <family val="2"/>
      </rPr>
      <t xml:space="preserve">周围每有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种食物，蛋糕层数</t>
    </r>
    <r>
      <rPr>
        <sz val="11"/>
        <color theme="1"/>
        <rFont val="宋体"/>
        <family val="0"/>
        <charset val="134"/>
      </rPr>
      <t xml:space="preserve">+2</t>
    </r>
    <r>
      <rPr>
        <sz val="11"/>
        <color theme="1"/>
        <rFont val="Linux Libertine G"/>
        <family val="2"/>
      </rPr>
      <t xml:space="preserve">层</t>
    </r>
  </si>
  <si>
    <r>
      <rPr>
        <sz val="11"/>
        <color theme="1"/>
        <rFont val="Linux Libertine G"/>
        <family val="2"/>
      </rPr>
      <t xml:space="preserve">视为</t>
    </r>
    <r>
      <rPr>
        <sz val="11"/>
        <color theme="1"/>
        <rFont val="宋体"/>
        <family val="0"/>
        <charset val="134"/>
      </rPr>
      <t xml:space="preserve">4</t>
    </r>
    <r>
      <rPr>
        <sz val="11"/>
        <color theme="1"/>
        <rFont val="Linux Libertine G"/>
        <family val="2"/>
      </rPr>
      <t xml:space="preserve">个食物，周围食物倍率</t>
    </r>
    <r>
      <rPr>
        <sz val="11"/>
        <color theme="1"/>
        <rFont val="宋体"/>
        <family val="0"/>
        <charset val="134"/>
      </rPr>
      <t xml:space="preserve">x1.5</t>
    </r>
  </si>
  <si>
    <r>
      <rPr>
        <sz val="11"/>
        <color theme="1"/>
        <rFont val="Linux Libertine G"/>
        <family val="2"/>
      </rPr>
      <t xml:space="preserve">同列食物倍率</t>
    </r>
    <r>
      <rPr>
        <sz val="11"/>
        <color theme="1"/>
        <rFont val="宋体"/>
        <family val="0"/>
        <charset val="134"/>
      </rPr>
      <t xml:space="preserve">x1.4</t>
    </r>
    <r>
      <rPr>
        <sz val="11"/>
        <color theme="1"/>
        <rFont val="Linux Libertine G"/>
        <family val="2"/>
      </rPr>
      <t xml:space="preserve">。甜蜜传递至周围食物</t>
    </r>
  </si>
  <si>
    <t xml:space="preserve">同行同列带有甜蜜传递的食物，执行一次它们的甜蜜传递</t>
  </si>
  <si>
    <r>
      <rPr>
        <sz val="11"/>
        <color theme="1"/>
        <rFont val="Linux Libertine G"/>
        <family val="2"/>
      </rPr>
      <t xml:space="preserve">每有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Linux Libertine G"/>
        <family val="2"/>
      </rPr>
      <t xml:space="preserve">个技能，倍率</t>
    </r>
    <r>
      <rPr>
        <sz val="11"/>
        <color theme="1"/>
        <rFont val="宋体"/>
        <family val="0"/>
        <charset val="134"/>
      </rPr>
      <t xml:space="preserve">x1.5</t>
    </r>
    <r>
      <rPr>
        <sz val="11"/>
        <color theme="1"/>
        <rFont val="Linux Libertine G"/>
        <family val="2"/>
      </rPr>
      <t xml:space="preserve">。甜蜜传递至同行食物</t>
    </r>
  </si>
  <si>
    <r>
      <rPr>
        <sz val="11"/>
        <color theme="1"/>
        <rFont val="Linux Libertine G"/>
        <family val="2"/>
      </rPr>
      <t xml:space="preserve">获得</t>
    </r>
    <r>
      <rPr>
        <sz val="11"/>
        <color theme="1"/>
        <rFont val="宋体"/>
        <family val="0"/>
        <charset val="134"/>
      </rPr>
      <t xml:space="preserve">3</t>
    </r>
    <r>
      <rPr>
        <sz val="11"/>
        <color theme="1"/>
        <rFont val="Linux Libertine G"/>
        <family val="2"/>
      </rPr>
      <t xml:space="preserve">种不同的蛋糕技能</t>
    </r>
  </si>
  <si>
    <t xml:space="preserve">同列</t>
  </si>
  <si>
    <r>
      <rPr>
        <sz val="11"/>
        <color theme="1"/>
        <rFont val="Linux Libertine G"/>
        <family val="2"/>
      </rPr>
      <t xml:space="preserve">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</si>
  <si>
    <t xml:space="preserve">周围</t>
  </si>
  <si>
    <t xml:space="preserve">同行</t>
  </si>
  <si>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</si>
  <si>
    <r>
      <rPr>
        <sz val="11"/>
        <color theme="1"/>
        <rFont val="Linux Libertine G"/>
        <family val="2"/>
      </rPr>
      <t xml:space="preserve">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同列</t>
    </r>
  </si>
  <si>
    <r>
      <rPr>
        <sz val="11"/>
        <color theme="1"/>
        <rFont val="Linux Libertine G"/>
        <family val="2"/>
      </rPr>
      <t xml:space="preserve">周围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同行</t>
    </r>
  </si>
  <si>
    <r>
      <rPr>
        <sz val="11"/>
        <color theme="1"/>
        <rFont val="Linux Libertine G"/>
        <family val="2"/>
      </rPr>
      <t xml:space="preserve">同行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Linux Libertine G"/>
        <family val="2"/>
      </rPr>
      <t xml:space="preserve">周围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</si>
</sst>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theme="1"/>
      <name val="Linux Libertine G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宋体"/>
      <family val="0"/>
      <charset val="134"/>
    </font>
    <font>
      <sz val="12"/>
      <name val="Linux Libertine G"/>
      <family val="2"/>
    </font>
    <font>
      <sz val="12"/>
      <name val="宋体-简"/>
      <family val="0"/>
      <charset val="134"/>
    </font>
    <font>
      <sz val="12"/>
      <color rgb="FF101418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6"/>
        <bgColor rgb="FFFAC090"/>
      </patternFill>
    </fill>
    <fill>
      <patternFill patternType="solid">
        <fgColor theme="8" tint="0.8"/>
        <bgColor rgb="FFEBF1DE"/>
      </patternFill>
    </fill>
    <fill>
      <patternFill patternType="solid">
        <fgColor theme="7" tint="0.6"/>
        <bgColor rgb="FFE6E0EC"/>
      </patternFill>
    </fill>
    <fill>
      <patternFill patternType="solid">
        <fgColor theme="0" tint="-0.35"/>
        <bgColor rgb="FF9999FF"/>
      </patternFill>
    </fill>
    <fill>
      <patternFill patternType="solid">
        <fgColor theme="6" tint="0.8"/>
        <bgColor rgb="FFDBEEF4"/>
      </patternFill>
    </fill>
    <fill>
      <patternFill patternType="solid">
        <fgColor theme="7" tint="0.8"/>
        <bgColor rgb="FFDBEEF4"/>
      </patternFill>
    </fill>
    <fill>
      <patternFill patternType="solid">
        <fgColor theme="9" tint="0.4"/>
        <bgColor rgb="FFFCD5B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CD5B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BF1DE"/>
      <rgbColor rgb="FFDBEEF4"/>
      <rgbColor rgb="FF660066"/>
      <rgbColor rgb="FFFF8080"/>
      <rgbColor rgb="FF0066CC"/>
      <rgbColor rgb="FFE6E0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D5B5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10141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2" activeCellId="0" sqref="Q12"/>
    </sheetView>
  </sheetViews>
  <sheetFormatPr defaultColWidth="9.00390625" defaultRowHeight="16.5" customHeight="false" zeroHeight="false" outlineLevelRow="0" outlineLevelCol="0"/>
  <cols>
    <col collapsed="false" customWidth="true" hidden="false" outlineLevel="0" max="1" min="1" style="1" width="13.08"/>
    <col collapsed="false" customWidth="true" hidden="false" outlineLevel="0" max="2" min="2" style="1" width="14.16"/>
    <col collapsed="false" customWidth="true" hidden="false" outlineLevel="0" max="3" min="3" style="1" width="10.3"/>
    <col collapsed="false" customWidth="true" hidden="false" outlineLevel="0" max="4" min="4" style="1" width="13.46"/>
    <col collapsed="false" customWidth="true" hidden="false" outlineLevel="0" max="5" min="5" style="1" width="20"/>
    <col collapsed="false" customWidth="true" hidden="false" outlineLevel="0" max="6" min="6" style="1" width="21.15"/>
    <col collapsed="false" customWidth="true" hidden="false" outlineLevel="0" max="7" min="7" style="1" width="25.54"/>
    <col collapsed="false" customWidth="true" hidden="false" outlineLevel="0" max="8" min="8" style="1" width="20.08"/>
    <col collapsed="false" customWidth="true" hidden="false" outlineLevel="0" max="9" min="9" style="1" width="17.62"/>
    <col collapsed="false" customWidth="false" hidden="false" outlineLevel="0" max="11" min="10" style="1" width="9"/>
    <col collapsed="false" customWidth="true" hidden="false" outlineLevel="0" max="13" min="12" style="1" width="11.69"/>
    <col collapsed="false" customWidth="true" hidden="false" outlineLevel="0" max="15" min="14" style="1" width="6.89"/>
    <col collapsed="false" customWidth="true" hidden="false" outlineLevel="0" max="21" min="16" style="1" width="7.05"/>
    <col collapsed="false" customWidth="false" hidden="false" outlineLevel="0" max="16384" min="22" style="1" width="9"/>
  </cols>
  <sheetData>
    <row r="1" customFormat="false" ht="16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1" t="str">
        <f aca="false">""</f>
        <v/>
      </c>
    </row>
    <row r="2" customFormat="false" ht="16.5" hidden="false" customHeight="false" outlineLevel="0" collapsed="false">
      <c r="A2" s="2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 aca="false">""</f>
        <v/>
      </c>
    </row>
    <row r="3" customFormat="false" ht="16.5" hidden="false" customHeight="false" outlineLevel="0" collapsed="false">
      <c r="A3" s="2" t="s">
        <v>18</v>
      </c>
      <c r="B3" s="2" t="s">
        <v>19</v>
      </c>
      <c r="C3" s="2" t="s">
        <v>19</v>
      </c>
      <c r="D3" s="2" t="s">
        <v>20</v>
      </c>
      <c r="E3" s="2" t="s">
        <v>21</v>
      </c>
      <c r="F3" s="2" t="s">
        <v>19</v>
      </c>
      <c r="G3" s="2" t="s">
        <v>19</v>
      </c>
      <c r="H3" s="2" t="s">
        <v>20</v>
      </c>
      <c r="I3" s="2" t="s">
        <v>22</v>
      </c>
      <c r="K3" s="1" t="str">
        <f aca="false">""</f>
        <v/>
      </c>
    </row>
    <row r="4" customFormat="false" ht="16.5" hidden="false" customHeight="false" outlineLevel="0" collapsed="false">
      <c r="B4" s="2" t="s">
        <v>23</v>
      </c>
      <c r="C4" s="1" t="s">
        <v>24</v>
      </c>
      <c r="D4" s="1" t="n">
        <v>10</v>
      </c>
      <c r="E4" s="2" t="s">
        <v>25</v>
      </c>
      <c r="F4" s="2" t="s">
        <v>26</v>
      </c>
      <c r="H4" s="1" t="n">
        <v>1</v>
      </c>
      <c r="I4" s="2" t="s">
        <v>27</v>
      </c>
      <c r="K4" s="1" t="n">
        <v>1</v>
      </c>
      <c r="L4" s="1" t="str">
        <f aca="false">VLOOKUP(K4,$R$24:$U$29,3,FALSE())</f>
        <v>10,35</v>
      </c>
      <c r="M4" s="1" t="str">
        <f aca="false">VLOOKUP(K4,$R$24:$U$29,4,FALSE())</f>
        <v>35,60</v>
      </c>
      <c r="N4" s="1" t="n">
        <f aca="false">K4*10</f>
        <v>10</v>
      </c>
      <c r="O4" s="1" t="n">
        <f aca="false">ROUNDUP(N4*1.4+30,-1)</f>
        <v>50</v>
      </c>
    </row>
    <row r="5" customFormat="false" ht="16.5" hidden="false" customHeight="false" outlineLevel="0" collapsed="false">
      <c r="B5" s="2" t="s">
        <v>28</v>
      </c>
      <c r="C5" s="1" t="s">
        <v>29</v>
      </c>
      <c r="D5" s="1" t="n">
        <v>8</v>
      </c>
      <c r="E5" s="2" t="s">
        <v>25</v>
      </c>
      <c r="F5" s="2" t="s">
        <v>30</v>
      </c>
      <c r="H5" s="1" t="n">
        <v>1</v>
      </c>
      <c r="I5" s="2" t="s">
        <v>27</v>
      </c>
      <c r="K5" s="1" t="n">
        <v>1</v>
      </c>
      <c r="L5" s="1" t="str">
        <f aca="false">VLOOKUP(K5,$R$24:$U$29,3,FALSE())</f>
        <v>10,35</v>
      </c>
      <c r="M5" s="1" t="str">
        <f aca="false">VLOOKUP(K5,$R$24:$U$29,4,FALSE())</f>
        <v>35,60</v>
      </c>
      <c r="N5" s="1" t="n">
        <f aca="false">K5*10</f>
        <v>10</v>
      </c>
      <c r="O5" s="1" t="n">
        <f aca="false">ROUNDUP(N5*1.4+30,-1)</f>
        <v>50</v>
      </c>
    </row>
    <row r="6" customFormat="false" ht="16.5" hidden="false" customHeight="false" outlineLevel="0" collapsed="false">
      <c r="B6" s="2" t="s">
        <v>31</v>
      </c>
      <c r="C6" s="1" t="s">
        <v>32</v>
      </c>
      <c r="D6" s="1" t="n">
        <v>30</v>
      </c>
      <c r="E6" s="2" t="s">
        <v>25</v>
      </c>
      <c r="F6" s="2" t="s">
        <v>33</v>
      </c>
      <c r="H6" s="1" t="n">
        <v>1</v>
      </c>
      <c r="I6" s="2" t="s">
        <v>27</v>
      </c>
      <c r="K6" s="1" t="n">
        <v>1</v>
      </c>
      <c r="L6" s="1" t="str">
        <f aca="false">VLOOKUP(K6,$R$24:$U$29,3,FALSE())</f>
        <v>10,35</v>
      </c>
      <c r="M6" s="1" t="str">
        <f aca="false">VLOOKUP(K6,$R$24:$U$29,4,FALSE())</f>
        <v>35,60</v>
      </c>
      <c r="N6" s="1" t="n">
        <f aca="false">K6*10</f>
        <v>10</v>
      </c>
      <c r="O6" s="1" t="n">
        <f aca="false">ROUNDUP(N6*1.4+30,-1)</f>
        <v>50</v>
      </c>
    </row>
    <row r="7" customFormat="false" ht="16.5" hidden="false" customHeight="false" outlineLevel="0" collapsed="false">
      <c r="B7" s="2" t="s">
        <v>34</v>
      </c>
      <c r="C7" s="1" t="s">
        <v>35</v>
      </c>
      <c r="D7" s="1" t="n">
        <v>8</v>
      </c>
      <c r="E7" s="2" t="s">
        <v>25</v>
      </c>
      <c r="F7" s="2" t="s">
        <v>36</v>
      </c>
      <c r="H7" s="1" t="n">
        <v>1</v>
      </c>
      <c r="I7" s="2" t="s">
        <v>27</v>
      </c>
      <c r="K7" s="1" t="n">
        <v>1</v>
      </c>
      <c r="L7" s="1" t="str">
        <f aca="false">VLOOKUP(K7,$R$24:$U$29,3,FALSE())</f>
        <v>10,35</v>
      </c>
      <c r="M7" s="1" t="str">
        <f aca="false">VLOOKUP(K7,$R$24:$U$29,4,FALSE())</f>
        <v>35,60</v>
      </c>
      <c r="N7" s="1" t="n">
        <f aca="false">K7*10</f>
        <v>10</v>
      </c>
      <c r="O7" s="1" t="n">
        <f aca="false">ROUNDUP(N7*1.4+30,-1)</f>
        <v>50</v>
      </c>
    </row>
    <row r="8" customFormat="false" ht="16.5" hidden="false" customHeight="false" outlineLevel="0" collapsed="false">
      <c r="B8" s="2" t="s">
        <v>37</v>
      </c>
      <c r="C8" s="1" t="s">
        <v>38</v>
      </c>
      <c r="D8" s="1" t="n">
        <v>6</v>
      </c>
      <c r="E8" s="2" t="s">
        <v>25</v>
      </c>
      <c r="F8" s="2" t="s">
        <v>39</v>
      </c>
      <c r="H8" s="1" t="n">
        <v>1</v>
      </c>
      <c r="I8" s="2" t="s">
        <v>27</v>
      </c>
      <c r="K8" s="1" t="n">
        <v>1</v>
      </c>
      <c r="L8" s="1" t="str">
        <f aca="false">VLOOKUP(K8,$R$24:$U$29,3,FALSE())</f>
        <v>10,35</v>
      </c>
      <c r="M8" s="1" t="str">
        <f aca="false">VLOOKUP(K8,$R$24:$U$29,4,FALSE())</f>
        <v>35,60</v>
      </c>
      <c r="N8" s="1" t="n">
        <f aca="false">K8*10</f>
        <v>10</v>
      </c>
      <c r="O8" s="1" t="n">
        <f aca="false">ROUNDUP(N8*1.4+30,-1)</f>
        <v>50</v>
      </c>
    </row>
    <row r="9" customFormat="false" ht="16.5" hidden="false" customHeight="false" outlineLevel="0" collapsed="false">
      <c r="B9" s="2" t="s">
        <v>40</v>
      </c>
      <c r="C9" s="1" t="s">
        <v>41</v>
      </c>
      <c r="D9" s="1" t="n">
        <v>10</v>
      </c>
      <c r="E9" s="2" t="s">
        <v>25</v>
      </c>
      <c r="F9" s="2" t="s">
        <v>42</v>
      </c>
      <c r="H9" s="1" t="n">
        <v>1</v>
      </c>
      <c r="I9" s="2" t="s">
        <v>27</v>
      </c>
      <c r="K9" s="1" t="n">
        <v>1</v>
      </c>
      <c r="L9" s="1" t="str">
        <f aca="false">VLOOKUP(K9,$R$24:$U$29,3,FALSE())</f>
        <v>10,35</v>
      </c>
      <c r="M9" s="1" t="str">
        <f aca="false">VLOOKUP(K9,$R$24:$U$29,4,FALSE())</f>
        <v>35,60</v>
      </c>
      <c r="N9" s="1" t="n">
        <f aca="false">K9*10</f>
        <v>10</v>
      </c>
      <c r="O9" s="1" t="n">
        <f aca="false">ROUNDUP(N9*1.4+30,-1)</f>
        <v>50</v>
      </c>
    </row>
    <row r="10" customFormat="false" ht="16.5" hidden="false" customHeight="false" outlineLevel="0" collapsed="false">
      <c r="B10" s="2" t="s">
        <v>43</v>
      </c>
      <c r="C10" s="1" t="s">
        <v>44</v>
      </c>
      <c r="D10" s="1" t="n">
        <v>6</v>
      </c>
      <c r="E10" s="2" t="s">
        <v>25</v>
      </c>
      <c r="F10" s="2" t="s">
        <v>45</v>
      </c>
      <c r="H10" s="1" t="n">
        <v>1</v>
      </c>
      <c r="I10" s="2" t="s">
        <v>27</v>
      </c>
      <c r="K10" s="1" t="n">
        <v>1</v>
      </c>
      <c r="L10" s="1" t="str">
        <f aca="false">VLOOKUP(K10,$R$24:$U$29,3,FALSE())</f>
        <v>10,35</v>
      </c>
      <c r="M10" s="1" t="str">
        <f aca="false">VLOOKUP(K10,$R$24:$U$29,4,FALSE())</f>
        <v>35,60</v>
      </c>
      <c r="N10" s="1" t="n">
        <f aca="false">K10*10</f>
        <v>10</v>
      </c>
      <c r="O10" s="1" t="n">
        <f aca="false">ROUNDUP(N10*1.4+30,-1)</f>
        <v>50</v>
      </c>
    </row>
    <row r="11" customFormat="false" ht="16.5" hidden="false" customHeight="false" outlineLevel="0" collapsed="false">
      <c r="B11" s="2" t="s">
        <v>46</v>
      </c>
      <c r="C11" s="1" t="s">
        <v>47</v>
      </c>
      <c r="D11" s="1" t="n">
        <v>10</v>
      </c>
      <c r="E11" s="2" t="s">
        <v>25</v>
      </c>
      <c r="F11" s="2" t="s">
        <v>48</v>
      </c>
      <c r="H11" s="1" t="n">
        <v>1</v>
      </c>
      <c r="I11" s="2" t="s">
        <v>27</v>
      </c>
      <c r="K11" s="1" t="n">
        <v>1</v>
      </c>
      <c r="L11" s="1" t="str">
        <f aca="false">VLOOKUP(K11,$R$24:$U$29,3,FALSE())</f>
        <v>10,35</v>
      </c>
      <c r="M11" s="1" t="str">
        <f aca="false">VLOOKUP(K11,$R$24:$U$29,4,FALSE())</f>
        <v>35,60</v>
      </c>
      <c r="N11" s="1" t="n">
        <f aca="false">K11*10</f>
        <v>10</v>
      </c>
      <c r="O11" s="1" t="n">
        <f aca="false">ROUNDUP(N11*1.4+30,-1)</f>
        <v>50</v>
      </c>
    </row>
    <row r="12" customFormat="false" ht="16.5" hidden="false" customHeight="false" outlineLevel="0" collapsed="false">
      <c r="B12" s="2" t="s">
        <v>49</v>
      </c>
      <c r="C12" s="1" t="s">
        <v>50</v>
      </c>
      <c r="D12" s="1" t="n">
        <v>4</v>
      </c>
      <c r="E12" s="2" t="s">
        <v>25</v>
      </c>
      <c r="F12" s="2" t="s">
        <v>51</v>
      </c>
      <c r="H12" s="1" t="n">
        <v>1</v>
      </c>
      <c r="I12" s="2" t="s">
        <v>27</v>
      </c>
      <c r="K12" s="1" t="n">
        <v>1</v>
      </c>
      <c r="L12" s="1" t="str">
        <f aca="false">VLOOKUP(K12,$R$24:$U$29,3,FALSE())</f>
        <v>10,35</v>
      </c>
      <c r="M12" s="1" t="str">
        <f aca="false">VLOOKUP(K12,$R$24:$U$29,4,FALSE())</f>
        <v>35,60</v>
      </c>
      <c r="N12" s="1" t="n">
        <f aca="false">K12*10</f>
        <v>10</v>
      </c>
      <c r="O12" s="1" t="n">
        <f aca="false">ROUNDUP(N12*1.4+30,-1)</f>
        <v>50</v>
      </c>
      <c r="Q12" s="2" t="s">
        <v>52</v>
      </c>
      <c r="R12" s="1" t="n">
        <v>10</v>
      </c>
      <c r="S12" s="1" t="n">
        <v>11</v>
      </c>
      <c r="T12" s="1" t="n">
        <v>12</v>
      </c>
      <c r="U12" s="1" t="n">
        <v>13</v>
      </c>
      <c r="V12" s="1" t="n">
        <v>14</v>
      </c>
      <c r="W12" s="1" t="n">
        <v>15</v>
      </c>
      <c r="X12" s="1" t="n">
        <v>16</v>
      </c>
      <c r="Y12" s="1" t="n">
        <v>17</v>
      </c>
    </row>
    <row r="13" customFormat="false" ht="16.5" hidden="false" customHeight="false" outlineLevel="0" collapsed="false">
      <c r="B13" s="2" t="s">
        <v>53</v>
      </c>
      <c r="C13" s="1" t="s">
        <v>54</v>
      </c>
      <c r="D13" s="1" t="n">
        <v>10</v>
      </c>
      <c r="E13" s="2" t="s">
        <v>25</v>
      </c>
      <c r="F13" s="2" t="s">
        <v>55</v>
      </c>
      <c r="H13" s="1" t="n">
        <v>1</v>
      </c>
      <c r="I13" s="2" t="s">
        <v>27</v>
      </c>
      <c r="K13" s="1" t="n">
        <v>1</v>
      </c>
      <c r="L13" s="1" t="str">
        <f aca="false">VLOOKUP(K13,$R$24:$U$29,3,FALSE())</f>
        <v>10,35</v>
      </c>
      <c r="M13" s="1" t="str">
        <f aca="false">VLOOKUP(K13,$R$24:$U$29,4,FALSE())</f>
        <v>35,60</v>
      </c>
      <c r="N13" s="1" t="n">
        <f aca="false">K13*10</f>
        <v>10</v>
      </c>
      <c r="O13" s="1" t="n">
        <f aca="false">ROUNDUP(N13*1.4+30,-1)</f>
        <v>50</v>
      </c>
      <c r="Q13" s="2" t="s">
        <v>56</v>
      </c>
      <c r="R13" s="1" t="n">
        <v>20</v>
      </c>
      <c r="S13" s="1" t="n">
        <v>21</v>
      </c>
      <c r="T13" s="1" t="n">
        <v>22</v>
      </c>
      <c r="U13" s="1" t="n">
        <v>23</v>
      </c>
      <c r="V13" s="1" t="n">
        <v>24</v>
      </c>
      <c r="W13" s="1" t="n">
        <v>25</v>
      </c>
      <c r="X13" s="1" t="n">
        <v>26</v>
      </c>
      <c r="Y13" s="1" t="n">
        <v>27</v>
      </c>
    </row>
    <row r="14" customFormat="false" ht="16.5" hidden="false" customHeight="false" outlineLevel="0" collapsed="false">
      <c r="B14" s="2" t="s">
        <v>57</v>
      </c>
      <c r="C14" s="1" t="s">
        <v>58</v>
      </c>
      <c r="D14" s="1" t="n">
        <v>10</v>
      </c>
      <c r="E14" s="2" t="s">
        <v>25</v>
      </c>
      <c r="F14" s="2" t="s">
        <v>59</v>
      </c>
      <c r="H14" s="1" t="n">
        <v>1</v>
      </c>
      <c r="I14" s="2" t="s">
        <v>27</v>
      </c>
      <c r="K14" s="1" t="n">
        <v>1</v>
      </c>
      <c r="L14" s="1" t="str">
        <f aca="false">VLOOKUP(K14,$R$24:$U$29,3,FALSE())</f>
        <v>10,35</v>
      </c>
      <c r="M14" s="1" t="str">
        <f aca="false">VLOOKUP(K14,$R$24:$U$29,4,FALSE())</f>
        <v>35,60</v>
      </c>
      <c r="N14" s="1" t="n">
        <f aca="false">K14*10</f>
        <v>10</v>
      </c>
      <c r="O14" s="1" t="n">
        <f aca="false">ROUNDUP(N14*1.4+30,-1)</f>
        <v>50</v>
      </c>
      <c r="Q14" s="2" t="s">
        <v>60</v>
      </c>
      <c r="R14" s="1" t="n">
        <v>30</v>
      </c>
      <c r="S14" s="1" t="n">
        <v>31</v>
      </c>
      <c r="T14" s="1" t="n">
        <v>32</v>
      </c>
      <c r="U14" s="1" t="n">
        <v>33</v>
      </c>
      <c r="V14" s="1" t="n">
        <v>34</v>
      </c>
      <c r="W14" s="1" t="n">
        <v>35</v>
      </c>
      <c r="X14" s="1" t="n">
        <v>36</v>
      </c>
      <c r="Y14" s="1" t="n">
        <v>37</v>
      </c>
    </row>
    <row r="15" customFormat="false" ht="16.5" hidden="false" customHeight="false" outlineLevel="0" collapsed="false">
      <c r="B15" s="2" t="s">
        <v>61</v>
      </c>
      <c r="C15" s="1" t="s">
        <v>62</v>
      </c>
      <c r="D15" s="1" t="n">
        <v>6</v>
      </c>
      <c r="E15" s="2" t="s">
        <v>25</v>
      </c>
      <c r="F15" s="2" t="s">
        <v>63</v>
      </c>
      <c r="H15" s="1" t="n">
        <v>1</v>
      </c>
      <c r="I15" s="2" t="s">
        <v>27</v>
      </c>
      <c r="K15" s="1" t="n">
        <v>1</v>
      </c>
      <c r="L15" s="1" t="str">
        <f aca="false">VLOOKUP(K15,$R$24:$U$29,3,FALSE())</f>
        <v>10,35</v>
      </c>
      <c r="M15" s="1" t="str">
        <f aca="false">VLOOKUP(K15,$R$24:$U$29,4,FALSE())</f>
        <v>35,60</v>
      </c>
      <c r="N15" s="1" t="n">
        <f aca="false">K15*10</f>
        <v>10</v>
      </c>
      <c r="O15" s="1" t="n">
        <f aca="false">ROUNDUP(N15*1.4+30,-1)</f>
        <v>50</v>
      </c>
      <c r="Q15" s="2" t="s">
        <v>64</v>
      </c>
      <c r="R15" s="1" t="n">
        <v>40</v>
      </c>
      <c r="S15" s="1" t="n">
        <v>41</v>
      </c>
      <c r="T15" s="1" t="n">
        <v>42</v>
      </c>
      <c r="U15" s="1" t="n">
        <v>43</v>
      </c>
      <c r="V15" s="1" t="n">
        <v>44</v>
      </c>
      <c r="W15" s="1" t="n">
        <v>45</v>
      </c>
      <c r="X15" s="1" t="n">
        <v>46</v>
      </c>
      <c r="Y15" s="1" t="n">
        <v>47</v>
      </c>
    </row>
    <row r="16" customFormat="false" ht="16.5" hidden="false" customHeight="false" outlineLevel="0" collapsed="false">
      <c r="B16" s="2" t="s">
        <v>65</v>
      </c>
      <c r="C16" s="1" t="s">
        <v>66</v>
      </c>
      <c r="D16" s="1" t="n">
        <v>8</v>
      </c>
      <c r="E16" s="2" t="s">
        <v>25</v>
      </c>
      <c r="F16" s="2" t="s">
        <v>67</v>
      </c>
      <c r="H16" s="1" t="n">
        <v>1</v>
      </c>
      <c r="I16" s="2" t="s">
        <v>27</v>
      </c>
      <c r="K16" s="1" t="n">
        <v>1</v>
      </c>
      <c r="L16" s="1" t="str">
        <f aca="false">VLOOKUP(K16,$R$24:$U$29,3,FALSE())</f>
        <v>10,35</v>
      </c>
      <c r="M16" s="1" t="str">
        <f aca="false">VLOOKUP(K16,$R$24:$U$29,4,FALSE())</f>
        <v>35,60</v>
      </c>
      <c r="N16" s="1" t="n">
        <f aca="false">K16*10</f>
        <v>10</v>
      </c>
      <c r="O16" s="1" t="n">
        <f aca="false">ROUNDUP(N16*1.4+30,-1)</f>
        <v>50</v>
      </c>
      <c r="Q16" s="2" t="s">
        <v>68</v>
      </c>
      <c r="R16" s="1" t="n">
        <v>50</v>
      </c>
      <c r="S16" s="1" t="n">
        <v>51</v>
      </c>
      <c r="T16" s="1" t="n">
        <v>52</v>
      </c>
      <c r="U16" s="1" t="n">
        <v>53</v>
      </c>
      <c r="V16" s="1" t="n">
        <v>54</v>
      </c>
      <c r="W16" s="1" t="n">
        <v>55</v>
      </c>
      <c r="X16" s="1" t="n">
        <v>56</v>
      </c>
      <c r="Y16" s="1" t="n">
        <v>57</v>
      </c>
    </row>
    <row r="17" customFormat="false" ht="16.5" hidden="false" customHeight="false" outlineLevel="0" collapsed="false">
      <c r="B17" s="2" t="s">
        <v>69</v>
      </c>
      <c r="C17" s="1" t="s">
        <v>70</v>
      </c>
      <c r="D17" s="1" t="n">
        <v>20</v>
      </c>
      <c r="E17" s="2" t="s">
        <v>25</v>
      </c>
      <c r="F17" s="2" t="s">
        <v>71</v>
      </c>
      <c r="H17" s="1" t="n">
        <v>1</v>
      </c>
      <c r="I17" s="2" t="s">
        <v>72</v>
      </c>
      <c r="K17" s="1" t="n">
        <v>2</v>
      </c>
      <c r="L17" s="1" t="str">
        <f aca="false">VLOOKUP(K17,$R$24:$U$29,3,FALSE())</f>
        <v>10,40</v>
      </c>
      <c r="M17" s="1" t="str">
        <f aca="false">VLOOKUP(K17,$R$24:$U$29,4,FALSE())</f>
        <v>40,70</v>
      </c>
      <c r="N17" s="1" t="n">
        <f aca="false">K17*10</f>
        <v>20</v>
      </c>
      <c r="O17" s="1" t="n">
        <f aca="false">ROUNDUP(N17*1.4+30,-1)</f>
        <v>60</v>
      </c>
    </row>
    <row r="18" customFormat="false" ht="16.5" hidden="false" customHeight="false" outlineLevel="0" collapsed="false">
      <c r="B18" s="2" t="s">
        <v>73</v>
      </c>
      <c r="C18" s="1" t="s">
        <v>74</v>
      </c>
      <c r="D18" s="1" t="n">
        <v>20</v>
      </c>
      <c r="E18" s="2" t="s">
        <v>25</v>
      </c>
      <c r="F18" s="2" t="s">
        <v>75</v>
      </c>
      <c r="H18" s="1" t="n">
        <v>1</v>
      </c>
      <c r="I18" s="2" t="s">
        <v>27</v>
      </c>
      <c r="K18" s="1" t="n">
        <v>2</v>
      </c>
      <c r="L18" s="1" t="str">
        <f aca="false">VLOOKUP(K18,$R$24:$U$29,3,FALSE())</f>
        <v>10,40</v>
      </c>
      <c r="M18" s="1" t="str">
        <f aca="false">VLOOKUP(K18,$R$24:$U$29,4,FALSE())</f>
        <v>40,70</v>
      </c>
      <c r="N18" s="1" t="n">
        <f aca="false">K18*10</f>
        <v>20</v>
      </c>
      <c r="O18" s="1" t="n">
        <f aca="false">ROUNDUP(N18*1.4+30,-1)</f>
        <v>60</v>
      </c>
    </row>
    <row r="19" customFormat="false" ht="16.5" hidden="false" customHeight="false" outlineLevel="0" collapsed="false">
      <c r="I19" s="2" t="s">
        <v>27</v>
      </c>
      <c r="K19" s="1" t="n">
        <v>2</v>
      </c>
      <c r="L19" s="1" t="str">
        <f aca="false">VLOOKUP(K19,$R$24:$U$29,3,FALSE())</f>
        <v>10,40</v>
      </c>
      <c r="M19" s="1" t="str">
        <f aca="false">VLOOKUP(K19,$R$24:$U$29,4,FALSE())</f>
        <v>40,70</v>
      </c>
      <c r="N19" s="1" t="n">
        <f aca="false">K19*10</f>
        <v>20</v>
      </c>
      <c r="O19" s="1" t="n">
        <f aca="false">ROUNDUP(N19*1.4+30,-1)</f>
        <v>60</v>
      </c>
    </row>
    <row r="20" customFormat="false" ht="16.5" hidden="false" customHeight="false" outlineLevel="0" collapsed="false">
      <c r="B20" s="2" t="s">
        <v>76</v>
      </c>
      <c r="C20" s="1" t="s">
        <v>77</v>
      </c>
      <c r="D20" s="1" t="n">
        <v>10</v>
      </c>
      <c r="E20" s="2" t="s">
        <v>25</v>
      </c>
      <c r="F20" s="2" t="s">
        <v>78</v>
      </c>
      <c r="H20" s="1" t="n">
        <v>1</v>
      </c>
      <c r="I20" s="2" t="s">
        <v>72</v>
      </c>
      <c r="K20" s="1" t="n">
        <v>2</v>
      </c>
      <c r="L20" s="1" t="str">
        <f aca="false">VLOOKUP(K20,$R$24:$U$29,3,FALSE())</f>
        <v>10,40</v>
      </c>
      <c r="M20" s="1" t="str">
        <f aca="false">VLOOKUP(K20,$R$24:$U$29,4,FALSE())</f>
        <v>40,70</v>
      </c>
      <c r="N20" s="1" t="n">
        <f aca="false">K20*10</f>
        <v>20</v>
      </c>
      <c r="O20" s="1" t="n">
        <f aca="false">ROUNDUP(N20*1.4+30,-1)</f>
        <v>60</v>
      </c>
    </row>
    <row r="21" customFormat="false" ht="16.5" hidden="false" customHeight="false" outlineLevel="0" collapsed="false">
      <c r="B21" s="2" t="s">
        <v>79</v>
      </c>
      <c r="C21" s="1" t="s">
        <v>80</v>
      </c>
      <c r="D21" s="1" t="n">
        <v>8</v>
      </c>
      <c r="E21" s="2" t="s">
        <v>25</v>
      </c>
      <c r="F21" s="2" t="s">
        <v>81</v>
      </c>
      <c r="H21" s="1" t="n">
        <v>1</v>
      </c>
      <c r="I21" s="2" t="s">
        <v>72</v>
      </c>
      <c r="K21" s="1" t="n">
        <v>2</v>
      </c>
      <c r="L21" s="1" t="str">
        <f aca="false">VLOOKUP(K21,$R$24:$U$29,3,FALSE())</f>
        <v>10,40</v>
      </c>
      <c r="M21" s="1" t="str">
        <f aca="false">VLOOKUP(K21,$R$24:$U$29,4,FALSE())</f>
        <v>40,70</v>
      </c>
      <c r="N21" s="1" t="n">
        <f aca="false">K21*10</f>
        <v>20</v>
      </c>
      <c r="O21" s="1" t="n">
        <f aca="false">ROUNDUP(N21*1.4+30,-1)</f>
        <v>60</v>
      </c>
    </row>
    <row r="22" customFormat="false" ht="16.5" hidden="false" customHeight="false" outlineLevel="0" collapsed="false">
      <c r="B22" s="2" t="s">
        <v>82</v>
      </c>
      <c r="C22" s="1" t="s">
        <v>83</v>
      </c>
      <c r="D22" s="1" t="n">
        <v>14</v>
      </c>
      <c r="E22" s="2" t="s">
        <v>25</v>
      </c>
      <c r="F22" s="2" t="s">
        <v>84</v>
      </c>
      <c r="G22" s="2" t="s">
        <v>85</v>
      </c>
      <c r="H22" s="1" t="n">
        <v>1</v>
      </c>
      <c r="I22" s="2" t="s">
        <v>72</v>
      </c>
      <c r="K22" s="1" t="n">
        <v>2</v>
      </c>
      <c r="L22" s="1" t="str">
        <f aca="false">VLOOKUP(K22,$R$24:$U$29,3,FALSE())</f>
        <v>10,40</v>
      </c>
      <c r="M22" s="1" t="str">
        <f aca="false">VLOOKUP(K22,$R$24:$U$29,4,FALSE())</f>
        <v>40,70</v>
      </c>
      <c r="N22" s="1" t="n">
        <f aca="false">K22*10</f>
        <v>20</v>
      </c>
      <c r="O22" s="1" t="n">
        <f aca="false">ROUNDUP(N22*1.4+30,-1)</f>
        <v>60</v>
      </c>
    </row>
    <row r="23" customFormat="false" ht="16.5" hidden="false" customHeight="false" outlineLevel="0" collapsed="false">
      <c r="B23" s="2" t="s">
        <v>86</v>
      </c>
      <c r="C23" s="1" t="s">
        <v>87</v>
      </c>
      <c r="D23" s="1" t="n">
        <v>16</v>
      </c>
      <c r="E23" s="2" t="s">
        <v>25</v>
      </c>
      <c r="F23" s="2" t="s">
        <v>88</v>
      </c>
      <c r="G23" s="2" t="s">
        <v>85</v>
      </c>
      <c r="H23" s="1" t="n">
        <v>1</v>
      </c>
      <c r="I23" s="2" t="s">
        <v>27</v>
      </c>
      <c r="K23" s="1" t="n">
        <v>2</v>
      </c>
      <c r="L23" s="1" t="str">
        <f aca="false">VLOOKUP(K23,$R$24:$U$29,3,FALSE())</f>
        <v>10,40</v>
      </c>
      <c r="M23" s="1" t="str">
        <f aca="false">VLOOKUP(K23,$R$24:$U$29,4,FALSE())</f>
        <v>40,70</v>
      </c>
      <c r="N23" s="1" t="n">
        <f aca="false">K23*10</f>
        <v>20</v>
      </c>
      <c r="O23" s="1" t="n">
        <f aca="false">ROUNDUP(N23*1.4+30,-1)</f>
        <v>60</v>
      </c>
      <c r="T23" s="1" t="s">
        <v>89</v>
      </c>
      <c r="U23" s="1" t="s">
        <v>90</v>
      </c>
    </row>
    <row r="24" customFormat="false" ht="16.5" hidden="false" customHeight="false" outlineLevel="0" collapsed="false">
      <c r="I24" s="2" t="s">
        <v>27</v>
      </c>
      <c r="K24" s="1" t="n">
        <v>2</v>
      </c>
      <c r="L24" s="1" t="str">
        <f aca="false">VLOOKUP(K24,$R$24:$U$29,3,FALSE())</f>
        <v>10,40</v>
      </c>
      <c r="M24" s="1" t="str">
        <f aca="false">VLOOKUP(K24,$R$24:$U$29,4,FALSE())</f>
        <v>40,70</v>
      </c>
      <c r="N24" s="1" t="n">
        <f aca="false">K24*10</f>
        <v>20</v>
      </c>
      <c r="O24" s="1" t="n">
        <f aca="false">ROUNDUP(N24*1.4+30,-1)</f>
        <v>60</v>
      </c>
      <c r="R24" s="1" t="n">
        <v>1</v>
      </c>
      <c r="T24" s="2" t="s">
        <v>91</v>
      </c>
      <c r="U24" s="2" t="s">
        <v>92</v>
      </c>
    </row>
    <row r="25" customFormat="false" ht="16.5" hidden="false" customHeight="false" outlineLevel="0" collapsed="false">
      <c r="B25" s="2" t="s">
        <v>93</v>
      </c>
      <c r="C25" s="1" t="s">
        <v>94</v>
      </c>
      <c r="D25" s="1" t="n">
        <v>15</v>
      </c>
      <c r="E25" s="2" t="s">
        <v>25</v>
      </c>
      <c r="F25" s="2" t="s">
        <v>95</v>
      </c>
      <c r="H25" s="1" t="n">
        <v>1</v>
      </c>
      <c r="I25" s="2" t="s">
        <v>27</v>
      </c>
      <c r="K25" s="1" t="n">
        <v>2</v>
      </c>
      <c r="L25" s="1" t="str">
        <f aca="false">VLOOKUP(K25,$R$24:$U$29,3,FALSE())</f>
        <v>10,40</v>
      </c>
      <c r="M25" s="1" t="str">
        <f aca="false">VLOOKUP(K25,$R$24:$U$29,4,FALSE())</f>
        <v>40,70</v>
      </c>
      <c r="N25" s="1" t="n">
        <f aca="false">K25*10</f>
        <v>20</v>
      </c>
      <c r="O25" s="1" t="n">
        <f aca="false">ROUNDUP(N25*1.4+30,-1)</f>
        <v>60</v>
      </c>
      <c r="R25" s="1" t="n">
        <v>2</v>
      </c>
      <c r="T25" s="2" t="s">
        <v>96</v>
      </c>
      <c r="U25" s="2" t="s">
        <v>97</v>
      </c>
    </row>
    <row r="26" customFormat="false" ht="16.5" hidden="false" customHeight="false" outlineLevel="0" collapsed="false">
      <c r="I26" s="2" t="s">
        <v>27</v>
      </c>
      <c r="K26" s="1" t="n">
        <v>2</v>
      </c>
      <c r="L26" s="1" t="str">
        <f aca="false">VLOOKUP(K26,$R$24:$U$29,3,FALSE())</f>
        <v>10,40</v>
      </c>
      <c r="M26" s="1" t="str">
        <f aca="false">VLOOKUP(K26,$R$24:$U$29,4,FALSE())</f>
        <v>40,70</v>
      </c>
      <c r="N26" s="1" t="n">
        <f aca="false">K26*10</f>
        <v>20</v>
      </c>
      <c r="O26" s="1" t="n">
        <f aca="false">ROUNDUP(N26*1.4+30,-1)</f>
        <v>60</v>
      </c>
      <c r="R26" s="1" t="n">
        <v>3</v>
      </c>
      <c r="T26" s="2" t="s">
        <v>98</v>
      </c>
      <c r="U26" s="2" t="s">
        <v>99</v>
      </c>
    </row>
    <row r="27" customFormat="false" ht="16.5" hidden="false" customHeight="false" outlineLevel="0" collapsed="false">
      <c r="B27" s="2" t="s">
        <v>100</v>
      </c>
      <c r="C27" s="1" t="s">
        <v>101</v>
      </c>
      <c r="D27" s="1" t="n">
        <v>20</v>
      </c>
      <c r="E27" s="2" t="s">
        <v>25</v>
      </c>
      <c r="F27" s="2" t="s">
        <v>102</v>
      </c>
      <c r="H27" s="1" t="n">
        <v>1</v>
      </c>
      <c r="I27" s="2" t="s">
        <v>27</v>
      </c>
      <c r="K27" s="1" t="n">
        <v>2</v>
      </c>
      <c r="L27" s="1" t="str">
        <f aca="false">VLOOKUP(K27,$R$24:$U$29,3,FALSE())</f>
        <v>10,40</v>
      </c>
      <c r="M27" s="1" t="str">
        <f aca="false">VLOOKUP(K27,$R$24:$U$29,4,FALSE())</f>
        <v>40,70</v>
      </c>
      <c r="N27" s="1" t="n">
        <f aca="false">K27*10</f>
        <v>20</v>
      </c>
      <c r="O27" s="1" t="n">
        <f aca="false">ROUNDUP(N27*1.4+30,-1)</f>
        <v>60</v>
      </c>
      <c r="R27" s="1" t="n">
        <v>4</v>
      </c>
      <c r="T27" s="2" t="s">
        <v>103</v>
      </c>
      <c r="U27" s="3" t="s">
        <v>104</v>
      </c>
    </row>
    <row r="28" customFormat="false" ht="16.5" hidden="false" customHeight="false" outlineLevel="0" collapsed="false">
      <c r="I28" s="2" t="s">
        <v>27</v>
      </c>
      <c r="K28" s="1" t="n">
        <v>2</v>
      </c>
      <c r="L28" s="1" t="str">
        <f aca="false">VLOOKUP(K28,$R$24:$U$29,3,FALSE())</f>
        <v>10,40</v>
      </c>
      <c r="M28" s="1" t="str">
        <f aca="false">VLOOKUP(K28,$R$24:$U$29,4,FALSE())</f>
        <v>40,70</v>
      </c>
      <c r="N28" s="1" t="n">
        <f aca="false">K28*10</f>
        <v>20</v>
      </c>
      <c r="O28" s="1" t="n">
        <f aca="false">ROUNDUP(N28*1.4+30,-1)</f>
        <v>60</v>
      </c>
      <c r="R28" s="1" t="n">
        <v>6</v>
      </c>
      <c r="T28" s="2" t="s">
        <v>97</v>
      </c>
      <c r="U28" s="3" t="s">
        <v>105</v>
      </c>
    </row>
    <row r="29" customFormat="false" ht="16.5" hidden="false" customHeight="false" outlineLevel="0" collapsed="false">
      <c r="B29" s="2" t="s">
        <v>106</v>
      </c>
      <c r="C29" s="1" t="s">
        <v>107</v>
      </c>
      <c r="D29" s="1" t="n">
        <v>30</v>
      </c>
      <c r="E29" s="2" t="s">
        <v>25</v>
      </c>
      <c r="F29" s="2" t="s">
        <v>108</v>
      </c>
      <c r="H29" s="1" t="n">
        <v>1</v>
      </c>
      <c r="I29" s="2" t="s">
        <v>109</v>
      </c>
      <c r="K29" s="1" t="n">
        <v>3</v>
      </c>
      <c r="L29" s="1" t="str">
        <f aca="false">VLOOKUP(K29,$R$24:$U$29,3,FALSE())</f>
        <v>20,45</v>
      </c>
      <c r="M29" s="1" t="str">
        <f aca="false">VLOOKUP(K29,$R$24:$U$29,4,FALSE())</f>
        <v>45,80</v>
      </c>
      <c r="N29" s="1" t="n">
        <f aca="false">K29*10</f>
        <v>30</v>
      </c>
      <c r="O29" s="1" t="n">
        <f aca="false">ROUNDUP(N29*1.4+30,-1)</f>
        <v>80</v>
      </c>
      <c r="R29" s="2" t="s">
        <v>110</v>
      </c>
      <c r="T29" s="2" t="s">
        <v>99</v>
      </c>
      <c r="U29" s="3" t="s">
        <v>111</v>
      </c>
    </row>
    <row r="30" customFormat="false" ht="16.5" hidden="false" customHeight="false" outlineLevel="0" collapsed="false">
      <c r="B30" s="2" t="s">
        <v>112</v>
      </c>
      <c r="C30" s="1" t="s">
        <v>113</v>
      </c>
      <c r="D30" s="1" t="n">
        <v>40</v>
      </c>
      <c r="E30" s="2" t="s">
        <v>25</v>
      </c>
      <c r="F30" s="2" t="s">
        <v>114</v>
      </c>
      <c r="H30" s="1" t="n">
        <v>1</v>
      </c>
      <c r="I30" s="2" t="s">
        <v>109</v>
      </c>
      <c r="K30" s="1" t="n">
        <v>3</v>
      </c>
      <c r="L30" s="1" t="str">
        <f aca="false">VLOOKUP(K30,$R$24:$U$29,3,FALSE())</f>
        <v>20,45</v>
      </c>
      <c r="M30" s="1" t="str">
        <f aca="false">VLOOKUP(K30,$R$24:$U$29,4,FALSE())</f>
        <v>45,80</v>
      </c>
      <c r="N30" s="1" t="n">
        <f aca="false">K30*10</f>
        <v>30</v>
      </c>
      <c r="O30" s="1" t="n">
        <f aca="false">ROUNDUP(N30*1.4+30,-1)</f>
        <v>80</v>
      </c>
    </row>
    <row r="31" customFormat="false" ht="16.5" hidden="false" customHeight="false" outlineLevel="0" collapsed="false">
      <c r="B31" s="2" t="s">
        <v>115</v>
      </c>
      <c r="C31" s="1" t="s">
        <v>116</v>
      </c>
      <c r="D31" s="1" t="n">
        <v>30</v>
      </c>
      <c r="E31" s="2" t="s">
        <v>25</v>
      </c>
      <c r="F31" s="2" t="s">
        <v>117</v>
      </c>
      <c r="H31" s="1" t="n">
        <v>1</v>
      </c>
      <c r="I31" s="2" t="s">
        <v>27</v>
      </c>
      <c r="K31" s="1" t="n">
        <v>3</v>
      </c>
      <c r="L31" s="1" t="str">
        <f aca="false">VLOOKUP(K31,$R$24:$U$29,3,FALSE())</f>
        <v>20,45</v>
      </c>
      <c r="M31" s="1" t="str">
        <f aca="false">VLOOKUP(K31,$R$24:$U$29,4,FALSE())</f>
        <v>45,80</v>
      </c>
      <c r="N31" s="1" t="n">
        <f aca="false">K31*10</f>
        <v>30</v>
      </c>
      <c r="O31" s="1" t="n">
        <f aca="false">ROUNDUP(N31*1.4+30,-1)</f>
        <v>80</v>
      </c>
    </row>
    <row r="32" customFormat="false" ht="16.5" hidden="false" customHeight="false" outlineLevel="0" collapsed="false">
      <c r="I32" s="2" t="s">
        <v>27</v>
      </c>
      <c r="K32" s="1" t="n">
        <v>3</v>
      </c>
      <c r="L32" s="1" t="str">
        <f aca="false">VLOOKUP(K32,$R$24:$U$29,3,FALSE())</f>
        <v>20,45</v>
      </c>
      <c r="M32" s="1" t="str">
        <f aca="false">VLOOKUP(K32,$R$24:$U$29,4,FALSE())</f>
        <v>45,80</v>
      </c>
      <c r="N32" s="1" t="n">
        <f aca="false">K32*10</f>
        <v>30</v>
      </c>
      <c r="O32" s="1" t="n">
        <f aca="false">ROUNDUP(N32*1.4+30,-1)</f>
        <v>80</v>
      </c>
    </row>
    <row r="33" customFormat="false" ht="16.5" hidden="false" customHeight="false" outlineLevel="0" collapsed="false">
      <c r="I33" s="2" t="s">
        <v>27</v>
      </c>
      <c r="K33" s="1" t="n">
        <v>3</v>
      </c>
      <c r="L33" s="1" t="str">
        <f aca="false">VLOOKUP(K33,$R$24:$U$29,3,FALSE())</f>
        <v>20,45</v>
      </c>
      <c r="M33" s="1" t="str">
        <f aca="false">VLOOKUP(K33,$R$24:$U$29,4,FALSE())</f>
        <v>45,80</v>
      </c>
      <c r="N33" s="1" t="n">
        <f aca="false">K33*10</f>
        <v>30</v>
      </c>
      <c r="O33" s="1" t="n">
        <f aca="false">ROUNDUP(N33*1.4+30,-1)</f>
        <v>80</v>
      </c>
    </row>
    <row r="34" customFormat="false" ht="16.5" hidden="false" customHeight="false" outlineLevel="0" collapsed="false">
      <c r="B34" s="2" t="s">
        <v>118</v>
      </c>
      <c r="C34" s="1" t="s">
        <v>119</v>
      </c>
      <c r="D34" s="1" t="n">
        <v>20</v>
      </c>
      <c r="E34" s="2" t="s">
        <v>25</v>
      </c>
      <c r="F34" s="2" t="s">
        <v>120</v>
      </c>
      <c r="H34" s="1" t="n">
        <v>1</v>
      </c>
      <c r="I34" s="2" t="s">
        <v>27</v>
      </c>
      <c r="K34" s="1" t="n">
        <v>3</v>
      </c>
      <c r="L34" s="1" t="str">
        <f aca="false">VLOOKUP(K34,$R$24:$U$29,3,FALSE())</f>
        <v>20,45</v>
      </c>
      <c r="M34" s="1" t="str">
        <f aca="false">VLOOKUP(K34,$R$24:$U$29,4,FALSE())</f>
        <v>45,80</v>
      </c>
      <c r="N34" s="1" t="n">
        <f aca="false">K34*10</f>
        <v>30</v>
      </c>
      <c r="O34" s="1" t="n">
        <f aca="false">ROUNDUP(N34*1.4+30,-1)</f>
        <v>80</v>
      </c>
    </row>
    <row r="35" customFormat="false" ht="16.5" hidden="false" customHeight="false" outlineLevel="0" collapsed="false">
      <c r="I35" s="2" t="s">
        <v>27</v>
      </c>
      <c r="K35" s="1" t="n">
        <v>3</v>
      </c>
      <c r="L35" s="1" t="str">
        <f aca="false">VLOOKUP(K35,$R$24:$U$29,3,FALSE())</f>
        <v>20,45</v>
      </c>
      <c r="M35" s="1" t="str">
        <f aca="false">VLOOKUP(K35,$R$24:$U$29,4,FALSE())</f>
        <v>45,80</v>
      </c>
      <c r="N35" s="1" t="n">
        <f aca="false">K35*10</f>
        <v>30</v>
      </c>
      <c r="O35" s="1" t="n">
        <f aca="false">ROUNDUP(N35*1.4+30,-1)</f>
        <v>80</v>
      </c>
    </row>
    <row r="36" customFormat="false" ht="16.5" hidden="false" customHeight="false" outlineLevel="0" collapsed="false">
      <c r="I36" s="2" t="s">
        <v>27</v>
      </c>
      <c r="K36" s="1" t="n">
        <v>3</v>
      </c>
      <c r="L36" s="1" t="str">
        <f aca="false">VLOOKUP(K36,$R$24:$U$29,3,FALSE())</f>
        <v>20,45</v>
      </c>
      <c r="M36" s="1" t="str">
        <f aca="false">VLOOKUP(K36,$R$24:$U$29,4,FALSE())</f>
        <v>45,80</v>
      </c>
      <c r="N36" s="1" t="n">
        <f aca="false">K36*10</f>
        <v>30</v>
      </c>
      <c r="O36" s="1" t="n">
        <f aca="false">ROUNDUP(N36*1.4+30,-1)</f>
        <v>80</v>
      </c>
    </row>
    <row r="37" customFormat="false" ht="16.5" hidden="false" customHeight="false" outlineLevel="0" collapsed="false">
      <c r="B37" s="2" t="s">
        <v>121</v>
      </c>
      <c r="C37" s="1" t="s">
        <v>122</v>
      </c>
      <c r="D37" s="1" t="n">
        <v>30</v>
      </c>
      <c r="E37" s="2" t="s">
        <v>25</v>
      </c>
      <c r="F37" s="2" t="s">
        <v>123</v>
      </c>
      <c r="H37" s="1" t="n">
        <v>1</v>
      </c>
      <c r="I37" s="2" t="s">
        <v>72</v>
      </c>
      <c r="K37" s="1" t="n">
        <v>4</v>
      </c>
      <c r="L37" s="1" t="str">
        <f aca="false">VLOOKUP(K37,$R$24:$U$29,3,FALSE())</f>
        <v>30,55</v>
      </c>
      <c r="M37" s="1" t="str">
        <f aca="false">VLOOKUP(K37,$R$24:$U$29,4,FALSE())</f>
        <v>55,100</v>
      </c>
      <c r="N37" s="1" t="n">
        <f aca="false">K37*10</f>
        <v>40</v>
      </c>
      <c r="O37" s="1" t="n">
        <f aca="false">ROUNDUP(N37*1.4+30,-1)</f>
        <v>90</v>
      </c>
    </row>
    <row r="38" customFormat="false" ht="16.5" hidden="false" customHeight="false" outlineLevel="0" collapsed="false">
      <c r="I38" s="2" t="s">
        <v>72</v>
      </c>
      <c r="K38" s="1" t="n">
        <v>4</v>
      </c>
      <c r="L38" s="1" t="str">
        <f aca="false">VLOOKUP(K38,$R$24:$U$29,3,FALSE())</f>
        <v>30,55</v>
      </c>
      <c r="M38" s="1" t="str">
        <f aca="false">VLOOKUP(K38,$R$24:$U$29,4,FALSE())</f>
        <v>55,100</v>
      </c>
      <c r="N38" s="1" t="n">
        <f aca="false">K38*10</f>
        <v>40</v>
      </c>
      <c r="O38" s="1" t="n">
        <f aca="false">ROUNDUP(N38*1.4+30,-1)</f>
        <v>90</v>
      </c>
    </row>
    <row r="39" customFormat="false" ht="16.5" hidden="false" customHeight="false" outlineLevel="0" collapsed="false">
      <c r="B39" s="2" t="s">
        <v>124</v>
      </c>
      <c r="C39" s="1" t="s">
        <v>125</v>
      </c>
      <c r="D39" s="1" t="n">
        <v>20</v>
      </c>
      <c r="E39" s="2" t="s">
        <v>25</v>
      </c>
      <c r="F39" s="2" t="s">
        <v>126</v>
      </c>
      <c r="H39" s="1" t="n">
        <v>1</v>
      </c>
      <c r="I39" s="2" t="s">
        <v>72</v>
      </c>
      <c r="K39" s="1" t="n">
        <v>4</v>
      </c>
      <c r="L39" s="1" t="str">
        <f aca="false">VLOOKUP(K39,$R$24:$U$29,3,FALSE())</f>
        <v>30,55</v>
      </c>
      <c r="M39" s="1" t="str">
        <f aca="false">VLOOKUP(K39,$R$24:$U$29,4,FALSE())</f>
        <v>55,100</v>
      </c>
      <c r="N39" s="1" t="n">
        <f aca="false">K39*10</f>
        <v>40</v>
      </c>
      <c r="O39" s="1" t="n">
        <f aca="false">ROUNDUP(N39*1.4+30,-1)</f>
        <v>90</v>
      </c>
    </row>
    <row r="40" customFormat="false" ht="16.5" hidden="false" customHeight="false" outlineLevel="0" collapsed="false">
      <c r="I40" s="2" t="s">
        <v>72</v>
      </c>
      <c r="K40" s="1" t="n">
        <v>4</v>
      </c>
      <c r="L40" s="1" t="str">
        <f aca="false">VLOOKUP(K40,$R$24:$U$29,3,FALSE())</f>
        <v>30,55</v>
      </c>
      <c r="M40" s="1" t="str">
        <f aca="false">VLOOKUP(K40,$R$24:$U$29,4,FALSE())</f>
        <v>55,100</v>
      </c>
      <c r="N40" s="1" t="n">
        <f aca="false">K40*10</f>
        <v>40</v>
      </c>
      <c r="O40" s="1" t="n">
        <f aca="false">ROUNDUP(N40*1.4+30,-1)</f>
        <v>90</v>
      </c>
    </row>
    <row r="41" customFormat="false" ht="16.5" hidden="false" customHeight="false" outlineLevel="0" collapsed="false">
      <c r="B41" s="2" t="s">
        <v>127</v>
      </c>
      <c r="C41" s="1" t="s">
        <v>128</v>
      </c>
      <c r="D41" s="1" t="n">
        <v>25</v>
      </c>
      <c r="E41" s="2" t="s">
        <v>25</v>
      </c>
      <c r="F41" s="2" t="s">
        <v>129</v>
      </c>
      <c r="H41" s="1" t="n">
        <v>1</v>
      </c>
      <c r="I41" s="2" t="s">
        <v>72</v>
      </c>
      <c r="K41" s="1" t="n">
        <v>4</v>
      </c>
      <c r="L41" s="1" t="str">
        <f aca="false">VLOOKUP(K41,$R$24:$U$29,3,FALSE())</f>
        <v>30,55</v>
      </c>
      <c r="M41" s="1" t="str">
        <f aca="false">VLOOKUP(K41,$R$24:$U$29,4,FALSE())</f>
        <v>55,100</v>
      </c>
      <c r="N41" s="1" t="n">
        <f aca="false">K41*10</f>
        <v>40</v>
      </c>
      <c r="O41" s="1" t="n">
        <f aca="false">ROUNDUP(N41*1.4+30,-1)</f>
        <v>90</v>
      </c>
    </row>
    <row r="42" customFormat="false" ht="16.5" hidden="false" customHeight="false" outlineLevel="0" collapsed="false">
      <c r="I42" s="2" t="s">
        <v>72</v>
      </c>
      <c r="K42" s="1" t="n">
        <v>4</v>
      </c>
      <c r="L42" s="1" t="str">
        <f aca="false">VLOOKUP(K42,$R$24:$U$29,3,FALSE())</f>
        <v>30,55</v>
      </c>
      <c r="M42" s="1" t="str">
        <f aca="false">VLOOKUP(K42,$R$24:$U$29,4,FALSE())</f>
        <v>55,100</v>
      </c>
      <c r="N42" s="1" t="n">
        <f aca="false">K42*10</f>
        <v>40</v>
      </c>
      <c r="O42" s="1" t="n">
        <f aca="false">ROUNDUP(N42*1.4+30,-1)</f>
        <v>90</v>
      </c>
    </row>
    <row r="43" customFormat="false" ht="16.5" hidden="false" customHeight="false" outlineLevel="0" collapsed="false">
      <c r="B43" s="2" t="s">
        <v>130</v>
      </c>
      <c r="C43" s="1" t="s">
        <v>131</v>
      </c>
      <c r="D43" s="1" t="n">
        <v>20</v>
      </c>
      <c r="E43" s="2" t="s">
        <v>25</v>
      </c>
      <c r="F43" s="2" t="s">
        <v>132</v>
      </c>
      <c r="H43" s="1" t="n">
        <v>1</v>
      </c>
      <c r="I43" s="2" t="s">
        <v>72</v>
      </c>
      <c r="K43" s="1" t="n">
        <v>4</v>
      </c>
      <c r="L43" s="1" t="str">
        <f aca="false">VLOOKUP(K43,$R$24:$U$29,3,FALSE())</f>
        <v>30,55</v>
      </c>
      <c r="M43" s="1" t="str">
        <f aca="false">VLOOKUP(K43,$R$24:$U$29,4,FALSE())</f>
        <v>55,100</v>
      </c>
      <c r="N43" s="1" t="n">
        <f aca="false">K43*10</f>
        <v>40</v>
      </c>
      <c r="O43" s="1" t="n">
        <f aca="false">ROUNDUP(N43*1.4+30,-1)</f>
        <v>90</v>
      </c>
    </row>
    <row r="44" customFormat="false" ht="16.5" hidden="false" customHeight="false" outlineLevel="0" collapsed="false">
      <c r="I44" s="2" t="s">
        <v>72</v>
      </c>
      <c r="K44" s="1" t="n">
        <v>4</v>
      </c>
      <c r="L44" s="1" t="str">
        <f aca="false">VLOOKUP(K44,$R$24:$U$29,3,FALSE())</f>
        <v>30,55</v>
      </c>
      <c r="M44" s="1" t="str">
        <f aca="false">VLOOKUP(K44,$R$24:$U$29,4,FALSE())</f>
        <v>55,100</v>
      </c>
      <c r="N44" s="1" t="n">
        <f aca="false">K44*10</f>
        <v>40</v>
      </c>
      <c r="O44" s="1" t="n">
        <f aca="false">ROUNDUP(N44*1.4+30,-1)</f>
        <v>90</v>
      </c>
    </row>
    <row r="45" customFormat="false" ht="16.5" hidden="false" customHeight="false" outlineLevel="0" collapsed="false">
      <c r="B45" s="2" t="s">
        <v>133</v>
      </c>
      <c r="C45" s="1" t="s">
        <v>134</v>
      </c>
      <c r="D45" s="1" t="n">
        <v>20</v>
      </c>
      <c r="E45" s="2" t="s">
        <v>25</v>
      </c>
      <c r="F45" s="2" t="s">
        <v>135</v>
      </c>
      <c r="H45" s="1" t="n">
        <v>1</v>
      </c>
      <c r="I45" s="2" t="s">
        <v>72</v>
      </c>
      <c r="K45" s="1" t="n">
        <v>4</v>
      </c>
      <c r="L45" s="1" t="str">
        <f aca="false">VLOOKUP(K45,$R$24:$U$29,3,FALSE())</f>
        <v>30,55</v>
      </c>
      <c r="M45" s="1" t="str">
        <f aca="false">VLOOKUP(K45,$R$24:$U$29,4,FALSE())</f>
        <v>55,100</v>
      </c>
      <c r="N45" s="1" t="n">
        <f aca="false">K45*10</f>
        <v>40</v>
      </c>
      <c r="O45" s="1" t="n">
        <f aca="false">ROUNDUP(N45*1.4+30,-1)</f>
        <v>90</v>
      </c>
    </row>
    <row r="46" customFormat="false" ht="16.5" hidden="false" customHeight="false" outlineLevel="0" collapsed="false">
      <c r="I46" s="2" t="s">
        <v>72</v>
      </c>
      <c r="K46" s="1" t="n">
        <v>4</v>
      </c>
      <c r="L46" s="1" t="str">
        <f aca="false">VLOOKUP(K46,$R$24:$U$29,3,FALSE())</f>
        <v>30,55</v>
      </c>
      <c r="M46" s="1" t="str">
        <f aca="false">VLOOKUP(K46,$R$24:$U$29,4,FALSE())</f>
        <v>55,100</v>
      </c>
      <c r="N46" s="1" t="n">
        <f aca="false">K46*10</f>
        <v>40</v>
      </c>
      <c r="O46" s="1" t="n">
        <f aca="false">ROUNDUP(N46*1.4+30,-1)</f>
        <v>90</v>
      </c>
    </row>
    <row r="47" customFormat="false" ht="16.5" hidden="false" customHeight="false" outlineLevel="0" collapsed="false">
      <c r="B47" s="2" t="s">
        <v>136</v>
      </c>
      <c r="C47" s="1" t="s">
        <v>137</v>
      </c>
      <c r="D47" s="1" t="n">
        <v>50</v>
      </c>
      <c r="E47" s="2" t="s">
        <v>25</v>
      </c>
      <c r="F47" s="2" t="s">
        <v>138</v>
      </c>
      <c r="G47" s="2" t="s">
        <v>85</v>
      </c>
      <c r="H47" s="1" t="n">
        <v>1</v>
      </c>
      <c r="I47" s="2" t="s">
        <v>72</v>
      </c>
      <c r="K47" s="1" t="n">
        <v>4</v>
      </c>
      <c r="L47" s="1" t="str">
        <f aca="false">VLOOKUP(K47,$R$24:$U$29,3,FALSE())</f>
        <v>30,55</v>
      </c>
      <c r="M47" s="1" t="str">
        <f aca="false">VLOOKUP(K47,$R$24:$U$29,4,FALSE())</f>
        <v>55,100</v>
      </c>
      <c r="N47" s="1" t="n">
        <f aca="false">K47*10</f>
        <v>40</v>
      </c>
      <c r="O47" s="1" t="n">
        <f aca="false">ROUNDUP(N47*1.4+30,-1)</f>
        <v>90</v>
      </c>
    </row>
    <row r="48" customFormat="false" ht="16.5" hidden="false" customHeight="false" outlineLevel="0" collapsed="false">
      <c r="I48" s="2" t="s">
        <v>72</v>
      </c>
      <c r="K48" s="1" t="n">
        <v>4</v>
      </c>
      <c r="L48" s="1" t="str">
        <f aca="false">VLOOKUP(K48,$R$24:$U$29,3,FALSE())</f>
        <v>30,55</v>
      </c>
      <c r="M48" s="1" t="str">
        <f aca="false">VLOOKUP(K48,$R$24:$U$29,4,FALSE())</f>
        <v>55,100</v>
      </c>
      <c r="N48" s="1" t="n">
        <f aca="false">K48*10</f>
        <v>40</v>
      </c>
      <c r="O48" s="1" t="n">
        <f aca="false">ROUNDUP(N48*1.4+30,-1)</f>
        <v>90</v>
      </c>
    </row>
    <row r="49" customFormat="false" ht="16.5" hidden="false" customHeight="false" outlineLevel="0" collapsed="false">
      <c r="B49" s="2" t="s">
        <v>139</v>
      </c>
      <c r="C49" s="1" t="s">
        <v>140</v>
      </c>
      <c r="D49" s="1" t="n">
        <v>40</v>
      </c>
      <c r="E49" s="2" t="s">
        <v>25</v>
      </c>
      <c r="F49" s="2" t="s">
        <v>141</v>
      </c>
      <c r="H49" s="1" t="n">
        <v>1</v>
      </c>
      <c r="I49" s="2" t="s">
        <v>72</v>
      </c>
      <c r="K49" s="1" t="n">
        <v>4</v>
      </c>
      <c r="L49" s="1" t="str">
        <f aca="false">VLOOKUP(K49,$R$24:$U$29,3,FALSE())</f>
        <v>30,55</v>
      </c>
      <c r="M49" s="1" t="str">
        <f aca="false">VLOOKUP(K49,$R$24:$U$29,4,FALSE())</f>
        <v>55,100</v>
      </c>
      <c r="N49" s="1" t="n">
        <f aca="false">K49*10</f>
        <v>40</v>
      </c>
      <c r="O49" s="1" t="n">
        <f aca="false">ROUNDUP(N49*1.4+30,-1)</f>
        <v>90</v>
      </c>
    </row>
    <row r="50" customFormat="false" ht="16.5" hidden="false" customHeight="false" outlineLevel="0" collapsed="false">
      <c r="I50" s="2" t="s">
        <v>72</v>
      </c>
      <c r="K50" s="1" t="n">
        <v>4</v>
      </c>
      <c r="L50" s="1" t="str">
        <f aca="false">VLOOKUP(K50,$R$24:$U$29,3,FALSE())</f>
        <v>30,55</v>
      </c>
      <c r="M50" s="1" t="str">
        <f aca="false">VLOOKUP(K50,$R$24:$U$29,4,FALSE())</f>
        <v>55,100</v>
      </c>
      <c r="N50" s="1" t="n">
        <f aca="false">K50*10</f>
        <v>40</v>
      </c>
      <c r="O50" s="1" t="n">
        <f aca="false">ROUNDUP(N50*1.4+30,-1)</f>
        <v>90</v>
      </c>
    </row>
    <row r="51" customFormat="false" ht="16.5" hidden="false" customHeight="false" outlineLevel="0" collapsed="false">
      <c r="B51" s="2" t="s">
        <v>142</v>
      </c>
      <c r="C51" s="1" t="s">
        <v>143</v>
      </c>
      <c r="D51" s="1" t="n">
        <v>30</v>
      </c>
      <c r="E51" s="2" t="s">
        <v>25</v>
      </c>
      <c r="F51" s="2" t="s">
        <v>144</v>
      </c>
      <c r="H51" s="1" t="n">
        <v>1</v>
      </c>
      <c r="I51" s="2" t="s">
        <v>72</v>
      </c>
      <c r="K51" s="1" t="n">
        <v>4</v>
      </c>
      <c r="L51" s="1" t="str">
        <f aca="false">VLOOKUP(K51,$R$24:$U$29,3,FALSE())</f>
        <v>30,55</v>
      </c>
      <c r="M51" s="1" t="str">
        <f aca="false">VLOOKUP(K51,$R$24:$U$29,4,FALSE())</f>
        <v>55,100</v>
      </c>
      <c r="N51" s="1" t="n">
        <f aca="false">K51*10</f>
        <v>40</v>
      </c>
      <c r="O51" s="1" t="n">
        <f aca="false">ROUNDUP(N51*1.4+30,-1)</f>
        <v>90</v>
      </c>
    </row>
    <row r="52" customFormat="false" ht="16.5" hidden="false" customHeight="false" outlineLevel="0" collapsed="false">
      <c r="I52" s="2" t="s">
        <v>72</v>
      </c>
      <c r="K52" s="1" t="n">
        <v>4</v>
      </c>
      <c r="L52" s="1" t="str">
        <f aca="false">VLOOKUP(K52,$R$24:$U$29,3,FALSE())</f>
        <v>30,55</v>
      </c>
      <c r="M52" s="1" t="str">
        <f aca="false">VLOOKUP(K52,$R$24:$U$29,4,FALSE())</f>
        <v>55,100</v>
      </c>
      <c r="N52" s="1" t="n">
        <f aca="false">K52*10</f>
        <v>40</v>
      </c>
      <c r="O52" s="1" t="n">
        <f aca="false">ROUNDUP(N52*1.4+30,-1)</f>
        <v>90</v>
      </c>
    </row>
    <row r="53" customFormat="false" ht="16.5" hidden="false" customHeight="false" outlineLevel="0" collapsed="false">
      <c r="B53" s="2" t="s">
        <v>145</v>
      </c>
      <c r="C53" s="1" t="s">
        <v>146</v>
      </c>
      <c r="D53" s="1" t="n">
        <v>50</v>
      </c>
      <c r="E53" s="2" t="s">
        <v>25</v>
      </c>
      <c r="F53" s="2" t="s">
        <v>147</v>
      </c>
      <c r="H53" s="1" t="n">
        <v>1</v>
      </c>
      <c r="I53" s="2" t="s">
        <v>109</v>
      </c>
      <c r="K53" s="1" t="n">
        <v>6</v>
      </c>
      <c r="L53" s="1" t="str">
        <f aca="false">VLOOKUP(K53,$R$24:$U$29,3,FALSE())</f>
        <v>40,70</v>
      </c>
      <c r="M53" s="1" t="str">
        <f aca="false">VLOOKUP(K53,$R$24:$U$29,4,FALSE())</f>
        <v>70,120</v>
      </c>
      <c r="N53" s="1" t="n">
        <f aca="false">K53*10</f>
        <v>60</v>
      </c>
      <c r="O53" s="1" t="n">
        <f aca="false">ROUNDUP(N53*1.4+30,-1)</f>
        <v>120</v>
      </c>
    </row>
    <row r="54" customFormat="false" ht="16.5" hidden="false" customHeight="false" outlineLevel="0" collapsed="false">
      <c r="I54" s="2" t="s">
        <v>109</v>
      </c>
      <c r="K54" s="1" t="n">
        <v>6</v>
      </c>
      <c r="L54" s="1" t="str">
        <f aca="false">VLOOKUP(K54,$R$24:$U$29,3,FALSE())</f>
        <v>40,70</v>
      </c>
      <c r="M54" s="1" t="str">
        <f aca="false">VLOOKUP(K54,$R$24:$U$29,4,FALSE())</f>
        <v>70,120</v>
      </c>
      <c r="N54" s="1" t="n">
        <f aca="false">K54*10</f>
        <v>60</v>
      </c>
      <c r="O54" s="1" t="n">
        <f aca="false">ROUNDUP(N54*1.4+30,-1)</f>
        <v>120</v>
      </c>
    </row>
    <row r="55" customFormat="false" ht="16.5" hidden="false" customHeight="false" outlineLevel="0" collapsed="false">
      <c r="B55" s="2" t="s">
        <v>148</v>
      </c>
      <c r="C55" s="1" t="s">
        <v>70</v>
      </c>
      <c r="D55" s="1" t="n">
        <v>40</v>
      </c>
      <c r="E55" s="2" t="s">
        <v>25</v>
      </c>
      <c r="F55" s="2" t="s">
        <v>149</v>
      </c>
      <c r="H55" s="1" t="n">
        <v>1</v>
      </c>
      <c r="I55" s="2" t="s">
        <v>72</v>
      </c>
      <c r="K55" s="1" t="n">
        <v>6</v>
      </c>
      <c r="L55" s="1" t="str">
        <f aca="false">VLOOKUP(K55,$R$24:$U$29,3,FALSE())</f>
        <v>40,70</v>
      </c>
      <c r="M55" s="1" t="str">
        <f aca="false">VLOOKUP(K55,$R$24:$U$29,4,FALSE())</f>
        <v>70,120</v>
      </c>
      <c r="N55" s="1" t="n">
        <f aca="false">K55*10</f>
        <v>60</v>
      </c>
      <c r="O55" s="1" t="n">
        <f aca="false">ROUNDUP(N55*1.4+30,-1)</f>
        <v>120</v>
      </c>
    </row>
    <row r="56" customFormat="false" ht="16.5" hidden="false" customHeight="false" outlineLevel="0" collapsed="false">
      <c r="I56" s="2" t="s">
        <v>72</v>
      </c>
      <c r="K56" s="1" t="n">
        <v>6</v>
      </c>
      <c r="L56" s="1" t="str">
        <f aca="false">VLOOKUP(K56,$R$24:$U$29,3,FALSE())</f>
        <v>40,70</v>
      </c>
      <c r="M56" s="1" t="str">
        <f aca="false">VLOOKUP(K56,$R$24:$U$29,4,FALSE())</f>
        <v>70,120</v>
      </c>
      <c r="N56" s="1" t="n">
        <f aca="false">K56*10</f>
        <v>60</v>
      </c>
      <c r="O56" s="1" t="n">
        <f aca="false">ROUNDUP(N56*1.4+30,-1)</f>
        <v>120</v>
      </c>
    </row>
    <row r="57" customFormat="false" ht="16.5" hidden="false" customHeight="false" outlineLevel="0" collapsed="false">
      <c r="I57" s="2" t="s">
        <v>72</v>
      </c>
      <c r="K57" s="1" t="n">
        <v>6</v>
      </c>
      <c r="L57" s="1" t="str">
        <f aca="false">VLOOKUP(K57,$R$24:$U$29,3,FALSE())</f>
        <v>40,70</v>
      </c>
      <c r="M57" s="1" t="str">
        <f aca="false">VLOOKUP(K57,$R$24:$U$29,4,FALSE())</f>
        <v>70,120</v>
      </c>
      <c r="N57" s="1" t="n">
        <f aca="false">K57*10</f>
        <v>60</v>
      </c>
      <c r="O57" s="1" t="n">
        <f aca="false">ROUNDUP(N57*1.4+30,-1)</f>
        <v>120</v>
      </c>
    </row>
    <row r="58" customFormat="false" ht="16.5" hidden="false" customHeight="false" outlineLevel="0" collapsed="false">
      <c r="B58" s="2" t="s">
        <v>150</v>
      </c>
      <c r="C58" s="1" t="s">
        <v>151</v>
      </c>
      <c r="D58" s="1" t="n">
        <v>30</v>
      </c>
      <c r="E58" s="2" t="s">
        <v>25</v>
      </c>
      <c r="F58" s="2" t="s">
        <v>152</v>
      </c>
      <c r="H58" s="1" t="n">
        <v>1</v>
      </c>
      <c r="I58" s="2" t="s">
        <v>72</v>
      </c>
      <c r="K58" s="1" t="n">
        <v>6</v>
      </c>
      <c r="L58" s="1" t="str">
        <f aca="false">VLOOKUP(K58,$R$24:$U$29,3,FALSE())</f>
        <v>40,70</v>
      </c>
      <c r="M58" s="1" t="str">
        <f aca="false">VLOOKUP(K58,$R$24:$U$29,4,FALSE())</f>
        <v>70,120</v>
      </c>
      <c r="N58" s="1" t="n">
        <f aca="false">K58*10</f>
        <v>60</v>
      </c>
      <c r="O58" s="1" t="n">
        <f aca="false">ROUNDUP(N58*1.4+30,-1)</f>
        <v>120</v>
      </c>
    </row>
    <row r="59" customFormat="false" ht="16.5" hidden="false" customHeight="false" outlineLevel="0" collapsed="false">
      <c r="I59" s="2" t="s">
        <v>72</v>
      </c>
      <c r="K59" s="1" t="n">
        <v>6</v>
      </c>
      <c r="L59" s="1" t="str">
        <f aca="false">VLOOKUP(K59,$R$24:$U$29,3,FALSE())</f>
        <v>40,70</v>
      </c>
      <c r="M59" s="1" t="str">
        <f aca="false">VLOOKUP(K59,$R$24:$U$29,4,FALSE())</f>
        <v>70,120</v>
      </c>
      <c r="N59" s="1" t="n">
        <f aca="false">K59*10</f>
        <v>60</v>
      </c>
      <c r="O59" s="1" t="n">
        <f aca="false">ROUNDUP(N59*1.4+30,-1)</f>
        <v>120</v>
      </c>
    </row>
    <row r="60" customFormat="false" ht="16.5" hidden="false" customHeight="false" outlineLevel="0" collapsed="false">
      <c r="I60" s="2" t="s">
        <v>72</v>
      </c>
      <c r="K60" s="1" t="n">
        <v>6</v>
      </c>
      <c r="L60" s="1" t="str">
        <f aca="false">VLOOKUP(K60,$R$24:$U$29,3,FALSE())</f>
        <v>40,70</v>
      </c>
      <c r="M60" s="1" t="str">
        <f aca="false">VLOOKUP(K60,$R$24:$U$29,4,FALSE())</f>
        <v>70,120</v>
      </c>
      <c r="N60" s="1" t="n">
        <f aca="false">K60*10</f>
        <v>60</v>
      </c>
      <c r="O60" s="1" t="n">
        <f aca="false">ROUNDUP(N60*1.4+30,-1)</f>
        <v>120</v>
      </c>
    </row>
    <row r="61" customFormat="false" ht="16.5" hidden="false" customHeight="false" outlineLevel="0" collapsed="false">
      <c r="B61" s="2" t="s">
        <v>153</v>
      </c>
      <c r="C61" s="1" t="s">
        <v>154</v>
      </c>
      <c r="D61" s="1" t="n">
        <v>20</v>
      </c>
      <c r="E61" s="2" t="s">
        <v>25</v>
      </c>
      <c r="F61" s="2" t="s">
        <v>155</v>
      </c>
      <c r="H61" s="1" t="n">
        <v>1</v>
      </c>
      <c r="I61" s="2" t="s">
        <v>109</v>
      </c>
      <c r="K61" s="1" t="n">
        <v>6</v>
      </c>
      <c r="L61" s="1" t="str">
        <f aca="false">VLOOKUP(K61,$R$24:$U$29,3,FALSE())</f>
        <v>40,70</v>
      </c>
      <c r="M61" s="1" t="str">
        <f aca="false">VLOOKUP(K61,$R$24:$U$29,4,FALSE())</f>
        <v>70,120</v>
      </c>
      <c r="N61" s="1" t="n">
        <f aca="false">K61*10</f>
        <v>60</v>
      </c>
      <c r="O61" s="1" t="n">
        <f aca="false">ROUNDUP(N61*1.4+30,-1)</f>
        <v>120</v>
      </c>
    </row>
    <row r="62" customFormat="false" ht="16.5" hidden="false" customHeight="false" outlineLevel="0" collapsed="false">
      <c r="I62" s="2" t="s">
        <v>109</v>
      </c>
      <c r="K62" s="1" t="n">
        <v>6</v>
      </c>
      <c r="L62" s="1" t="str">
        <f aca="false">VLOOKUP(K62,$R$24:$U$29,3,FALSE())</f>
        <v>40,70</v>
      </c>
      <c r="M62" s="1" t="str">
        <f aca="false">VLOOKUP(K62,$R$24:$U$29,4,FALSE())</f>
        <v>70,120</v>
      </c>
      <c r="N62" s="1" t="n">
        <f aca="false">K62*10</f>
        <v>60</v>
      </c>
      <c r="O62" s="1" t="n">
        <f aca="false">ROUNDUP(N62*1.4+30,-1)</f>
        <v>120</v>
      </c>
    </row>
    <row r="63" customFormat="false" ht="16.5" hidden="false" customHeight="false" outlineLevel="0" collapsed="false">
      <c r="B63" s="2" t="s">
        <v>156</v>
      </c>
      <c r="C63" s="1" t="s">
        <v>157</v>
      </c>
      <c r="D63" s="1" t="n">
        <v>30</v>
      </c>
      <c r="E63" s="2" t="s">
        <v>25</v>
      </c>
      <c r="F63" s="2" t="s">
        <v>158</v>
      </c>
      <c r="G63" s="2" t="s">
        <v>85</v>
      </c>
      <c r="H63" s="1" t="n">
        <v>1</v>
      </c>
      <c r="I63" s="2" t="s">
        <v>109</v>
      </c>
      <c r="K63" s="1" t="n">
        <v>6</v>
      </c>
      <c r="L63" s="1" t="str">
        <f aca="false">VLOOKUP(K63,$R$24:$U$29,3,FALSE())</f>
        <v>40,70</v>
      </c>
      <c r="M63" s="1" t="str">
        <f aca="false">VLOOKUP(K63,$R$24:$U$29,4,FALSE())</f>
        <v>70,120</v>
      </c>
      <c r="N63" s="1" t="n">
        <f aca="false">K63*10</f>
        <v>60</v>
      </c>
      <c r="O63" s="1" t="n">
        <f aca="false">ROUNDUP(N63*1.4+30,-1)</f>
        <v>120</v>
      </c>
    </row>
    <row r="64" customFormat="false" ht="16.5" hidden="false" customHeight="false" outlineLevel="0" collapsed="false">
      <c r="I64" s="2" t="s">
        <v>109</v>
      </c>
      <c r="K64" s="1" t="n">
        <v>6</v>
      </c>
      <c r="L64" s="1" t="str">
        <f aca="false">VLOOKUP(K64,$R$24:$U$29,3,FALSE())</f>
        <v>40,70</v>
      </c>
      <c r="M64" s="1" t="str">
        <f aca="false">VLOOKUP(K64,$R$24:$U$29,4,FALSE())</f>
        <v>70,120</v>
      </c>
      <c r="N64" s="1" t="n">
        <f aca="false">K64*10</f>
        <v>60</v>
      </c>
      <c r="O64" s="1" t="n">
        <f aca="false">ROUNDUP(N64*1.4+30,-1)</f>
        <v>120</v>
      </c>
    </row>
    <row r="65" customFormat="false" ht="16.5" hidden="false" customHeight="false" outlineLevel="0" collapsed="false">
      <c r="B65" s="2" t="s">
        <v>159</v>
      </c>
      <c r="C65" s="1" t="s">
        <v>160</v>
      </c>
      <c r="D65" s="1" t="n">
        <v>50</v>
      </c>
      <c r="E65" s="2" t="s">
        <v>25</v>
      </c>
      <c r="F65" s="2" t="s">
        <v>161</v>
      </c>
      <c r="H65" s="1" t="n">
        <v>1</v>
      </c>
      <c r="I65" s="2" t="s">
        <v>72</v>
      </c>
      <c r="K65" s="1" t="n">
        <v>6</v>
      </c>
      <c r="L65" s="1" t="str">
        <f aca="false">VLOOKUP(K65,$R$24:$U$29,3,FALSE())</f>
        <v>40,70</v>
      </c>
      <c r="M65" s="1" t="str">
        <f aca="false">VLOOKUP(K65,$R$24:$U$29,4,FALSE())</f>
        <v>70,120</v>
      </c>
      <c r="N65" s="1" t="n">
        <f aca="false">K65*10</f>
        <v>60</v>
      </c>
      <c r="O65" s="1" t="n">
        <f aca="false">ROUNDUP(N65*1.4+30,-1)</f>
        <v>120</v>
      </c>
    </row>
    <row r="66" customFormat="false" ht="16.5" hidden="false" customHeight="false" outlineLevel="0" collapsed="false">
      <c r="I66" s="2" t="s">
        <v>72</v>
      </c>
      <c r="K66" s="1" t="n">
        <v>6</v>
      </c>
      <c r="L66" s="1" t="str">
        <f aca="false">VLOOKUP(K66,$R$24:$U$29,3,FALSE())</f>
        <v>40,70</v>
      </c>
      <c r="M66" s="1" t="str">
        <f aca="false">VLOOKUP(K66,$R$24:$U$29,4,FALSE())</f>
        <v>70,120</v>
      </c>
      <c r="N66" s="1" t="n">
        <f aca="false">K66*10</f>
        <v>60</v>
      </c>
      <c r="O66" s="1" t="n">
        <f aca="false">ROUNDUP(N66*1.4+30,-1)</f>
        <v>120</v>
      </c>
    </row>
    <row r="67" customFormat="false" ht="16.5" hidden="false" customHeight="false" outlineLevel="0" collapsed="false">
      <c r="I67" s="2" t="s">
        <v>72</v>
      </c>
      <c r="K67" s="1" t="n">
        <v>6</v>
      </c>
      <c r="L67" s="1" t="str">
        <f aca="false">VLOOKUP(K67,$R$24:$U$29,3,FALSE())</f>
        <v>40,70</v>
      </c>
      <c r="M67" s="1" t="str">
        <f aca="false">VLOOKUP(K67,$R$24:$U$29,4,FALSE())</f>
        <v>70,120</v>
      </c>
      <c r="N67" s="1" t="n">
        <f aca="false">K67*10</f>
        <v>60</v>
      </c>
      <c r="O67" s="1" t="n">
        <f aca="false">ROUNDUP(N67*1.4+30,-1)</f>
        <v>120</v>
      </c>
    </row>
    <row r="68" customFormat="false" ht="16.5" hidden="false" customHeight="false" outlineLevel="0" collapsed="false">
      <c r="B68" s="2" t="s">
        <v>162</v>
      </c>
      <c r="C68" s="1" t="s">
        <v>163</v>
      </c>
      <c r="D68" s="1" t="n">
        <v>40</v>
      </c>
      <c r="E68" s="2" t="s">
        <v>25</v>
      </c>
      <c r="F68" s="2" t="s">
        <v>164</v>
      </c>
      <c r="G68" s="2" t="s">
        <v>85</v>
      </c>
      <c r="H68" s="1" t="n">
        <v>1</v>
      </c>
      <c r="I68" s="2" t="s">
        <v>72</v>
      </c>
      <c r="K68" s="1" t="n">
        <v>6</v>
      </c>
      <c r="L68" s="1" t="str">
        <f aca="false">VLOOKUP(K68,$R$24:$U$29,3,FALSE())</f>
        <v>40,70</v>
      </c>
      <c r="M68" s="1" t="str">
        <f aca="false">VLOOKUP(K68,$R$24:$U$29,4,FALSE())</f>
        <v>70,120</v>
      </c>
      <c r="N68" s="1" t="n">
        <f aca="false">K68*10</f>
        <v>60</v>
      </c>
      <c r="O68" s="1" t="n">
        <f aca="false">ROUNDUP(N68*1.4+30,-1)</f>
        <v>120</v>
      </c>
    </row>
    <row r="69" customFormat="false" ht="16.5" hidden="false" customHeight="false" outlineLevel="0" collapsed="false">
      <c r="I69" s="2" t="s">
        <v>72</v>
      </c>
      <c r="K69" s="1" t="n">
        <v>6</v>
      </c>
      <c r="L69" s="1" t="str">
        <f aca="false">VLOOKUP(K69,$R$24:$U$29,3,FALSE())</f>
        <v>40,70</v>
      </c>
      <c r="M69" s="1" t="str">
        <f aca="false">VLOOKUP(K69,$R$24:$U$29,4,FALSE())</f>
        <v>70,120</v>
      </c>
      <c r="N69" s="1" t="n">
        <f aca="false">K69*10</f>
        <v>60</v>
      </c>
      <c r="O69" s="1" t="n">
        <f aca="false">ROUNDUP(N69*1.4+30,-1)</f>
        <v>120</v>
      </c>
    </row>
    <row r="70" customFormat="false" ht="16.5" hidden="false" customHeight="false" outlineLevel="0" collapsed="false">
      <c r="I70" s="2" t="s">
        <v>72</v>
      </c>
      <c r="K70" s="1" t="n">
        <v>6</v>
      </c>
      <c r="L70" s="1" t="str">
        <f aca="false">VLOOKUP(K70,$R$24:$U$29,3,FALSE())</f>
        <v>40,70</v>
      </c>
      <c r="M70" s="1" t="str">
        <f aca="false">VLOOKUP(K70,$R$24:$U$29,4,FALSE())</f>
        <v>70,120</v>
      </c>
      <c r="N70" s="1" t="n">
        <f aca="false">K70*10</f>
        <v>60</v>
      </c>
      <c r="O70" s="1" t="n">
        <f aca="false">ROUNDUP(N70*1.4+30,-1)</f>
        <v>120</v>
      </c>
    </row>
    <row r="71" customFormat="false" ht="16.5" hidden="false" customHeight="false" outlineLevel="0" collapsed="false">
      <c r="B71" s="2" t="s">
        <v>165</v>
      </c>
      <c r="C71" s="1" t="s">
        <v>166</v>
      </c>
      <c r="D71" s="1" t="n">
        <v>30</v>
      </c>
      <c r="E71" s="2" t="s">
        <v>25</v>
      </c>
      <c r="F71" s="2" t="s">
        <v>167</v>
      </c>
      <c r="H71" s="1" t="n">
        <v>1</v>
      </c>
      <c r="I71" s="2" t="s">
        <v>109</v>
      </c>
      <c r="K71" s="1" t="n">
        <v>6</v>
      </c>
      <c r="L71" s="1" t="str">
        <f aca="false">VLOOKUP(K71,$R$24:$U$29,3,FALSE())</f>
        <v>40,70</v>
      </c>
      <c r="M71" s="1" t="str">
        <f aca="false">VLOOKUP(K71,$R$24:$U$29,4,FALSE())</f>
        <v>70,120</v>
      </c>
      <c r="N71" s="1" t="n">
        <f aca="false">K71*10</f>
        <v>60</v>
      </c>
      <c r="O71" s="1" t="n">
        <f aca="false">ROUNDUP(N71*1.4+30,-1)</f>
        <v>120</v>
      </c>
    </row>
    <row r="72" customFormat="false" ht="16.5" hidden="false" customHeight="false" outlineLevel="0" collapsed="false">
      <c r="I72" s="2" t="s">
        <v>109</v>
      </c>
      <c r="K72" s="1" t="n">
        <v>6</v>
      </c>
      <c r="L72" s="1" t="str">
        <f aca="false">VLOOKUP(K72,$R$24:$U$29,3,FALSE())</f>
        <v>40,70</v>
      </c>
      <c r="M72" s="1" t="str">
        <f aca="false">VLOOKUP(K72,$R$24:$U$29,4,FALSE())</f>
        <v>70,120</v>
      </c>
      <c r="N72" s="1" t="n">
        <f aca="false">K72*10</f>
        <v>60</v>
      </c>
      <c r="O72" s="1" t="n">
        <f aca="false">ROUNDUP(N72*1.4+30,-1)</f>
        <v>120</v>
      </c>
    </row>
    <row r="73" customFormat="false" ht="16.5" hidden="false" customHeight="false" outlineLevel="0" collapsed="false">
      <c r="B73" s="2" t="s">
        <v>168</v>
      </c>
      <c r="C73" s="1" t="s">
        <v>169</v>
      </c>
      <c r="D73" s="1" t="n">
        <v>20</v>
      </c>
      <c r="E73" s="2" t="s">
        <v>25</v>
      </c>
      <c r="F73" s="2" t="s">
        <v>170</v>
      </c>
      <c r="H73" s="1" t="n">
        <v>1</v>
      </c>
      <c r="I73" s="2" t="s">
        <v>72</v>
      </c>
      <c r="K73" s="1" t="n">
        <v>3</v>
      </c>
      <c r="L73" s="1" t="str">
        <f aca="false">VLOOKUP(K73,$R$24:$U$29,3,FALSE())</f>
        <v>20,45</v>
      </c>
      <c r="M73" s="1" t="str">
        <f aca="false">VLOOKUP(K73,$R$24:$U$29,4,FALSE())</f>
        <v>45,80</v>
      </c>
      <c r="N73" s="1" t="n">
        <f aca="false">K73*10</f>
        <v>30</v>
      </c>
      <c r="O73" s="1" t="n">
        <f aca="false">ROUNDUP(N73*1.4+30,-1)</f>
        <v>80</v>
      </c>
    </row>
    <row r="74" customFormat="false" ht="16.5" hidden="false" customHeight="false" outlineLevel="0" collapsed="false">
      <c r="I74" s="2" t="s">
        <v>171</v>
      </c>
      <c r="K74" s="1" t="n">
        <v>3</v>
      </c>
      <c r="L74" s="1" t="str">
        <f aca="false">VLOOKUP(K74,$R$24:$U$29,3,FALSE())</f>
        <v>20,45</v>
      </c>
      <c r="M74" s="1" t="str">
        <f aca="false">VLOOKUP(K74,$R$24:$U$29,4,FALSE())</f>
        <v>45,80</v>
      </c>
      <c r="N74" s="1" t="n">
        <f aca="false">K74*10</f>
        <v>30</v>
      </c>
      <c r="O74" s="1" t="n">
        <f aca="false">ROUNDUP(N74*1.4+30,-1)</f>
        <v>80</v>
      </c>
    </row>
    <row r="75" customFormat="false" ht="16.5" hidden="false" customHeight="false" outlineLevel="0" collapsed="false">
      <c r="B75" s="2" t="s">
        <v>172</v>
      </c>
      <c r="C75" s="1" t="s">
        <v>173</v>
      </c>
      <c r="D75" s="1" t="n">
        <v>30</v>
      </c>
      <c r="E75" s="2" t="s">
        <v>25</v>
      </c>
      <c r="F75" s="2" t="s">
        <v>174</v>
      </c>
      <c r="H75" s="1" t="n">
        <v>1</v>
      </c>
      <c r="I75" s="2" t="s">
        <v>175</v>
      </c>
      <c r="K75" s="1" t="n">
        <v>3</v>
      </c>
      <c r="L75" s="1" t="str">
        <f aca="false">VLOOKUP(K75,$R$24:$U$29,3,FALSE())</f>
        <v>20,45</v>
      </c>
      <c r="M75" s="1" t="str">
        <f aca="false">VLOOKUP(K75,$R$24:$U$29,4,FALSE())</f>
        <v>45,80</v>
      </c>
      <c r="N75" s="1" t="n">
        <f aca="false">K75*10</f>
        <v>30</v>
      </c>
      <c r="O75" s="1" t="n">
        <f aca="false">ROUNDUP(N75*1.4+30,-1)</f>
        <v>80</v>
      </c>
    </row>
    <row r="76" customFormat="false" ht="16.5" hidden="false" customHeight="false" outlineLevel="0" collapsed="false">
      <c r="I76" s="2" t="s">
        <v>72</v>
      </c>
      <c r="K76" s="1" t="n">
        <v>3</v>
      </c>
      <c r="L76" s="1" t="str">
        <f aca="false">VLOOKUP(K76,$R$24:$U$29,3,FALSE())</f>
        <v>20,45</v>
      </c>
      <c r="M76" s="1" t="str">
        <f aca="false">VLOOKUP(K76,$R$24:$U$29,4,FALSE())</f>
        <v>45,80</v>
      </c>
      <c r="N76" s="1" t="n">
        <f aca="false">K76*10</f>
        <v>30</v>
      </c>
      <c r="O76" s="1" t="n">
        <f aca="false">ROUNDUP(N76*1.4+30,-1)</f>
        <v>80</v>
      </c>
    </row>
    <row r="77" customFormat="false" ht="16.5" hidden="false" customHeight="false" outlineLevel="0" collapsed="false">
      <c r="B77" s="2" t="s">
        <v>176</v>
      </c>
      <c r="C77" s="1" t="s">
        <v>177</v>
      </c>
      <c r="D77" s="1" t="n">
        <v>40</v>
      </c>
      <c r="E77" s="2" t="s">
        <v>25</v>
      </c>
      <c r="F77" s="2" t="s">
        <v>178</v>
      </c>
      <c r="H77" s="1" t="n">
        <v>1</v>
      </c>
      <c r="I77" s="2" t="s">
        <v>72</v>
      </c>
      <c r="K77" s="1" t="n">
        <v>4</v>
      </c>
      <c r="L77" s="1" t="str">
        <f aca="false">VLOOKUP(K77,$R$24:$U$29,3,FALSE())</f>
        <v>30,55</v>
      </c>
      <c r="M77" s="1" t="str">
        <f aca="false">VLOOKUP(K77,$R$24:$U$29,4,FALSE())</f>
        <v>55,100</v>
      </c>
      <c r="N77" s="1" t="n">
        <f aca="false">K77*10</f>
        <v>40</v>
      </c>
      <c r="O77" s="1" t="n">
        <f aca="false">ROUNDUP(N77*1.4+30,-1)</f>
        <v>90</v>
      </c>
    </row>
    <row r="78" customFormat="false" ht="16.5" hidden="false" customHeight="false" outlineLevel="0" collapsed="false">
      <c r="I78" s="2" t="s">
        <v>171</v>
      </c>
      <c r="K78" s="1" t="n">
        <v>4</v>
      </c>
      <c r="L78" s="1" t="str">
        <f aca="false">VLOOKUP(K78,$R$24:$U$29,3,FALSE())</f>
        <v>30,55</v>
      </c>
      <c r="M78" s="1" t="str">
        <f aca="false">VLOOKUP(K78,$R$24:$U$29,4,FALSE())</f>
        <v>55,100</v>
      </c>
      <c r="N78" s="1" t="n">
        <f aca="false">K78*10</f>
        <v>40</v>
      </c>
      <c r="O78" s="1" t="n">
        <f aca="false">ROUNDUP(N78*1.4+30,-1)</f>
        <v>90</v>
      </c>
    </row>
    <row r="79" customFormat="false" ht="16.5" hidden="false" customHeight="false" outlineLevel="0" collapsed="false">
      <c r="I79" s="2" t="s">
        <v>171</v>
      </c>
      <c r="K79" s="1" t="n">
        <v>4</v>
      </c>
      <c r="L79" s="1" t="str">
        <f aca="false">VLOOKUP(K79,$R$24:$U$29,3,FALSE())</f>
        <v>30,55</v>
      </c>
      <c r="M79" s="1" t="str">
        <f aca="false">VLOOKUP(K79,$R$24:$U$29,4,FALSE())</f>
        <v>55,100</v>
      </c>
      <c r="N79" s="1" t="n">
        <f aca="false">K79*10</f>
        <v>40</v>
      </c>
      <c r="O79" s="1" t="n">
        <f aca="false">ROUNDUP(N79*1.4+30,-1)</f>
        <v>90</v>
      </c>
    </row>
    <row r="80" customFormat="false" ht="16.5" hidden="false" customHeight="false" outlineLevel="0" collapsed="false">
      <c r="B80" s="2" t="s">
        <v>179</v>
      </c>
      <c r="C80" s="1" t="s">
        <v>180</v>
      </c>
      <c r="D80" s="1" t="n">
        <v>100</v>
      </c>
      <c r="E80" s="2" t="s">
        <v>25</v>
      </c>
      <c r="F80" s="2" t="s">
        <v>181</v>
      </c>
      <c r="H80" s="1" t="n">
        <v>1</v>
      </c>
      <c r="I80" s="2" t="s">
        <v>109</v>
      </c>
      <c r="K80" s="1" t="n">
        <v>11</v>
      </c>
      <c r="L80" s="2" t="s">
        <v>99</v>
      </c>
      <c r="M80" s="3" t="s">
        <v>111</v>
      </c>
      <c r="N80" s="1" t="n">
        <f aca="false">K80*10</f>
        <v>110</v>
      </c>
      <c r="O80" s="1" t="n">
        <f aca="false">ROUNDUP(N80*1.4+30,-1)</f>
        <v>190</v>
      </c>
    </row>
    <row r="81" customFormat="false" ht="16.5" hidden="false" customHeight="false" outlineLevel="0" collapsed="false">
      <c r="I81" s="2" t="s">
        <v>109</v>
      </c>
      <c r="K81" s="1" t="n">
        <v>11</v>
      </c>
      <c r="L81" s="2" t="s">
        <v>99</v>
      </c>
      <c r="M81" s="3" t="s">
        <v>111</v>
      </c>
      <c r="N81" s="1" t="n">
        <f aca="false">K81*10</f>
        <v>110</v>
      </c>
      <c r="O81" s="1" t="n">
        <f aca="false">ROUNDUP(N81*1.4+30,-1)</f>
        <v>190</v>
      </c>
    </row>
    <row r="82" customFormat="false" ht="16.5" hidden="false" customHeight="false" outlineLevel="0" collapsed="false">
      <c r="I82" s="2" t="s">
        <v>109</v>
      </c>
      <c r="K82" s="1" t="n">
        <v>11</v>
      </c>
      <c r="L82" s="2" t="s">
        <v>99</v>
      </c>
      <c r="M82" s="3" t="s">
        <v>111</v>
      </c>
      <c r="N82" s="1" t="n">
        <f aca="false">K82*10</f>
        <v>110</v>
      </c>
      <c r="O82" s="1" t="n">
        <f aca="false">ROUNDUP(N82*1.4+30,-1)</f>
        <v>190</v>
      </c>
    </row>
    <row r="83" customFormat="false" ht="16.5" hidden="false" customHeight="false" outlineLevel="0" collapsed="false">
      <c r="I83" s="2" t="s">
        <v>182</v>
      </c>
      <c r="K83" s="1" t="n">
        <v>11</v>
      </c>
      <c r="L83" s="2" t="s">
        <v>99</v>
      </c>
      <c r="M83" s="3" t="s">
        <v>111</v>
      </c>
      <c r="N83" s="1" t="n">
        <f aca="false">K83*10</f>
        <v>110</v>
      </c>
      <c r="O83" s="1" t="n">
        <f aca="false">ROUNDUP(N83*1.4+30,-1)</f>
        <v>190</v>
      </c>
    </row>
    <row r="84" customFormat="false" ht="16.5" hidden="false" customHeight="false" outlineLevel="0" collapsed="false">
      <c r="I84" s="2" t="s">
        <v>182</v>
      </c>
      <c r="K84" s="1" t="n">
        <v>11</v>
      </c>
      <c r="L84" s="2" t="s">
        <v>99</v>
      </c>
      <c r="M84" s="3" t="s">
        <v>111</v>
      </c>
      <c r="N84" s="1" t="n">
        <f aca="false">K84*10</f>
        <v>110</v>
      </c>
      <c r="O84" s="1" t="n">
        <f aca="false">ROUNDUP(N84*1.4+30,-1)</f>
        <v>190</v>
      </c>
    </row>
    <row r="85" customFormat="false" ht="16.5" hidden="false" customHeight="false" outlineLevel="0" collapsed="false">
      <c r="B85" s="2" t="s">
        <v>183</v>
      </c>
      <c r="C85" s="1" t="s">
        <v>184</v>
      </c>
      <c r="D85" s="1" t="n">
        <v>80</v>
      </c>
      <c r="E85" s="2" t="s">
        <v>25</v>
      </c>
      <c r="F85" s="2" t="s">
        <v>185</v>
      </c>
      <c r="H85" s="1" t="n">
        <v>1</v>
      </c>
      <c r="I85" s="2" t="s">
        <v>109</v>
      </c>
      <c r="K85" s="1" t="n">
        <v>9</v>
      </c>
      <c r="L85" s="2" t="s">
        <v>99</v>
      </c>
      <c r="M85" s="3" t="s">
        <v>111</v>
      </c>
      <c r="N85" s="1" t="n">
        <f aca="false">K85*10</f>
        <v>90</v>
      </c>
      <c r="O85" s="1" t="n">
        <f aca="false">ROUNDUP(N85*1.4+30,-1)</f>
        <v>160</v>
      </c>
    </row>
    <row r="86" customFormat="false" ht="16.5" hidden="false" customHeight="false" outlineLevel="0" collapsed="false">
      <c r="I86" s="2" t="s">
        <v>109</v>
      </c>
      <c r="K86" s="1" t="n">
        <v>9</v>
      </c>
      <c r="L86" s="2" t="s">
        <v>99</v>
      </c>
      <c r="M86" s="3" t="s">
        <v>111</v>
      </c>
      <c r="N86" s="1" t="n">
        <f aca="false">K86*10</f>
        <v>90</v>
      </c>
      <c r="O86" s="1" t="n">
        <f aca="false">ROUNDUP(N86*1.4+30,-1)</f>
        <v>160</v>
      </c>
    </row>
    <row r="87" customFormat="false" ht="16.5" hidden="false" customHeight="false" outlineLevel="0" collapsed="false">
      <c r="I87" s="2" t="s">
        <v>109</v>
      </c>
      <c r="K87" s="1" t="n">
        <v>9</v>
      </c>
      <c r="L87" s="2" t="s">
        <v>99</v>
      </c>
      <c r="M87" s="3" t="s">
        <v>111</v>
      </c>
      <c r="N87" s="1" t="n">
        <f aca="false">K87*10</f>
        <v>90</v>
      </c>
      <c r="O87" s="1" t="n">
        <f aca="false">ROUNDUP(N87*1.4+30,-1)</f>
        <v>160</v>
      </c>
    </row>
    <row r="88" customFormat="false" ht="16.5" hidden="false" customHeight="false" outlineLevel="0" collapsed="false">
      <c r="B88" s="2" t="s">
        <v>186</v>
      </c>
      <c r="C88" s="1" t="s">
        <v>187</v>
      </c>
      <c r="D88" s="1" t="n">
        <v>140</v>
      </c>
      <c r="E88" s="2" t="s">
        <v>25</v>
      </c>
      <c r="F88" s="2" t="s">
        <v>188</v>
      </c>
      <c r="G88" s="2" t="s">
        <v>85</v>
      </c>
      <c r="H88" s="1" t="n">
        <v>1</v>
      </c>
      <c r="I88" s="2" t="s">
        <v>189</v>
      </c>
      <c r="K88" s="1" t="n">
        <v>16</v>
      </c>
      <c r="L88" s="2" t="s">
        <v>99</v>
      </c>
      <c r="M88" s="3" t="s">
        <v>111</v>
      </c>
      <c r="N88" s="1" t="n">
        <f aca="false">K88*10</f>
        <v>160</v>
      </c>
      <c r="O88" s="1" t="n">
        <f aca="false">ROUNDUP(N88*1.4+30,-1)</f>
        <v>260</v>
      </c>
    </row>
    <row r="89" customFormat="false" ht="16.5" hidden="false" customHeight="false" outlineLevel="0" collapsed="false">
      <c r="I89" s="2" t="s">
        <v>189</v>
      </c>
      <c r="K89" s="1" t="n">
        <v>16</v>
      </c>
      <c r="L89" s="2" t="s">
        <v>99</v>
      </c>
      <c r="M89" s="3" t="s">
        <v>111</v>
      </c>
      <c r="N89" s="1" t="n">
        <f aca="false">K89*10</f>
        <v>160</v>
      </c>
      <c r="O89" s="1" t="n">
        <f aca="false">ROUNDUP(N89*1.4+30,-1)</f>
        <v>260</v>
      </c>
    </row>
    <row r="90" customFormat="false" ht="16.5" hidden="false" customHeight="false" outlineLevel="0" collapsed="false">
      <c r="I90" s="2" t="s">
        <v>190</v>
      </c>
      <c r="K90" s="1" t="n">
        <v>16</v>
      </c>
      <c r="L90" s="2" t="s">
        <v>99</v>
      </c>
      <c r="M90" s="3" t="s">
        <v>111</v>
      </c>
      <c r="N90" s="1" t="n">
        <f aca="false">K90*10</f>
        <v>160</v>
      </c>
      <c r="O90" s="1" t="n">
        <f aca="false">ROUNDUP(N90*1.4+30,-1)</f>
        <v>260</v>
      </c>
    </row>
    <row r="91" customFormat="false" ht="16.5" hidden="false" customHeight="false" outlineLevel="0" collapsed="false">
      <c r="I91" s="2" t="s">
        <v>190</v>
      </c>
      <c r="K91" s="1" t="n">
        <v>16</v>
      </c>
      <c r="L91" s="2" t="s">
        <v>99</v>
      </c>
      <c r="M91" s="3" t="s">
        <v>111</v>
      </c>
      <c r="N91" s="1" t="n">
        <f aca="false">K91*10</f>
        <v>160</v>
      </c>
      <c r="O91" s="1" t="n">
        <f aca="false">ROUNDUP(N91*1.4+30,-1)</f>
        <v>260</v>
      </c>
    </row>
    <row r="92" customFormat="false" ht="16.5" hidden="false" customHeight="false" outlineLevel="0" collapsed="false">
      <c r="K92" s="1" t="n">
        <v>16</v>
      </c>
      <c r="L92" s="2" t="s">
        <v>99</v>
      </c>
      <c r="M92" s="3" t="s">
        <v>111</v>
      </c>
      <c r="N92" s="1" t="n">
        <f aca="false">K92*10</f>
        <v>160</v>
      </c>
      <c r="O92" s="1" t="n">
        <f aca="false">ROUNDUP(N92*1.4+30,-1)</f>
        <v>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2"/>
  <sheetViews>
    <sheetView showFormulas="false" showGridLines="true" showRowColHeaders="true" showZeros="true" rightToLeft="false" tabSelected="true" showOutlineSymbols="true" defaultGridColor="true" view="normal" topLeftCell="A51" colorId="64" zoomScale="100" zoomScaleNormal="100" zoomScalePageLayoutView="100" workbookViewId="0">
      <selection pane="topLeft" activeCell="E16" activeCellId="0" sqref="E16"/>
    </sheetView>
  </sheetViews>
  <sheetFormatPr defaultColWidth="9.00390625" defaultRowHeight="16.5" customHeight="false" zeroHeight="false" outlineLevelRow="0" outlineLevelCol="0"/>
  <cols>
    <col collapsed="false" customWidth="true" hidden="false" outlineLevel="0" max="1" min="1" style="1" width="13.08"/>
    <col collapsed="false" customWidth="true" hidden="false" outlineLevel="0" max="2" min="2" style="1" width="21.46"/>
    <col collapsed="false" customWidth="true" hidden="false" outlineLevel="0" max="3" min="3" style="1" width="20.38"/>
    <col collapsed="false" customWidth="true" hidden="false" outlineLevel="0" max="4" min="4" style="1" width="24.69"/>
    <col collapsed="false" customWidth="true" hidden="false" outlineLevel="0" max="5" min="5" style="1" width="15.16"/>
    <col collapsed="false" customWidth="true" hidden="false" outlineLevel="0" max="6" min="6" style="1" width="10.3"/>
    <col collapsed="false" customWidth="true" hidden="false" outlineLevel="0" max="7" min="7" style="1" width="36"/>
    <col collapsed="false" customWidth="true" hidden="false" outlineLevel="0" max="8" min="8" style="1" width="26.23"/>
    <col collapsed="false" customWidth="false" hidden="false" outlineLevel="0" max="16384" min="9" style="1" width="9"/>
  </cols>
  <sheetData>
    <row r="1" customFormat="false" ht="16.5" hidden="false" customHeight="false" outlineLevel="0" collapsed="false">
      <c r="A1" s="2" t="s">
        <v>0</v>
      </c>
      <c r="B1" s="2" t="s">
        <v>1</v>
      </c>
      <c r="C1" s="2" t="s">
        <v>191</v>
      </c>
      <c r="D1" s="2" t="s">
        <v>192</v>
      </c>
      <c r="E1" s="2" t="s">
        <v>193</v>
      </c>
      <c r="F1" s="2" t="s">
        <v>194</v>
      </c>
      <c r="G1" s="2" t="s">
        <v>195</v>
      </c>
      <c r="H1" s="2" t="s">
        <v>196</v>
      </c>
    </row>
    <row r="2" customFormat="false" ht="16.5" hidden="false" customHeight="false" outlineLevel="0" collapsed="false">
      <c r="A2" s="2" t="s">
        <v>9</v>
      </c>
      <c r="B2" s="1" t="s">
        <v>197</v>
      </c>
      <c r="C2" s="1" t="s">
        <v>198</v>
      </c>
      <c r="D2" s="1" t="s">
        <v>199</v>
      </c>
      <c r="E2" s="1" t="s">
        <v>200</v>
      </c>
      <c r="F2" s="1" t="s">
        <v>201</v>
      </c>
      <c r="G2" s="1" t="s">
        <v>202</v>
      </c>
      <c r="H2" s="1" t="s">
        <v>203</v>
      </c>
    </row>
    <row r="3" customFormat="false" ht="16.5" hidden="false" customHeight="false" outlineLevel="0" collapsed="false">
      <c r="A3" s="2" t="s">
        <v>18</v>
      </c>
      <c r="B3" s="2" t="s">
        <v>19</v>
      </c>
      <c r="C3" s="2" t="s">
        <v>19</v>
      </c>
      <c r="D3" s="2" t="s">
        <v>19</v>
      </c>
      <c r="E3" s="2" t="s">
        <v>204</v>
      </c>
      <c r="F3" s="2" t="s">
        <v>20</v>
      </c>
      <c r="G3" s="2" t="s">
        <v>205</v>
      </c>
      <c r="H3" s="2" t="s">
        <v>206</v>
      </c>
    </row>
    <row r="4" customFormat="false" ht="16.5" hidden="false" customHeight="false" outlineLevel="0" collapsed="false">
      <c r="B4" s="1" t="str">
        <f aca="false">C4&amp;D4</f>
        <v>cookie</v>
      </c>
      <c r="C4" s="2" t="s">
        <v>23</v>
      </c>
      <c r="E4" s="1" t="n">
        <v>100</v>
      </c>
      <c r="F4" s="1" t="n">
        <f aca="false">VLOOKUP(C4,dish_base!$B$4:$O$92,13,FALSE())</f>
        <v>10</v>
      </c>
      <c r="G4" s="1" t="str">
        <f aca="false">VLOOKUP(C4,dish_base!$B$4:$M$92,11,FALSE())</f>
        <v>10,35</v>
      </c>
      <c r="H4" s="2" t="s">
        <v>207</v>
      </c>
    </row>
    <row r="5" customFormat="false" ht="16.5" hidden="false" customHeight="false" outlineLevel="0" collapsed="false">
      <c r="B5" s="1" t="str">
        <f aca="false">C5&amp;D5</f>
        <v>macaron</v>
      </c>
      <c r="C5" s="2" t="s">
        <v>28</v>
      </c>
      <c r="E5" s="1" t="n">
        <v>100</v>
      </c>
      <c r="F5" s="1" t="n">
        <f aca="false">VLOOKUP(C5,dish_base!$B$4:$O$92,13,FALSE())</f>
        <v>10</v>
      </c>
      <c r="G5" s="1" t="str">
        <f aca="false">VLOOKUP(C5,dish_base!$B$4:$M$92,11,FALSE())</f>
        <v>10,35</v>
      </c>
      <c r="H5" s="2" t="s">
        <v>207</v>
      </c>
    </row>
    <row r="6" customFormat="false" ht="16.5" hidden="false" customHeight="false" outlineLevel="0" collapsed="false">
      <c r="B6" s="1" t="str">
        <f aca="false">C6&amp;D6</f>
        <v>pudding</v>
      </c>
      <c r="C6" s="2" t="s">
        <v>31</v>
      </c>
      <c r="E6" s="1" t="n">
        <v>100</v>
      </c>
      <c r="F6" s="1" t="n">
        <f aca="false">VLOOKUP(C6,dish_base!$B$4:$O$92,13,FALSE())</f>
        <v>10</v>
      </c>
      <c r="G6" s="1" t="str">
        <f aca="false">VLOOKUP(C6,dish_base!$B$4:$M$92,11,FALSE())</f>
        <v>10,35</v>
      </c>
      <c r="H6" s="2" t="s">
        <v>207</v>
      </c>
    </row>
    <row r="7" customFormat="false" ht="16.5" hidden="false" customHeight="false" outlineLevel="0" collapsed="false">
      <c r="B7" s="1" t="str">
        <f aca="false">C7&amp;D7</f>
        <v>puff</v>
      </c>
      <c r="C7" s="2" t="s">
        <v>34</v>
      </c>
      <c r="E7" s="1" t="n">
        <v>100</v>
      </c>
      <c r="F7" s="1" t="n">
        <f aca="false">VLOOKUP(C7,dish_base!$B$4:$O$92,13,FALSE())</f>
        <v>10</v>
      </c>
      <c r="G7" s="1" t="str">
        <f aca="false">VLOOKUP(C7,dish_base!$B$4:$M$92,11,FALSE())</f>
        <v>10,35</v>
      </c>
      <c r="H7" s="2" t="s">
        <v>207</v>
      </c>
    </row>
    <row r="8" customFormat="false" ht="16.5" hidden="false" customHeight="false" outlineLevel="0" collapsed="false">
      <c r="B8" s="1" t="str">
        <f aca="false">C8&amp;D8</f>
        <v>eggtart</v>
      </c>
      <c r="C8" s="2" t="s">
        <v>37</v>
      </c>
      <c r="E8" s="1" t="n">
        <v>100</v>
      </c>
      <c r="F8" s="1" t="n">
        <f aca="false">VLOOKUP(C8,dish_base!$B$4:$O$92,13,FALSE())</f>
        <v>10</v>
      </c>
      <c r="G8" s="1" t="str">
        <f aca="false">VLOOKUP(C8,dish_base!$B$4:$M$92,11,FALSE())</f>
        <v>10,35</v>
      </c>
      <c r="H8" s="2" t="s">
        <v>207</v>
      </c>
    </row>
    <row r="9" customFormat="false" ht="16.5" hidden="false" customHeight="false" outlineLevel="0" collapsed="false">
      <c r="B9" s="1" t="str">
        <f aca="false">C9&amp;D9</f>
        <v>mochi</v>
      </c>
      <c r="C9" s="2" t="s">
        <v>40</v>
      </c>
      <c r="E9" s="1" t="n">
        <v>100</v>
      </c>
      <c r="F9" s="1" t="n">
        <f aca="false">VLOOKUP(C9,dish_base!$B$4:$O$92,13,FALSE())</f>
        <v>10</v>
      </c>
      <c r="G9" s="1" t="str">
        <f aca="false">VLOOKUP(C9,dish_base!$B$4:$M$92,11,FALSE())</f>
        <v>10,35</v>
      </c>
      <c r="H9" s="2" t="s">
        <v>207</v>
      </c>
    </row>
    <row r="10" customFormat="false" ht="16.5" hidden="false" customHeight="false" outlineLevel="0" collapsed="false">
      <c r="B10" s="1" t="str">
        <f aca="false">C10&amp;D10</f>
        <v>daifuku</v>
      </c>
      <c r="C10" s="2" t="s">
        <v>43</v>
      </c>
      <c r="E10" s="1" t="n">
        <v>100</v>
      </c>
      <c r="F10" s="1" t="n">
        <f aca="false">VLOOKUP(C10,dish_base!$B$4:$O$92,13,FALSE())</f>
        <v>10</v>
      </c>
      <c r="G10" s="1" t="str">
        <f aca="false">VLOOKUP(C10,dish_base!$B$4:$M$92,11,FALSE())</f>
        <v>10,35</v>
      </c>
      <c r="H10" s="2" t="s">
        <v>207</v>
      </c>
    </row>
    <row r="11" customFormat="false" ht="16.5" hidden="false" customHeight="false" outlineLevel="0" collapsed="false">
      <c r="B11" s="1" t="str">
        <f aca="false">C11&amp;D11</f>
        <v>choco_candy</v>
      </c>
      <c r="C11" s="2" t="s">
        <v>46</v>
      </c>
      <c r="E11" s="1" t="n">
        <v>100</v>
      </c>
      <c r="F11" s="1" t="n">
        <f aca="false">VLOOKUP(C11,dish_base!$B$4:$O$92,13,FALSE())</f>
        <v>10</v>
      </c>
      <c r="G11" s="1" t="str">
        <f aca="false">VLOOKUP(C11,dish_base!$B$4:$M$92,11,FALSE())</f>
        <v>10,35</v>
      </c>
      <c r="H11" s="2" t="s">
        <v>207</v>
      </c>
    </row>
    <row r="12" customFormat="false" ht="16.5" hidden="false" customHeight="false" outlineLevel="0" collapsed="false">
      <c r="B12" s="1" t="str">
        <f aca="false">C12&amp;D12</f>
        <v>jelly</v>
      </c>
      <c r="C12" s="2" t="s">
        <v>49</v>
      </c>
      <c r="E12" s="1" t="n">
        <v>100</v>
      </c>
      <c r="F12" s="1" t="n">
        <f aca="false">VLOOKUP(C12,dish_base!$B$4:$O$92,13,FALSE())</f>
        <v>10</v>
      </c>
      <c r="G12" s="1" t="str">
        <f aca="false">VLOOKUP(C12,dish_base!$B$4:$M$92,11,FALSE())</f>
        <v>10,35</v>
      </c>
      <c r="H12" s="2" t="s">
        <v>207</v>
      </c>
    </row>
    <row r="13" customFormat="false" ht="16.5" hidden="false" customHeight="false" outlineLevel="0" collapsed="false">
      <c r="B13" s="1" t="str">
        <f aca="false">C13&amp;D13</f>
        <v>cream_cell</v>
      </c>
      <c r="C13" s="2" t="s">
        <v>53</v>
      </c>
      <c r="E13" s="1" t="n">
        <v>100</v>
      </c>
      <c r="F13" s="1" t="n">
        <f aca="false">VLOOKUP(C13,dish_base!$B$4:$O$92,13,FALSE())</f>
        <v>10</v>
      </c>
      <c r="G13" s="1" t="str">
        <f aca="false">VLOOKUP(C13,dish_base!$B$4:$M$92,11,FALSE())</f>
        <v>10,35</v>
      </c>
      <c r="H13" s="2" t="s">
        <v>207</v>
      </c>
    </row>
    <row r="14" customFormat="false" ht="16.5" hidden="false" customHeight="false" outlineLevel="0" collapsed="false">
      <c r="B14" s="1" t="str">
        <f aca="false">C14&amp;D14</f>
        <v>sugarbean</v>
      </c>
      <c r="C14" s="2" t="s">
        <v>57</v>
      </c>
      <c r="E14" s="1" t="n">
        <v>100</v>
      </c>
      <c r="F14" s="1" t="n">
        <f aca="false">VLOOKUP(C14,dish_base!$B$4:$O$92,13,FALSE())</f>
        <v>10</v>
      </c>
      <c r="G14" s="1" t="str">
        <f aca="false">VLOOKUP(C14,dish_base!$B$4:$M$92,11,FALSE())</f>
        <v>10,35</v>
      </c>
      <c r="H14" s="2" t="s">
        <v>207</v>
      </c>
    </row>
    <row r="15" customFormat="false" ht="16.5" hidden="false" customHeight="false" outlineLevel="0" collapsed="false">
      <c r="B15" s="1" t="str">
        <f aca="false">C15&amp;D15</f>
        <v>gold_choco</v>
      </c>
      <c r="C15" s="2" t="s">
        <v>61</v>
      </c>
      <c r="E15" s="1" t="n">
        <v>100</v>
      </c>
      <c r="F15" s="1" t="n">
        <f aca="false">VLOOKUP(C15,dish_base!$B$4:$O$92,13,FALSE())</f>
        <v>10</v>
      </c>
      <c r="G15" s="1" t="str">
        <f aca="false">VLOOKUP(C15,dish_base!$B$4:$M$92,11,FALSE())</f>
        <v>10,35</v>
      </c>
      <c r="H15" s="2" t="s">
        <v>207</v>
      </c>
    </row>
    <row r="16" customFormat="false" ht="16.5" hidden="false" customHeight="false" outlineLevel="0" collapsed="false">
      <c r="B16" s="1" t="str">
        <f aca="false">C16&amp;D16</f>
        <v>milk_slice</v>
      </c>
      <c r="C16" s="2" t="s">
        <v>65</v>
      </c>
      <c r="E16" s="1" t="n">
        <v>100</v>
      </c>
      <c r="F16" s="1" t="n">
        <f aca="false">VLOOKUP(C16,dish_base!$B$4:$O$92,13,FALSE())</f>
        <v>10</v>
      </c>
      <c r="G16" s="1" t="str">
        <f aca="false">VLOOKUP(C16,dish_base!$B$4:$M$92,11,FALSE())</f>
        <v>10,35</v>
      </c>
      <c r="H16" s="2" t="s">
        <v>207</v>
      </c>
    </row>
    <row r="17" customFormat="false" ht="16.5" hidden="false" customHeight="false" outlineLevel="0" collapsed="false">
      <c r="B17" s="1" t="str">
        <f aca="false">C17&amp;D17</f>
        <v>sundae</v>
      </c>
      <c r="C17" s="2" t="s">
        <v>69</v>
      </c>
      <c r="E17" s="1" t="n">
        <v>100</v>
      </c>
      <c r="F17" s="1" t="n">
        <f aca="false">VLOOKUP(C17,dish_base!$B$4:$O$92,13,FALSE())</f>
        <v>20</v>
      </c>
      <c r="G17" s="1" t="str">
        <f aca="false">VLOOKUP(C17,dish_base!$B$4:$M$92,11,FALSE())</f>
        <v>10,40</v>
      </c>
      <c r="H17" s="2" t="s">
        <v>207</v>
      </c>
    </row>
    <row r="18" customFormat="false" ht="16.5" hidden="false" customHeight="false" outlineLevel="0" collapsed="false">
      <c r="B18" s="1" t="str">
        <f aca="false">C18&amp;D18</f>
        <v>cone</v>
      </c>
      <c r="C18" s="2" t="s">
        <v>73</v>
      </c>
      <c r="E18" s="1" t="n">
        <v>100</v>
      </c>
      <c r="F18" s="1" t="n">
        <f aca="false">VLOOKUP(C18,dish_base!$B$4:$O$92,13,FALSE())</f>
        <v>20</v>
      </c>
      <c r="G18" s="1" t="str">
        <f aca="false">VLOOKUP(C18,dish_base!$B$4:$M$92,11,FALSE())</f>
        <v>10,40</v>
      </c>
      <c r="H18" s="2" t="s">
        <v>207</v>
      </c>
    </row>
    <row r="19" customFormat="false" ht="16.5" hidden="false" customHeight="false" outlineLevel="0" collapsed="false">
      <c r="B19" s="1" t="str">
        <f aca="false">C19&amp;D19</f>
        <v>lollipop</v>
      </c>
      <c r="C19" s="2" t="s">
        <v>76</v>
      </c>
      <c r="E19" s="1" t="n">
        <v>100</v>
      </c>
      <c r="F19" s="1" t="n">
        <f aca="false">VLOOKUP(C19,dish_base!$B$4:$O$92,13,FALSE())</f>
        <v>20</v>
      </c>
      <c r="G19" s="1" t="str">
        <f aca="false">VLOOKUP(C19,dish_base!$B$4:$M$92,11,FALSE())</f>
        <v>10,40</v>
      </c>
      <c r="H19" s="2" t="s">
        <v>207</v>
      </c>
    </row>
    <row r="20" customFormat="false" ht="16.5" hidden="false" customHeight="false" outlineLevel="0" collapsed="false">
      <c r="B20" s="1" t="str">
        <f aca="false">C20&amp;D20</f>
        <v>gummy</v>
      </c>
      <c r="C20" s="2" t="s">
        <v>79</v>
      </c>
      <c r="E20" s="1" t="n">
        <v>100</v>
      </c>
      <c r="F20" s="1" t="n">
        <f aca="false">VLOOKUP(C20,dish_base!$B$4:$O$92,13,FALSE())</f>
        <v>20</v>
      </c>
      <c r="G20" s="1" t="str">
        <f aca="false">VLOOKUP(C20,dish_base!$B$4:$M$92,11,FALSE())</f>
        <v>10,40</v>
      </c>
      <c r="H20" s="2" t="s">
        <v>207</v>
      </c>
    </row>
    <row r="21" customFormat="false" ht="16.5" hidden="false" customHeight="false" outlineLevel="0" collapsed="false">
      <c r="B21" s="1" t="str">
        <f aca="false">C21&amp;D21</f>
        <v>cupcake</v>
      </c>
      <c r="C21" s="2" t="s">
        <v>82</v>
      </c>
      <c r="E21" s="1" t="n">
        <v>100</v>
      </c>
      <c r="F21" s="1" t="n">
        <f aca="false">VLOOKUP(C21,dish_base!$B$4:$O$92,13,FALSE())</f>
        <v>20</v>
      </c>
      <c r="G21" s="1" t="str">
        <f aca="false">VLOOKUP(C21,dish_base!$B$4:$M$92,11,FALSE())</f>
        <v>10,40</v>
      </c>
      <c r="H21" s="2" t="s">
        <v>207</v>
      </c>
    </row>
    <row r="22" customFormat="false" ht="16.5" hidden="false" customHeight="false" outlineLevel="0" collapsed="false">
      <c r="B22" s="1" t="str">
        <f aca="false">C22&amp;D22</f>
        <v>mousse</v>
      </c>
      <c r="C22" s="2" t="s">
        <v>86</v>
      </c>
      <c r="E22" s="1" t="n">
        <v>100</v>
      </c>
      <c r="F22" s="1" t="n">
        <f aca="false">VLOOKUP(C22,dish_base!$B$4:$O$92,13,FALSE())</f>
        <v>20</v>
      </c>
      <c r="G22" s="1" t="str">
        <f aca="false">VLOOKUP(C22,dish_base!$B$4:$M$92,11,FALSE())</f>
        <v>10,40</v>
      </c>
      <c r="H22" s="2" t="s">
        <v>207</v>
      </c>
    </row>
    <row r="23" customFormat="false" ht="16.5" hidden="false" customHeight="false" outlineLevel="0" collapsed="false">
      <c r="B23" s="1" t="str">
        <f aca="false">C23&amp;D23</f>
        <v>toffee</v>
      </c>
      <c r="C23" s="2" t="s">
        <v>93</v>
      </c>
      <c r="E23" s="1" t="n">
        <v>100</v>
      </c>
      <c r="F23" s="1" t="n">
        <f aca="false">VLOOKUP(C23,dish_base!$B$4:$O$92,13,FALSE())</f>
        <v>20</v>
      </c>
      <c r="G23" s="1" t="str">
        <f aca="false">VLOOKUP(C23,dish_base!$B$4:$M$92,11,FALSE())</f>
        <v>10,40</v>
      </c>
      <c r="H23" s="2" t="s">
        <v>207</v>
      </c>
    </row>
    <row r="24" customFormat="false" ht="16.5" hidden="false" customHeight="false" outlineLevel="0" collapsed="false">
      <c r="B24" s="1" t="str">
        <f aca="false">C24&amp;D24</f>
        <v>nougat</v>
      </c>
      <c r="C24" s="2" t="s">
        <v>100</v>
      </c>
      <c r="E24" s="1" t="n">
        <v>100</v>
      </c>
      <c r="F24" s="1" t="n">
        <f aca="false">VLOOKUP(C24,dish_base!$B$4:$O$92,13,FALSE())</f>
        <v>20</v>
      </c>
      <c r="G24" s="1" t="str">
        <f aca="false">VLOOKUP(C24,dish_base!$B$4:$M$92,11,FALSE())</f>
        <v>10,40</v>
      </c>
      <c r="H24" s="2" t="s">
        <v>207</v>
      </c>
    </row>
    <row r="25" customFormat="false" ht="16.5" hidden="false" customHeight="false" outlineLevel="0" collapsed="false">
      <c r="B25" s="1" t="str">
        <f aca="false">C25&amp;D25</f>
        <v>eggroll</v>
      </c>
      <c r="C25" s="2" t="s">
        <v>106</v>
      </c>
      <c r="E25" s="1" t="n">
        <v>100</v>
      </c>
      <c r="F25" s="1" t="n">
        <f aca="false">VLOOKUP(C25,dish_base!$B$4:$O$92,13,FALSE())</f>
        <v>30</v>
      </c>
      <c r="G25" s="1" t="str">
        <f aca="false">VLOOKUP(C25,dish_base!$B$4:$M$92,11,FALSE())</f>
        <v>20,45</v>
      </c>
      <c r="H25" s="2" t="s">
        <v>207</v>
      </c>
    </row>
    <row r="26" customFormat="false" ht="16.5" hidden="false" customHeight="false" outlineLevel="0" collapsed="false">
      <c r="B26" s="1" t="str">
        <f aca="false">C26&amp;D26</f>
        <v>choco_bar</v>
      </c>
      <c r="C26" s="2" t="s">
        <v>112</v>
      </c>
      <c r="E26" s="1" t="n">
        <v>100</v>
      </c>
      <c r="F26" s="1" t="n">
        <f aca="false">VLOOKUP(C26,dish_base!$B$4:$O$92,13,FALSE())</f>
        <v>30</v>
      </c>
      <c r="G26" s="1" t="str">
        <f aca="false">VLOOKUP(C26,dish_base!$B$4:$M$92,11,FALSE())</f>
        <v>20,45</v>
      </c>
      <c r="H26" s="2" t="s">
        <v>207</v>
      </c>
    </row>
    <row r="27" customFormat="false" ht="16.5" hidden="false" customHeight="false" outlineLevel="0" collapsed="false">
      <c r="B27" s="1" t="str">
        <f aca="false">C27&amp;D27</f>
        <v>eclair</v>
      </c>
      <c r="C27" s="2" t="s">
        <v>115</v>
      </c>
      <c r="E27" s="1" t="n">
        <v>100</v>
      </c>
      <c r="F27" s="1" t="n">
        <f aca="false">VLOOKUP(C27,dish_base!$B$4:$O$92,13,FALSE())</f>
        <v>30</v>
      </c>
      <c r="G27" s="1" t="str">
        <f aca="false">VLOOKUP(C27,dish_base!$B$4:$M$92,11,FALSE())</f>
        <v>20,45</v>
      </c>
      <c r="H27" s="2" t="s">
        <v>207</v>
      </c>
    </row>
    <row r="28" customFormat="false" ht="16.5" hidden="false" customHeight="false" outlineLevel="0" collapsed="false">
      <c r="B28" s="1" t="str">
        <f aca="false">C28&amp;D28</f>
        <v>tanghulu</v>
      </c>
      <c r="C28" s="2" t="s">
        <v>118</v>
      </c>
      <c r="E28" s="1" t="n">
        <v>100</v>
      </c>
      <c r="F28" s="1" t="n">
        <f aca="false">VLOOKUP(C28,dish_base!$B$4:$O$92,13,FALSE())</f>
        <v>30</v>
      </c>
      <c r="G28" s="1" t="str">
        <f aca="false">VLOOKUP(C28,dish_base!$B$4:$M$92,11,FALSE())</f>
        <v>20,45</v>
      </c>
      <c r="H28" s="2" t="s">
        <v>207</v>
      </c>
    </row>
    <row r="29" customFormat="false" ht="16.5" hidden="false" customHeight="false" outlineLevel="0" collapsed="false">
      <c r="B29" s="1" t="str">
        <f aca="false">C29&amp;D29</f>
        <v>souffle</v>
      </c>
      <c r="C29" s="2" t="s">
        <v>121</v>
      </c>
      <c r="E29" s="1" t="n">
        <v>100</v>
      </c>
      <c r="F29" s="1" t="n">
        <f aca="false">VLOOKUP(C29,dish_base!$B$4:$O$92,13,FALSE())</f>
        <v>40</v>
      </c>
      <c r="G29" s="1" t="str">
        <f aca="false">VLOOKUP(C29,dish_base!$B$4:$M$92,11,FALSE())</f>
        <v>30,55</v>
      </c>
      <c r="H29" s="2" t="s">
        <v>207</v>
      </c>
    </row>
    <row r="30" customFormat="false" ht="16.5" hidden="false" customHeight="false" outlineLevel="0" collapsed="false">
      <c r="B30" s="1" t="str">
        <f aca="false">C30&amp;D30</f>
        <v>taosu</v>
      </c>
      <c r="C30" s="2" t="s">
        <v>124</v>
      </c>
      <c r="E30" s="1" t="n">
        <v>100</v>
      </c>
      <c r="F30" s="1" t="n">
        <f aca="false">VLOOKUP(C30,dish_base!$B$4:$O$92,13,FALSE())</f>
        <v>40</v>
      </c>
      <c r="G30" s="1" t="str">
        <f aca="false">VLOOKUP(C30,dish_base!$B$4:$M$92,11,FALSE())</f>
        <v>30,55</v>
      </c>
      <c r="H30" s="2" t="s">
        <v>207</v>
      </c>
    </row>
    <row r="31" customFormat="false" ht="16.5" hidden="false" customHeight="false" outlineLevel="0" collapsed="false">
      <c r="B31" s="1" t="str">
        <f aca="false">C31&amp;D31</f>
        <v>mooncake</v>
      </c>
      <c r="C31" s="2" t="s">
        <v>127</v>
      </c>
      <c r="E31" s="1" t="n">
        <v>100</v>
      </c>
      <c r="F31" s="1" t="n">
        <f aca="false">VLOOKUP(C31,dish_base!$B$4:$O$92,13,FALSE())</f>
        <v>40</v>
      </c>
      <c r="G31" s="1" t="str">
        <f aca="false">VLOOKUP(C31,dish_base!$B$4:$M$92,11,FALSE())</f>
        <v>30,55</v>
      </c>
      <c r="H31" s="2" t="s">
        <v>207</v>
      </c>
    </row>
    <row r="32" customFormat="false" ht="16.5" hidden="false" customHeight="false" outlineLevel="0" collapsed="false">
      <c r="B32" s="1" t="str">
        <f aca="false">C32&amp;D32</f>
        <v>waffle</v>
      </c>
      <c r="C32" s="2" t="s">
        <v>130</v>
      </c>
      <c r="E32" s="1" t="n">
        <v>100</v>
      </c>
      <c r="F32" s="1" t="n">
        <f aca="false">VLOOKUP(C32,dish_base!$B$4:$O$92,13,FALSE())</f>
        <v>40</v>
      </c>
      <c r="G32" s="1" t="str">
        <f aca="false">VLOOKUP(C32,dish_base!$B$4:$M$92,11,FALSE())</f>
        <v>30,55</v>
      </c>
      <c r="H32" s="2" t="s">
        <v>207</v>
      </c>
    </row>
    <row r="33" customFormat="false" ht="16.5" hidden="false" customHeight="false" outlineLevel="0" collapsed="false">
      <c r="B33" s="1" t="str">
        <f aca="false">C33&amp;D33</f>
        <v>dorayaki</v>
      </c>
      <c r="C33" s="2" t="s">
        <v>133</v>
      </c>
      <c r="E33" s="1" t="n">
        <v>100</v>
      </c>
      <c r="F33" s="1" t="n">
        <f aca="false">VLOOKUP(C33,dish_base!$B$4:$O$92,13,FALSE())</f>
        <v>40</v>
      </c>
      <c r="G33" s="1" t="str">
        <f aca="false">VLOOKUP(C33,dish_base!$B$4:$M$92,11,FALSE())</f>
        <v>30,55</v>
      </c>
      <c r="H33" s="2" t="s">
        <v>207</v>
      </c>
    </row>
    <row r="34" customFormat="false" ht="16.5" hidden="false" customHeight="false" outlineLevel="0" collapsed="false">
      <c r="B34" s="1" t="str">
        <f aca="false">C34&amp;D34</f>
        <v>cream_cake</v>
      </c>
      <c r="C34" s="2" t="s">
        <v>136</v>
      </c>
      <c r="E34" s="1" t="n">
        <v>100</v>
      </c>
      <c r="F34" s="1" t="n">
        <f aca="false">VLOOKUP(C34,dish_base!$B$4:$O$92,13,FALSE())</f>
        <v>40</v>
      </c>
      <c r="G34" s="1" t="str">
        <f aca="false">VLOOKUP(C34,dish_base!$B$4:$M$92,11,FALSE())</f>
        <v>30,55</v>
      </c>
      <c r="H34" s="2" t="s">
        <v>207</v>
      </c>
    </row>
    <row r="35" customFormat="false" ht="16.5" hidden="false" customHeight="false" outlineLevel="0" collapsed="false">
      <c r="B35" s="1" t="str">
        <f aca="false">C35&amp;D35</f>
        <v>donut</v>
      </c>
      <c r="C35" s="2" t="s">
        <v>139</v>
      </c>
      <c r="E35" s="1" t="n">
        <v>100</v>
      </c>
      <c r="F35" s="1" t="n">
        <f aca="false">VLOOKUP(C35,dish_base!$B$4:$O$92,13,FALSE())</f>
        <v>40</v>
      </c>
      <c r="G35" s="1" t="str">
        <f aca="false">VLOOKUP(C35,dish_base!$B$4:$M$92,11,FALSE())</f>
        <v>30,55</v>
      </c>
      <c r="H35" s="2" t="s">
        <v>207</v>
      </c>
    </row>
    <row r="36" customFormat="false" ht="16.5" hidden="false" customHeight="false" outlineLevel="0" collapsed="false">
      <c r="B36" s="1" t="str">
        <f aca="false">C36&amp;D36</f>
        <v>pengtang</v>
      </c>
      <c r="C36" s="2" t="s">
        <v>142</v>
      </c>
      <c r="E36" s="1" t="n">
        <v>100</v>
      </c>
      <c r="F36" s="1" t="n">
        <f aca="false">VLOOKUP(C36,dish_base!$B$4:$O$92,13,FALSE())</f>
        <v>40</v>
      </c>
      <c r="G36" s="1" t="str">
        <f aca="false">VLOOKUP(C36,dish_base!$B$4:$M$92,11,FALSE())</f>
        <v>30,55</v>
      </c>
      <c r="H36" s="2" t="s">
        <v>207</v>
      </c>
    </row>
    <row r="37" customFormat="false" ht="16.5" hidden="false" customHeight="false" outlineLevel="0" collapsed="false">
      <c r="B37" s="1" t="str">
        <f aca="false">C37&amp;D37</f>
        <v>parfait</v>
      </c>
      <c r="C37" s="2" t="s">
        <v>145</v>
      </c>
      <c r="E37" s="1" t="n">
        <v>100</v>
      </c>
      <c r="F37" s="1" t="n">
        <f aca="false">VLOOKUP(C37,dish_base!$B$4:$O$92,13,FALSE())</f>
        <v>60</v>
      </c>
      <c r="G37" s="1" t="str">
        <f aca="false">VLOOKUP(C37,dish_base!$B$4:$M$92,11,FALSE())</f>
        <v>40,70</v>
      </c>
      <c r="H37" s="2" t="s">
        <v>207</v>
      </c>
    </row>
    <row r="38" customFormat="false" ht="16.5" hidden="false" customHeight="false" outlineLevel="0" collapsed="false">
      <c r="B38" s="1" t="str">
        <f aca="false">C38&amp;D38</f>
        <v>sundae_big</v>
      </c>
      <c r="C38" s="2" t="s">
        <v>148</v>
      </c>
      <c r="E38" s="1" t="n">
        <v>100</v>
      </c>
      <c r="F38" s="1" t="n">
        <f aca="false">VLOOKUP(C38,dish_base!$B$4:$O$92,13,FALSE())</f>
        <v>60</v>
      </c>
      <c r="G38" s="1" t="str">
        <f aca="false">VLOOKUP(C38,dish_base!$B$4:$M$92,11,FALSE())</f>
        <v>40,70</v>
      </c>
      <c r="H38" s="2" t="s">
        <v>207</v>
      </c>
    </row>
    <row r="39" customFormat="false" ht="16.5" hidden="false" customHeight="false" outlineLevel="0" collapsed="false">
      <c r="B39" s="1" t="str">
        <f aca="false">C39&amp;D39</f>
        <v>swiss_roll</v>
      </c>
      <c r="C39" s="2" t="s">
        <v>150</v>
      </c>
      <c r="E39" s="1" t="n">
        <v>100</v>
      </c>
      <c r="F39" s="1" t="n">
        <f aca="false">VLOOKUP(C39,dish_base!$B$4:$O$92,13,FALSE())</f>
        <v>60</v>
      </c>
      <c r="G39" s="1" t="str">
        <f aca="false">VLOOKUP(C39,dish_base!$B$4:$M$92,11,FALSE())</f>
        <v>40,70</v>
      </c>
      <c r="H39" s="2" t="s">
        <v>207</v>
      </c>
    </row>
    <row r="40" customFormat="false" ht="16.5" hidden="false" customHeight="false" outlineLevel="0" collapsed="false">
      <c r="B40" s="1" t="str">
        <f aca="false">C40&amp;D40</f>
        <v>mango_sago</v>
      </c>
      <c r="C40" s="2" t="s">
        <v>153</v>
      </c>
      <c r="E40" s="1" t="n">
        <v>100</v>
      </c>
      <c r="F40" s="1" t="n">
        <f aca="false">VLOOKUP(C40,dish_base!$B$4:$O$92,13,FALSE())</f>
        <v>60</v>
      </c>
      <c r="G40" s="1" t="str">
        <f aca="false">VLOOKUP(C40,dish_base!$B$4:$M$92,11,FALSE())</f>
        <v>40,70</v>
      </c>
      <c r="H40" s="2" t="s">
        <v>207</v>
      </c>
    </row>
    <row r="41" customFormat="false" ht="16.5" hidden="false" customHeight="false" outlineLevel="0" collapsed="false">
      <c r="B41" s="1" t="str">
        <f aca="false">C41&amp;D41</f>
        <v>chiffion</v>
      </c>
      <c r="C41" s="2" t="s">
        <v>156</v>
      </c>
      <c r="E41" s="1" t="n">
        <v>100</v>
      </c>
      <c r="F41" s="1" t="n">
        <f aca="false">VLOOKUP(C41,dish_base!$B$4:$O$92,13,FALSE())</f>
        <v>60</v>
      </c>
      <c r="G41" s="1" t="str">
        <f aca="false">VLOOKUP(C41,dish_base!$B$4:$M$92,11,FALSE())</f>
        <v>40,70</v>
      </c>
      <c r="H41" s="2" t="s">
        <v>207</v>
      </c>
    </row>
    <row r="42" customFormat="false" ht="16.5" hidden="false" customHeight="false" outlineLevel="0" collapsed="false">
      <c r="B42" s="1" t="str">
        <f aca="false">C42&amp;D42</f>
        <v>apple_pie</v>
      </c>
      <c r="C42" s="2" t="s">
        <v>159</v>
      </c>
      <c r="E42" s="1" t="n">
        <v>100</v>
      </c>
      <c r="F42" s="1" t="n">
        <f aca="false">VLOOKUP(C42,dish_base!$B$4:$O$92,13,FALSE())</f>
        <v>60</v>
      </c>
      <c r="G42" s="1" t="str">
        <f aca="false">VLOOKUP(C42,dish_base!$B$4:$M$92,11,FALSE())</f>
        <v>40,70</v>
      </c>
      <c r="H42" s="2" t="s">
        <v>207</v>
      </c>
    </row>
    <row r="43" customFormat="false" ht="16.5" hidden="false" customHeight="false" outlineLevel="0" collapsed="false">
      <c r="B43" s="1" t="str">
        <f aca="false">C43&amp;D43</f>
        <v>fruit_cake</v>
      </c>
      <c r="C43" s="2" t="s">
        <v>162</v>
      </c>
      <c r="E43" s="1" t="n">
        <v>100</v>
      </c>
      <c r="F43" s="1" t="n">
        <f aca="false">VLOOKUP(C43,dish_base!$B$4:$O$92,13,FALSE())</f>
        <v>60</v>
      </c>
      <c r="G43" s="1" t="str">
        <f aca="false">VLOOKUP(C43,dish_base!$B$4:$M$92,11,FALSE())</f>
        <v>40,70</v>
      </c>
      <c r="H43" s="2" t="s">
        <v>207</v>
      </c>
    </row>
    <row r="44" customFormat="false" ht="16.5" hidden="false" customHeight="false" outlineLevel="0" collapsed="false">
      <c r="B44" s="1" t="str">
        <f aca="false">C44&amp;D44</f>
        <v>chocolate</v>
      </c>
      <c r="C44" s="2" t="s">
        <v>165</v>
      </c>
      <c r="E44" s="1" t="n">
        <v>100</v>
      </c>
      <c r="F44" s="1" t="n">
        <f aca="false">VLOOKUP(C44,dish_base!$B$4:$O$92,13,FALSE())</f>
        <v>60</v>
      </c>
      <c r="G44" s="1" t="str">
        <f aca="false">VLOOKUP(C44,dish_base!$B$4:$M$92,11,FALSE())</f>
        <v>40,70</v>
      </c>
      <c r="H44" s="2" t="s">
        <v>207</v>
      </c>
    </row>
    <row r="45" customFormat="false" ht="16.5" hidden="false" customHeight="false" outlineLevel="0" collapsed="false">
      <c r="B45" s="1" t="str">
        <f aca="false">C45&amp;D45</f>
        <v>croissant</v>
      </c>
      <c r="C45" s="2" t="s">
        <v>168</v>
      </c>
      <c r="E45" s="1" t="n">
        <v>100</v>
      </c>
      <c r="F45" s="1" t="n">
        <f aca="false">VLOOKUP(C45,dish_base!$B$4:$O$92,13,FALSE())</f>
        <v>30</v>
      </c>
      <c r="G45" s="1" t="str">
        <f aca="false">VLOOKUP(C45,dish_base!$B$4:$M$92,11,FALSE())</f>
        <v>20,45</v>
      </c>
      <c r="H45" s="2" t="s">
        <v>207</v>
      </c>
    </row>
    <row r="46" customFormat="false" ht="16.5" hidden="false" customHeight="false" outlineLevel="0" collapsed="false">
      <c r="B46" s="1" t="str">
        <f aca="false">C46&amp;D46</f>
        <v>palmier</v>
      </c>
      <c r="C46" s="2" t="s">
        <v>172</v>
      </c>
      <c r="E46" s="1" t="n">
        <v>100</v>
      </c>
      <c r="F46" s="1" t="n">
        <f aca="false">VLOOKUP(C46,dish_base!$B$4:$O$92,13,FALSE())</f>
        <v>30</v>
      </c>
      <c r="G46" s="1" t="str">
        <f aca="false">VLOOKUP(C46,dish_base!$B$4:$M$92,11,FALSE())</f>
        <v>20,45</v>
      </c>
      <c r="H46" s="2" t="s">
        <v>207</v>
      </c>
    </row>
    <row r="47" customFormat="false" ht="16.5" hidden="false" customHeight="false" outlineLevel="0" collapsed="false">
      <c r="B47" s="1" t="str">
        <f aca="false">C47&amp;D47</f>
        <v>candycane</v>
      </c>
      <c r="C47" s="2" t="s">
        <v>176</v>
      </c>
      <c r="E47" s="1" t="n">
        <v>100</v>
      </c>
      <c r="F47" s="1" t="n">
        <f aca="false">VLOOKUP(C47,dish_base!$B$4:$O$92,13,FALSE())</f>
        <v>40</v>
      </c>
      <c r="G47" s="1" t="str">
        <f aca="false">VLOOKUP(C47,dish_base!$B$4:$M$92,11,FALSE())</f>
        <v>30,55</v>
      </c>
      <c r="H47" s="2" t="s">
        <v>207</v>
      </c>
    </row>
    <row r="48" customFormat="false" ht="16.5" hidden="false" customHeight="false" outlineLevel="0" collapsed="false">
      <c r="B48" s="1" t="str">
        <f aca="false">C48&amp;D48</f>
        <v>big_lollipop</v>
      </c>
      <c r="C48" s="2" t="s">
        <v>179</v>
      </c>
      <c r="E48" s="1" t="n">
        <v>100</v>
      </c>
      <c r="F48" s="1" t="n">
        <f aca="false">VLOOKUP(C48,dish_base!$B$4:$O$92,13,FALSE())</f>
        <v>110</v>
      </c>
      <c r="G48" s="1" t="str">
        <f aca="false">VLOOKUP(C48,dish_base!$B$4:$M$92,11,FALSE())</f>
        <v>45,80</v>
      </c>
      <c r="H48" s="2" t="s">
        <v>207</v>
      </c>
    </row>
    <row r="49" customFormat="false" ht="16.5" hidden="false" customHeight="false" outlineLevel="0" collapsed="false">
      <c r="B49" s="1" t="str">
        <f aca="false">C49&amp;D49</f>
        <v>marshmallow</v>
      </c>
      <c r="C49" s="2" t="s">
        <v>183</v>
      </c>
      <c r="E49" s="1" t="n">
        <v>100</v>
      </c>
      <c r="F49" s="1" t="n">
        <f aca="false">VLOOKUP(C49,dish_base!$B$4:$O$92,13,FALSE())</f>
        <v>90</v>
      </c>
      <c r="G49" s="1" t="str">
        <f aca="false">VLOOKUP(C49,dish_base!$B$4:$M$92,11,FALSE())</f>
        <v>45,80</v>
      </c>
      <c r="H49" s="2" t="s">
        <v>207</v>
      </c>
    </row>
    <row r="50" customFormat="false" ht="16.5" hidden="false" customHeight="false" outlineLevel="0" collapsed="false">
      <c r="B50" s="1" t="str">
        <f aca="false">C50&amp;D50</f>
        <v>double_cake</v>
      </c>
      <c r="C50" s="2" t="s">
        <v>186</v>
      </c>
      <c r="E50" s="1" t="n">
        <v>100</v>
      </c>
      <c r="F50" s="1" t="n">
        <f aca="false">VLOOKUP(C50,dish_base!$B$4:$O$92,13,FALSE())</f>
        <v>160</v>
      </c>
      <c r="G50" s="1" t="str">
        <f aca="false">VLOOKUP(C50,dish_base!$B$4:$M$92,11,FALSE())</f>
        <v>45,80</v>
      </c>
      <c r="H50" s="2" t="s">
        <v>207</v>
      </c>
    </row>
    <row r="51" customFormat="false" ht="16.5" hidden="false" customHeight="false" outlineLevel="0" collapsed="false">
      <c r="B51" s="1" t="str">
        <f aca="false">C51&amp;D51</f>
        <v>cookiet_sweet</v>
      </c>
      <c r="C51" s="2" t="s">
        <v>23</v>
      </c>
      <c r="D51" s="2" t="s">
        <v>208</v>
      </c>
      <c r="E51" s="1" t="n">
        <v>100</v>
      </c>
      <c r="F51" s="1" t="n">
        <f aca="false">VLOOKUP(C51,dish_base!$B$4:$O$92,14,FALSE())</f>
        <v>50</v>
      </c>
      <c r="G51" s="1" t="str">
        <f aca="false">VLOOKUP(C51,dish_base!$B$4:$M$92,12,FALSE())</f>
        <v>35,60</v>
      </c>
      <c r="H51" s="2" t="s">
        <v>207</v>
      </c>
    </row>
    <row r="52" customFormat="false" ht="16.5" hidden="false" customHeight="false" outlineLevel="0" collapsed="false">
      <c r="B52" s="1" t="str">
        <f aca="false">C52&amp;D52</f>
        <v>macaront_sweet</v>
      </c>
      <c r="C52" s="2" t="s">
        <v>28</v>
      </c>
      <c r="D52" s="2" t="s">
        <v>208</v>
      </c>
      <c r="E52" s="1" t="n">
        <v>100</v>
      </c>
      <c r="F52" s="1" t="n">
        <f aca="false">VLOOKUP(C52,dish_base!$B$4:$O$92,14,FALSE())</f>
        <v>50</v>
      </c>
      <c r="G52" s="1" t="str">
        <f aca="false">VLOOKUP(C52,dish_base!$B$4:$M$92,12,FALSE())</f>
        <v>35,60</v>
      </c>
      <c r="H52" s="2" t="s">
        <v>207</v>
      </c>
    </row>
    <row r="53" customFormat="false" ht="16.5" hidden="false" customHeight="false" outlineLevel="0" collapsed="false">
      <c r="B53" s="1" t="str">
        <f aca="false">C53&amp;D53</f>
        <v>puddingt_sweet</v>
      </c>
      <c r="C53" s="2" t="s">
        <v>31</v>
      </c>
      <c r="D53" s="2" t="s">
        <v>208</v>
      </c>
      <c r="E53" s="1" t="n">
        <v>100</v>
      </c>
      <c r="F53" s="1" t="n">
        <f aca="false">VLOOKUP(C53,dish_base!$B$4:$O$92,14,FALSE())</f>
        <v>50</v>
      </c>
      <c r="G53" s="1" t="str">
        <f aca="false">VLOOKUP(C53,dish_base!$B$4:$M$92,12,FALSE())</f>
        <v>35,60</v>
      </c>
      <c r="H53" s="2" t="s">
        <v>207</v>
      </c>
    </row>
    <row r="54" customFormat="false" ht="16.5" hidden="false" customHeight="false" outlineLevel="0" collapsed="false">
      <c r="B54" s="1" t="str">
        <f aca="false">C54&amp;D54</f>
        <v>pufft_sweet</v>
      </c>
      <c r="C54" s="2" t="s">
        <v>34</v>
      </c>
      <c r="D54" s="2" t="s">
        <v>208</v>
      </c>
      <c r="E54" s="1" t="n">
        <v>100</v>
      </c>
      <c r="F54" s="1" t="n">
        <f aca="false">VLOOKUP(C54,dish_base!$B$4:$O$92,14,FALSE())</f>
        <v>50</v>
      </c>
      <c r="G54" s="1" t="str">
        <f aca="false">VLOOKUP(C54,dish_base!$B$4:$M$92,12,FALSE())</f>
        <v>35,60</v>
      </c>
      <c r="H54" s="2" t="s">
        <v>207</v>
      </c>
    </row>
    <row r="55" customFormat="false" ht="16.5" hidden="false" customHeight="false" outlineLevel="0" collapsed="false">
      <c r="B55" s="1" t="str">
        <f aca="false">C55&amp;D55</f>
        <v>eggtartt_sweet</v>
      </c>
      <c r="C55" s="2" t="s">
        <v>37</v>
      </c>
      <c r="D55" s="2" t="s">
        <v>208</v>
      </c>
      <c r="E55" s="1" t="n">
        <v>100</v>
      </c>
      <c r="F55" s="1" t="n">
        <f aca="false">VLOOKUP(C55,dish_base!$B$4:$O$92,14,FALSE())</f>
        <v>50</v>
      </c>
      <c r="G55" s="1" t="str">
        <f aca="false">VLOOKUP(C55,dish_base!$B$4:$M$92,12,FALSE())</f>
        <v>35,60</v>
      </c>
      <c r="H55" s="2" t="s">
        <v>207</v>
      </c>
    </row>
    <row r="56" customFormat="false" ht="16.5" hidden="false" customHeight="false" outlineLevel="0" collapsed="false">
      <c r="B56" s="1" t="str">
        <f aca="false">C56&amp;D56</f>
        <v>mochit_sweet</v>
      </c>
      <c r="C56" s="2" t="s">
        <v>40</v>
      </c>
      <c r="D56" s="2" t="s">
        <v>208</v>
      </c>
      <c r="E56" s="1" t="n">
        <v>100</v>
      </c>
      <c r="F56" s="1" t="n">
        <f aca="false">VLOOKUP(C56,dish_base!$B$4:$O$92,14,FALSE())</f>
        <v>50</v>
      </c>
      <c r="G56" s="1" t="str">
        <f aca="false">VLOOKUP(C56,dish_base!$B$4:$M$92,12,FALSE())</f>
        <v>35,60</v>
      </c>
      <c r="H56" s="2" t="s">
        <v>207</v>
      </c>
    </row>
    <row r="57" customFormat="false" ht="16.5" hidden="false" customHeight="false" outlineLevel="0" collapsed="false">
      <c r="B57" s="1" t="str">
        <f aca="false">C57&amp;D57</f>
        <v>daifukut_sweet</v>
      </c>
      <c r="C57" s="2" t="s">
        <v>43</v>
      </c>
      <c r="D57" s="2" t="s">
        <v>208</v>
      </c>
      <c r="E57" s="1" t="n">
        <v>100</v>
      </c>
      <c r="F57" s="1" t="n">
        <f aca="false">VLOOKUP(C57,dish_base!$B$4:$O$92,14,FALSE())</f>
        <v>50</v>
      </c>
      <c r="G57" s="1" t="str">
        <f aca="false">VLOOKUP(C57,dish_base!$B$4:$M$92,12,FALSE())</f>
        <v>35,60</v>
      </c>
      <c r="H57" s="2" t="s">
        <v>207</v>
      </c>
    </row>
    <row r="58" customFormat="false" ht="16.5" hidden="false" customHeight="false" outlineLevel="0" collapsed="false">
      <c r="B58" s="1" t="str">
        <f aca="false">C58&amp;D58</f>
        <v>choco_candyt_sweet</v>
      </c>
      <c r="C58" s="2" t="s">
        <v>46</v>
      </c>
      <c r="D58" s="2" t="s">
        <v>208</v>
      </c>
      <c r="E58" s="1" t="n">
        <v>100</v>
      </c>
      <c r="F58" s="1" t="n">
        <f aca="false">VLOOKUP(C58,dish_base!$B$4:$O$92,14,FALSE())</f>
        <v>50</v>
      </c>
      <c r="G58" s="1" t="str">
        <f aca="false">VLOOKUP(C58,dish_base!$B$4:$M$92,12,FALSE())</f>
        <v>35,60</v>
      </c>
      <c r="H58" s="2" t="s">
        <v>207</v>
      </c>
    </row>
    <row r="59" customFormat="false" ht="16.5" hidden="false" customHeight="false" outlineLevel="0" collapsed="false">
      <c r="B59" s="1" t="str">
        <f aca="false">C59&amp;D59</f>
        <v>jellyt_sweet</v>
      </c>
      <c r="C59" s="2" t="s">
        <v>49</v>
      </c>
      <c r="D59" s="2" t="s">
        <v>208</v>
      </c>
      <c r="E59" s="1" t="n">
        <v>100</v>
      </c>
      <c r="F59" s="1" t="n">
        <f aca="false">VLOOKUP(C59,dish_base!$B$4:$O$92,14,FALSE())</f>
        <v>50</v>
      </c>
      <c r="G59" s="1" t="str">
        <f aca="false">VLOOKUP(C59,dish_base!$B$4:$M$92,12,FALSE())</f>
        <v>35,60</v>
      </c>
      <c r="H59" s="2" t="s">
        <v>207</v>
      </c>
    </row>
    <row r="60" customFormat="false" ht="16.5" hidden="false" customHeight="false" outlineLevel="0" collapsed="false">
      <c r="B60" s="1" t="str">
        <f aca="false">C60&amp;D60</f>
        <v>cream_cellt_sweet</v>
      </c>
      <c r="C60" s="2" t="s">
        <v>53</v>
      </c>
      <c r="D60" s="2" t="s">
        <v>208</v>
      </c>
      <c r="E60" s="1" t="n">
        <v>100</v>
      </c>
      <c r="F60" s="1" t="n">
        <f aca="false">VLOOKUP(C60,dish_base!$B$4:$O$92,14,FALSE())</f>
        <v>50</v>
      </c>
      <c r="G60" s="1" t="str">
        <f aca="false">VLOOKUP(C60,dish_base!$B$4:$M$92,12,FALSE())</f>
        <v>35,60</v>
      </c>
      <c r="H60" s="2" t="s">
        <v>207</v>
      </c>
    </row>
    <row r="61" customFormat="false" ht="16.5" hidden="false" customHeight="false" outlineLevel="0" collapsed="false">
      <c r="B61" s="1" t="str">
        <f aca="false">C61&amp;D61</f>
        <v>sugarbeant_sweet</v>
      </c>
      <c r="C61" s="2" t="s">
        <v>57</v>
      </c>
      <c r="D61" s="2" t="s">
        <v>208</v>
      </c>
      <c r="E61" s="1" t="n">
        <v>100</v>
      </c>
      <c r="F61" s="1" t="n">
        <f aca="false">VLOOKUP(C61,dish_base!$B$4:$O$92,14,FALSE())</f>
        <v>50</v>
      </c>
      <c r="G61" s="1" t="str">
        <f aca="false">VLOOKUP(C61,dish_base!$B$4:$M$92,12,FALSE())</f>
        <v>35,60</v>
      </c>
      <c r="H61" s="2" t="s">
        <v>207</v>
      </c>
    </row>
    <row r="62" customFormat="false" ht="16.5" hidden="false" customHeight="false" outlineLevel="0" collapsed="false">
      <c r="B62" s="1" t="str">
        <f aca="false">C62&amp;D62</f>
        <v>gold_chocot_sweet</v>
      </c>
      <c r="C62" s="2" t="s">
        <v>61</v>
      </c>
      <c r="D62" s="2" t="s">
        <v>208</v>
      </c>
      <c r="E62" s="1" t="n">
        <v>100</v>
      </c>
      <c r="F62" s="1" t="n">
        <f aca="false">VLOOKUP(C62,dish_base!$B$4:$O$92,14,FALSE())</f>
        <v>50</v>
      </c>
      <c r="G62" s="1" t="str">
        <f aca="false">VLOOKUP(C62,dish_base!$B$4:$M$92,12,FALSE())</f>
        <v>35,60</v>
      </c>
      <c r="H62" s="2" t="s">
        <v>207</v>
      </c>
    </row>
    <row r="63" customFormat="false" ht="16.5" hidden="false" customHeight="false" outlineLevel="0" collapsed="false">
      <c r="B63" s="1" t="str">
        <f aca="false">C63&amp;D63</f>
        <v>milk_slicet_sweet</v>
      </c>
      <c r="C63" s="2" t="s">
        <v>65</v>
      </c>
      <c r="D63" s="2" t="s">
        <v>208</v>
      </c>
      <c r="E63" s="1" t="n">
        <v>100</v>
      </c>
      <c r="F63" s="1" t="n">
        <f aca="false">VLOOKUP(C63,dish_base!$B$4:$O$92,14,FALSE())</f>
        <v>50</v>
      </c>
      <c r="G63" s="1" t="str">
        <f aca="false">VLOOKUP(C63,dish_base!$B$4:$M$92,12,FALSE())</f>
        <v>35,60</v>
      </c>
      <c r="H63" s="2" t="s">
        <v>207</v>
      </c>
    </row>
    <row r="64" customFormat="false" ht="16.5" hidden="false" customHeight="false" outlineLevel="0" collapsed="false">
      <c r="B64" s="1" t="str">
        <f aca="false">C64&amp;D64</f>
        <v>sundaet_sweet</v>
      </c>
      <c r="C64" s="2" t="s">
        <v>69</v>
      </c>
      <c r="D64" s="2" t="s">
        <v>208</v>
      </c>
      <c r="E64" s="1" t="n">
        <v>100</v>
      </c>
      <c r="F64" s="1" t="n">
        <f aca="false">VLOOKUP(C64,dish_base!$B$4:$O$92,14,FALSE())</f>
        <v>60</v>
      </c>
      <c r="G64" s="1" t="str">
        <f aca="false">VLOOKUP(C64,dish_base!$B$4:$M$92,12,FALSE())</f>
        <v>40,70</v>
      </c>
      <c r="H64" s="2" t="s">
        <v>207</v>
      </c>
    </row>
    <row r="65" customFormat="false" ht="16.5" hidden="false" customHeight="false" outlineLevel="0" collapsed="false">
      <c r="B65" s="1" t="str">
        <f aca="false">C65&amp;D65</f>
        <v>conet_sweet</v>
      </c>
      <c r="C65" s="2" t="s">
        <v>73</v>
      </c>
      <c r="D65" s="2" t="s">
        <v>208</v>
      </c>
      <c r="E65" s="1" t="n">
        <v>100</v>
      </c>
      <c r="F65" s="1" t="n">
        <f aca="false">VLOOKUP(C65,dish_base!$B$4:$O$92,14,FALSE())</f>
        <v>60</v>
      </c>
      <c r="G65" s="1" t="str">
        <f aca="false">VLOOKUP(C65,dish_base!$B$4:$M$92,12,FALSE())</f>
        <v>40,70</v>
      </c>
      <c r="H65" s="2" t="s">
        <v>207</v>
      </c>
    </row>
    <row r="66" customFormat="false" ht="16.5" hidden="false" customHeight="false" outlineLevel="0" collapsed="false">
      <c r="B66" s="1" t="str">
        <f aca="false">C66&amp;D66</f>
        <v>lollipopt_sweet</v>
      </c>
      <c r="C66" s="2" t="s">
        <v>76</v>
      </c>
      <c r="D66" s="2" t="s">
        <v>208</v>
      </c>
      <c r="E66" s="1" t="n">
        <v>100</v>
      </c>
      <c r="F66" s="1" t="n">
        <f aca="false">VLOOKUP(C66,dish_base!$B$4:$O$92,14,FALSE())</f>
        <v>60</v>
      </c>
      <c r="G66" s="1" t="str">
        <f aca="false">VLOOKUP(C66,dish_base!$B$4:$M$92,12,FALSE())</f>
        <v>40,70</v>
      </c>
      <c r="H66" s="2" t="s">
        <v>207</v>
      </c>
    </row>
    <row r="67" customFormat="false" ht="16.5" hidden="false" customHeight="false" outlineLevel="0" collapsed="false">
      <c r="B67" s="1" t="str">
        <f aca="false">C67&amp;D67</f>
        <v>gummyt_sweet</v>
      </c>
      <c r="C67" s="2" t="s">
        <v>79</v>
      </c>
      <c r="D67" s="2" t="s">
        <v>208</v>
      </c>
      <c r="E67" s="1" t="n">
        <v>100</v>
      </c>
      <c r="F67" s="1" t="n">
        <f aca="false">VLOOKUP(C67,dish_base!$B$4:$O$92,14,FALSE())</f>
        <v>60</v>
      </c>
      <c r="G67" s="1" t="str">
        <f aca="false">VLOOKUP(C67,dish_base!$B$4:$M$92,12,FALSE())</f>
        <v>40,70</v>
      </c>
      <c r="H67" s="2" t="s">
        <v>207</v>
      </c>
    </row>
    <row r="68" customFormat="false" ht="16.5" hidden="false" customHeight="false" outlineLevel="0" collapsed="false">
      <c r="B68" s="1" t="str">
        <f aca="false">C68&amp;D68</f>
        <v>cupcaket_sweet</v>
      </c>
      <c r="C68" s="2" t="s">
        <v>82</v>
      </c>
      <c r="D68" s="2" t="s">
        <v>208</v>
      </c>
      <c r="E68" s="1" t="n">
        <v>100</v>
      </c>
      <c r="F68" s="1" t="n">
        <f aca="false">VLOOKUP(C68,dish_base!$B$4:$O$92,14,FALSE())</f>
        <v>60</v>
      </c>
      <c r="G68" s="1" t="str">
        <f aca="false">VLOOKUP(C68,dish_base!$B$4:$M$92,12,FALSE())</f>
        <v>40,70</v>
      </c>
      <c r="H68" s="2" t="s">
        <v>207</v>
      </c>
    </row>
    <row r="69" customFormat="false" ht="16.5" hidden="false" customHeight="false" outlineLevel="0" collapsed="false">
      <c r="B69" s="1" t="str">
        <f aca="false">C69&amp;D69</f>
        <v>mousset_sweet</v>
      </c>
      <c r="C69" s="2" t="s">
        <v>86</v>
      </c>
      <c r="D69" s="2" t="s">
        <v>208</v>
      </c>
      <c r="E69" s="1" t="n">
        <v>100</v>
      </c>
      <c r="F69" s="1" t="n">
        <f aca="false">VLOOKUP(C69,dish_base!$B$4:$O$92,14,FALSE())</f>
        <v>60</v>
      </c>
      <c r="G69" s="1" t="str">
        <f aca="false">VLOOKUP(C69,dish_base!$B$4:$M$92,12,FALSE())</f>
        <v>40,70</v>
      </c>
      <c r="H69" s="2" t="s">
        <v>207</v>
      </c>
    </row>
    <row r="70" customFormat="false" ht="16.5" hidden="false" customHeight="false" outlineLevel="0" collapsed="false">
      <c r="B70" s="1" t="str">
        <f aca="false">C70&amp;D70</f>
        <v>toffeet_sweet</v>
      </c>
      <c r="C70" s="2" t="s">
        <v>93</v>
      </c>
      <c r="D70" s="2" t="s">
        <v>208</v>
      </c>
      <c r="E70" s="1" t="n">
        <v>100</v>
      </c>
      <c r="F70" s="1" t="n">
        <f aca="false">VLOOKUP(C70,dish_base!$B$4:$O$92,14,FALSE())</f>
        <v>60</v>
      </c>
      <c r="G70" s="1" t="str">
        <f aca="false">VLOOKUP(C70,dish_base!$B$4:$M$92,12,FALSE())</f>
        <v>40,70</v>
      </c>
      <c r="H70" s="2" t="s">
        <v>207</v>
      </c>
    </row>
    <row r="71" customFormat="false" ht="16.5" hidden="false" customHeight="false" outlineLevel="0" collapsed="false">
      <c r="B71" s="1" t="str">
        <f aca="false">C71&amp;D71</f>
        <v>nougatt_sweet</v>
      </c>
      <c r="C71" s="2" t="s">
        <v>100</v>
      </c>
      <c r="D71" s="2" t="s">
        <v>208</v>
      </c>
      <c r="E71" s="1" t="n">
        <v>100</v>
      </c>
      <c r="F71" s="1" t="n">
        <f aca="false">VLOOKUP(C71,dish_base!$B$4:$O$92,14,FALSE())</f>
        <v>60</v>
      </c>
      <c r="G71" s="1" t="str">
        <f aca="false">VLOOKUP(C71,dish_base!$B$4:$M$92,12,FALSE())</f>
        <v>40,70</v>
      </c>
      <c r="H71" s="2" t="s">
        <v>207</v>
      </c>
    </row>
    <row r="72" customFormat="false" ht="16.5" hidden="false" customHeight="false" outlineLevel="0" collapsed="false">
      <c r="B72" s="1" t="str">
        <f aca="false">C72&amp;D72</f>
        <v>eggrollt_sweet</v>
      </c>
      <c r="C72" s="2" t="s">
        <v>106</v>
      </c>
      <c r="D72" s="2" t="s">
        <v>208</v>
      </c>
      <c r="E72" s="1" t="n">
        <v>100</v>
      </c>
      <c r="F72" s="1" t="n">
        <f aca="false">VLOOKUP(C72,dish_base!$B$4:$O$92,14,FALSE())</f>
        <v>80</v>
      </c>
      <c r="G72" s="1" t="str">
        <f aca="false">VLOOKUP(C72,dish_base!$B$4:$M$92,12,FALSE())</f>
        <v>45,80</v>
      </c>
      <c r="H72" s="2" t="s">
        <v>207</v>
      </c>
    </row>
    <row r="73" customFormat="false" ht="16.5" hidden="false" customHeight="false" outlineLevel="0" collapsed="false">
      <c r="B73" s="1" t="str">
        <f aca="false">C73&amp;D73</f>
        <v>choco_bart_sweet</v>
      </c>
      <c r="C73" s="2" t="s">
        <v>112</v>
      </c>
      <c r="D73" s="2" t="s">
        <v>208</v>
      </c>
      <c r="E73" s="1" t="n">
        <v>100</v>
      </c>
      <c r="F73" s="1" t="n">
        <f aca="false">VLOOKUP(C73,dish_base!$B$4:$O$92,14,FALSE())</f>
        <v>80</v>
      </c>
      <c r="G73" s="1" t="str">
        <f aca="false">VLOOKUP(C73,dish_base!$B$4:$M$92,12,FALSE())</f>
        <v>45,80</v>
      </c>
      <c r="H73" s="2" t="s">
        <v>207</v>
      </c>
    </row>
    <row r="74" customFormat="false" ht="16.5" hidden="false" customHeight="false" outlineLevel="0" collapsed="false">
      <c r="B74" s="1" t="str">
        <f aca="false">C74&amp;D74</f>
        <v>eclairt_sweet</v>
      </c>
      <c r="C74" s="2" t="s">
        <v>115</v>
      </c>
      <c r="D74" s="2" t="s">
        <v>208</v>
      </c>
      <c r="E74" s="1" t="n">
        <v>100</v>
      </c>
      <c r="F74" s="1" t="n">
        <f aca="false">VLOOKUP(C74,dish_base!$B$4:$O$92,14,FALSE())</f>
        <v>80</v>
      </c>
      <c r="G74" s="1" t="str">
        <f aca="false">VLOOKUP(C74,dish_base!$B$4:$M$92,12,FALSE())</f>
        <v>45,80</v>
      </c>
      <c r="H74" s="2" t="s">
        <v>207</v>
      </c>
    </row>
    <row r="75" customFormat="false" ht="16.5" hidden="false" customHeight="false" outlineLevel="0" collapsed="false">
      <c r="B75" s="1" t="str">
        <f aca="false">C75&amp;D75</f>
        <v>tanghulut_sweet</v>
      </c>
      <c r="C75" s="2" t="s">
        <v>118</v>
      </c>
      <c r="D75" s="2" t="s">
        <v>208</v>
      </c>
      <c r="E75" s="1" t="n">
        <v>100</v>
      </c>
      <c r="F75" s="1" t="n">
        <f aca="false">VLOOKUP(C75,dish_base!$B$4:$O$92,14,FALSE())</f>
        <v>80</v>
      </c>
      <c r="G75" s="3" t="str">
        <f aca="false">VLOOKUP(C75,dish_base!$B$4:$M$92,12,FALSE())</f>
        <v>45,80</v>
      </c>
      <c r="H75" s="2" t="s">
        <v>207</v>
      </c>
    </row>
    <row r="76" customFormat="false" ht="16.5" hidden="false" customHeight="false" outlineLevel="0" collapsed="false">
      <c r="B76" s="1" t="str">
        <f aca="false">C76&amp;D76</f>
        <v>soufflet_sweet</v>
      </c>
      <c r="C76" s="2" t="s">
        <v>121</v>
      </c>
      <c r="D76" s="2" t="s">
        <v>208</v>
      </c>
      <c r="E76" s="1" t="n">
        <v>100</v>
      </c>
      <c r="F76" s="1" t="n">
        <f aca="false">VLOOKUP(C76,dish_base!$B$4:$O$92,14,FALSE())</f>
        <v>90</v>
      </c>
      <c r="G76" s="3" t="str">
        <f aca="false">VLOOKUP(C76,dish_base!$B$4:$M$92,12,FALSE())</f>
        <v>55,100</v>
      </c>
      <c r="H76" s="2" t="s">
        <v>207</v>
      </c>
    </row>
    <row r="77" customFormat="false" ht="16.5" hidden="false" customHeight="false" outlineLevel="0" collapsed="false">
      <c r="B77" s="1" t="str">
        <f aca="false">C77&amp;D77</f>
        <v>taosut_sweet</v>
      </c>
      <c r="C77" s="2" t="s">
        <v>124</v>
      </c>
      <c r="D77" s="2" t="s">
        <v>208</v>
      </c>
      <c r="E77" s="1" t="n">
        <v>100</v>
      </c>
      <c r="F77" s="1" t="n">
        <f aca="false">VLOOKUP(C77,dish_base!$B$4:$O$92,14,FALSE())</f>
        <v>90</v>
      </c>
      <c r="G77" s="3" t="str">
        <f aca="false">VLOOKUP(C77,dish_base!$B$4:$M$92,12,FALSE())</f>
        <v>55,100</v>
      </c>
      <c r="H77" s="2" t="s">
        <v>207</v>
      </c>
    </row>
    <row r="78" customFormat="false" ht="16.5" hidden="false" customHeight="false" outlineLevel="0" collapsed="false">
      <c r="B78" s="1" t="str">
        <f aca="false">C78&amp;D78</f>
        <v>mooncaket_sweet</v>
      </c>
      <c r="C78" s="2" t="s">
        <v>127</v>
      </c>
      <c r="D78" s="2" t="s">
        <v>208</v>
      </c>
      <c r="E78" s="1" t="n">
        <v>100</v>
      </c>
      <c r="F78" s="1" t="n">
        <f aca="false">VLOOKUP(C78,dish_base!$B$4:$O$92,14,FALSE())</f>
        <v>90</v>
      </c>
      <c r="G78" s="3" t="str">
        <f aca="false">VLOOKUP(C78,dish_base!$B$4:$M$92,12,FALSE())</f>
        <v>55,100</v>
      </c>
      <c r="H78" s="2" t="s">
        <v>207</v>
      </c>
    </row>
    <row r="79" customFormat="false" ht="16.5" hidden="false" customHeight="false" outlineLevel="0" collapsed="false">
      <c r="B79" s="1" t="str">
        <f aca="false">C79&amp;D79</f>
        <v>wafflet_sweet</v>
      </c>
      <c r="C79" s="2" t="s">
        <v>130</v>
      </c>
      <c r="D79" s="2" t="s">
        <v>208</v>
      </c>
      <c r="E79" s="1" t="n">
        <v>100</v>
      </c>
      <c r="F79" s="1" t="n">
        <f aca="false">VLOOKUP(C79,dish_base!$B$4:$O$92,14,FALSE())</f>
        <v>90</v>
      </c>
      <c r="G79" s="3" t="str">
        <f aca="false">VLOOKUP(C79,dish_base!$B$4:$M$92,12,FALSE())</f>
        <v>55,100</v>
      </c>
      <c r="H79" s="2" t="s">
        <v>207</v>
      </c>
    </row>
    <row r="80" customFormat="false" ht="16.5" hidden="false" customHeight="false" outlineLevel="0" collapsed="false">
      <c r="B80" s="1" t="str">
        <f aca="false">C80&amp;D80</f>
        <v>dorayakit_sweet</v>
      </c>
      <c r="C80" s="2" t="s">
        <v>133</v>
      </c>
      <c r="D80" s="2" t="s">
        <v>208</v>
      </c>
      <c r="E80" s="1" t="n">
        <v>100</v>
      </c>
      <c r="F80" s="1" t="n">
        <f aca="false">VLOOKUP(C80,dish_base!$B$4:$O$92,14,FALSE())</f>
        <v>90</v>
      </c>
      <c r="G80" s="3" t="str">
        <f aca="false">VLOOKUP(C80,dish_base!$B$4:$M$92,12,FALSE())</f>
        <v>55,100</v>
      </c>
      <c r="H80" s="2" t="s">
        <v>207</v>
      </c>
    </row>
    <row r="81" customFormat="false" ht="16.5" hidden="false" customHeight="false" outlineLevel="0" collapsed="false">
      <c r="B81" s="1" t="str">
        <f aca="false">C81&amp;D81</f>
        <v>cream_caket_sweet</v>
      </c>
      <c r="C81" s="2" t="s">
        <v>136</v>
      </c>
      <c r="D81" s="2" t="s">
        <v>208</v>
      </c>
      <c r="E81" s="1" t="n">
        <v>100</v>
      </c>
      <c r="F81" s="1" t="n">
        <f aca="false">VLOOKUP(C81,dish_base!$B$4:$O$92,14,FALSE())</f>
        <v>90</v>
      </c>
      <c r="G81" s="3" t="str">
        <f aca="false">VLOOKUP(C81,dish_base!$B$4:$M$92,12,FALSE())</f>
        <v>55,100</v>
      </c>
      <c r="H81" s="2" t="s">
        <v>207</v>
      </c>
    </row>
    <row r="82" customFormat="false" ht="16.5" hidden="false" customHeight="false" outlineLevel="0" collapsed="false">
      <c r="B82" s="1" t="str">
        <f aca="false">C82&amp;D82</f>
        <v>donutt_sweet</v>
      </c>
      <c r="C82" s="2" t="s">
        <v>139</v>
      </c>
      <c r="D82" s="2" t="s">
        <v>208</v>
      </c>
      <c r="E82" s="1" t="n">
        <v>100</v>
      </c>
      <c r="F82" s="1" t="n">
        <f aca="false">VLOOKUP(C82,dish_base!$B$4:$O$92,14,FALSE())</f>
        <v>90</v>
      </c>
      <c r="G82" s="3" t="str">
        <f aca="false">VLOOKUP(C82,dish_base!$B$4:$M$92,12,FALSE())</f>
        <v>55,100</v>
      </c>
      <c r="H82" s="2" t="s">
        <v>207</v>
      </c>
    </row>
    <row r="83" customFormat="false" ht="16.5" hidden="false" customHeight="false" outlineLevel="0" collapsed="false">
      <c r="B83" s="1" t="str">
        <f aca="false">C83&amp;D83</f>
        <v>pengtangt_sweet</v>
      </c>
      <c r="C83" s="2" t="s">
        <v>142</v>
      </c>
      <c r="D83" s="2" t="s">
        <v>208</v>
      </c>
      <c r="E83" s="1" t="n">
        <v>100</v>
      </c>
      <c r="F83" s="1" t="n">
        <f aca="false">VLOOKUP(C83,dish_base!$B$4:$O$92,14,FALSE())</f>
        <v>90</v>
      </c>
      <c r="G83" s="3" t="str">
        <f aca="false">VLOOKUP(C83,dish_base!$B$4:$M$92,12,FALSE())</f>
        <v>55,100</v>
      </c>
      <c r="H83" s="2" t="s">
        <v>207</v>
      </c>
    </row>
    <row r="84" customFormat="false" ht="16.5" hidden="false" customHeight="false" outlineLevel="0" collapsed="false">
      <c r="B84" s="1" t="str">
        <f aca="false">C84&amp;D84</f>
        <v>parfaitt_sweet</v>
      </c>
      <c r="C84" s="2" t="s">
        <v>145</v>
      </c>
      <c r="D84" s="2" t="s">
        <v>208</v>
      </c>
      <c r="E84" s="1" t="n">
        <v>100</v>
      </c>
      <c r="F84" s="1" t="n">
        <f aca="false">VLOOKUP(C84,dish_base!$B$4:$O$92,14,FALSE())</f>
        <v>120</v>
      </c>
      <c r="G84" s="3" t="str">
        <f aca="false">VLOOKUP(C84,dish_base!$B$4:$M$92,12,FALSE())</f>
        <v>70,120</v>
      </c>
      <c r="H84" s="2" t="s">
        <v>207</v>
      </c>
    </row>
    <row r="85" customFormat="false" ht="16.5" hidden="false" customHeight="false" outlineLevel="0" collapsed="false">
      <c r="B85" s="1" t="str">
        <f aca="false">C85&amp;D85</f>
        <v>sundae_bigt_sweet</v>
      </c>
      <c r="C85" s="2" t="s">
        <v>148</v>
      </c>
      <c r="D85" s="2" t="s">
        <v>208</v>
      </c>
      <c r="E85" s="1" t="n">
        <v>100</v>
      </c>
      <c r="F85" s="1" t="n">
        <f aca="false">VLOOKUP(C85,dish_base!$B$4:$O$92,14,FALSE())</f>
        <v>120</v>
      </c>
      <c r="G85" s="3" t="str">
        <f aca="false">VLOOKUP(C85,dish_base!$B$4:$M$92,12,FALSE())</f>
        <v>70,120</v>
      </c>
      <c r="H85" s="2" t="s">
        <v>207</v>
      </c>
    </row>
    <row r="86" customFormat="false" ht="16.5" hidden="false" customHeight="false" outlineLevel="0" collapsed="false">
      <c r="B86" s="1" t="str">
        <f aca="false">C86&amp;D86</f>
        <v>swiss_rollt_sweet</v>
      </c>
      <c r="C86" s="2" t="s">
        <v>150</v>
      </c>
      <c r="D86" s="2" t="s">
        <v>208</v>
      </c>
      <c r="E86" s="1" t="n">
        <v>100</v>
      </c>
      <c r="F86" s="1" t="n">
        <f aca="false">VLOOKUP(C86,dish_base!$B$4:$O$92,14,FALSE())</f>
        <v>120</v>
      </c>
      <c r="G86" s="3" t="str">
        <f aca="false">VLOOKUP(C86,dish_base!$B$4:$M$92,12,FALSE())</f>
        <v>70,120</v>
      </c>
      <c r="H86" s="2" t="s">
        <v>207</v>
      </c>
    </row>
    <row r="87" customFormat="false" ht="16.5" hidden="false" customHeight="false" outlineLevel="0" collapsed="false">
      <c r="B87" s="1" t="str">
        <f aca="false">C87&amp;D87</f>
        <v>mango_sagot_sweet</v>
      </c>
      <c r="C87" s="2" t="s">
        <v>153</v>
      </c>
      <c r="D87" s="2" t="s">
        <v>208</v>
      </c>
      <c r="E87" s="1" t="n">
        <v>100</v>
      </c>
      <c r="F87" s="1" t="n">
        <f aca="false">VLOOKUP(C87,dish_base!$B$4:$O$92,14,FALSE())</f>
        <v>120</v>
      </c>
      <c r="G87" s="3" t="str">
        <f aca="false">VLOOKUP(C87,dish_base!$B$4:$M$92,12,FALSE())</f>
        <v>70,120</v>
      </c>
      <c r="H87" s="2" t="s">
        <v>207</v>
      </c>
    </row>
    <row r="88" customFormat="false" ht="16.5" hidden="false" customHeight="false" outlineLevel="0" collapsed="false">
      <c r="B88" s="1" t="str">
        <f aca="false">C88&amp;D88</f>
        <v>chiffiont_sweet</v>
      </c>
      <c r="C88" s="2" t="s">
        <v>156</v>
      </c>
      <c r="D88" s="2" t="s">
        <v>208</v>
      </c>
      <c r="E88" s="1" t="n">
        <v>100</v>
      </c>
      <c r="F88" s="1" t="n">
        <f aca="false">VLOOKUP(C88,dish_base!$B$4:$O$92,14,FALSE())</f>
        <v>120</v>
      </c>
      <c r="G88" s="3" t="str">
        <f aca="false">VLOOKUP(C88,dish_base!$B$4:$M$92,12,FALSE())</f>
        <v>70,120</v>
      </c>
      <c r="H88" s="2" t="s">
        <v>207</v>
      </c>
    </row>
    <row r="89" customFormat="false" ht="16.5" hidden="false" customHeight="false" outlineLevel="0" collapsed="false">
      <c r="B89" s="1" t="str">
        <f aca="false">C89&amp;D89</f>
        <v>apple_piet_sweet</v>
      </c>
      <c r="C89" s="2" t="s">
        <v>159</v>
      </c>
      <c r="D89" s="2" t="s">
        <v>208</v>
      </c>
      <c r="E89" s="1" t="n">
        <v>100</v>
      </c>
      <c r="F89" s="1" t="n">
        <f aca="false">VLOOKUP(C89,dish_base!$B$4:$O$92,14,FALSE())</f>
        <v>120</v>
      </c>
      <c r="G89" s="3" t="str">
        <f aca="false">VLOOKUP(C89,dish_base!$B$4:$M$92,12,FALSE())</f>
        <v>70,120</v>
      </c>
      <c r="H89" s="2" t="s">
        <v>207</v>
      </c>
    </row>
    <row r="90" customFormat="false" ht="16.5" hidden="false" customHeight="false" outlineLevel="0" collapsed="false">
      <c r="B90" s="1" t="str">
        <f aca="false">C90&amp;D90</f>
        <v>fruit_caket_sweet</v>
      </c>
      <c r="C90" s="2" t="s">
        <v>162</v>
      </c>
      <c r="D90" s="2" t="s">
        <v>208</v>
      </c>
      <c r="E90" s="1" t="n">
        <v>100</v>
      </c>
      <c r="F90" s="1" t="n">
        <f aca="false">VLOOKUP(C90,dish_base!$B$4:$O$92,14,FALSE())</f>
        <v>120</v>
      </c>
      <c r="G90" s="3" t="str">
        <f aca="false">VLOOKUP(C90,dish_base!$B$4:$M$92,12,FALSE())</f>
        <v>70,120</v>
      </c>
      <c r="H90" s="2" t="s">
        <v>207</v>
      </c>
    </row>
    <row r="91" customFormat="false" ht="16.5" hidden="false" customHeight="false" outlineLevel="0" collapsed="false">
      <c r="B91" s="1" t="str">
        <f aca="false">C91&amp;D91</f>
        <v>chocolatet_sweet</v>
      </c>
      <c r="C91" s="2" t="s">
        <v>165</v>
      </c>
      <c r="D91" s="2" t="s">
        <v>208</v>
      </c>
      <c r="E91" s="1" t="n">
        <v>100</v>
      </c>
      <c r="F91" s="1" t="n">
        <f aca="false">VLOOKUP(C91,dish_base!$B$4:$O$92,14,FALSE())</f>
        <v>120</v>
      </c>
      <c r="G91" s="3" t="str">
        <f aca="false">VLOOKUP(C91,dish_base!$B$4:$M$92,12,FALSE())</f>
        <v>70,120</v>
      </c>
      <c r="H91" s="2" t="s">
        <v>207</v>
      </c>
    </row>
    <row r="92" customFormat="false" ht="16.5" hidden="false" customHeight="false" outlineLevel="0" collapsed="false">
      <c r="B92" s="1" t="str">
        <f aca="false">C92&amp;D92</f>
        <v>croissantt_sweet</v>
      </c>
      <c r="C92" s="2" t="s">
        <v>168</v>
      </c>
      <c r="D92" s="2" t="s">
        <v>208</v>
      </c>
      <c r="E92" s="1" t="n">
        <v>100</v>
      </c>
      <c r="F92" s="1" t="n">
        <f aca="false">VLOOKUP(C92,dish_base!$B$4:$O$92,14,FALSE())</f>
        <v>80</v>
      </c>
      <c r="G92" s="3" t="str">
        <f aca="false">VLOOKUP(C92,dish_base!$B$4:$M$92,12,FALSE())</f>
        <v>45,80</v>
      </c>
      <c r="H92" s="2" t="s">
        <v>207</v>
      </c>
    </row>
    <row r="93" customFormat="false" ht="16.5" hidden="false" customHeight="false" outlineLevel="0" collapsed="false">
      <c r="B93" s="1" t="str">
        <f aca="false">C93&amp;D93</f>
        <v>palmiert_sweet</v>
      </c>
      <c r="C93" s="2" t="s">
        <v>172</v>
      </c>
      <c r="D93" s="2" t="s">
        <v>208</v>
      </c>
      <c r="E93" s="1" t="n">
        <v>100</v>
      </c>
      <c r="F93" s="1" t="n">
        <f aca="false">VLOOKUP(C93,dish_base!$B$4:$O$92,14,FALSE())</f>
        <v>80</v>
      </c>
      <c r="G93" s="3" t="str">
        <f aca="false">VLOOKUP(C93,dish_base!$B$4:$M$92,12,FALSE())</f>
        <v>45,80</v>
      </c>
      <c r="H93" s="2" t="s">
        <v>207</v>
      </c>
    </row>
    <row r="94" customFormat="false" ht="16.5" hidden="false" customHeight="false" outlineLevel="0" collapsed="false">
      <c r="B94" s="1" t="str">
        <f aca="false">C94&amp;D94</f>
        <v>candycanet_sweet</v>
      </c>
      <c r="C94" s="2" t="s">
        <v>176</v>
      </c>
      <c r="D94" s="2" t="s">
        <v>208</v>
      </c>
      <c r="E94" s="1" t="n">
        <v>100</v>
      </c>
      <c r="F94" s="1" t="n">
        <f aca="false">VLOOKUP(C94,dish_base!$B$4:$O$92,14,FALSE())</f>
        <v>90</v>
      </c>
      <c r="G94" s="3" t="str">
        <f aca="false">VLOOKUP(C94,dish_base!$B$4:$M$92,12,FALSE())</f>
        <v>55,100</v>
      </c>
      <c r="H94" s="2" t="s">
        <v>207</v>
      </c>
    </row>
    <row r="95" customFormat="false" ht="16.5" hidden="false" customHeight="false" outlineLevel="0" collapsed="false">
      <c r="B95" s="1" t="str">
        <f aca="false">C95&amp;D95</f>
        <v>big_lollipopt_sweet</v>
      </c>
      <c r="C95" s="2" t="s">
        <v>179</v>
      </c>
      <c r="D95" s="2" t="s">
        <v>208</v>
      </c>
      <c r="E95" s="1" t="n">
        <v>100</v>
      </c>
      <c r="F95" s="1" t="n">
        <f aca="false">VLOOKUP(C95,dish_base!$B$4:$O$92,14,FALSE())</f>
        <v>190</v>
      </c>
      <c r="G95" s="3" t="str">
        <f aca="false">VLOOKUP(C95,dish_base!$B$4:$M$92,12,FALSE())</f>
        <v>80,130</v>
      </c>
      <c r="H95" s="2" t="s">
        <v>207</v>
      </c>
    </row>
    <row r="96" customFormat="false" ht="16.5" hidden="false" customHeight="false" outlineLevel="0" collapsed="false">
      <c r="B96" s="1" t="str">
        <f aca="false">C96&amp;D96</f>
        <v>marshmallowt_sweet</v>
      </c>
      <c r="C96" s="2" t="s">
        <v>183</v>
      </c>
      <c r="D96" s="2" t="s">
        <v>208</v>
      </c>
      <c r="E96" s="1" t="n">
        <v>100</v>
      </c>
      <c r="F96" s="1" t="n">
        <f aca="false">VLOOKUP(C96,dish_base!$B$4:$O$92,14,FALSE())</f>
        <v>160</v>
      </c>
      <c r="G96" s="3" t="str">
        <f aca="false">VLOOKUP(C96,dish_base!$B$4:$M$92,12,FALSE())</f>
        <v>80,130</v>
      </c>
      <c r="H96" s="2" t="s">
        <v>207</v>
      </c>
    </row>
    <row r="97" customFormat="false" ht="16.5" hidden="false" customHeight="false" outlineLevel="0" collapsed="false">
      <c r="B97" s="1" t="str">
        <f aca="false">C97&amp;D97</f>
        <v>double_caket_sweet</v>
      </c>
      <c r="C97" s="2" t="s">
        <v>186</v>
      </c>
      <c r="D97" s="2" t="s">
        <v>208</v>
      </c>
      <c r="E97" s="1" t="n">
        <v>100</v>
      </c>
      <c r="F97" s="1" t="n">
        <f aca="false">VLOOKUP(C97,dish_base!$B$4:$O$92,14,FALSE())</f>
        <v>260</v>
      </c>
      <c r="G97" s="3" t="str">
        <f aca="false">VLOOKUP(C97,dish_base!$B$4:$M$92,12,FALSE())</f>
        <v>80,130</v>
      </c>
      <c r="H97" s="2" t="s">
        <v>207</v>
      </c>
    </row>
    <row r="98" customFormat="false" ht="16.5" hidden="false" customHeight="false" outlineLevel="0" collapsed="false">
      <c r="B98" s="1" t="str">
        <f aca="false">C98&amp;D98</f>
        <v>cookiet_bitter</v>
      </c>
      <c r="C98" s="2" t="s">
        <v>23</v>
      </c>
      <c r="D98" s="2" t="s">
        <v>209</v>
      </c>
      <c r="E98" s="1" t="n">
        <v>100</v>
      </c>
      <c r="F98" s="1" t="n">
        <f aca="false">VLOOKUP(C98,dish_base!$B$4:$O$92,14,FALSE())</f>
        <v>50</v>
      </c>
      <c r="G98" s="1" t="str">
        <f aca="false">VLOOKUP(C98,dish_base!$B$4:$M$92,12,FALSE())</f>
        <v>35,60</v>
      </c>
      <c r="H98" s="2" t="s">
        <v>207</v>
      </c>
    </row>
    <row r="99" customFormat="false" ht="16.5" hidden="false" customHeight="false" outlineLevel="0" collapsed="false">
      <c r="B99" s="1" t="str">
        <f aca="false">C99&amp;D99</f>
        <v>macaront_bitter</v>
      </c>
      <c r="C99" s="2" t="s">
        <v>28</v>
      </c>
      <c r="D99" s="2" t="s">
        <v>209</v>
      </c>
      <c r="E99" s="1" t="n">
        <v>100</v>
      </c>
      <c r="F99" s="1" t="n">
        <f aca="false">VLOOKUP(C99,dish_base!$B$4:$O$92,14,FALSE())</f>
        <v>50</v>
      </c>
      <c r="G99" s="1" t="str">
        <f aca="false">VLOOKUP(C99,dish_base!$B$4:$M$92,12,FALSE())</f>
        <v>35,60</v>
      </c>
      <c r="H99" s="2" t="s">
        <v>207</v>
      </c>
    </row>
    <row r="100" customFormat="false" ht="16.5" hidden="false" customHeight="false" outlineLevel="0" collapsed="false">
      <c r="B100" s="1" t="str">
        <f aca="false">C100&amp;D100</f>
        <v>puddingt_bitter</v>
      </c>
      <c r="C100" s="2" t="s">
        <v>31</v>
      </c>
      <c r="D100" s="2" t="s">
        <v>209</v>
      </c>
      <c r="E100" s="1" t="n">
        <v>100</v>
      </c>
      <c r="F100" s="1" t="n">
        <f aca="false">VLOOKUP(C100,dish_base!$B$4:$O$92,14,FALSE())</f>
        <v>50</v>
      </c>
      <c r="G100" s="1" t="str">
        <f aca="false">VLOOKUP(C100,dish_base!$B$4:$M$92,12,FALSE())</f>
        <v>35,60</v>
      </c>
      <c r="H100" s="2" t="s">
        <v>207</v>
      </c>
    </row>
    <row r="101" customFormat="false" ht="16.5" hidden="false" customHeight="false" outlineLevel="0" collapsed="false">
      <c r="B101" s="1" t="str">
        <f aca="false">C101&amp;D101</f>
        <v>pufft_bitter</v>
      </c>
      <c r="C101" s="2" t="s">
        <v>34</v>
      </c>
      <c r="D101" s="2" t="s">
        <v>209</v>
      </c>
      <c r="E101" s="1" t="n">
        <v>100</v>
      </c>
      <c r="F101" s="1" t="n">
        <f aca="false">VLOOKUP(C101,dish_base!$B$4:$O$92,14,FALSE())</f>
        <v>50</v>
      </c>
      <c r="G101" s="1" t="str">
        <f aca="false">VLOOKUP(C101,dish_base!$B$4:$M$92,12,FALSE())</f>
        <v>35,60</v>
      </c>
      <c r="H101" s="2" t="s">
        <v>207</v>
      </c>
    </row>
    <row r="102" customFormat="false" ht="16.5" hidden="false" customHeight="false" outlineLevel="0" collapsed="false">
      <c r="B102" s="1" t="str">
        <f aca="false">C102&amp;D102</f>
        <v>eggtartt_bitter</v>
      </c>
      <c r="C102" s="2" t="s">
        <v>37</v>
      </c>
      <c r="D102" s="2" t="s">
        <v>209</v>
      </c>
      <c r="E102" s="1" t="n">
        <v>100</v>
      </c>
      <c r="F102" s="1" t="n">
        <f aca="false">VLOOKUP(C102,dish_base!$B$4:$O$92,14,FALSE())</f>
        <v>50</v>
      </c>
      <c r="G102" s="1" t="str">
        <f aca="false">VLOOKUP(C102,dish_base!$B$4:$M$92,12,FALSE())</f>
        <v>35,60</v>
      </c>
      <c r="H102" s="2" t="s">
        <v>207</v>
      </c>
    </row>
    <row r="103" customFormat="false" ht="16.5" hidden="false" customHeight="false" outlineLevel="0" collapsed="false">
      <c r="B103" s="1" t="str">
        <f aca="false">C103&amp;D103</f>
        <v>mochit_bitter</v>
      </c>
      <c r="C103" s="2" t="s">
        <v>40</v>
      </c>
      <c r="D103" s="2" t="s">
        <v>209</v>
      </c>
      <c r="E103" s="1" t="n">
        <v>100</v>
      </c>
      <c r="F103" s="1" t="n">
        <f aca="false">VLOOKUP(C103,dish_base!$B$4:$O$92,14,FALSE())</f>
        <v>50</v>
      </c>
      <c r="G103" s="1" t="str">
        <f aca="false">VLOOKUP(C103,dish_base!$B$4:$M$92,12,FALSE())</f>
        <v>35,60</v>
      </c>
      <c r="H103" s="2" t="s">
        <v>207</v>
      </c>
    </row>
    <row r="104" customFormat="false" ht="16.5" hidden="false" customHeight="false" outlineLevel="0" collapsed="false">
      <c r="B104" s="1" t="str">
        <f aca="false">C104&amp;D104</f>
        <v>daifukut_bitter</v>
      </c>
      <c r="C104" s="2" t="s">
        <v>43</v>
      </c>
      <c r="D104" s="2" t="s">
        <v>209</v>
      </c>
      <c r="E104" s="1" t="n">
        <v>100</v>
      </c>
      <c r="F104" s="1" t="n">
        <f aca="false">VLOOKUP(C104,dish_base!$B$4:$O$92,14,FALSE())</f>
        <v>50</v>
      </c>
      <c r="G104" s="1" t="str">
        <f aca="false">VLOOKUP(C104,dish_base!$B$4:$M$92,12,FALSE())</f>
        <v>35,60</v>
      </c>
      <c r="H104" s="2" t="s">
        <v>207</v>
      </c>
    </row>
    <row r="105" customFormat="false" ht="16.5" hidden="false" customHeight="false" outlineLevel="0" collapsed="false">
      <c r="B105" s="1" t="str">
        <f aca="false">C105&amp;D105</f>
        <v>choco_candyt_bitter</v>
      </c>
      <c r="C105" s="2" t="s">
        <v>46</v>
      </c>
      <c r="D105" s="2" t="s">
        <v>209</v>
      </c>
      <c r="E105" s="1" t="n">
        <v>100</v>
      </c>
      <c r="F105" s="1" t="n">
        <f aca="false">VLOOKUP(C105,dish_base!$B$4:$O$92,14,FALSE())</f>
        <v>50</v>
      </c>
      <c r="G105" s="1" t="str">
        <f aca="false">VLOOKUP(C105,dish_base!$B$4:$M$92,12,FALSE())</f>
        <v>35,60</v>
      </c>
      <c r="H105" s="2" t="s">
        <v>207</v>
      </c>
    </row>
    <row r="106" customFormat="false" ht="16.5" hidden="false" customHeight="false" outlineLevel="0" collapsed="false">
      <c r="B106" s="1" t="str">
        <f aca="false">C106&amp;D106</f>
        <v>jellyt_bitter</v>
      </c>
      <c r="C106" s="2" t="s">
        <v>49</v>
      </c>
      <c r="D106" s="2" t="s">
        <v>209</v>
      </c>
      <c r="E106" s="1" t="n">
        <v>100</v>
      </c>
      <c r="F106" s="1" t="n">
        <f aca="false">VLOOKUP(C106,dish_base!$B$4:$O$92,14,FALSE())</f>
        <v>50</v>
      </c>
      <c r="G106" s="1" t="str">
        <f aca="false">VLOOKUP(C106,dish_base!$B$4:$M$92,12,FALSE())</f>
        <v>35,60</v>
      </c>
      <c r="H106" s="2" t="s">
        <v>207</v>
      </c>
    </row>
    <row r="107" customFormat="false" ht="16.5" hidden="false" customHeight="false" outlineLevel="0" collapsed="false">
      <c r="B107" s="1" t="str">
        <f aca="false">C107&amp;D107</f>
        <v>cream_cellt_bitter</v>
      </c>
      <c r="C107" s="2" t="s">
        <v>53</v>
      </c>
      <c r="D107" s="2" t="s">
        <v>209</v>
      </c>
      <c r="E107" s="1" t="n">
        <v>100</v>
      </c>
      <c r="F107" s="1" t="n">
        <f aca="false">VLOOKUP(C107,dish_base!$B$4:$O$92,14,FALSE())</f>
        <v>50</v>
      </c>
      <c r="G107" s="1" t="str">
        <f aca="false">VLOOKUP(C107,dish_base!$B$4:$M$92,12,FALSE())</f>
        <v>35,60</v>
      </c>
      <c r="H107" s="2" t="s">
        <v>207</v>
      </c>
    </row>
    <row r="108" customFormat="false" ht="16.5" hidden="false" customHeight="false" outlineLevel="0" collapsed="false">
      <c r="B108" s="1" t="str">
        <f aca="false">C108&amp;D108</f>
        <v>sugarbeant_bitter</v>
      </c>
      <c r="C108" s="2" t="s">
        <v>57</v>
      </c>
      <c r="D108" s="2" t="s">
        <v>209</v>
      </c>
      <c r="E108" s="1" t="n">
        <v>100</v>
      </c>
      <c r="F108" s="1" t="n">
        <f aca="false">VLOOKUP(C108,dish_base!$B$4:$O$92,14,FALSE())</f>
        <v>50</v>
      </c>
      <c r="G108" s="1" t="str">
        <f aca="false">VLOOKUP(C108,dish_base!$B$4:$M$92,12,FALSE())</f>
        <v>35,60</v>
      </c>
      <c r="H108" s="2" t="s">
        <v>207</v>
      </c>
    </row>
    <row r="109" customFormat="false" ht="16.5" hidden="false" customHeight="false" outlineLevel="0" collapsed="false">
      <c r="B109" s="1" t="str">
        <f aca="false">C109&amp;D109</f>
        <v>gold_chocot_bitter</v>
      </c>
      <c r="C109" s="2" t="s">
        <v>61</v>
      </c>
      <c r="D109" s="2" t="s">
        <v>209</v>
      </c>
      <c r="E109" s="1" t="n">
        <v>100</v>
      </c>
      <c r="F109" s="1" t="n">
        <f aca="false">VLOOKUP(C109,dish_base!$B$4:$O$92,14,FALSE())</f>
        <v>50</v>
      </c>
      <c r="G109" s="1" t="str">
        <f aca="false">VLOOKUP(C109,dish_base!$B$4:$M$92,12,FALSE())</f>
        <v>35,60</v>
      </c>
      <c r="H109" s="2" t="s">
        <v>207</v>
      </c>
    </row>
    <row r="110" customFormat="false" ht="16.5" hidden="false" customHeight="false" outlineLevel="0" collapsed="false">
      <c r="B110" s="1" t="str">
        <f aca="false">C110&amp;D110</f>
        <v>milk_slicet_bitter</v>
      </c>
      <c r="C110" s="2" t="s">
        <v>65</v>
      </c>
      <c r="D110" s="2" t="s">
        <v>209</v>
      </c>
      <c r="E110" s="1" t="n">
        <v>100</v>
      </c>
      <c r="F110" s="1" t="n">
        <f aca="false">VLOOKUP(C110,dish_base!$B$4:$O$92,14,FALSE())</f>
        <v>50</v>
      </c>
      <c r="G110" s="1" t="str">
        <f aca="false">VLOOKUP(C110,dish_base!$B$4:$M$92,12,FALSE())</f>
        <v>35,60</v>
      </c>
      <c r="H110" s="2" t="s">
        <v>207</v>
      </c>
    </row>
    <row r="111" customFormat="false" ht="16.5" hidden="false" customHeight="false" outlineLevel="0" collapsed="false">
      <c r="B111" s="1" t="str">
        <f aca="false">C111&amp;D111</f>
        <v>sundaet_bitter</v>
      </c>
      <c r="C111" s="2" t="s">
        <v>69</v>
      </c>
      <c r="D111" s="2" t="s">
        <v>209</v>
      </c>
      <c r="E111" s="1" t="n">
        <v>100</v>
      </c>
      <c r="F111" s="1" t="n">
        <f aca="false">VLOOKUP(C111,dish_base!$B$4:$O$92,14,FALSE())</f>
        <v>60</v>
      </c>
      <c r="G111" s="1" t="str">
        <f aca="false">VLOOKUP(C111,dish_base!$B$4:$M$92,12,FALSE())</f>
        <v>40,70</v>
      </c>
      <c r="H111" s="2" t="s">
        <v>207</v>
      </c>
    </row>
    <row r="112" customFormat="false" ht="16.5" hidden="false" customHeight="false" outlineLevel="0" collapsed="false">
      <c r="B112" s="1" t="str">
        <f aca="false">C112&amp;D112</f>
        <v>conet_bitter</v>
      </c>
      <c r="C112" s="2" t="s">
        <v>73</v>
      </c>
      <c r="D112" s="2" t="s">
        <v>209</v>
      </c>
      <c r="E112" s="1" t="n">
        <v>100</v>
      </c>
      <c r="F112" s="1" t="n">
        <f aca="false">VLOOKUP(C112,dish_base!$B$4:$O$92,14,FALSE())</f>
        <v>60</v>
      </c>
      <c r="G112" s="1" t="str">
        <f aca="false">VLOOKUP(C112,dish_base!$B$4:$M$92,12,FALSE())</f>
        <v>40,70</v>
      </c>
      <c r="H112" s="2" t="s">
        <v>207</v>
      </c>
    </row>
    <row r="113" customFormat="false" ht="16.5" hidden="false" customHeight="false" outlineLevel="0" collapsed="false">
      <c r="B113" s="1" t="str">
        <f aca="false">C113&amp;D113</f>
        <v>lollipopt_bitter</v>
      </c>
      <c r="C113" s="2" t="s">
        <v>76</v>
      </c>
      <c r="D113" s="2" t="s">
        <v>209</v>
      </c>
      <c r="E113" s="1" t="n">
        <v>100</v>
      </c>
      <c r="F113" s="1" t="n">
        <f aca="false">VLOOKUP(C113,dish_base!$B$4:$O$92,14,FALSE())</f>
        <v>60</v>
      </c>
      <c r="G113" s="1" t="str">
        <f aca="false">VLOOKUP(C113,dish_base!$B$4:$M$92,12,FALSE())</f>
        <v>40,70</v>
      </c>
      <c r="H113" s="2" t="s">
        <v>207</v>
      </c>
    </row>
    <row r="114" customFormat="false" ht="16.5" hidden="false" customHeight="false" outlineLevel="0" collapsed="false">
      <c r="B114" s="1" t="str">
        <f aca="false">C114&amp;D114</f>
        <v>gummyt_bitter</v>
      </c>
      <c r="C114" s="2" t="s">
        <v>79</v>
      </c>
      <c r="D114" s="2" t="s">
        <v>209</v>
      </c>
      <c r="E114" s="1" t="n">
        <v>100</v>
      </c>
      <c r="F114" s="1" t="n">
        <f aca="false">VLOOKUP(C114,dish_base!$B$4:$O$92,14,FALSE())</f>
        <v>60</v>
      </c>
      <c r="G114" s="1" t="str">
        <f aca="false">VLOOKUP(C114,dish_base!$B$4:$M$92,12,FALSE())</f>
        <v>40,70</v>
      </c>
      <c r="H114" s="2" t="s">
        <v>207</v>
      </c>
    </row>
    <row r="115" customFormat="false" ht="16.5" hidden="false" customHeight="false" outlineLevel="0" collapsed="false">
      <c r="B115" s="1" t="str">
        <f aca="false">C115&amp;D115</f>
        <v>cupcaket_bitter</v>
      </c>
      <c r="C115" s="2" t="s">
        <v>82</v>
      </c>
      <c r="D115" s="2" t="s">
        <v>209</v>
      </c>
      <c r="E115" s="1" t="n">
        <v>100</v>
      </c>
      <c r="F115" s="1" t="n">
        <f aca="false">VLOOKUP(C115,dish_base!$B$4:$O$92,14,FALSE())</f>
        <v>60</v>
      </c>
      <c r="G115" s="1" t="str">
        <f aca="false">VLOOKUP(C115,dish_base!$B$4:$M$92,12,FALSE())</f>
        <v>40,70</v>
      </c>
      <c r="H115" s="2" t="s">
        <v>207</v>
      </c>
    </row>
    <row r="116" customFormat="false" ht="16.5" hidden="false" customHeight="false" outlineLevel="0" collapsed="false">
      <c r="B116" s="1" t="str">
        <f aca="false">C116&amp;D116</f>
        <v>mousset_bitter</v>
      </c>
      <c r="C116" s="2" t="s">
        <v>86</v>
      </c>
      <c r="D116" s="2" t="s">
        <v>209</v>
      </c>
      <c r="E116" s="1" t="n">
        <v>100</v>
      </c>
      <c r="F116" s="1" t="n">
        <f aca="false">VLOOKUP(C116,dish_base!$B$4:$O$92,14,FALSE())</f>
        <v>60</v>
      </c>
      <c r="G116" s="1" t="str">
        <f aca="false">VLOOKUP(C116,dish_base!$B$4:$M$92,12,FALSE())</f>
        <v>40,70</v>
      </c>
      <c r="H116" s="2" t="s">
        <v>207</v>
      </c>
    </row>
    <row r="117" customFormat="false" ht="16.5" hidden="false" customHeight="false" outlineLevel="0" collapsed="false">
      <c r="B117" s="1" t="str">
        <f aca="false">C117&amp;D117</f>
        <v>toffeet_bitter</v>
      </c>
      <c r="C117" s="2" t="s">
        <v>93</v>
      </c>
      <c r="D117" s="2" t="s">
        <v>209</v>
      </c>
      <c r="E117" s="1" t="n">
        <v>100</v>
      </c>
      <c r="F117" s="1" t="n">
        <f aca="false">VLOOKUP(C117,dish_base!$B$4:$O$92,14,FALSE())</f>
        <v>60</v>
      </c>
      <c r="G117" s="1" t="str">
        <f aca="false">VLOOKUP(C117,dish_base!$B$4:$M$92,12,FALSE())</f>
        <v>40,70</v>
      </c>
      <c r="H117" s="2" t="s">
        <v>207</v>
      </c>
    </row>
    <row r="118" customFormat="false" ht="16.5" hidden="false" customHeight="false" outlineLevel="0" collapsed="false">
      <c r="B118" s="1" t="str">
        <f aca="false">C118&amp;D118</f>
        <v>nougatt_bitter</v>
      </c>
      <c r="C118" s="2" t="s">
        <v>100</v>
      </c>
      <c r="D118" s="2" t="s">
        <v>209</v>
      </c>
      <c r="E118" s="1" t="n">
        <v>100</v>
      </c>
      <c r="F118" s="1" t="n">
        <f aca="false">VLOOKUP(C118,dish_base!$B$4:$O$92,14,FALSE())</f>
        <v>60</v>
      </c>
      <c r="G118" s="1" t="str">
        <f aca="false">VLOOKUP(C118,dish_base!$B$4:$M$92,12,FALSE())</f>
        <v>40,70</v>
      </c>
      <c r="H118" s="2" t="s">
        <v>207</v>
      </c>
    </row>
    <row r="119" customFormat="false" ht="16.5" hidden="false" customHeight="false" outlineLevel="0" collapsed="false">
      <c r="B119" s="1" t="str">
        <f aca="false">C119&amp;D119</f>
        <v>eggrollt_bitter</v>
      </c>
      <c r="C119" s="2" t="s">
        <v>106</v>
      </c>
      <c r="D119" s="2" t="s">
        <v>209</v>
      </c>
      <c r="E119" s="1" t="n">
        <v>100</v>
      </c>
      <c r="F119" s="1" t="n">
        <f aca="false">VLOOKUP(C119,dish_base!$B$4:$O$92,14,FALSE())</f>
        <v>80</v>
      </c>
      <c r="G119" s="1" t="str">
        <f aca="false">VLOOKUP(C119,dish_base!$B$4:$M$92,12,FALSE())</f>
        <v>45,80</v>
      </c>
      <c r="H119" s="2" t="s">
        <v>207</v>
      </c>
    </row>
    <row r="120" customFormat="false" ht="16.5" hidden="false" customHeight="false" outlineLevel="0" collapsed="false">
      <c r="B120" s="1" t="str">
        <f aca="false">C120&amp;D120</f>
        <v>choco_bart_bitter</v>
      </c>
      <c r="C120" s="2" t="s">
        <v>112</v>
      </c>
      <c r="D120" s="2" t="s">
        <v>209</v>
      </c>
      <c r="E120" s="1" t="n">
        <v>100</v>
      </c>
      <c r="F120" s="1" t="n">
        <f aca="false">VLOOKUP(C120,dish_base!$B$4:$O$92,14,FALSE())</f>
        <v>80</v>
      </c>
      <c r="G120" s="1" t="str">
        <f aca="false">VLOOKUP(C120,dish_base!$B$4:$M$92,12,FALSE())</f>
        <v>45,80</v>
      </c>
      <c r="H120" s="2" t="s">
        <v>207</v>
      </c>
    </row>
    <row r="121" customFormat="false" ht="16.5" hidden="false" customHeight="false" outlineLevel="0" collapsed="false">
      <c r="B121" s="1" t="str">
        <f aca="false">C121&amp;D121</f>
        <v>eclairt_bitter</v>
      </c>
      <c r="C121" s="2" t="s">
        <v>115</v>
      </c>
      <c r="D121" s="2" t="s">
        <v>209</v>
      </c>
      <c r="E121" s="1" t="n">
        <v>100</v>
      </c>
      <c r="F121" s="1" t="n">
        <f aca="false">VLOOKUP(C121,dish_base!$B$4:$O$92,14,FALSE())</f>
        <v>80</v>
      </c>
      <c r="G121" s="1" t="str">
        <f aca="false">VLOOKUP(C121,dish_base!$B$4:$M$92,12,FALSE())</f>
        <v>45,80</v>
      </c>
      <c r="H121" s="2" t="s">
        <v>207</v>
      </c>
    </row>
    <row r="122" customFormat="false" ht="16.5" hidden="false" customHeight="false" outlineLevel="0" collapsed="false">
      <c r="B122" s="1" t="str">
        <f aca="false">C122&amp;D122</f>
        <v>tanghulut_bitter</v>
      </c>
      <c r="C122" s="2" t="s">
        <v>118</v>
      </c>
      <c r="D122" s="2" t="s">
        <v>209</v>
      </c>
      <c r="E122" s="1" t="n">
        <v>100</v>
      </c>
      <c r="F122" s="1" t="n">
        <f aca="false">VLOOKUP(C122,dish_base!$B$4:$O$92,14,FALSE())</f>
        <v>80</v>
      </c>
      <c r="G122" s="3" t="str">
        <f aca="false">VLOOKUP(C122,dish_base!$B$4:$M$92,12,FALSE())</f>
        <v>45,80</v>
      </c>
      <c r="H122" s="2" t="s">
        <v>207</v>
      </c>
    </row>
    <row r="123" customFormat="false" ht="16.5" hidden="false" customHeight="false" outlineLevel="0" collapsed="false">
      <c r="B123" s="1" t="str">
        <f aca="false">C123&amp;D123</f>
        <v>soufflet_bitter</v>
      </c>
      <c r="C123" s="2" t="s">
        <v>121</v>
      </c>
      <c r="D123" s="2" t="s">
        <v>209</v>
      </c>
      <c r="E123" s="1" t="n">
        <v>100</v>
      </c>
      <c r="F123" s="1" t="n">
        <f aca="false">VLOOKUP(C123,dish_base!$B$4:$O$92,14,FALSE())</f>
        <v>90</v>
      </c>
      <c r="G123" s="3" t="str">
        <f aca="false">VLOOKUP(C123,dish_base!$B$4:$M$92,12,FALSE())</f>
        <v>55,100</v>
      </c>
      <c r="H123" s="2" t="s">
        <v>207</v>
      </c>
    </row>
    <row r="124" customFormat="false" ht="16.5" hidden="false" customHeight="false" outlineLevel="0" collapsed="false">
      <c r="B124" s="1" t="str">
        <f aca="false">C124&amp;D124</f>
        <v>taosut_bitter</v>
      </c>
      <c r="C124" s="2" t="s">
        <v>124</v>
      </c>
      <c r="D124" s="2" t="s">
        <v>209</v>
      </c>
      <c r="E124" s="1" t="n">
        <v>100</v>
      </c>
      <c r="F124" s="1" t="n">
        <f aca="false">VLOOKUP(C124,dish_base!$B$4:$O$92,14,FALSE())</f>
        <v>90</v>
      </c>
      <c r="G124" s="3" t="str">
        <f aca="false">VLOOKUP(C124,dish_base!$B$4:$M$92,12,FALSE())</f>
        <v>55,100</v>
      </c>
      <c r="H124" s="2" t="s">
        <v>207</v>
      </c>
    </row>
    <row r="125" customFormat="false" ht="16.5" hidden="false" customHeight="false" outlineLevel="0" collapsed="false">
      <c r="B125" s="1" t="str">
        <f aca="false">C125&amp;D125</f>
        <v>mooncaket_bitter</v>
      </c>
      <c r="C125" s="2" t="s">
        <v>127</v>
      </c>
      <c r="D125" s="2" t="s">
        <v>209</v>
      </c>
      <c r="E125" s="1" t="n">
        <v>100</v>
      </c>
      <c r="F125" s="1" t="n">
        <f aca="false">VLOOKUP(C125,dish_base!$B$4:$O$92,14,FALSE())</f>
        <v>90</v>
      </c>
      <c r="G125" s="3" t="str">
        <f aca="false">VLOOKUP(C125,dish_base!$B$4:$M$92,12,FALSE())</f>
        <v>55,100</v>
      </c>
      <c r="H125" s="2" t="s">
        <v>207</v>
      </c>
    </row>
    <row r="126" customFormat="false" ht="16.5" hidden="false" customHeight="false" outlineLevel="0" collapsed="false">
      <c r="B126" s="1" t="str">
        <f aca="false">C126&amp;D126</f>
        <v>wafflet_bitter</v>
      </c>
      <c r="C126" s="2" t="s">
        <v>130</v>
      </c>
      <c r="D126" s="2" t="s">
        <v>209</v>
      </c>
      <c r="E126" s="1" t="n">
        <v>100</v>
      </c>
      <c r="F126" s="1" t="n">
        <f aca="false">VLOOKUP(C126,dish_base!$B$4:$O$92,14,FALSE())</f>
        <v>90</v>
      </c>
      <c r="G126" s="3" t="str">
        <f aca="false">VLOOKUP(C126,dish_base!$B$4:$M$92,12,FALSE())</f>
        <v>55,100</v>
      </c>
      <c r="H126" s="2" t="s">
        <v>207</v>
      </c>
    </row>
    <row r="127" customFormat="false" ht="16.5" hidden="false" customHeight="false" outlineLevel="0" collapsed="false">
      <c r="B127" s="1" t="str">
        <f aca="false">C127&amp;D127</f>
        <v>dorayakit_bitter</v>
      </c>
      <c r="C127" s="2" t="s">
        <v>133</v>
      </c>
      <c r="D127" s="2" t="s">
        <v>209</v>
      </c>
      <c r="E127" s="1" t="n">
        <v>100</v>
      </c>
      <c r="F127" s="1" t="n">
        <f aca="false">VLOOKUP(C127,dish_base!$B$4:$O$92,14,FALSE())</f>
        <v>90</v>
      </c>
      <c r="G127" s="3" t="str">
        <f aca="false">VLOOKUP(C127,dish_base!$B$4:$M$92,12,FALSE())</f>
        <v>55,100</v>
      </c>
      <c r="H127" s="2" t="s">
        <v>207</v>
      </c>
    </row>
    <row r="128" customFormat="false" ht="16.5" hidden="false" customHeight="false" outlineLevel="0" collapsed="false">
      <c r="B128" s="1" t="str">
        <f aca="false">C128&amp;D128</f>
        <v>cream_caket_bitter</v>
      </c>
      <c r="C128" s="2" t="s">
        <v>136</v>
      </c>
      <c r="D128" s="2" t="s">
        <v>209</v>
      </c>
      <c r="E128" s="1" t="n">
        <v>100</v>
      </c>
      <c r="F128" s="1" t="n">
        <f aca="false">VLOOKUP(C128,dish_base!$B$4:$O$92,14,FALSE())</f>
        <v>90</v>
      </c>
      <c r="G128" s="3" t="str">
        <f aca="false">VLOOKUP(C128,dish_base!$B$4:$M$92,12,FALSE())</f>
        <v>55,100</v>
      </c>
      <c r="H128" s="2" t="s">
        <v>207</v>
      </c>
    </row>
    <row r="129" customFormat="false" ht="16.5" hidden="false" customHeight="false" outlineLevel="0" collapsed="false">
      <c r="B129" s="1" t="str">
        <f aca="false">C129&amp;D129</f>
        <v>donutt_bitter</v>
      </c>
      <c r="C129" s="2" t="s">
        <v>139</v>
      </c>
      <c r="D129" s="2" t="s">
        <v>209</v>
      </c>
      <c r="E129" s="1" t="n">
        <v>100</v>
      </c>
      <c r="F129" s="1" t="n">
        <f aca="false">VLOOKUP(C129,dish_base!$B$4:$O$92,14,FALSE())</f>
        <v>90</v>
      </c>
      <c r="G129" s="3" t="str">
        <f aca="false">VLOOKUP(C129,dish_base!$B$4:$M$92,12,FALSE())</f>
        <v>55,100</v>
      </c>
      <c r="H129" s="2" t="s">
        <v>207</v>
      </c>
    </row>
    <row r="130" customFormat="false" ht="16.5" hidden="false" customHeight="false" outlineLevel="0" collapsed="false">
      <c r="B130" s="1" t="str">
        <f aca="false">C130&amp;D130</f>
        <v>pengtangt_bitter</v>
      </c>
      <c r="C130" s="2" t="s">
        <v>142</v>
      </c>
      <c r="D130" s="2" t="s">
        <v>209</v>
      </c>
      <c r="E130" s="1" t="n">
        <v>100</v>
      </c>
      <c r="F130" s="1" t="n">
        <f aca="false">VLOOKUP(C130,dish_base!$B$4:$O$92,14,FALSE())</f>
        <v>90</v>
      </c>
      <c r="G130" s="3" t="str">
        <f aca="false">VLOOKUP(C130,dish_base!$B$4:$M$92,12,FALSE())</f>
        <v>55,100</v>
      </c>
      <c r="H130" s="2" t="s">
        <v>207</v>
      </c>
    </row>
    <row r="131" customFormat="false" ht="16.5" hidden="false" customHeight="false" outlineLevel="0" collapsed="false">
      <c r="B131" s="1" t="str">
        <f aca="false">C131&amp;D131</f>
        <v>parfaitt_bitter</v>
      </c>
      <c r="C131" s="2" t="s">
        <v>145</v>
      </c>
      <c r="D131" s="2" t="s">
        <v>209</v>
      </c>
      <c r="E131" s="1" t="n">
        <v>100</v>
      </c>
      <c r="F131" s="1" t="n">
        <f aca="false">VLOOKUP(C131,dish_base!$B$4:$O$92,14,FALSE())</f>
        <v>120</v>
      </c>
      <c r="G131" s="3" t="str">
        <f aca="false">VLOOKUP(C131,dish_base!$B$4:$M$92,12,FALSE())</f>
        <v>70,120</v>
      </c>
      <c r="H131" s="2" t="s">
        <v>207</v>
      </c>
    </row>
    <row r="132" customFormat="false" ht="16.5" hidden="false" customHeight="false" outlineLevel="0" collapsed="false">
      <c r="B132" s="1" t="str">
        <f aca="false">C132&amp;D132</f>
        <v>sundae_bigt_bitter</v>
      </c>
      <c r="C132" s="2" t="s">
        <v>148</v>
      </c>
      <c r="D132" s="2" t="s">
        <v>209</v>
      </c>
      <c r="E132" s="1" t="n">
        <v>100</v>
      </c>
      <c r="F132" s="1" t="n">
        <f aca="false">VLOOKUP(C132,dish_base!$B$4:$O$92,14,FALSE())</f>
        <v>120</v>
      </c>
      <c r="G132" s="3" t="str">
        <f aca="false">VLOOKUP(C132,dish_base!$B$4:$M$92,12,FALSE())</f>
        <v>70,120</v>
      </c>
      <c r="H132" s="2" t="s">
        <v>207</v>
      </c>
    </row>
    <row r="133" customFormat="false" ht="16.5" hidden="false" customHeight="false" outlineLevel="0" collapsed="false">
      <c r="B133" s="1" t="str">
        <f aca="false">C133&amp;D133</f>
        <v>swiss_rollt_bitter</v>
      </c>
      <c r="C133" s="2" t="s">
        <v>150</v>
      </c>
      <c r="D133" s="2" t="s">
        <v>209</v>
      </c>
      <c r="E133" s="1" t="n">
        <v>100</v>
      </c>
      <c r="F133" s="1" t="n">
        <f aca="false">VLOOKUP(C133,dish_base!$B$4:$O$92,14,FALSE())</f>
        <v>120</v>
      </c>
      <c r="G133" s="3" t="str">
        <f aca="false">VLOOKUP(C133,dish_base!$B$4:$M$92,12,FALSE())</f>
        <v>70,120</v>
      </c>
      <c r="H133" s="2" t="s">
        <v>207</v>
      </c>
    </row>
    <row r="134" customFormat="false" ht="16.5" hidden="false" customHeight="false" outlineLevel="0" collapsed="false">
      <c r="B134" s="1" t="str">
        <f aca="false">C134&amp;D134</f>
        <v>mango_sagot_bitter</v>
      </c>
      <c r="C134" s="2" t="s">
        <v>153</v>
      </c>
      <c r="D134" s="2" t="s">
        <v>209</v>
      </c>
      <c r="E134" s="1" t="n">
        <v>100</v>
      </c>
      <c r="F134" s="1" t="n">
        <f aca="false">VLOOKUP(C134,dish_base!$B$4:$O$92,14,FALSE())</f>
        <v>120</v>
      </c>
      <c r="G134" s="3" t="str">
        <f aca="false">VLOOKUP(C134,dish_base!$B$4:$M$92,12,FALSE())</f>
        <v>70,120</v>
      </c>
      <c r="H134" s="2" t="s">
        <v>207</v>
      </c>
    </row>
    <row r="135" customFormat="false" ht="16.5" hidden="false" customHeight="false" outlineLevel="0" collapsed="false">
      <c r="B135" s="1" t="str">
        <f aca="false">C135&amp;D135</f>
        <v>chiffiont_bitter</v>
      </c>
      <c r="C135" s="2" t="s">
        <v>156</v>
      </c>
      <c r="D135" s="2" t="s">
        <v>209</v>
      </c>
      <c r="E135" s="1" t="n">
        <v>100</v>
      </c>
      <c r="F135" s="1" t="n">
        <f aca="false">VLOOKUP(C135,dish_base!$B$4:$O$92,14,FALSE())</f>
        <v>120</v>
      </c>
      <c r="G135" s="3" t="str">
        <f aca="false">VLOOKUP(C135,dish_base!$B$4:$M$92,12,FALSE())</f>
        <v>70,120</v>
      </c>
      <c r="H135" s="2" t="s">
        <v>207</v>
      </c>
    </row>
    <row r="136" customFormat="false" ht="16.5" hidden="false" customHeight="false" outlineLevel="0" collapsed="false">
      <c r="B136" s="1" t="str">
        <f aca="false">C136&amp;D136</f>
        <v>apple_piet_bitter</v>
      </c>
      <c r="C136" s="2" t="s">
        <v>159</v>
      </c>
      <c r="D136" s="2" t="s">
        <v>209</v>
      </c>
      <c r="E136" s="1" t="n">
        <v>100</v>
      </c>
      <c r="F136" s="1" t="n">
        <f aca="false">VLOOKUP(C136,dish_base!$B$4:$O$92,14,FALSE())</f>
        <v>120</v>
      </c>
      <c r="G136" s="3" t="str">
        <f aca="false">VLOOKUP(C136,dish_base!$B$4:$M$92,12,FALSE())</f>
        <v>70,120</v>
      </c>
      <c r="H136" s="2" t="s">
        <v>207</v>
      </c>
    </row>
    <row r="137" customFormat="false" ht="16.5" hidden="false" customHeight="false" outlineLevel="0" collapsed="false">
      <c r="B137" s="1" t="str">
        <f aca="false">C137&amp;D137</f>
        <v>fruit_caket_bitter</v>
      </c>
      <c r="C137" s="2" t="s">
        <v>162</v>
      </c>
      <c r="D137" s="2" t="s">
        <v>209</v>
      </c>
      <c r="E137" s="1" t="n">
        <v>100</v>
      </c>
      <c r="F137" s="1" t="n">
        <f aca="false">VLOOKUP(C137,dish_base!$B$4:$O$92,14,FALSE())</f>
        <v>120</v>
      </c>
      <c r="G137" s="3" t="str">
        <f aca="false">VLOOKUP(C137,dish_base!$B$4:$M$92,12,FALSE())</f>
        <v>70,120</v>
      </c>
      <c r="H137" s="2" t="s">
        <v>207</v>
      </c>
    </row>
    <row r="138" customFormat="false" ht="16.5" hidden="false" customHeight="false" outlineLevel="0" collapsed="false">
      <c r="B138" s="1" t="str">
        <f aca="false">C138&amp;D138</f>
        <v>chocolatet_bitter</v>
      </c>
      <c r="C138" s="2" t="s">
        <v>165</v>
      </c>
      <c r="D138" s="2" t="s">
        <v>209</v>
      </c>
      <c r="E138" s="1" t="n">
        <v>100</v>
      </c>
      <c r="F138" s="1" t="n">
        <f aca="false">VLOOKUP(C138,dish_base!$B$4:$O$92,14,FALSE())</f>
        <v>120</v>
      </c>
      <c r="G138" s="3" t="str">
        <f aca="false">VLOOKUP(C138,dish_base!$B$4:$M$92,12,FALSE())</f>
        <v>70,120</v>
      </c>
      <c r="H138" s="2" t="s">
        <v>207</v>
      </c>
    </row>
    <row r="139" customFormat="false" ht="16.5" hidden="false" customHeight="false" outlineLevel="0" collapsed="false">
      <c r="B139" s="1" t="str">
        <f aca="false">C139&amp;D139</f>
        <v>croissantt_bitter</v>
      </c>
      <c r="C139" s="2" t="s">
        <v>168</v>
      </c>
      <c r="D139" s="2" t="s">
        <v>209</v>
      </c>
      <c r="E139" s="1" t="n">
        <v>100</v>
      </c>
      <c r="F139" s="1" t="n">
        <f aca="false">VLOOKUP(C139,dish_base!$B$4:$O$92,14,FALSE())</f>
        <v>80</v>
      </c>
      <c r="G139" s="3" t="str">
        <f aca="false">VLOOKUP(C139,dish_base!$B$4:$M$92,12,FALSE())</f>
        <v>45,80</v>
      </c>
      <c r="H139" s="2" t="s">
        <v>207</v>
      </c>
    </row>
    <row r="140" customFormat="false" ht="16.5" hidden="false" customHeight="false" outlineLevel="0" collapsed="false">
      <c r="B140" s="1" t="str">
        <f aca="false">C140&amp;D140</f>
        <v>palmiert_bitter</v>
      </c>
      <c r="C140" s="2" t="s">
        <v>172</v>
      </c>
      <c r="D140" s="2" t="s">
        <v>209</v>
      </c>
      <c r="E140" s="1" t="n">
        <v>100</v>
      </c>
      <c r="F140" s="1" t="n">
        <f aca="false">VLOOKUP(C140,dish_base!$B$4:$O$92,14,FALSE())</f>
        <v>80</v>
      </c>
      <c r="G140" s="3" t="str">
        <f aca="false">VLOOKUP(C140,dish_base!$B$4:$M$92,12,FALSE())</f>
        <v>45,80</v>
      </c>
      <c r="H140" s="2" t="s">
        <v>207</v>
      </c>
    </row>
    <row r="141" customFormat="false" ht="16.5" hidden="false" customHeight="false" outlineLevel="0" collapsed="false">
      <c r="B141" s="1" t="str">
        <f aca="false">C141&amp;D141</f>
        <v>candycanet_bitter</v>
      </c>
      <c r="C141" s="2" t="s">
        <v>176</v>
      </c>
      <c r="D141" s="2" t="s">
        <v>209</v>
      </c>
      <c r="E141" s="1" t="n">
        <v>100</v>
      </c>
      <c r="F141" s="1" t="n">
        <f aca="false">VLOOKUP(C141,dish_base!$B$4:$O$92,14,FALSE())</f>
        <v>90</v>
      </c>
      <c r="G141" s="3" t="str">
        <f aca="false">VLOOKUP(C141,dish_base!$B$4:$M$92,12,FALSE())</f>
        <v>55,100</v>
      </c>
      <c r="H141" s="2" t="s">
        <v>207</v>
      </c>
    </row>
    <row r="142" customFormat="false" ht="16.5" hidden="false" customHeight="false" outlineLevel="0" collapsed="false">
      <c r="B142" s="1" t="str">
        <f aca="false">C142&amp;D142</f>
        <v>big_lollipopt_bitter</v>
      </c>
      <c r="C142" s="2" t="s">
        <v>179</v>
      </c>
      <c r="D142" s="2" t="s">
        <v>209</v>
      </c>
      <c r="E142" s="1" t="n">
        <v>100</v>
      </c>
      <c r="F142" s="1" t="n">
        <f aca="false">VLOOKUP(C142,dish_base!$B$4:$O$92,14,FALSE())</f>
        <v>190</v>
      </c>
      <c r="G142" s="3" t="str">
        <f aca="false">VLOOKUP(C142,dish_base!$B$4:$M$92,12,FALSE())</f>
        <v>80,130</v>
      </c>
      <c r="H142" s="2" t="s">
        <v>207</v>
      </c>
    </row>
    <row r="143" customFormat="false" ht="16.5" hidden="false" customHeight="false" outlineLevel="0" collapsed="false">
      <c r="B143" s="1" t="str">
        <f aca="false">C143&amp;D143</f>
        <v>marshmallowt_bitter</v>
      </c>
      <c r="C143" s="2" t="s">
        <v>183</v>
      </c>
      <c r="D143" s="2" t="s">
        <v>209</v>
      </c>
      <c r="E143" s="1" t="n">
        <v>100</v>
      </c>
      <c r="F143" s="1" t="n">
        <f aca="false">VLOOKUP(C143,dish_base!$B$4:$O$92,14,FALSE())</f>
        <v>160</v>
      </c>
      <c r="G143" s="3" t="str">
        <f aca="false">VLOOKUP(C143,dish_base!$B$4:$M$92,12,FALSE())</f>
        <v>80,130</v>
      </c>
      <c r="H143" s="2" t="s">
        <v>207</v>
      </c>
    </row>
    <row r="144" customFormat="false" ht="16.5" hidden="false" customHeight="false" outlineLevel="0" collapsed="false">
      <c r="B144" s="1" t="str">
        <f aca="false">C144&amp;D144</f>
        <v>double_caket_bitter</v>
      </c>
      <c r="C144" s="2" t="s">
        <v>186</v>
      </c>
      <c r="D144" s="2" t="s">
        <v>209</v>
      </c>
      <c r="E144" s="1" t="n">
        <v>100</v>
      </c>
      <c r="F144" s="1" t="n">
        <f aca="false">VLOOKUP(C144,dish_base!$B$4:$O$92,14,FALSE())</f>
        <v>260</v>
      </c>
      <c r="G144" s="3" t="str">
        <f aca="false">VLOOKUP(C144,dish_base!$B$4:$M$92,12,FALSE())</f>
        <v>80,130</v>
      </c>
      <c r="H144" s="2" t="s">
        <v>207</v>
      </c>
    </row>
    <row r="145" customFormat="false" ht="16.5" hidden="false" customHeight="false" outlineLevel="0" collapsed="false">
      <c r="B145" s="1" t="str">
        <f aca="false">C145&amp;D145</f>
        <v>cookiet_rust</v>
      </c>
      <c r="C145" s="2" t="s">
        <v>23</v>
      </c>
      <c r="D145" s="2" t="s">
        <v>210</v>
      </c>
      <c r="E145" s="1" t="n">
        <v>100</v>
      </c>
      <c r="F145" s="1" t="n">
        <f aca="false">VLOOKUP(C145,dish_base!$B$4:$O$92,14,FALSE())</f>
        <v>50</v>
      </c>
      <c r="G145" s="1" t="str">
        <f aca="false">VLOOKUP(C145,dish_base!$B$4:$M$92,12,FALSE())</f>
        <v>35,60</v>
      </c>
      <c r="H145" s="2" t="s">
        <v>207</v>
      </c>
    </row>
    <row r="146" customFormat="false" ht="16.5" hidden="false" customHeight="false" outlineLevel="0" collapsed="false">
      <c r="B146" s="1" t="str">
        <f aca="false">C146&amp;D146</f>
        <v>macaront_rust</v>
      </c>
      <c r="C146" s="2" t="s">
        <v>28</v>
      </c>
      <c r="D146" s="2" t="s">
        <v>210</v>
      </c>
      <c r="E146" s="1" t="n">
        <v>100</v>
      </c>
      <c r="F146" s="1" t="n">
        <f aca="false">VLOOKUP(C146,dish_base!$B$4:$O$92,14,FALSE())</f>
        <v>50</v>
      </c>
      <c r="G146" s="1" t="str">
        <f aca="false">VLOOKUP(C146,dish_base!$B$4:$M$92,12,FALSE())</f>
        <v>35,60</v>
      </c>
      <c r="H146" s="2" t="s">
        <v>207</v>
      </c>
    </row>
    <row r="147" customFormat="false" ht="16.5" hidden="false" customHeight="false" outlineLevel="0" collapsed="false">
      <c r="B147" s="1" t="str">
        <f aca="false">C147&amp;D147</f>
        <v>puddingt_rust</v>
      </c>
      <c r="C147" s="2" t="s">
        <v>31</v>
      </c>
      <c r="D147" s="2" t="s">
        <v>210</v>
      </c>
      <c r="E147" s="1" t="n">
        <v>100</v>
      </c>
      <c r="F147" s="1" t="n">
        <f aca="false">VLOOKUP(C147,dish_base!$B$4:$O$92,14,FALSE())</f>
        <v>50</v>
      </c>
      <c r="G147" s="1" t="str">
        <f aca="false">VLOOKUP(C147,dish_base!$B$4:$M$92,12,FALSE())</f>
        <v>35,60</v>
      </c>
      <c r="H147" s="2" t="s">
        <v>207</v>
      </c>
    </row>
    <row r="148" customFormat="false" ht="16.5" hidden="false" customHeight="false" outlineLevel="0" collapsed="false">
      <c r="B148" s="1" t="str">
        <f aca="false">C148&amp;D148</f>
        <v>pufft_rust</v>
      </c>
      <c r="C148" s="2" t="s">
        <v>34</v>
      </c>
      <c r="D148" s="2" t="s">
        <v>210</v>
      </c>
      <c r="E148" s="1" t="n">
        <v>100</v>
      </c>
      <c r="F148" s="1" t="n">
        <f aca="false">VLOOKUP(C148,dish_base!$B$4:$O$92,14,FALSE())</f>
        <v>50</v>
      </c>
      <c r="G148" s="1" t="str">
        <f aca="false">VLOOKUP(C148,dish_base!$B$4:$M$92,12,FALSE())</f>
        <v>35,60</v>
      </c>
      <c r="H148" s="2" t="s">
        <v>207</v>
      </c>
    </row>
    <row r="149" customFormat="false" ht="16.5" hidden="false" customHeight="false" outlineLevel="0" collapsed="false">
      <c r="B149" s="1" t="str">
        <f aca="false">C149&amp;D149</f>
        <v>eggtartt_rust</v>
      </c>
      <c r="C149" s="2" t="s">
        <v>37</v>
      </c>
      <c r="D149" s="2" t="s">
        <v>210</v>
      </c>
      <c r="E149" s="1" t="n">
        <v>100</v>
      </c>
      <c r="F149" s="1" t="n">
        <f aca="false">VLOOKUP(C149,dish_base!$B$4:$O$92,14,FALSE())</f>
        <v>50</v>
      </c>
      <c r="G149" s="1" t="str">
        <f aca="false">VLOOKUP(C149,dish_base!$B$4:$M$92,12,FALSE())</f>
        <v>35,60</v>
      </c>
      <c r="H149" s="2" t="s">
        <v>207</v>
      </c>
    </row>
    <row r="150" customFormat="false" ht="16.5" hidden="false" customHeight="false" outlineLevel="0" collapsed="false">
      <c r="B150" s="1" t="str">
        <f aca="false">C150&amp;D150</f>
        <v>mochit_rust</v>
      </c>
      <c r="C150" s="2" t="s">
        <v>40</v>
      </c>
      <c r="D150" s="2" t="s">
        <v>210</v>
      </c>
      <c r="E150" s="1" t="n">
        <v>100</v>
      </c>
      <c r="F150" s="1" t="n">
        <f aca="false">VLOOKUP(C150,dish_base!$B$4:$O$92,14,FALSE())</f>
        <v>50</v>
      </c>
      <c r="G150" s="1" t="str">
        <f aca="false">VLOOKUP(C150,dish_base!$B$4:$M$92,12,FALSE())</f>
        <v>35,60</v>
      </c>
      <c r="H150" s="2" t="s">
        <v>207</v>
      </c>
    </row>
    <row r="151" customFormat="false" ht="16.5" hidden="false" customHeight="false" outlineLevel="0" collapsed="false">
      <c r="B151" s="1" t="str">
        <f aca="false">C151&amp;D151</f>
        <v>daifukut_rust</v>
      </c>
      <c r="C151" s="2" t="s">
        <v>43</v>
      </c>
      <c r="D151" s="2" t="s">
        <v>210</v>
      </c>
      <c r="E151" s="1" t="n">
        <v>100</v>
      </c>
      <c r="F151" s="1" t="n">
        <f aca="false">VLOOKUP(C151,dish_base!$B$4:$O$92,14,FALSE())</f>
        <v>50</v>
      </c>
      <c r="G151" s="1" t="str">
        <f aca="false">VLOOKUP(C151,dish_base!$B$4:$M$92,12,FALSE())</f>
        <v>35,60</v>
      </c>
      <c r="H151" s="2" t="s">
        <v>207</v>
      </c>
    </row>
    <row r="152" customFormat="false" ht="16.5" hidden="false" customHeight="false" outlineLevel="0" collapsed="false">
      <c r="B152" s="1" t="str">
        <f aca="false">C152&amp;D152</f>
        <v>choco_candyt_rust</v>
      </c>
      <c r="C152" s="2" t="s">
        <v>46</v>
      </c>
      <c r="D152" s="2" t="s">
        <v>210</v>
      </c>
      <c r="E152" s="1" t="n">
        <v>100</v>
      </c>
      <c r="F152" s="1" t="n">
        <f aca="false">VLOOKUP(C152,dish_base!$B$4:$O$92,14,FALSE())</f>
        <v>50</v>
      </c>
      <c r="G152" s="1" t="str">
        <f aca="false">VLOOKUP(C152,dish_base!$B$4:$M$92,12,FALSE())</f>
        <v>35,60</v>
      </c>
      <c r="H152" s="2" t="s">
        <v>207</v>
      </c>
    </row>
    <row r="153" customFormat="false" ht="16.5" hidden="false" customHeight="false" outlineLevel="0" collapsed="false">
      <c r="B153" s="1" t="str">
        <f aca="false">C153&amp;D153</f>
        <v>jellyt_rust</v>
      </c>
      <c r="C153" s="2" t="s">
        <v>49</v>
      </c>
      <c r="D153" s="2" t="s">
        <v>210</v>
      </c>
      <c r="E153" s="1" t="n">
        <v>100</v>
      </c>
      <c r="F153" s="1" t="n">
        <f aca="false">VLOOKUP(C153,dish_base!$B$4:$O$92,14,FALSE())</f>
        <v>50</v>
      </c>
      <c r="G153" s="1" t="str">
        <f aca="false">VLOOKUP(C153,dish_base!$B$4:$M$92,12,FALSE())</f>
        <v>35,60</v>
      </c>
      <c r="H153" s="2" t="s">
        <v>207</v>
      </c>
    </row>
    <row r="154" customFormat="false" ht="16.5" hidden="false" customHeight="false" outlineLevel="0" collapsed="false">
      <c r="B154" s="1" t="str">
        <f aca="false">C154&amp;D154</f>
        <v>cream_cellt_rust</v>
      </c>
      <c r="C154" s="2" t="s">
        <v>53</v>
      </c>
      <c r="D154" s="2" t="s">
        <v>210</v>
      </c>
      <c r="E154" s="1" t="n">
        <v>100</v>
      </c>
      <c r="F154" s="1" t="n">
        <f aca="false">VLOOKUP(C154,dish_base!$B$4:$O$92,14,FALSE())</f>
        <v>50</v>
      </c>
      <c r="G154" s="1" t="str">
        <f aca="false">VLOOKUP(C154,dish_base!$B$4:$M$92,12,FALSE())</f>
        <v>35,60</v>
      </c>
      <c r="H154" s="2" t="s">
        <v>207</v>
      </c>
    </row>
    <row r="155" customFormat="false" ht="16.5" hidden="false" customHeight="false" outlineLevel="0" collapsed="false">
      <c r="B155" s="1" t="str">
        <f aca="false">C155&amp;D155</f>
        <v>sugarbeant_rust</v>
      </c>
      <c r="C155" s="2" t="s">
        <v>57</v>
      </c>
      <c r="D155" s="2" t="s">
        <v>210</v>
      </c>
      <c r="E155" s="1" t="n">
        <v>100</v>
      </c>
      <c r="F155" s="1" t="n">
        <f aca="false">VLOOKUP(C155,dish_base!$B$4:$O$92,14,FALSE())</f>
        <v>50</v>
      </c>
      <c r="G155" s="1" t="str">
        <f aca="false">VLOOKUP(C155,dish_base!$B$4:$M$92,12,FALSE())</f>
        <v>35,60</v>
      </c>
      <c r="H155" s="2" t="s">
        <v>207</v>
      </c>
    </row>
    <row r="156" customFormat="false" ht="16.5" hidden="false" customHeight="false" outlineLevel="0" collapsed="false">
      <c r="B156" s="1" t="str">
        <f aca="false">C156&amp;D156</f>
        <v>gold_chocot_rust</v>
      </c>
      <c r="C156" s="2" t="s">
        <v>61</v>
      </c>
      <c r="D156" s="2" t="s">
        <v>210</v>
      </c>
      <c r="E156" s="1" t="n">
        <v>100</v>
      </c>
      <c r="F156" s="1" t="n">
        <f aca="false">VLOOKUP(C156,dish_base!$B$4:$O$92,14,FALSE())</f>
        <v>50</v>
      </c>
      <c r="G156" s="1" t="str">
        <f aca="false">VLOOKUP(C156,dish_base!$B$4:$M$92,12,FALSE())</f>
        <v>35,60</v>
      </c>
      <c r="H156" s="2" t="s">
        <v>207</v>
      </c>
    </row>
    <row r="157" customFormat="false" ht="16.5" hidden="false" customHeight="false" outlineLevel="0" collapsed="false">
      <c r="B157" s="1" t="str">
        <f aca="false">C157&amp;D157</f>
        <v>milk_slicet_rust</v>
      </c>
      <c r="C157" s="2" t="s">
        <v>65</v>
      </c>
      <c r="D157" s="2" t="s">
        <v>210</v>
      </c>
      <c r="E157" s="1" t="n">
        <v>100</v>
      </c>
      <c r="F157" s="1" t="n">
        <f aca="false">VLOOKUP(C157,dish_base!$B$4:$O$92,14,FALSE())</f>
        <v>50</v>
      </c>
      <c r="G157" s="1" t="str">
        <f aca="false">VLOOKUP(C157,dish_base!$B$4:$M$92,12,FALSE())</f>
        <v>35,60</v>
      </c>
      <c r="H157" s="2" t="s">
        <v>207</v>
      </c>
    </row>
    <row r="158" customFormat="false" ht="16.5" hidden="false" customHeight="false" outlineLevel="0" collapsed="false">
      <c r="B158" s="1" t="str">
        <f aca="false">C158&amp;D158</f>
        <v>sundaet_rust</v>
      </c>
      <c r="C158" s="2" t="s">
        <v>69</v>
      </c>
      <c r="D158" s="2" t="s">
        <v>210</v>
      </c>
      <c r="E158" s="1" t="n">
        <v>100</v>
      </c>
      <c r="F158" s="1" t="n">
        <f aca="false">VLOOKUP(C158,dish_base!$B$4:$O$92,14,FALSE())</f>
        <v>60</v>
      </c>
      <c r="G158" s="1" t="str">
        <f aca="false">VLOOKUP(C158,dish_base!$B$4:$M$92,12,FALSE())</f>
        <v>40,70</v>
      </c>
      <c r="H158" s="2" t="s">
        <v>207</v>
      </c>
    </row>
    <row r="159" customFormat="false" ht="16.5" hidden="false" customHeight="false" outlineLevel="0" collapsed="false">
      <c r="B159" s="1" t="str">
        <f aca="false">C159&amp;D159</f>
        <v>conet_rust</v>
      </c>
      <c r="C159" s="2" t="s">
        <v>73</v>
      </c>
      <c r="D159" s="2" t="s">
        <v>210</v>
      </c>
      <c r="E159" s="1" t="n">
        <v>100</v>
      </c>
      <c r="F159" s="1" t="n">
        <f aca="false">VLOOKUP(C159,dish_base!$B$4:$O$92,14,FALSE())</f>
        <v>60</v>
      </c>
      <c r="G159" s="1" t="str">
        <f aca="false">VLOOKUP(C159,dish_base!$B$4:$M$92,12,FALSE())</f>
        <v>40,70</v>
      </c>
      <c r="H159" s="2" t="s">
        <v>207</v>
      </c>
    </row>
    <row r="160" customFormat="false" ht="16.5" hidden="false" customHeight="false" outlineLevel="0" collapsed="false">
      <c r="B160" s="1" t="str">
        <f aca="false">C160&amp;D160</f>
        <v>lollipopt_rust</v>
      </c>
      <c r="C160" s="2" t="s">
        <v>76</v>
      </c>
      <c r="D160" s="2" t="s">
        <v>210</v>
      </c>
      <c r="E160" s="1" t="n">
        <v>100</v>
      </c>
      <c r="F160" s="1" t="n">
        <f aca="false">VLOOKUP(C160,dish_base!$B$4:$O$92,14,FALSE())</f>
        <v>60</v>
      </c>
      <c r="G160" s="1" t="str">
        <f aca="false">VLOOKUP(C160,dish_base!$B$4:$M$92,12,FALSE())</f>
        <v>40,70</v>
      </c>
      <c r="H160" s="2" t="s">
        <v>207</v>
      </c>
    </row>
    <row r="161" customFormat="false" ht="16.5" hidden="false" customHeight="false" outlineLevel="0" collapsed="false">
      <c r="B161" s="1" t="str">
        <f aca="false">C161&amp;D161</f>
        <v>gummyt_rust</v>
      </c>
      <c r="C161" s="2" t="s">
        <v>79</v>
      </c>
      <c r="D161" s="2" t="s">
        <v>210</v>
      </c>
      <c r="E161" s="1" t="n">
        <v>100</v>
      </c>
      <c r="F161" s="1" t="n">
        <f aca="false">VLOOKUP(C161,dish_base!$B$4:$O$92,14,FALSE())</f>
        <v>60</v>
      </c>
      <c r="G161" s="1" t="str">
        <f aca="false">VLOOKUP(C161,dish_base!$B$4:$M$92,12,FALSE())</f>
        <v>40,70</v>
      </c>
      <c r="H161" s="2" t="s">
        <v>207</v>
      </c>
    </row>
    <row r="162" customFormat="false" ht="16.5" hidden="false" customHeight="false" outlineLevel="0" collapsed="false">
      <c r="B162" s="1" t="str">
        <f aca="false">C162&amp;D162</f>
        <v>cupcaket_rust</v>
      </c>
      <c r="C162" s="2" t="s">
        <v>82</v>
      </c>
      <c r="D162" s="2" t="s">
        <v>210</v>
      </c>
      <c r="E162" s="1" t="n">
        <v>100</v>
      </c>
      <c r="F162" s="1" t="n">
        <f aca="false">VLOOKUP(C162,dish_base!$B$4:$O$92,14,FALSE())</f>
        <v>60</v>
      </c>
      <c r="G162" s="1" t="str">
        <f aca="false">VLOOKUP(C162,dish_base!$B$4:$M$92,12,FALSE())</f>
        <v>40,70</v>
      </c>
      <c r="H162" s="2" t="s">
        <v>207</v>
      </c>
    </row>
    <row r="163" customFormat="false" ht="16.5" hidden="false" customHeight="false" outlineLevel="0" collapsed="false">
      <c r="B163" s="1" t="str">
        <f aca="false">C163&amp;D163</f>
        <v>mousset_rust</v>
      </c>
      <c r="C163" s="2" t="s">
        <v>86</v>
      </c>
      <c r="D163" s="2" t="s">
        <v>210</v>
      </c>
      <c r="E163" s="1" t="n">
        <v>100</v>
      </c>
      <c r="F163" s="1" t="n">
        <f aca="false">VLOOKUP(C163,dish_base!$B$4:$O$92,14,FALSE())</f>
        <v>60</v>
      </c>
      <c r="G163" s="1" t="str">
        <f aca="false">VLOOKUP(C163,dish_base!$B$4:$M$92,12,FALSE())</f>
        <v>40,70</v>
      </c>
      <c r="H163" s="2" t="s">
        <v>207</v>
      </c>
    </row>
    <row r="164" customFormat="false" ht="16.5" hidden="false" customHeight="false" outlineLevel="0" collapsed="false">
      <c r="B164" s="1" t="str">
        <f aca="false">C164&amp;D164</f>
        <v>toffeet_rust</v>
      </c>
      <c r="C164" s="2" t="s">
        <v>93</v>
      </c>
      <c r="D164" s="2" t="s">
        <v>210</v>
      </c>
      <c r="E164" s="1" t="n">
        <v>100</v>
      </c>
      <c r="F164" s="1" t="n">
        <f aca="false">VLOOKUP(C164,dish_base!$B$4:$O$92,14,FALSE())</f>
        <v>60</v>
      </c>
      <c r="G164" s="1" t="str">
        <f aca="false">VLOOKUP(C164,dish_base!$B$4:$M$92,12,FALSE())</f>
        <v>40,70</v>
      </c>
      <c r="H164" s="2" t="s">
        <v>207</v>
      </c>
    </row>
    <row r="165" customFormat="false" ht="16.5" hidden="false" customHeight="false" outlineLevel="0" collapsed="false">
      <c r="B165" s="1" t="str">
        <f aca="false">C165&amp;D165</f>
        <v>nougatt_rust</v>
      </c>
      <c r="C165" s="2" t="s">
        <v>100</v>
      </c>
      <c r="D165" s="2" t="s">
        <v>210</v>
      </c>
      <c r="E165" s="1" t="n">
        <v>100</v>
      </c>
      <c r="F165" s="1" t="n">
        <f aca="false">VLOOKUP(C165,dish_base!$B$4:$O$92,14,FALSE())</f>
        <v>60</v>
      </c>
      <c r="G165" s="1" t="str">
        <f aca="false">VLOOKUP(C165,dish_base!$B$4:$M$92,12,FALSE())</f>
        <v>40,70</v>
      </c>
      <c r="H165" s="2" t="s">
        <v>207</v>
      </c>
    </row>
    <row r="166" customFormat="false" ht="16.5" hidden="false" customHeight="false" outlineLevel="0" collapsed="false">
      <c r="B166" s="1" t="str">
        <f aca="false">C166&amp;D166</f>
        <v>eggrollt_rust</v>
      </c>
      <c r="C166" s="2" t="s">
        <v>106</v>
      </c>
      <c r="D166" s="2" t="s">
        <v>210</v>
      </c>
      <c r="E166" s="1" t="n">
        <v>100</v>
      </c>
      <c r="F166" s="1" t="n">
        <f aca="false">VLOOKUP(C166,dish_base!$B$4:$O$92,14,FALSE())</f>
        <v>80</v>
      </c>
      <c r="G166" s="1" t="str">
        <f aca="false">VLOOKUP(C166,dish_base!$B$4:$M$92,12,FALSE())</f>
        <v>45,80</v>
      </c>
      <c r="H166" s="2" t="s">
        <v>207</v>
      </c>
    </row>
    <row r="167" customFormat="false" ht="16.5" hidden="false" customHeight="false" outlineLevel="0" collapsed="false">
      <c r="B167" s="1" t="str">
        <f aca="false">C167&amp;D167</f>
        <v>choco_bart_rust</v>
      </c>
      <c r="C167" s="2" t="s">
        <v>112</v>
      </c>
      <c r="D167" s="2" t="s">
        <v>210</v>
      </c>
      <c r="E167" s="1" t="n">
        <v>100</v>
      </c>
      <c r="F167" s="1" t="n">
        <f aca="false">VLOOKUP(C167,dish_base!$B$4:$O$92,14,FALSE())</f>
        <v>80</v>
      </c>
      <c r="G167" s="1" t="str">
        <f aca="false">VLOOKUP(C167,dish_base!$B$4:$M$92,12,FALSE())</f>
        <v>45,80</v>
      </c>
      <c r="H167" s="2" t="s">
        <v>207</v>
      </c>
    </row>
    <row r="168" customFormat="false" ht="16.5" hidden="false" customHeight="false" outlineLevel="0" collapsed="false">
      <c r="B168" s="1" t="str">
        <f aca="false">C168&amp;D168</f>
        <v>eclairt_rust</v>
      </c>
      <c r="C168" s="2" t="s">
        <v>115</v>
      </c>
      <c r="D168" s="2" t="s">
        <v>210</v>
      </c>
      <c r="E168" s="1" t="n">
        <v>100</v>
      </c>
      <c r="F168" s="1" t="n">
        <f aca="false">VLOOKUP(C168,dish_base!$B$4:$O$92,14,FALSE())</f>
        <v>80</v>
      </c>
      <c r="G168" s="1" t="str">
        <f aca="false">VLOOKUP(C168,dish_base!$B$4:$M$92,12,FALSE())</f>
        <v>45,80</v>
      </c>
      <c r="H168" s="2" t="s">
        <v>207</v>
      </c>
    </row>
    <row r="169" customFormat="false" ht="16.5" hidden="false" customHeight="false" outlineLevel="0" collapsed="false">
      <c r="B169" s="1" t="str">
        <f aca="false">C169&amp;D169</f>
        <v>tanghulut_rust</v>
      </c>
      <c r="C169" s="2" t="s">
        <v>118</v>
      </c>
      <c r="D169" s="2" t="s">
        <v>210</v>
      </c>
      <c r="E169" s="1" t="n">
        <v>100</v>
      </c>
      <c r="F169" s="1" t="n">
        <f aca="false">VLOOKUP(C169,dish_base!$B$4:$O$92,14,FALSE())</f>
        <v>80</v>
      </c>
      <c r="G169" s="3" t="str">
        <f aca="false">VLOOKUP(C169,dish_base!$B$4:$M$92,12,FALSE())</f>
        <v>45,80</v>
      </c>
      <c r="H169" s="2" t="s">
        <v>207</v>
      </c>
    </row>
    <row r="170" customFormat="false" ht="16.5" hidden="false" customHeight="false" outlineLevel="0" collapsed="false">
      <c r="B170" s="1" t="str">
        <f aca="false">C170&amp;D170</f>
        <v>soufflet_rust</v>
      </c>
      <c r="C170" s="2" t="s">
        <v>121</v>
      </c>
      <c r="D170" s="2" t="s">
        <v>210</v>
      </c>
      <c r="E170" s="1" t="n">
        <v>100</v>
      </c>
      <c r="F170" s="1" t="n">
        <f aca="false">VLOOKUP(C170,dish_base!$B$4:$O$92,14,FALSE())</f>
        <v>90</v>
      </c>
      <c r="G170" s="3" t="str">
        <f aca="false">VLOOKUP(C170,dish_base!$B$4:$M$92,12,FALSE())</f>
        <v>55,100</v>
      </c>
      <c r="H170" s="2" t="s">
        <v>207</v>
      </c>
    </row>
    <row r="171" customFormat="false" ht="16.5" hidden="false" customHeight="false" outlineLevel="0" collapsed="false">
      <c r="B171" s="1" t="str">
        <f aca="false">C171&amp;D171</f>
        <v>taosut_rust</v>
      </c>
      <c r="C171" s="2" t="s">
        <v>124</v>
      </c>
      <c r="D171" s="2" t="s">
        <v>210</v>
      </c>
      <c r="E171" s="1" t="n">
        <v>100</v>
      </c>
      <c r="F171" s="1" t="n">
        <f aca="false">VLOOKUP(C171,dish_base!$B$4:$O$92,14,FALSE())</f>
        <v>90</v>
      </c>
      <c r="G171" s="3" t="str">
        <f aca="false">VLOOKUP(C171,dish_base!$B$4:$M$92,12,FALSE())</f>
        <v>55,100</v>
      </c>
      <c r="H171" s="2" t="s">
        <v>207</v>
      </c>
    </row>
    <row r="172" customFormat="false" ht="16.5" hidden="false" customHeight="false" outlineLevel="0" collapsed="false">
      <c r="B172" s="1" t="str">
        <f aca="false">C172&amp;D172</f>
        <v>mooncaket_rust</v>
      </c>
      <c r="C172" s="2" t="s">
        <v>127</v>
      </c>
      <c r="D172" s="2" t="s">
        <v>210</v>
      </c>
      <c r="E172" s="1" t="n">
        <v>100</v>
      </c>
      <c r="F172" s="1" t="n">
        <f aca="false">VLOOKUP(C172,dish_base!$B$4:$O$92,14,FALSE())</f>
        <v>90</v>
      </c>
      <c r="G172" s="3" t="str">
        <f aca="false">VLOOKUP(C172,dish_base!$B$4:$M$92,12,FALSE())</f>
        <v>55,100</v>
      </c>
      <c r="H172" s="2" t="s">
        <v>207</v>
      </c>
    </row>
    <row r="173" customFormat="false" ht="16.5" hidden="false" customHeight="false" outlineLevel="0" collapsed="false">
      <c r="B173" s="1" t="str">
        <f aca="false">C173&amp;D173</f>
        <v>wafflet_rust</v>
      </c>
      <c r="C173" s="2" t="s">
        <v>130</v>
      </c>
      <c r="D173" s="2" t="s">
        <v>210</v>
      </c>
      <c r="E173" s="1" t="n">
        <v>100</v>
      </c>
      <c r="F173" s="1" t="n">
        <f aca="false">VLOOKUP(C173,dish_base!$B$4:$O$92,14,FALSE())</f>
        <v>90</v>
      </c>
      <c r="G173" s="3" t="str">
        <f aca="false">VLOOKUP(C173,dish_base!$B$4:$M$92,12,FALSE())</f>
        <v>55,100</v>
      </c>
      <c r="H173" s="2" t="s">
        <v>207</v>
      </c>
    </row>
    <row r="174" customFormat="false" ht="16.5" hidden="false" customHeight="false" outlineLevel="0" collapsed="false">
      <c r="B174" s="1" t="str">
        <f aca="false">C174&amp;D174</f>
        <v>dorayakit_rust</v>
      </c>
      <c r="C174" s="2" t="s">
        <v>133</v>
      </c>
      <c r="D174" s="2" t="s">
        <v>210</v>
      </c>
      <c r="E174" s="1" t="n">
        <v>100</v>
      </c>
      <c r="F174" s="1" t="n">
        <f aca="false">VLOOKUP(C174,dish_base!$B$4:$O$92,14,FALSE())</f>
        <v>90</v>
      </c>
      <c r="G174" s="3" t="str">
        <f aca="false">VLOOKUP(C174,dish_base!$B$4:$M$92,12,FALSE())</f>
        <v>55,100</v>
      </c>
      <c r="H174" s="2" t="s">
        <v>207</v>
      </c>
    </row>
    <row r="175" customFormat="false" ht="16.5" hidden="false" customHeight="false" outlineLevel="0" collapsed="false">
      <c r="B175" s="1" t="str">
        <f aca="false">C175&amp;D175</f>
        <v>cream_caket_rust</v>
      </c>
      <c r="C175" s="2" t="s">
        <v>136</v>
      </c>
      <c r="D175" s="2" t="s">
        <v>210</v>
      </c>
      <c r="E175" s="1" t="n">
        <v>100</v>
      </c>
      <c r="F175" s="1" t="n">
        <f aca="false">VLOOKUP(C175,dish_base!$B$4:$O$92,14,FALSE())</f>
        <v>90</v>
      </c>
      <c r="G175" s="3" t="str">
        <f aca="false">VLOOKUP(C175,dish_base!$B$4:$M$92,12,FALSE())</f>
        <v>55,100</v>
      </c>
      <c r="H175" s="2" t="s">
        <v>207</v>
      </c>
    </row>
    <row r="176" customFormat="false" ht="16.5" hidden="false" customHeight="false" outlineLevel="0" collapsed="false">
      <c r="B176" s="1" t="str">
        <f aca="false">C176&amp;D176</f>
        <v>donutt_rust</v>
      </c>
      <c r="C176" s="2" t="s">
        <v>139</v>
      </c>
      <c r="D176" s="2" t="s">
        <v>210</v>
      </c>
      <c r="E176" s="1" t="n">
        <v>100</v>
      </c>
      <c r="F176" s="1" t="n">
        <f aca="false">VLOOKUP(C176,dish_base!$B$4:$O$92,14,FALSE())</f>
        <v>90</v>
      </c>
      <c r="G176" s="3" t="str">
        <f aca="false">VLOOKUP(C176,dish_base!$B$4:$M$92,12,FALSE())</f>
        <v>55,100</v>
      </c>
      <c r="H176" s="2" t="s">
        <v>207</v>
      </c>
    </row>
    <row r="177" customFormat="false" ht="16.5" hidden="false" customHeight="false" outlineLevel="0" collapsed="false">
      <c r="B177" s="1" t="str">
        <f aca="false">C177&amp;D177</f>
        <v>pengtangt_rust</v>
      </c>
      <c r="C177" s="2" t="s">
        <v>142</v>
      </c>
      <c r="D177" s="2" t="s">
        <v>210</v>
      </c>
      <c r="E177" s="1" t="n">
        <v>100</v>
      </c>
      <c r="F177" s="1" t="n">
        <f aca="false">VLOOKUP(C177,dish_base!$B$4:$O$92,14,FALSE())</f>
        <v>90</v>
      </c>
      <c r="G177" s="3" t="str">
        <f aca="false">VLOOKUP(C177,dish_base!$B$4:$M$92,12,FALSE())</f>
        <v>55,100</v>
      </c>
      <c r="H177" s="2" t="s">
        <v>207</v>
      </c>
    </row>
    <row r="178" customFormat="false" ht="16.5" hidden="false" customHeight="false" outlineLevel="0" collapsed="false">
      <c r="B178" s="1" t="str">
        <f aca="false">C178&amp;D178</f>
        <v>parfaitt_rust</v>
      </c>
      <c r="C178" s="2" t="s">
        <v>145</v>
      </c>
      <c r="D178" s="2" t="s">
        <v>210</v>
      </c>
      <c r="E178" s="1" t="n">
        <v>100</v>
      </c>
      <c r="F178" s="1" t="n">
        <f aca="false">VLOOKUP(C178,dish_base!$B$4:$O$92,14,FALSE())</f>
        <v>120</v>
      </c>
      <c r="G178" s="3" t="str">
        <f aca="false">VLOOKUP(C178,dish_base!$B$4:$M$92,12,FALSE())</f>
        <v>70,120</v>
      </c>
      <c r="H178" s="2" t="s">
        <v>207</v>
      </c>
    </row>
    <row r="179" customFormat="false" ht="16.5" hidden="false" customHeight="false" outlineLevel="0" collapsed="false">
      <c r="B179" s="1" t="str">
        <f aca="false">C179&amp;D179</f>
        <v>sundae_bigt_rust</v>
      </c>
      <c r="C179" s="2" t="s">
        <v>148</v>
      </c>
      <c r="D179" s="2" t="s">
        <v>210</v>
      </c>
      <c r="E179" s="1" t="n">
        <v>100</v>
      </c>
      <c r="F179" s="1" t="n">
        <f aca="false">VLOOKUP(C179,dish_base!$B$4:$O$92,14,FALSE())</f>
        <v>120</v>
      </c>
      <c r="G179" s="3" t="str">
        <f aca="false">VLOOKUP(C179,dish_base!$B$4:$M$92,12,FALSE())</f>
        <v>70,120</v>
      </c>
      <c r="H179" s="2" t="s">
        <v>207</v>
      </c>
    </row>
    <row r="180" customFormat="false" ht="16.5" hidden="false" customHeight="false" outlineLevel="0" collapsed="false">
      <c r="B180" s="1" t="str">
        <f aca="false">C180&amp;D180</f>
        <v>swiss_rollt_rust</v>
      </c>
      <c r="C180" s="2" t="s">
        <v>150</v>
      </c>
      <c r="D180" s="2" t="s">
        <v>210</v>
      </c>
      <c r="E180" s="1" t="n">
        <v>100</v>
      </c>
      <c r="F180" s="1" t="n">
        <f aca="false">VLOOKUP(C180,dish_base!$B$4:$O$92,14,FALSE())</f>
        <v>120</v>
      </c>
      <c r="G180" s="3" t="str">
        <f aca="false">VLOOKUP(C180,dish_base!$B$4:$M$92,12,FALSE())</f>
        <v>70,120</v>
      </c>
      <c r="H180" s="2" t="s">
        <v>207</v>
      </c>
    </row>
    <row r="181" customFormat="false" ht="16.5" hidden="false" customHeight="false" outlineLevel="0" collapsed="false">
      <c r="B181" s="1" t="str">
        <f aca="false">C181&amp;D181</f>
        <v>mango_sagot_rust</v>
      </c>
      <c r="C181" s="2" t="s">
        <v>153</v>
      </c>
      <c r="D181" s="2" t="s">
        <v>210</v>
      </c>
      <c r="E181" s="1" t="n">
        <v>100</v>
      </c>
      <c r="F181" s="1" t="n">
        <f aca="false">VLOOKUP(C181,dish_base!$B$4:$O$92,14,FALSE())</f>
        <v>120</v>
      </c>
      <c r="G181" s="3" t="str">
        <f aca="false">VLOOKUP(C181,dish_base!$B$4:$M$92,12,FALSE())</f>
        <v>70,120</v>
      </c>
      <c r="H181" s="2" t="s">
        <v>207</v>
      </c>
    </row>
    <row r="182" customFormat="false" ht="16.5" hidden="false" customHeight="false" outlineLevel="0" collapsed="false">
      <c r="B182" s="1" t="str">
        <f aca="false">C182&amp;D182</f>
        <v>chiffiont_rust</v>
      </c>
      <c r="C182" s="2" t="s">
        <v>156</v>
      </c>
      <c r="D182" s="2" t="s">
        <v>210</v>
      </c>
      <c r="E182" s="1" t="n">
        <v>100</v>
      </c>
      <c r="F182" s="1" t="n">
        <f aca="false">VLOOKUP(C182,dish_base!$B$4:$O$92,14,FALSE())</f>
        <v>120</v>
      </c>
      <c r="G182" s="3" t="str">
        <f aca="false">VLOOKUP(C182,dish_base!$B$4:$M$92,12,FALSE())</f>
        <v>70,120</v>
      </c>
      <c r="H182" s="2" t="s">
        <v>207</v>
      </c>
    </row>
    <row r="183" customFormat="false" ht="16.5" hidden="false" customHeight="false" outlineLevel="0" collapsed="false">
      <c r="B183" s="1" t="str">
        <f aca="false">C183&amp;D183</f>
        <v>apple_piet_rust</v>
      </c>
      <c r="C183" s="2" t="s">
        <v>159</v>
      </c>
      <c r="D183" s="2" t="s">
        <v>210</v>
      </c>
      <c r="E183" s="1" t="n">
        <v>100</v>
      </c>
      <c r="F183" s="1" t="n">
        <f aca="false">VLOOKUP(C183,dish_base!$B$4:$O$92,14,FALSE())</f>
        <v>120</v>
      </c>
      <c r="G183" s="3" t="str">
        <f aca="false">VLOOKUP(C183,dish_base!$B$4:$M$92,12,FALSE())</f>
        <v>70,120</v>
      </c>
      <c r="H183" s="2" t="s">
        <v>207</v>
      </c>
    </row>
    <row r="184" customFormat="false" ht="16.5" hidden="false" customHeight="false" outlineLevel="0" collapsed="false">
      <c r="B184" s="1" t="str">
        <f aca="false">C184&amp;D184</f>
        <v>fruit_caket_rust</v>
      </c>
      <c r="C184" s="2" t="s">
        <v>162</v>
      </c>
      <c r="D184" s="2" t="s">
        <v>210</v>
      </c>
      <c r="E184" s="1" t="n">
        <v>100</v>
      </c>
      <c r="F184" s="1" t="n">
        <f aca="false">VLOOKUP(C184,dish_base!$B$4:$O$92,14,FALSE())</f>
        <v>120</v>
      </c>
      <c r="G184" s="3" t="str">
        <f aca="false">VLOOKUP(C184,dish_base!$B$4:$M$92,12,FALSE())</f>
        <v>70,120</v>
      </c>
      <c r="H184" s="2" t="s">
        <v>207</v>
      </c>
    </row>
    <row r="185" customFormat="false" ht="16.5" hidden="false" customHeight="false" outlineLevel="0" collapsed="false">
      <c r="B185" s="1" t="str">
        <f aca="false">C185&amp;D185</f>
        <v>chocolatet_rust</v>
      </c>
      <c r="C185" s="2" t="s">
        <v>165</v>
      </c>
      <c r="D185" s="2" t="s">
        <v>210</v>
      </c>
      <c r="E185" s="1" t="n">
        <v>100</v>
      </c>
      <c r="F185" s="1" t="n">
        <f aca="false">VLOOKUP(C185,dish_base!$B$4:$O$92,14,FALSE())</f>
        <v>120</v>
      </c>
      <c r="G185" s="3" t="str">
        <f aca="false">VLOOKUP(C185,dish_base!$B$4:$M$92,12,FALSE())</f>
        <v>70,120</v>
      </c>
      <c r="H185" s="2" t="s">
        <v>207</v>
      </c>
    </row>
    <row r="186" customFormat="false" ht="16.5" hidden="false" customHeight="false" outlineLevel="0" collapsed="false">
      <c r="B186" s="1" t="str">
        <f aca="false">C186&amp;D186</f>
        <v>croissantt_rust</v>
      </c>
      <c r="C186" s="2" t="s">
        <v>168</v>
      </c>
      <c r="D186" s="2" t="s">
        <v>210</v>
      </c>
      <c r="E186" s="1" t="n">
        <v>100</v>
      </c>
      <c r="F186" s="1" t="n">
        <f aca="false">VLOOKUP(C186,dish_base!$B$4:$O$92,14,FALSE())</f>
        <v>80</v>
      </c>
      <c r="G186" s="3" t="str">
        <f aca="false">VLOOKUP(C186,dish_base!$B$4:$M$92,12,FALSE())</f>
        <v>45,80</v>
      </c>
      <c r="H186" s="2" t="s">
        <v>207</v>
      </c>
    </row>
    <row r="187" customFormat="false" ht="16.5" hidden="false" customHeight="false" outlineLevel="0" collapsed="false">
      <c r="B187" s="1" t="str">
        <f aca="false">C187&amp;D187</f>
        <v>palmiert_rust</v>
      </c>
      <c r="C187" s="2" t="s">
        <v>172</v>
      </c>
      <c r="D187" s="2" t="s">
        <v>210</v>
      </c>
      <c r="E187" s="1" t="n">
        <v>100</v>
      </c>
      <c r="F187" s="1" t="n">
        <f aca="false">VLOOKUP(C187,dish_base!$B$4:$O$92,14,FALSE())</f>
        <v>80</v>
      </c>
      <c r="G187" s="3" t="str">
        <f aca="false">VLOOKUP(C187,dish_base!$B$4:$M$92,12,FALSE())</f>
        <v>45,80</v>
      </c>
      <c r="H187" s="2" t="s">
        <v>207</v>
      </c>
    </row>
    <row r="188" customFormat="false" ht="16.5" hidden="false" customHeight="false" outlineLevel="0" collapsed="false">
      <c r="B188" s="1" t="str">
        <f aca="false">C188&amp;D188</f>
        <v>candycanet_rust</v>
      </c>
      <c r="C188" s="2" t="s">
        <v>176</v>
      </c>
      <c r="D188" s="2" t="s">
        <v>210</v>
      </c>
      <c r="E188" s="1" t="n">
        <v>100</v>
      </c>
      <c r="F188" s="1" t="n">
        <f aca="false">VLOOKUP(C188,dish_base!$B$4:$O$92,14,FALSE())</f>
        <v>90</v>
      </c>
      <c r="G188" s="3" t="str">
        <f aca="false">VLOOKUP(C188,dish_base!$B$4:$M$92,12,FALSE())</f>
        <v>55,100</v>
      </c>
      <c r="H188" s="2" t="s">
        <v>207</v>
      </c>
    </row>
    <row r="189" customFormat="false" ht="16.5" hidden="false" customHeight="false" outlineLevel="0" collapsed="false">
      <c r="B189" s="1" t="str">
        <f aca="false">C189&amp;D189</f>
        <v>big_lollipopt_rust</v>
      </c>
      <c r="C189" s="2" t="s">
        <v>179</v>
      </c>
      <c r="D189" s="2" t="s">
        <v>210</v>
      </c>
      <c r="E189" s="1" t="n">
        <v>100</v>
      </c>
      <c r="F189" s="1" t="n">
        <f aca="false">VLOOKUP(C189,dish_base!$B$4:$O$92,14,FALSE())</f>
        <v>190</v>
      </c>
      <c r="G189" s="3" t="str">
        <f aca="false">VLOOKUP(C189,dish_base!$B$4:$M$92,12,FALSE())</f>
        <v>80,130</v>
      </c>
      <c r="H189" s="2" t="s">
        <v>207</v>
      </c>
    </row>
    <row r="190" customFormat="false" ht="16.5" hidden="false" customHeight="false" outlineLevel="0" collapsed="false">
      <c r="B190" s="1" t="str">
        <f aca="false">C190&amp;D190</f>
        <v>marshmallowt_rust</v>
      </c>
      <c r="C190" s="2" t="s">
        <v>183</v>
      </c>
      <c r="D190" s="2" t="s">
        <v>210</v>
      </c>
      <c r="E190" s="1" t="n">
        <v>100</v>
      </c>
      <c r="F190" s="1" t="n">
        <f aca="false">VLOOKUP(C190,dish_base!$B$4:$O$92,14,FALSE())</f>
        <v>160</v>
      </c>
      <c r="G190" s="3" t="str">
        <f aca="false">VLOOKUP(C190,dish_base!$B$4:$M$92,12,FALSE())</f>
        <v>80,130</v>
      </c>
      <c r="H190" s="2" t="s">
        <v>207</v>
      </c>
    </row>
    <row r="191" customFormat="false" ht="16.5" hidden="false" customHeight="false" outlineLevel="0" collapsed="false">
      <c r="B191" s="1" t="str">
        <f aca="false">C191&amp;D191</f>
        <v>double_caket_rust</v>
      </c>
      <c r="C191" s="2" t="s">
        <v>186</v>
      </c>
      <c r="D191" s="2" t="s">
        <v>210</v>
      </c>
      <c r="E191" s="1" t="n">
        <v>100</v>
      </c>
      <c r="F191" s="1" t="n">
        <f aca="false">VLOOKUP(C191,dish_base!$B$4:$O$92,14,FALSE())</f>
        <v>260</v>
      </c>
      <c r="G191" s="3" t="str">
        <f aca="false">VLOOKUP(C191,dish_base!$B$4:$M$92,12,FALSE())</f>
        <v>80,130</v>
      </c>
      <c r="H191" s="2" t="s">
        <v>207</v>
      </c>
    </row>
    <row r="192" customFormat="false" ht="16.5" hidden="false" customHeight="false" outlineLevel="0" collapsed="false">
      <c r="B192" s="1" t="str">
        <f aca="false">C192&amp;D192</f>
        <v>cookiet_numb</v>
      </c>
      <c r="C192" s="2" t="s">
        <v>23</v>
      </c>
      <c r="D192" s="2" t="s">
        <v>211</v>
      </c>
      <c r="E192" s="1" t="n">
        <v>100</v>
      </c>
      <c r="F192" s="1" t="n">
        <f aca="false">VLOOKUP(C192,dish_base!$B$4:$O$92,14,FALSE())</f>
        <v>50</v>
      </c>
      <c r="G192" s="1" t="str">
        <f aca="false">VLOOKUP(C192,dish_base!$B$4:$M$92,12,FALSE())</f>
        <v>35,60</v>
      </c>
      <c r="H192" s="2" t="s">
        <v>207</v>
      </c>
    </row>
    <row r="193" customFormat="false" ht="16.5" hidden="false" customHeight="false" outlineLevel="0" collapsed="false">
      <c r="B193" s="1" t="str">
        <f aca="false">C193&amp;D193</f>
        <v>macaront_numb</v>
      </c>
      <c r="C193" s="2" t="s">
        <v>28</v>
      </c>
      <c r="D193" s="2" t="s">
        <v>211</v>
      </c>
      <c r="E193" s="1" t="n">
        <v>100</v>
      </c>
      <c r="F193" s="1" t="n">
        <f aca="false">VLOOKUP(C193,dish_base!$B$4:$O$92,14,FALSE())</f>
        <v>50</v>
      </c>
      <c r="G193" s="1" t="str">
        <f aca="false">VLOOKUP(C193,dish_base!$B$4:$M$92,12,FALSE())</f>
        <v>35,60</v>
      </c>
      <c r="H193" s="2" t="s">
        <v>207</v>
      </c>
    </row>
    <row r="194" customFormat="false" ht="16.5" hidden="false" customHeight="false" outlineLevel="0" collapsed="false">
      <c r="B194" s="1" t="str">
        <f aca="false">C194&amp;D194</f>
        <v>puddingt_numb</v>
      </c>
      <c r="C194" s="2" t="s">
        <v>31</v>
      </c>
      <c r="D194" s="2" t="s">
        <v>211</v>
      </c>
      <c r="E194" s="1" t="n">
        <v>100</v>
      </c>
      <c r="F194" s="1" t="n">
        <f aca="false">VLOOKUP(C194,dish_base!$B$4:$O$92,14,FALSE())</f>
        <v>50</v>
      </c>
      <c r="G194" s="1" t="str">
        <f aca="false">VLOOKUP(C194,dish_base!$B$4:$M$92,12,FALSE())</f>
        <v>35,60</v>
      </c>
      <c r="H194" s="2" t="s">
        <v>207</v>
      </c>
    </row>
    <row r="195" customFormat="false" ht="16.5" hidden="false" customHeight="false" outlineLevel="0" collapsed="false">
      <c r="B195" s="1" t="str">
        <f aca="false">C195&amp;D195</f>
        <v>pufft_numb</v>
      </c>
      <c r="C195" s="2" t="s">
        <v>34</v>
      </c>
      <c r="D195" s="2" t="s">
        <v>211</v>
      </c>
      <c r="E195" s="1" t="n">
        <v>100</v>
      </c>
      <c r="F195" s="1" t="n">
        <f aca="false">VLOOKUP(C195,dish_base!$B$4:$O$92,14,FALSE())</f>
        <v>50</v>
      </c>
      <c r="G195" s="1" t="str">
        <f aca="false">VLOOKUP(C195,dish_base!$B$4:$M$92,12,FALSE())</f>
        <v>35,60</v>
      </c>
      <c r="H195" s="2" t="s">
        <v>207</v>
      </c>
    </row>
    <row r="196" customFormat="false" ht="16.5" hidden="false" customHeight="false" outlineLevel="0" collapsed="false">
      <c r="B196" s="1" t="str">
        <f aca="false">C196&amp;D196</f>
        <v>eggtartt_numb</v>
      </c>
      <c r="C196" s="2" t="s">
        <v>37</v>
      </c>
      <c r="D196" s="2" t="s">
        <v>211</v>
      </c>
      <c r="E196" s="1" t="n">
        <v>100</v>
      </c>
      <c r="F196" s="1" t="n">
        <f aca="false">VLOOKUP(C196,dish_base!$B$4:$O$92,14,FALSE())</f>
        <v>50</v>
      </c>
      <c r="G196" s="1" t="str">
        <f aca="false">VLOOKUP(C196,dish_base!$B$4:$M$92,12,FALSE())</f>
        <v>35,60</v>
      </c>
      <c r="H196" s="2" t="s">
        <v>207</v>
      </c>
    </row>
    <row r="197" customFormat="false" ht="16.5" hidden="false" customHeight="false" outlineLevel="0" collapsed="false">
      <c r="B197" s="1" t="str">
        <f aca="false">C197&amp;D197</f>
        <v>mochit_numb</v>
      </c>
      <c r="C197" s="2" t="s">
        <v>40</v>
      </c>
      <c r="D197" s="2" t="s">
        <v>211</v>
      </c>
      <c r="E197" s="1" t="n">
        <v>100</v>
      </c>
      <c r="F197" s="1" t="n">
        <f aca="false">VLOOKUP(C197,dish_base!$B$4:$O$92,14,FALSE())</f>
        <v>50</v>
      </c>
      <c r="G197" s="1" t="str">
        <f aca="false">VLOOKUP(C197,dish_base!$B$4:$M$92,12,FALSE())</f>
        <v>35,60</v>
      </c>
      <c r="H197" s="2" t="s">
        <v>207</v>
      </c>
    </row>
    <row r="198" customFormat="false" ht="16.5" hidden="false" customHeight="false" outlineLevel="0" collapsed="false">
      <c r="B198" s="1" t="str">
        <f aca="false">C198&amp;D198</f>
        <v>daifukut_numb</v>
      </c>
      <c r="C198" s="2" t="s">
        <v>43</v>
      </c>
      <c r="D198" s="2" t="s">
        <v>211</v>
      </c>
      <c r="E198" s="1" t="n">
        <v>100</v>
      </c>
      <c r="F198" s="1" t="n">
        <f aca="false">VLOOKUP(C198,dish_base!$B$4:$O$92,14,FALSE())</f>
        <v>50</v>
      </c>
      <c r="G198" s="1" t="str">
        <f aca="false">VLOOKUP(C198,dish_base!$B$4:$M$92,12,FALSE())</f>
        <v>35,60</v>
      </c>
      <c r="H198" s="2" t="s">
        <v>207</v>
      </c>
    </row>
    <row r="199" customFormat="false" ht="16.5" hidden="false" customHeight="false" outlineLevel="0" collapsed="false">
      <c r="B199" s="1" t="str">
        <f aca="false">C199&amp;D199</f>
        <v>choco_candyt_numb</v>
      </c>
      <c r="C199" s="2" t="s">
        <v>46</v>
      </c>
      <c r="D199" s="2" t="s">
        <v>211</v>
      </c>
      <c r="E199" s="1" t="n">
        <v>100</v>
      </c>
      <c r="F199" s="1" t="n">
        <f aca="false">VLOOKUP(C199,dish_base!$B$4:$O$92,14,FALSE())</f>
        <v>50</v>
      </c>
      <c r="G199" s="1" t="str">
        <f aca="false">VLOOKUP(C199,dish_base!$B$4:$M$92,12,FALSE())</f>
        <v>35,60</v>
      </c>
      <c r="H199" s="2" t="s">
        <v>207</v>
      </c>
    </row>
    <row r="200" customFormat="false" ht="16.5" hidden="false" customHeight="false" outlineLevel="0" collapsed="false">
      <c r="B200" s="1" t="str">
        <f aca="false">C200&amp;D200</f>
        <v>jellyt_numb</v>
      </c>
      <c r="C200" s="2" t="s">
        <v>49</v>
      </c>
      <c r="D200" s="2" t="s">
        <v>211</v>
      </c>
      <c r="E200" s="1" t="n">
        <v>100</v>
      </c>
      <c r="F200" s="1" t="n">
        <f aca="false">VLOOKUP(C200,dish_base!$B$4:$O$92,14,FALSE())</f>
        <v>50</v>
      </c>
      <c r="G200" s="1" t="str">
        <f aca="false">VLOOKUP(C200,dish_base!$B$4:$M$92,12,FALSE())</f>
        <v>35,60</v>
      </c>
      <c r="H200" s="2" t="s">
        <v>207</v>
      </c>
    </row>
    <row r="201" customFormat="false" ht="16.5" hidden="false" customHeight="false" outlineLevel="0" collapsed="false">
      <c r="B201" s="1" t="str">
        <f aca="false">C201&amp;D201</f>
        <v>cream_cellt_numb</v>
      </c>
      <c r="C201" s="2" t="s">
        <v>53</v>
      </c>
      <c r="D201" s="2" t="s">
        <v>211</v>
      </c>
      <c r="E201" s="1" t="n">
        <v>100</v>
      </c>
      <c r="F201" s="1" t="n">
        <f aca="false">VLOOKUP(C201,dish_base!$B$4:$O$92,14,FALSE())</f>
        <v>50</v>
      </c>
      <c r="G201" s="1" t="str">
        <f aca="false">VLOOKUP(C201,dish_base!$B$4:$M$92,12,FALSE())</f>
        <v>35,60</v>
      </c>
      <c r="H201" s="2" t="s">
        <v>207</v>
      </c>
    </row>
    <row r="202" customFormat="false" ht="16.5" hidden="false" customHeight="false" outlineLevel="0" collapsed="false">
      <c r="B202" s="1" t="str">
        <f aca="false">C202&amp;D202</f>
        <v>sugarbeant_numb</v>
      </c>
      <c r="C202" s="2" t="s">
        <v>57</v>
      </c>
      <c r="D202" s="2" t="s">
        <v>211</v>
      </c>
      <c r="E202" s="1" t="n">
        <v>100</v>
      </c>
      <c r="F202" s="1" t="n">
        <f aca="false">VLOOKUP(C202,dish_base!$B$4:$O$92,14,FALSE())</f>
        <v>50</v>
      </c>
      <c r="G202" s="1" t="str">
        <f aca="false">VLOOKUP(C202,dish_base!$B$4:$M$92,12,FALSE())</f>
        <v>35,60</v>
      </c>
      <c r="H202" s="2" t="s">
        <v>207</v>
      </c>
    </row>
    <row r="203" customFormat="false" ht="16.5" hidden="false" customHeight="false" outlineLevel="0" collapsed="false">
      <c r="B203" s="1" t="str">
        <f aca="false">C203&amp;D203</f>
        <v>gold_chocot_numb</v>
      </c>
      <c r="C203" s="2" t="s">
        <v>61</v>
      </c>
      <c r="D203" s="2" t="s">
        <v>211</v>
      </c>
      <c r="E203" s="1" t="n">
        <v>100</v>
      </c>
      <c r="F203" s="1" t="n">
        <f aca="false">VLOOKUP(C203,dish_base!$B$4:$O$92,14,FALSE())</f>
        <v>50</v>
      </c>
      <c r="G203" s="1" t="str">
        <f aca="false">VLOOKUP(C203,dish_base!$B$4:$M$92,12,FALSE())</f>
        <v>35,60</v>
      </c>
      <c r="H203" s="2" t="s">
        <v>207</v>
      </c>
    </row>
    <row r="204" customFormat="false" ht="16.5" hidden="false" customHeight="false" outlineLevel="0" collapsed="false">
      <c r="B204" s="1" t="str">
        <f aca="false">C204&amp;D204</f>
        <v>milk_slicet_numb</v>
      </c>
      <c r="C204" s="2" t="s">
        <v>65</v>
      </c>
      <c r="D204" s="2" t="s">
        <v>211</v>
      </c>
      <c r="E204" s="1" t="n">
        <v>100</v>
      </c>
      <c r="F204" s="1" t="n">
        <f aca="false">VLOOKUP(C204,dish_base!$B$4:$O$92,14,FALSE())</f>
        <v>50</v>
      </c>
      <c r="G204" s="1" t="str">
        <f aca="false">VLOOKUP(C204,dish_base!$B$4:$M$92,12,FALSE())</f>
        <v>35,60</v>
      </c>
      <c r="H204" s="2" t="s">
        <v>207</v>
      </c>
    </row>
    <row r="205" customFormat="false" ht="16.5" hidden="false" customHeight="false" outlineLevel="0" collapsed="false">
      <c r="B205" s="1" t="str">
        <f aca="false">C205&amp;D205</f>
        <v>sundaet_numb</v>
      </c>
      <c r="C205" s="2" t="s">
        <v>69</v>
      </c>
      <c r="D205" s="2" t="s">
        <v>211</v>
      </c>
      <c r="E205" s="1" t="n">
        <v>100</v>
      </c>
      <c r="F205" s="1" t="n">
        <f aca="false">VLOOKUP(C205,dish_base!$B$4:$O$92,14,FALSE())</f>
        <v>60</v>
      </c>
      <c r="G205" s="1" t="str">
        <f aca="false">VLOOKUP(C205,dish_base!$B$4:$M$92,12,FALSE())</f>
        <v>40,70</v>
      </c>
      <c r="H205" s="2" t="s">
        <v>207</v>
      </c>
    </row>
    <row r="206" customFormat="false" ht="16.5" hidden="false" customHeight="false" outlineLevel="0" collapsed="false">
      <c r="B206" s="1" t="str">
        <f aca="false">C206&amp;D206</f>
        <v>conet_numb</v>
      </c>
      <c r="C206" s="2" t="s">
        <v>73</v>
      </c>
      <c r="D206" s="2" t="s">
        <v>211</v>
      </c>
      <c r="E206" s="1" t="n">
        <v>100</v>
      </c>
      <c r="F206" s="1" t="n">
        <f aca="false">VLOOKUP(C206,dish_base!$B$4:$O$92,14,FALSE())</f>
        <v>60</v>
      </c>
      <c r="G206" s="1" t="str">
        <f aca="false">VLOOKUP(C206,dish_base!$B$4:$M$92,12,FALSE())</f>
        <v>40,70</v>
      </c>
      <c r="H206" s="2" t="s">
        <v>207</v>
      </c>
    </row>
    <row r="207" customFormat="false" ht="16.5" hidden="false" customHeight="false" outlineLevel="0" collapsed="false">
      <c r="B207" s="1" t="str">
        <f aca="false">C207&amp;D207</f>
        <v>lollipopt_numb</v>
      </c>
      <c r="C207" s="2" t="s">
        <v>76</v>
      </c>
      <c r="D207" s="2" t="s">
        <v>211</v>
      </c>
      <c r="E207" s="1" t="n">
        <v>100</v>
      </c>
      <c r="F207" s="1" t="n">
        <f aca="false">VLOOKUP(C207,dish_base!$B$4:$O$92,14,FALSE())</f>
        <v>60</v>
      </c>
      <c r="G207" s="1" t="str">
        <f aca="false">VLOOKUP(C207,dish_base!$B$4:$M$92,12,FALSE())</f>
        <v>40,70</v>
      </c>
      <c r="H207" s="2" t="s">
        <v>207</v>
      </c>
    </row>
    <row r="208" customFormat="false" ht="16.5" hidden="false" customHeight="false" outlineLevel="0" collapsed="false">
      <c r="B208" s="1" t="str">
        <f aca="false">C208&amp;D208</f>
        <v>gummyt_numb</v>
      </c>
      <c r="C208" s="2" t="s">
        <v>79</v>
      </c>
      <c r="D208" s="2" t="s">
        <v>211</v>
      </c>
      <c r="E208" s="1" t="n">
        <v>100</v>
      </c>
      <c r="F208" s="1" t="n">
        <f aca="false">VLOOKUP(C208,dish_base!$B$4:$O$92,14,FALSE())</f>
        <v>60</v>
      </c>
      <c r="G208" s="1" t="str">
        <f aca="false">VLOOKUP(C208,dish_base!$B$4:$M$92,12,FALSE())</f>
        <v>40,70</v>
      </c>
      <c r="H208" s="2" t="s">
        <v>207</v>
      </c>
    </row>
    <row r="209" customFormat="false" ht="16.5" hidden="false" customHeight="false" outlineLevel="0" collapsed="false">
      <c r="B209" s="1" t="str">
        <f aca="false">C209&amp;D209</f>
        <v>cupcaket_numb</v>
      </c>
      <c r="C209" s="2" t="s">
        <v>82</v>
      </c>
      <c r="D209" s="2" t="s">
        <v>211</v>
      </c>
      <c r="E209" s="1" t="n">
        <v>100</v>
      </c>
      <c r="F209" s="1" t="n">
        <f aca="false">VLOOKUP(C209,dish_base!$B$4:$O$92,14,FALSE())</f>
        <v>60</v>
      </c>
      <c r="G209" s="1" t="str">
        <f aca="false">VLOOKUP(C209,dish_base!$B$4:$M$92,12,FALSE())</f>
        <v>40,70</v>
      </c>
      <c r="H209" s="2" t="s">
        <v>207</v>
      </c>
    </row>
    <row r="210" customFormat="false" ht="16.5" hidden="false" customHeight="false" outlineLevel="0" collapsed="false">
      <c r="B210" s="1" t="str">
        <f aca="false">C210&amp;D210</f>
        <v>mousset_numb</v>
      </c>
      <c r="C210" s="2" t="s">
        <v>86</v>
      </c>
      <c r="D210" s="2" t="s">
        <v>211</v>
      </c>
      <c r="E210" s="1" t="n">
        <v>100</v>
      </c>
      <c r="F210" s="1" t="n">
        <f aca="false">VLOOKUP(C210,dish_base!$B$4:$O$92,14,FALSE())</f>
        <v>60</v>
      </c>
      <c r="G210" s="1" t="str">
        <f aca="false">VLOOKUP(C210,dish_base!$B$4:$M$92,12,FALSE())</f>
        <v>40,70</v>
      </c>
      <c r="H210" s="2" t="s">
        <v>207</v>
      </c>
    </row>
    <row r="211" customFormat="false" ht="16.5" hidden="false" customHeight="false" outlineLevel="0" collapsed="false">
      <c r="B211" s="1" t="str">
        <f aca="false">C211&amp;D211</f>
        <v>toffeet_numb</v>
      </c>
      <c r="C211" s="2" t="s">
        <v>93</v>
      </c>
      <c r="D211" s="2" t="s">
        <v>211</v>
      </c>
      <c r="E211" s="1" t="n">
        <v>100</v>
      </c>
      <c r="F211" s="1" t="n">
        <f aca="false">VLOOKUP(C211,dish_base!$B$4:$O$92,14,FALSE())</f>
        <v>60</v>
      </c>
      <c r="G211" s="1" t="str">
        <f aca="false">VLOOKUP(C211,dish_base!$B$4:$M$92,12,FALSE())</f>
        <v>40,70</v>
      </c>
      <c r="H211" s="2" t="s">
        <v>207</v>
      </c>
    </row>
    <row r="212" customFormat="false" ht="16.5" hidden="false" customHeight="false" outlineLevel="0" collapsed="false">
      <c r="B212" s="1" t="str">
        <f aca="false">C212&amp;D212</f>
        <v>nougatt_numb</v>
      </c>
      <c r="C212" s="2" t="s">
        <v>100</v>
      </c>
      <c r="D212" s="2" t="s">
        <v>211</v>
      </c>
      <c r="E212" s="1" t="n">
        <v>100</v>
      </c>
      <c r="F212" s="1" t="n">
        <f aca="false">VLOOKUP(C212,dish_base!$B$4:$O$92,14,FALSE())</f>
        <v>60</v>
      </c>
      <c r="G212" s="1" t="str">
        <f aca="false">VLOOKUP(C212,dish_base!$B$4:$M$92,12,FALSE())</f>
        <v>40,70</v>
      </c>
      <c r="H212" s="2" t="s">
        <v>207</v>
      </c>
    </row>
    <row r="213" customFormat="false" ht="16.5" hidden="false" customHeight="false" outlineLevel="0" collapsed="false">
      <c r="B213" s="1" t="str">
        <f aca="false">C213&amp;D213</f>
        <v>eggrollt_numb</v>
      </c>
      <c r="C213" s="2" t="s">
        <v>106</v>
      </c>
      <c r="D213" s="2" t="s">
        <v>211</v>
      </c>
      <c r="E213" s="1" t="n">
        <v>100</v>
      </c>
      <c r="F213" s="1" t="n">
        <f aca="false">VLOOKUP(C213,dish_base!$B$4:$O$92,14,FALSE())</f>
        <v>80</v>
      </c>
      <c r="G213" s="1" t="str">
        <f aca="false">VLOOKUP(C213,dish_base!$B$4:$M$92,12,FALSE())</f>
        <v>45,80</v>
      </c>
      <c r="H213" s="2" t="s">
        <v>207</v>
      </c>
    </row>
    <row r="214" customFormat="false" ht="16.5" hidden="false" customHeight="false" outlineLevel="0" collapsed="false">
      <c r="B214" s="1" t="str">
        <f aca="false">C214&amp;D214</f>
        <v>choco_bart_numb</v>
      </c>
      <c r="C214" s="2" t="s">
        <v>112</v>
      </c>
      <c r="D214" s="2" t="s">
        <v>211</v>
      </c>
      <c r="E214" s="1" t="n">
        <v>100</v>
      </c>
      <c r="F214" s="1" t="n">
        <f aca="false">VLOOKUP(C214,dish_base!$B$4:$O$92,14,FALSE())</f>
        <v>80</v>
      </c>
      <c r="G214" s="1" t="str">
        <f aca="false">VLOOKUP(C214,dish_base!$B$4:$M$92,12,FALSE())</f>
        <v>45,80</v>
      </c>
      <c r="H214" s="2" t="s">
        <v>207</v>
      </c>
    </row>
    <row r="215" customFormat="false" ht="16.5" hidden="false" customHeight="false" outlineLevel="0" collapsed="false">
      <c r="B215" s="1" t="str">
        <f aca="false">C215&amp;D215</f>
        <v>eclairt_numb</v>
      </c>
      <c r="C215" s="2" t="s">
        <v>115</v>
      </c>
      <c r="D215" s="2" t="s">
        <v>211</v>
      </c>
      <c r="E215" s="1" t="n">
        <v>100</v>
      </c>
      <c r="F215" s="1" t="n">
        <f aca="false">VLOOKUP(C215,dish_base!$B$4:$O$92,14,FALSE())</f>
        <v>80</v>
      </c>
      <c r="G215" s="1" t="str">
        <f aca="false">VLOOKUP(C215,dish_base!$B$4:$M$92,12,FALSE())</f>
        <v>45,80</v>
      </c>
      <c r="H215" s="2" t="s">
        <v>207</v>
      </c>
    </row>
    <row r="216" customFormat="false" ht="16.5" hidden="false" customHeight="false" outlineLevel="0" collapsed="false">
      <c r="B216" s="1" t="str">
        <f aca="false">C216&amp;D216</f>
        <v>tanghulut_numb</v>
      </c>
      <c r="C216" s="2" t="s">
        <v>118</v>
      </c>
      <c r="D216" s="2" t="s">
        <v>211</v>
      </c>
      <c r="E216" s="1" t="n">
        <v>100</v>
      </c>
      <c r="F216" s="1" t="n">
        <f aca="false">VLOOKUP(C216,dish_base!$B$4:$O$92,14,FALSE())</f>
        <v>80</v>
      </c>
      <c r="G216" s="3" t="str">
        <f aca="false">VLOOKUP(C216,dish_base!$B$4:$M$92,12,FALSE())</f>
        <v>45,80</v>
      </c>
      <c r="H216" s="2" t="s">
        <v>207</v>
      </c>
    </row>
    <row r="217" customFormat="false" ht="16.5" hidden="false" customHeight="false" outlineLevel="0" collapsed="false">
      <c r="B217" s="1" t="str">
        <f aca="false">C217&amp;D217</f>
        <v>soufflet_numb</v>
      </c>
      <c r="C217" s="2" t="s">
        <v>121</v>
      </c>
      <c r="D217" s="2" t="s">
        <v>211</v>
      </c>
      <c r="E217" s="1" t="n">
        <v>100</v>
      </c>
      <c r="F217" s="1" t="n">
        <f aca="false">VLOOKUP(C217,dish_base!$B$4:$O$92,14,FALSE())</f>
        <v>90</v>
      </c>
      <c r="G217" s="3" t="str">
        <f aca="false">VLOOKUP(C217,dish_base!$B$4:$M$92,12,FALSE())</f>
        <v>55,100</v>
      </c>
      <c r="H217" s="2" t="s">
        <v>207</v>
      </c>
    </row>
    <row r="218" customFormat="false" ht="16.5" hidden="false" customHeight="false" outlineLevel="0" collapsed="false">
      <c r="B218" s="1" t="str">
        <f aca="false">C218&amp;D218</f>
        <v>taosut_numb</v>
      </c>
      <c r="C218" s="2" t="s">
        <v>124</v>
      </c>
      <c r="D218" s="2" t="s">
        <v>211</v>
      </c>
      <c r="E218" s="1" t="n">
        <v>100</v>
      </c>
      <c r="F218" s="1" t="n">
        <f aca="false">VLOOKUP(C218,dish_base!$B$4:$O$92,14,FALSE())</f>
        <v>90</v>
      </c>
      <c r="G218" s="3" t="str">
        <f aca="false">VLOOKUP(C218,dish_base!$B$4:$M$92,12,FALSE())</f>
        <v>55,100</v>
      </c>
      <c r="H218" s="2" t="s">
        <v>207</v>
      </c>
    </row>
    <row r="219" customFormat="false" ht="16.5" hidden="false" customHeight="false" outlineLevel="0" collapsed="false">
      <c r="B219" s="1" t="str">
        <f aca="false">C219&amp;D219</f>
        <v>mooncaket_numb</v>
      </c>
      <c r="C219" s="2" t="s">
        <v>127</v>
      </c>
      <c r="D219" s="2" t="s">
        <v>211</v>
      </c>
      <c r="E219" s="1" t="n">
        <v>100</v>
      </c>
      <c r="F219" s="1" t="n">
        <f aca="false">VLOOKUP(C219,dish_base!$B$4:$O$92,14,FALSE())</f>
        <v>90</v>
      </c>
      <c r="G219" s="3" t="str">
        <f aca="false">VLOOKUP(C219,dish_base!$B$4:$M$92,12,FALSE())</f>
        <v>55,100</v>
      </c>
      <c r="H219" s="2" t="s">
        <v>207</v>
      </c>
    </row>
    <row r="220" customFormat="false" ht="16.5" hidden="false" customHeight="false" outlineLevel="0" collapsed="false">
      <c r="B220" s="1" t="str">
        <f aca="false">C220&amp;D220</f>
        <v>wafflet_numb</v>
      </c>
      <c r="C220" s="2" t="s">
        <v>130</v>
      </c>
      <c r="D220" s="2" t="s">
        <v>211</v>
      </c>
      <c r="E220" s="1" t="n">
        <v>100</v>
      </c>
      <c r="F220" s="1" t="n">
        <f aca="false">VLOOKUP(C220,dish_base!$B$4:$O$92,14,FALSE())</f>
        <v>90</v>
      </c>
      <c r="G220" s="3" t="str">
        <f aca="false">VLOOKUP(C220,dish_base!$B$4:$M$92,12,FALSE())</f>
        <v>55,100</v>
      </c>
      <c r="H220" s="2" t="s">
        <v>207</v>
      </c>
    </row>
    <row r="221" customFormat="false" ht="16.5" hidden="false" customHeight="false" outlineLevel="0" collapsed="false">
      <c r="B221" s="1" t="str">
        <f aca="false">C221&amp;D221</f>
        <v>dorayakit_numb</v>
      </c>
      <c r="C221" s="2" t="s">
        <v>133</v>
      </c>
      <c r="D221" s="2" t="s">
        <v>211</v>
      </c>
      <c r="E221" s="1" t="n">
        <v>100</v>
      </c>
      <c r="F221" s="1" t="n">
        <f aca="false">VLOOKUP(C221,dish_base!$B$4:$O$92,14,FALSE())</f>
        <v>90</v>
      </c>
      <c r="G221" s="3" t="str">
        <f aca="false">VLOOKUP(C221,dish_base!$B$4:$M$92,12,FALSE())</f>
        <v>55,100</v>
      </c>
      <c r="H221" s="2" t="s">
        <v>207</v>
      </c>
    </row>
    <row r="222" customFormat="false" ht="16.5" hidden="false" customHeight="false" outlineLevel="0" collapsed="false">
      <c r="B222" s="1" t="str">
        <f aca="false">C222&amp;D222</f>
        <v>cream_caket_numb</v>
      </c>
      <c r="C222" s="2" t="s">
        <v>136</v>
      </c>
      <c r="D222" s="2" t="s">
        <v>211</v>
      </c>
      <c r="E222" s="1" t="n">
        <v>100</v>
      </c>
      <c r="F222" s="1" t="n">
        <f aca="false">VLOOKUP(C222,dish_base!$B$4:$O$92,14,FALSE())</f>
        <v>90</v>
      </c>
      <c r="G222" s="3" t="str">
        <f aca="false">VLOOKUP(C222,dish_base!$B$4:$M$92,12,FALSE())</f>
        <v>55,100</v>
      </c>
      <c r="H222" s="2" t="s">
        <v>207</v>
      </c>
    </row>
    <row r="223" customFormat="false" ht="16.5" hidden="false" customHeight="false" outlineLevel="0" collapsed="false">
      <c r="B223" s="1" t="str">
        <f aca="false">C223&amp;D223</f>
        <v>donutt_numb</v>
      </c>
      <c r="C223" s="2" t="s">
        <v>139</v>
      </c>
      <c r="D223" s="2" t="s">
        <v>211</v>
      </c>
      <c r="E223" s="1" t="n">
        <v>100</v>
      </c>
      <c r="F223" s="1" t="n">
        <f aca="false">VLOOKUP(C223,dish_base!$B$4:$O$92,14,FALSE())</f>
        <v>90</v>
      </c>
      <c r="G223" s="3" t="str">
        <f aca="false">VLOOKUP(C223,dish_base!$B$4:$M$92,12,FALSE())</f>
        <v>55,100</v>
      </c>
      <c r="H223" s="2" t="s">
        <v>207</v>
      </c>
    </row>
    <row r="224" customFormat="false" ht="16.5" hidden="false" customHeight="false" outlineLevel="0" collapsed="false">
      <c r="B224" s="1" t="str">
        <f aca="false">C224&amp;D224</f>
        <v>pengtangt_numb</v>
      </c>
      <c r="C224" s="2" t="s">
        <v>142</v>
      </c>
      <c r="D224" s="2" t="s">
        <v>211</v>
      </c>
      <c r="E224" s="1" t="n">
        <v>100</v>
      </c>
      <c r="F224" s="1" t="n">
        <f aca="false">VLOOKUP(C224,dish_base!$B$4:$O$92,14,FALSE())</f>
        <v>90</v>
      </c>
      <c r="G224" s="3" t="str">
        <f aca="false">VLOOKUP(C224,dish_base!$B$4:$M$92,12,FALSE())</f>
        <v>55,100</v>
      </c>
      <c r="H224" s="2" t="s">
        <v>207</v>
      </c>
    </row>
    <row r="225" customFormat="false" ht="16.5" hidden="false" customHeight="false" outlineLevel="0" collapsed="false">
      <c r="B225" s="1" t="str">
        <f aca="false">C225&amp;D225</f>
        <v>parfaitt_numb</v>
      </c>
      <c r="C225" s="2" t="s">
        <v>145</v>
      </c>
      <c r="D225" s="2" t="s">
        <v>211</v>
      </c>
      <c r="E225" s="1" t="n">
        <v>100</v>
      </c>
      <c r="F225" s="1" t="n">
        <f aca="false">VLOOKUP(C225,dish_base!$B$4:$O$92,14,FALSE())</f>
        <v>120</v>
      </c>
      <c r="G225" s="3" t="str">
        <f aca="false">VLOOKUP(C225,dish_base!$B$4:$M$92,12,FALSE())</f>
        <v>70,120</v>
      </c>
      <c r="H225" s="2" t="s">
        <v>207</v>
      </c>
    </row>
    <row r="226" customFormat="false" ht="16.5" hidden="false" customHeight="false" outlineLevel="0" collapsed="false">
      <c r="B226" s="1" t="str">
        <f aca="false">C226&amp;D226</f>
        <v>sundae_bigt_numb</v>
      </c>
      <c r="C226" s="2" t="s">
        <v>148</v>
      </c>
      <c r="D226" s="2" t="s">
        <v>211</v>
      </c>
      <c r="E226" s="1" t="n">
        <v>100</v>
      </c>
      <c r="F226" s="1" t="n">
        <f aca="false">VLOOKUP(C226,dish_base!$B$4:$O$92,14,FALSE())</f>
        <v>120</v>
      </c>
      <c r="G226" s="3" t="str">
        <f aca="false">VLOOKUP(C226,dish_base!$B$4:$M$92,12,FALSE())</f>
        <v>70,120</v>
      </c>
      <c r="H226" s="2" t="s">
        <v>207</v>
      </c>
    </row>
    <row r="227" customFormat="false" ht="16.5" hidden="false" customHeight="false" outlineLevel="0" collapsed="false">
      <c r="B227" s="1" t="str">
        <f aca="false">C227&amp;D227</f>
        <v>swiss_rollt_numb</v>
      </c>
      <c r="C227" s="2" t="s">
        <v>150</v>
      </c>
      <c r="D227" s="2" t="s">
        <v>211</v>
      </c>
      <c r="E227" s="1" t="n">
        <v>100</v>
      </c>
      <c r="F227" s="1" t="n">
        <f aca="false">VLOOKUP(C227,dish_base!$B$4:$O$92,14,FALSE())</f>
        <v>120</v>
      </c>
      <c r="G227" s="3" t="str">
        <f aca="false">VLOOKUP(C227,dish_base!$B$4:$M$92,12,FALSE())</f>
        <v>70,120</v>
      </c>
      <c r="H227" s="2" t="s">
        <v>207</v>
      </c>
    </row>
    <row r="228" customFormat="false" ht="16.5" hidden="false" customHeight="false" outlineLevel="0" collapsed="false">
      <c r="B228" s="1" t="str">
        <f aca="false">C228&amp;D228</f>
        <v>mango_sagot_numb</v>
      </c>
      <c r="C228" s="2" t="s">
        <v>153</v>
      </c>
      <c r="D228" s="2" t="s">
        <v>211</v>
      </c>
      <c r="E228" s="1" t="n">
        <v>100</v>
      </c>
      <c r="F228" s="1" t="n">
        <f aca="false">VLOOKUP(C228,dish_base!$B$4:$O$92,14,FALSE())</f>
        <v>120</v>
      </c>
      <c r="G228" s="3" t="str">
        <f aca="false">VLOOKUP(C228,dish_base!$B$4:$M$92,12,FALSE())</f>
        <v>70,120</v>
      </c>
      <c r="H228" s="2" t="s">
        <v>207</v>
      </c>
    </row>
    <row r="229" customFormat="false" ht="16.5" hidden="false" customHeight="false" outlineLevel="0" collapsed="false">
      <c r="B229" s="1" t="str">
        <f aca="false">C229&amp;D229</f>
        <v>chiffiont_numb</v>
      </c>
      <c r="C229" s="2" t="s">
        <v>156</v>
      </c>
      <c r="D229" s="2" t="s">
        <v>211</v>
      </c>
      <c r="E229" s="1" t="n">
        <v>100</v>
      </c>
      <c r="F229" s="1" t="n">
        <f aca="false">VLOOKUP(C229,dish_base!$B$4:$O$92,14,FALSE())</f>
        <v>120</v>
      </c>
      <c r="G229" s="3" t="str">
        <f aca="false">VLOOKUP(C229,dish_base!$B$4:$M$92,12,FALSE())</f>
        <v>70,120</v>
      </c>
      <c r="H229" s="2" t="s">
        <v>207</v>
      </c>
    </row>
    <row r="230" customFormat="false" ht="16.5" hidden="false" customHeight="false" outlineLevel="0" collapsed="false">
      <c r="B230" s="1" t="str">
        <f aca="false">C230&amp;D230</f>
        <v>apple_piet_numb</v>
      </c>
      <c r="C230" s="2" t="s">
        <v>159</v>
      </c>
      <c r="D230" s="2" t="s">
        <v>211</v>
      </c>
      <c r="E230" s="1" t="n">
        <v>100</v>
      </c>
      <c r="F230" s="1" t="n">
        <f aca="false">VLOOKUP(C230,dish_base!$B$4:$O$92,14,FALSE())</f>
        <v>120</v>
      </c>
      <c r="G230" s="3" t="str">
        <f aca="false">VLOOKUP(C230,dish_base!$B$4:$M$92,12,FALSE())</f>
        <v>70,120</v>
      </c>
      <c r="H230" s="2" t="s">
        <v>207</v>
      </c>
    </row>
    <row r="231" customFormat="false" ht="16.5" hidden="false" customHeight="false" outlineLevel="0" collapsed="false">
      <c r="B231" s="1" t="str">
        <f aca="false">C231&amp;D231</f>
        <v>fruit_caket_numb</v>
      </c>
      <c r="C231" s="2" t="s">
        <v>162</v>
      </c>
      <c r="D231" s="2" t="s">
        <v>211</v>
      </c>
      <c r="E231" s="1" t="n">
        <v>100</v>
      </c>
      <c r="F231" s="1" t="n">
        <f aca="false">VLOOKUP(C231,dish_base!$B$4:$O$92,14,FALSE())</f>
        <v>120</v>
      </c>
      <c r="G231" s="3" t="str">
        <f aca="false">VLOOKUP(C231,dish_base!$B$4:$M$92,12,FALSE())</f>
        <v>70,120</v>
      </c>
      <c r="H231" s="2" t="s">
        <v>207</v>
      </c>
    </row>
    <row r="232" customFormat="false" ht="16.5" hidden="false" customHeight="false" outlineLevel="0" collapsed="false">
      <c r="B232" s="1" t="str">
        <f aca="false">C232&amp;D232</f>
        <v>chocolatet_numb</v>
      </c>
      <c r="C232" s="2" t="s">
        <v>165</v>
      </c>
      <c r="D232" s="2" t="s">
        <v>211</v>
      </c>
      <c r="E232" s="1" t="n">
        <v>100</v>
      </c>
      <c r="F232" s="1" t="n">
        <f aca="false">VLOOKUP(C232,dish_base!$B$4:$O$92,14,FALSE())</f>
        <v>120</v>
      </c>
      <c r="G232" s="3" t="str">
        <f aca="false">VLOOKUP(C232,dish_base!$B$4:$M$92,12,FALSE())</f>
        <v>70,120</v>
      </c>
      <c r="H232" s="2" t="s">
        <v>207</v>
      </c>
    </row>
    <row r="233" customFormat="false" ht="16.5" hidden="false" customHeight="false" outlineLevel="0" collapsed="false">
      <c r="B233" s="1" t="str">
        <f aca="false">C233&amp;D233</f>
        <v>croissantt_numb</v>
      </c>
      <c r="C233" s="2" t="s">
        <v>168</v>
      </c>
      <c r="D233" s="2" t="s">
        <v>211</v>
      </c>
      <c r="E233" s="1" t="n">
        <v>100</v>
      </c>
      <c r="F233" s="1" t="n">
        <f aca="false">VLOOKUP(C233,dish_base!$B$4:$O$92,14,FALSE())</f>
        <v>80</v>
      </c>
      <c r="G233" s="3" t="str">
        <f aca="false">VLOOKUP(C233,dish_base!$B$4:$M$92,12,FALSE())</f>
        <v>45,80</v>
      </c>
      <c r="H233" s="2" t="s">
        <v>207</v>
      </c>
    </row>
    <row r="234" customFormat="false" ht="16.5" hidden="false" customHeight="false" outlineLevel="0" collapsed="false">
      <c r="B234" s="1" t="str">
        <f aca="false">C234&amp;D234</f>
        <v>palmiert_numb</v>
      </c>
      <c r="C234" s="2" t="s">
        <v>172</v>
      </c>
      <c r="D234" s="2" t="s">
        <v>211</v>
      </c>
      <c r="E234" s="1" t="n">
        <v>100</v>
      </c>
      <c r="F234" s="1" t="n">
        <f aca="false">VLOOKUP(C234,dish_base!$B$4:$O$92,14,FALSE())</f>
        <v>80</v>
      </c>
      <c r="G234" s="3" t="str">
        <f aca="false">VLOOKUP(C234,dish_base!$B$4:$M$92,12,FALSE())</f>
        <v>45,80</v>
      </c>
      <c r="H234" s="2" t="s">
        <v>207</v>
      </c>
    </row>
    <row r="235" customFormat="false" ht="16.5" hidden="false" customHeight="false" outlineLevel="0" collapsed="false">
      <c r="B235" s="1" t="str">
        <f aca="false">C235&amp;D235</f>
        <v>candycanet_numb</v>
      </c>
      <c r="C235" s="2" t="s">
        <v>176</v>
      </c>
      <c r="D235" s="2" t="s">
        <v>211</v>
      </c>
      <c r="E235" s="1" t="n">
        <v>100</v>
      </c>
      <c r="F235" s="1" t="n">
        <f aca="false">VLOOKUP(C235,dish_base!$B$4:$O$92,14,FALSE())</f>
        <v>90</v>
      </c>
      <c r="G235" s="3" t="str">
        <f aca="false">VLOOKUP(C235,dish_base!$B$4:$M$92,12,FALSE())</f>
        <v>55,100</v>
      </c>
      <c r="H235" s="2" t="s">
        <v>207</v>
      </c>
    </row>
    <row r="236" customFormat="false" ht="16.5" hidden="false" customHeight="false" outlineLevel="0" collapsed="false">
      <c r="B236" s="1" t="str">
        <f aca="false">C236&amp;D236</f>
        <v>big_lollipopt_numb</v>
      </c>
      <c r="C236" s="2" t="s">
        <v>179</v>
      </c>
      <c r="D236" s="2" t="s">
        <v>211</v>
      </c>
      <c r="E236" s="1" t="n">
        <v>100</v>
      </c>
      <c r="F236" s="1" t="n">
        <f aca="false">VLOOKUP(C236,dish_base!$B$4:$O$92,14,FALSE())</f>
        <v>190</v>
      </c>
      <c r="G236" s="3" t="str">
        <f aca="false">VLOOKUP(C236,dish_base!$B$4:$M$92,12,FALSE())</f>
        <v>80,130</v>
      </c>
      <c r="H236" s="2" t="s">
        <v>207</v>
      </c>
    </row>
    <row r="237" customFormat="false" ht="16.5" hidden="false" customHeight="false" outlineLevel="0" collapsed="false">
      <c r="B237" s="1" t="str">
        <f aca="false">C237&amp;D237</f>
        <v>marshmallowt_numb</v>
      </c>
      <c r="C237" s="2" t="s">
        <v>183</v>
      </c>
      <c r="D237" s="2" t="s">
        <v>211</v>
      </c>
      <c r="E237" s="1" t="n">
        <v>100</v>
      </c>
      <c r="F237" s="1" t="n">
        <f aca="false">VLOOKUP(C237,dish_base!$B$4:$O$92,14,FALSE())</f>
        <v>160</v>
      </c>
      <c r="G237" s="3" t="str">
        <f aca="false">VLOOKUP(C237,dish_base!$B$4:$M$92,12,FALSE())</f>
        <v>80,130</v>
      </c>
      <c r="H237" s="2" t="s">
        <v>207</v>
      </c>
    </row>
    <row r="238" customFormat="false" ht="16.5" hidden="false" customHeight="false" outlineLevel="0" collapsed="false">
      <c r="B238" s="1" t="str">
        <f aca="false">C238&amp;D238</f>
        <v>double_caket_numb</v>
      </c>
      <c r="C238" s="2" t="s">
        <v>186</v>
      </c>
      <c r="D238" s="2" t="s">
        <v>211</v>
      </c>
      <c r="E238" s="1" t="n">
        <v>100</v>
      </c>
      <c r="F238" s="1" t="n">
        <f aca="false">VLOOKUP(C238,dish_base!$B$4:$O$92,14,FALSE())</f>
        <v>260</v>
      </c>
      <c r="G238" s="3" t="str">
        <f aca="false">VLOOKUP(C238,dish_base!$B$4:$M$92,12,FALSE())</f>
        <v>80,130</v>
      </c>
      <c r="H238" s="2" t="s">
        <v>207</v>
      </c>
    </row>
    <row r="239" customFormat="false" ht="16.5" hidden="false" customHeight="false" outlineLevel="0" collapsed="false">
      <c r="B239" s="1" t="str">
        <f aca="false">C239&amp;D239</f>
        <v>cookiet_sour</v>
      </c>
      <c r="C239" s="2" t="s">
        <v>23</v>
      </c>
      <c r="D239" s="2" t="s">
        <v>212</v>
      </c>
      <c r="E239" s="1" t="n">
        <v>100</v>
      </c>
      <c r="F239" s="1" t="n">
        <f aca="false">VLOOKUP(C239,dish_base!$B$4:$O$92,14,FALSE())</f>
        <v>50</v>
      </c>
      <c r="G239" s="1" t="str">
        <f aca="false">VLOOKUP(C239,dish_base!$B$4:$M$92,12,FALSE())</f>
        <v>35,60</v>
      </c>
      <c r="H239" s="2" t="s">
        <v>207</v>
      </c>
    </row>
    <row r="240" customFormat="false" ht="16.5" hidden="false" customHeight="false" outlineLevel="0" collapsed="false">
      <c r="B240" s="1" t="str">
        <f aca="false">C240&amp;D240</f>
        <v>macaront_sour</v>
      </c>
      <c r="C240" s="2" t="s">
        <v>28</v>
      </c>
      <c r="D240" s="2" t="s">
        <v>212</v>
      </c>
      <c r="E240" s="1" t="n">
        <v>100</v>
      </c>
      <c r="F240" s="1" t="n">
        <f aca="false">VLOOKUP(C240,dish_base!$B$4:$O$92,14,FALSE())</f>
        <v>50</v>
      </c>
      <c r="G240" s="1" t="str">
        <f aca="false">VLOOKUP(C240,dish_base!$B$4:$M$92,12,FALSE())</f>
        <v>35,60</v>
      </c>
      <c r="H240" s="2" t="s">
        <v>207</v>
      </c>
    </row>
    <row r="241" customFormat="false" ht="16.5" hidden="false" customHeight="false" outlineLevel="0" collapsed="false">
      <c r="B241" s="1" t="str">
        <f aca="false">C241&amp;D241</f>
        <v>puddingt_sour</v>
      </c>
      <c r="C241" s="2" t="s">
        <v>31</v>
      </c>
      <c r="D241" s="2" t="s">
        <v>212</v>
      </c>
      <c r="E241" s="1" t="n">
        <v>100</v>
      </c>
      <c r="F241" s="1" t="n">
        <f aca="false">VLOOKUP(C241,dish_base!$B$4:$O$92,14,FALSE())</f>
        <v>50</v>
      </c>
      <c r="G241" s="1" t="str">
        <f aca="false">VLOOKUP(C241,dish_base!$B$4:$M$92,12,FALSE())</f>
        <v>35,60</v>
      </c>
      <c r="H241" s="2" t="s">
        <v>207</v>
      </c>
    </row>
    <row r="242" customFormat="false" ht="16.5" hidden="false" customHeight="false" outlineLevel="0" collapsed="false">
      <c r="B242" s="1" t="str">
        <f aca="false">C242&amp;D242</f>
        <v>pufft_sour</v>
      </c>
      <c r="C242" s="2" t="s">
        <v>34</v>
      </c>
      <c r="D242" s="2" t="s">
        <v>212</v>
      </c>
      <c r="E242" s="1" t="n">
        <v>100</v>
      </c>
      <c r="F242" s="1" t="n">
        <f aca="false">VLOOKUP(C242,dish_base!$B$4:$O$92,14,FALSE())</f>
        <v>50</v>
      </c>
      <c r="G242" s="1" t="str">
        <f aca="false">VLOOKUP(C242,dish_base!$B$4:$M$92,12,FALSE())</f>
        <v>35,60</v>
      </c>
      <c r="H242" s="2" t="s">
        <v>207</v>
      </c>
      <c r="J242" s="2" t="s">
        <v>213</v>
      </c>
    </row>
    <row r="243" customFormat="false" ht="16.5" hidden="false" customHeight="false" outlineLevel="0" collapsed="false">
      <c r="B243" s="1" t="str">
        <f aca="false">C243&amp;D243</f>
        <v>eggtartt_sour</v>
      </c>
      <c r="C243" s="2" t="s">
        <v>37</v>
      </c>
      <c r="D243" s="2" t="s">
        <v>212</v>
      </c>
      <c r="E243" s="1" t="n">
        <v>100</v>
      </c>
      <c r="F243" s="1" t="n">
        <f aca="false">VLOOKUP(C243,dish_base!$B$4:$O$92,14,FALSE())</f>
        <v>50</v>
      </c>
      <c r="G243" s="1" t="str">
        <f aca="false">VLOOKUP(C243,dish_base!$B$4:$M$92,12,FALSE())</f>
        <v>35,60</v>
      </c>
      <c r="H243" s="2" t="s">
        <v>207</v>
      </c>
    </row>
    <row r="244" customFormat="false" ht="16.5" hidden="false" customHeight="false" outlineLevel="0" collapsed="false">
      <c r="B244" s="1" t="str">
        <f aca="false">C244&amp;D244</f>
        <v>mochit_sour</v>
      </c>
      <c r="C244" s="2" t="s">
        <v>40</v>
      </c>
      <c r="D244" s="2" t="s">
        <v>212</v>
      </c>
      <c r="E244" s="1" t="n">
        <v>100</v>
      </c>
      <c r="F244" s="1" t="n">
        <f aca="false">VLOOKUP(C244,dish_base!$B$4:$O$92,14,FALSE())</f>
        <v>50</v>
      </c>
      <c r="G244" s="1" t="str">
        <f aca="false">VLOOKUP(C244,dish_base!$B$4:$M$92,12,FALSE())</f>
        <v>35,60</v>
      </c>
      <c r="H244" s="2" t="s">
        <v>207</v>
      </c>
    </row>
    <row r="245" customFormat="false" ht="16.5" hidden="false" customHeight="false" outlineLevel="0" collapsed="false">
      <c r="B245" s="1" t="str">
        <f aca="false">C245&amp;D245</f>
        <v>daifukut_sour</v>
      </c>
      <c r="C245" s="2" t="s">
        <v>43</v>
      </c>
      <c r="D245" s="2" t="s">
        <v>212</v>
      </c>
      <c r="E245" s="1" t="n">
        <v>100</v>
      </c>
      <c r="F245" s="1" t="n">
        <f aca="false">VLOOKUP(C245,dish_base!$B$4:$O$92,14,FALSE())</f>
        <v>50</v>
      </c>
      <c r="G245" s="1" t="str">
        <f aca="false">VLOOKUP(C245,dish_base!$B$4:$M$92,12,FALSE())</f>
        <v>35,60</v>
      </c>
      <c r="H245" s="2" t="s">
        <v>207</v>
      </c>
    </row>
    <row r="246" customFormat="false" ht="16.5" hidden="false" customHeight="false" outlineLevel="0" collapsed="false">
      <c r="B246" s="1" t="str">
        <f aca="false">C246&amp;D246</f>
        <v>choco_candyt_sour</v>
      </c>
      <c r="C246" s="2" t="s">
        <v>46</v>
      </c>
      <c r="D246" s="2" t="s">
        <v>212</v>
      </c>
      <c r="E246" s="1" t="n">
        <v>100</v>
      </c>
      <c r="F246" s="1" t="n">
        <f aca="false">VLOOKUP(C246,dish_base!$B$4:$O$92,14,FALSE())</f>
        <v>50</v>
      </c>
      <c r="G246" s="1" t="str">
        <f aca="false">VLOOKUP(C246,dish_base!$B$4:$M$92,12,FALSE())</f>
        <v>35,60</v>
      </c>
      <c r="H246" s="2" t="s">
        <v>207</v>
      </c>
    </row>
    <row r="247" customFormat="false" ht="16.5" hidden="false" customHeight="false" outlineLevel="0" collapsed="false">
      <c r="B247" s="1" t="str">
        <f aca="false">C247&amp;D247</f>
        <v>jellyt_sour</v>
      </c>
      <c r="C247" s="2" t="s">
        <v>49</v>
      </c>
      <c r="D247" s="2" t="s">
        <v>212</v>
      </c>
      <c r="E247" s="1" t="n">
        <v>100</v>
      </c>
      <c r="F247" s="1" t="n">
        <f aca="false">VLOOKUP(C247,dish_base!$B$4:$O$92,14,FALSE())</f>
        <v>50</v>
      </c>
      <c r="G247" s="1" t="str">
        <f aca="false">VLOOKUP(C247,dish_base!$B$4:$M$92,12,FALSE())</f>
        <v>35,60</v>
      </c>
      <c r="H247" s="2" t="s">
        <v>207</v>
      </c>
    </row>
    <row r="248" customFormat="false" ht="16.5" hidden="false" customHeight="false" outlineLevel="0" collapsed="false">
      <c r="B248" s="1" t="str">
        <f aca="false">C248&amp;D248</f>
        <v>cream_cellt_sour</v>
      </c>
      <c r="C248" s="2" t="s">
        <v>53</v>
      </c>
      <c r="D248" s="2" t="s">
        <v>212</v>
      </c>
      <c r="E248" s="1" t="n">
        <v>100</v>
      </c>
      <c r="F248" s="1" t="n">
        <f aca="false">VLOOKUP(C248,dish_base!$B$4:$O$92,14,FALSE())</f>
        <v>50</v>
      </c>
      <c r="G248" s="1" t="str">
        <f aca="false">VLOOKUP(C248,dish_base!$B$4:$M$92,12,FALSE())</f>
        <v>35,60</v>
      </c>
      <c r="H248" s="2" t="s">
        <v>207</v>
      </c>
    </row>
    <row r="249" customFormat="false" ht="16.5" hidden="false" customHeight="false" outlineLevel="0" collapsed="false">
      <c r="B249" s="1" t="str">
        <f aca="false">C249&amp;D249</f>
        <v>sugarbeant_sour</v>
      </c>
      <c r="C249" s="2" t="s">
        <v>57</v>
      </c>
      <c r="D249" s="2" t="s">
        <v>212</v>
      </c>
      <c r="E249" s="1" t="n">
        <v>100</v>
      </c>
      <c r="F249" s="1" t="n">
        <f aca="false">VLOOKUP(C249,dish_base!$B$4:$O$92,14,FALSE())</f>
        <v>50</v>
      </c>
      <c r="G249" s="1" t="str">
        <f aca="false">VLOOKUP(C249,dish_base!$B$4:$M$92,12,FALSE())</f>
        <v>35,60</v>
      </c>
      <c r="H249" s="2" t="s">
        <v>207</v>
      </c>
    </row>
    <row r="250" customFormat="false" ht="16.5" hidden="false" customHeight="false" outlineLevel="0" collapsed="false">
      <c r="B250" s="1" t="str">
        <f aca="false">C250&amp;D250</f>
        <v>gold_chocot_sour</v>
      </c>
      <c r="C250" s="2" t="s">
        <v>61</v>
      </c>
      <c r="D250" s="2" t="s">
        <v>212</v>
      </c>
      <c r="E250" s="1" t="n">
        <v>100</v>
      </c>
      <c r="F250" s="1" t="n">
        <f aca="false">VLOOKUP(C250,dish_base!$B$4:$O$92,14,FALSE())</f>
        <v>50</v>
      </c>
      <c r="G250" s="1" t="str">
        <f aca="false">VLOOKUP(C250,dish_base!$B$4:$M$92,12,FALSE())</f>
        <v>35,60</v>
      </c>
      <c r="H250" s="2" t="s">
        <v>207</v>
      </c>
    </row>
    <row r="251" customFormat="false" ht="16.5" hidden="false" customHeight="false" outlineLevel="0" collapsed="false">
      <c r="B251" s="1" t="str">
        <f aca="false">C251&amp;D251</f>
        <v>milk_slicet_sour</v>
      </c>
      <c r="C251" s="2" t="s">
        <v>65</v>
      </c>
      <c r="D251" s="2" t="s">
        <v>212</v>
      </c>
      <c r="E251" s="1" t="n">
        <v>100</v>
      </c>
      <c r="F251" s="1" t="n">
        <f aca="false">VLOOKUP(C251,dish_base!$B$4:$O$92,14,FALSE())</f>
        <v>50</v>
      </c>
      <c r="G251" s="1" t="str">
        <f aca="false">VLOOKUP(C251,dish_base!$B$4:$M$92,12,FALSE())</f>
        <v>35,60</v>
      </c>
      <c r="H251" s="2" t="s">
        <v>207</v>
      </c>
    </row>
    <row r="252" customFormat="false" ht="16.5" hidden="false" customHeight="false" outlineLevel="0" collapsed="false">
      <c r="B252" s="1" t="str">
        <f aca="false">C252&amp;D252</f>
        <v>sundaet_sour</v>
      </c>
      <c r="C252" s="2" t="s">
        <v>69</v>
      </c>
      <c r="D252" s="2" t="s">
        <v>212</v>
      </c>
      <c r="E252" s="1" t="n">
        <v>100</v>
      </c>
      <c r="F252" s="1" t="n">
        <f aca="false">VLOOKUP(C252,dish_base!$B$4:$O$92,14,FALSE())</f>
        <v>60</v>
      </c>
      <c r="G252" s="1" t="str">
        <f aca="false">VLOOKUP(C252,dish_base!$B$4:$M$92,12,FALSE())</f>
        <v>40,70</v>
      </c>
      <c r="H252" s="2" t="s">
        <v>207</v>
      </c>
    </row>
    <row r="253" customFormat="false" ht="16.5" hidden="false" customHeight="false" outlineLevel="0" collapsed="false">
      <c r="B253" s="1" t="str">
        <f aca="false">C253&amp;D253</f>
        <v>conet_sour</v>
      </c>
      <c r="C253" s="2" t="s">
        <v>73</v>
      </c>
      <c r="D253" s="2" t="s">
        <v>212</v>
      </c>
      <c r="E253" s="1" t="n">
        <v>100</v>
      </c>
      <c r="F253" s="1" t="n">
        <f aca="false">VLOOKUP(C253,dish_base!$B$4:$O$92,14,FALSE())</f>
        <v>60</v>
      </c>
      <c r="G253" s="1" t="str">
        <f aca="false">VLOOKUP(C253,dish_base!$B$4:$M$92,12,FALSE())</f>
        <v>40,70</v>
      </c>
      <c r="H253" s="2" t="s">
        <v>207</v>
      </c>
    </row>
    <row r="254" customFormat="false" ht="16.5" hidden="false" customHeight="false" outlineLevel="0" collapsed="false">
      <c r="B254" s="1" t="str">
        <f aca="false">C254&amp;D254</f>
        <v>lollipopt_sour</v>
      </c>
      <c r="C254" s="2" t="s">
        <v>76</v>
      </c>
      <c r="D254" s="2" t="s">
        <v>212</v>
      </c>
      <c r="E254" s="1" t="n">
        <v>100</v>
      </c>
      <c r="F254" s="1" t="n">
        <f aca="false">VLOOKUP(C254,dish_base!$B$4:$O$92,14,FALSE())</f>
        <v>60</v>
      </c>
      <c r="G254" s="1" t="str">
        <f aca="false">VLOOKUP(C254,dish_base!$B$4:$M$92,12,FALSE())</f>
        <v>40,70</v>
      </c>
      <c r="H254" s="2" t="s">
        <v>207</v>
      </c>
    </row>
    <row r="255" customFormat="false" ht="16.5" hidden="false" customHeight="false" outlineLevel="0" collapsed="false">
      <c r="B255" s="1" t="str">
        <f aca="false">C255&amp;D255</f>
        <v>gummyt_sour</v>
      </c>
      <c r="C255" s="2" t="s">
        <v>79</v>
      </c>
      <c r="D255" s="2" t="s">
        <v>212</v>
      </c>
      <c r="E255" s="1" t="n">
        <v>100</v>
      </c>
      <c r="F255" s="1" t="n">
        <f aca="false">VLOOKUP(C255,dish_base!$B$4:$O$92,14,FALSE())</f>
        <v>60</v>
      </c>
      <c r="G255" s="1" t="str">
        <f aca="false">VLOOKUP(C255,dish_base!$B$4:$M$92,12,FALSE())</f>
        <v>40,70</v>
      </c>
      <c r="H255" s="2" t="s">
        <v>207</v>
      </c>
    </row>
    <row r="256" customFormat="false" ht="16.5" hidden="false" customHeight="false" outlineLevel="0" collapsed="false">
      <c r="B256" s="1" t="str">
        <f aca="false">C256&amp;D256</f>
        <v>cupcaket_sour</v>
      </c>
      <c r="C256" s="2" t="s">
        <v>82</v>
      </c>
      <c r="D256" s="2" t="s">
        <v>212</v>
      </c>
      <c r="E256" s="1" t="n">
        <v>100</v>
      </c>
      <c r="F256" s="1" t="n">
        <f aca="false">VLOOKUP(C256,dish_base!$B$4:$O$92,14,FALSE())</f>
        <v>60</v>
      </c>
      <c r="G256" s="1" t="str">
        <f aca="false">VLOOKUP(C256,dish_base!$B$4:$M$92,12,FALSE())</f>
        <v>40,70</v>
      </c>
      <c r="H256" s="2" t="s">
        <v>207</v>
      </c>
    </row>
    <row r="257" customFormat="false" ht="16.5" hidden="false" customHeight="false" outlineLevel="0" collapsed="false">
      <c r="B257" s="1" t="str">
        <f aca="false">C257&amp;D257</f>
        <v>mousset_sour</v>
      </c>
      <c r="C257" s="2" t="s">
        <v>86</v>
      </c>
      <c r="D257" s="2" t="s">
        <v>212</v>
      </c>
      <c r="E257" s="1" t="n">
        <v>100</v>
      </c>
      <c r="F257" s="1" t="n">
        <f aca="false">VLOOKUP(C257,dish_base!$B$4:$O$92,14,FALSE())</f>
        <v>60</v>
      </c>
      <c r="G257" s="1" t="str">
        <f aca="false">VLOOKUP(C257,dish_base!$B$4:$M$92,12,FALSE())</f>
        <v>40,70</v>
      </c>
      <c r="H257" s="2" t="s">
        <v>207</v>
      </c>
    </row>
    <row r="258" customFormat="false" ht="16.5" hidden="false" customHeight="false" outlineLevel="0" collapsed="false">
      <c r="B258" s="1" t="str">
        <f aca="false">C258&amp;D258</f>
        <v>toffeet_sour</v>
      </c>
      <c r="C258" s="2" t="s">
        <v>93</v>
      </c>
      <c r="D258" s="2" t="s">
        <v>212</v>
      </c>
      <c r="E258" s="1" t="n">
        <v>100</v>
      </c>
      <c r="F258" s="1" t="n">
        <f aca="false">VLOOKUP(C258,dish_base!$B$4:$O$92,14,FALSE())</f>
        <v>60</v>
      </c>
      <c r="G258" s="1" t="str">
        <f aca="false">VLOOKUP(C258,dish_base!$B$4:$M$92,12,FALSE())</f>
        <v>40,70</v>
      </c>
      <c r="H258" s="2" t="s">
        <v>207</v>
      </c>
    </row>
    <row r="259" customFormat="false" ht="16.5" hidden="false" customHeight="false" outlineLevel="0" collapsed="false">
      <c r="B259" s="1" t="str">
        <f aca="false">C259&amp;D259</f>
        <v>nougatt_sour</v>
      </c>
      <c r="C259" s="2" t="s">
        <v>100</v>
      </c>
      <c r="D259" s="2" t="s">
        <v>212</v>
      </c>
      <c r="E259" s="1" t="n">
        <v>100</v>
      </c>
      <c r="F259" s="1" t="n">
        <f aca="false">VLOOKUP(C259,dish_base!$B$4:$O$92,14,FALSE())</f>
        <v>60</v>
      </c>
      <c r="G259" s="1" t="str">
        <f aca="false">VLOOKUP(C259,dish_base!$B$4:$M$92,12,FALSE())</f>
        <v>40,70</v>
      </c>
      <c r="H259" s="2" t="s">
        <v>207</v>
      </c>
    </row>
    <row r="260" customFormat="false" ht="16.5" hidden="false" customHeight="false" outlineLevel="0" collapsed="false">
      <c r="B260" s="1" t="str">
        <f aca="false">C260&amp;D260</f>
        <v>eggrollt_sour</v>
      </c>
      <c r="C260" s="2" t="s">
        <v>106</v>
      </c>
      <c r="D260" s="2" t="s">
        <v>212</v>
      </c>
      <c r="E260" s="1" t="n">
        <v>100</v>
      </c>
      <c r="F260" s="1" t="n">
        <f aca="false">VLOOKUP(C260,dish_base!$B$4:$O$92,14,FALSE())</f>
        <v>80</v>
      </c>
      <c r="G260" s="1" t="str">
        <f aca="false">VLOOKUP(C260,dish_base!$B$4:$M$92,12,FALSE())</f>
        <v>45,80</v>
      </c>
      <c r="H260" s="2" t="s">
        <v>207</v>
      </c>
    </row>
    <row r="261" customFormat="false" ht="16.5" hidden="false" customHeight="false" outlineLevel="0" collapsed="false">
      <c r="B261" s="1" t="str">
        <f aca="false">C261&amp;D261</f>
        <v>choco_bart_sour</v>
      </c>
      <c r="C261" s="2" t="s">
        <v>112</v>
      </c>
      <c r="D261" s="2" t="s">
        <v>212</v>
      </c>
      <c r="E261" s="1" t="n">
        <v>100</v>
      </c>
      <c r="F261" s="1" t="n">
        <f aca="false">VLOOKUP(C261,dish_base!$B$4:$O$92,14,FALSE())</f>
        <v>80</v>
      </c>
      <c r="G261" s="1" t="str">
        <f aca="false">VLOOKUP(C261,dish_base!$B$4:$M$92,12,FALSE())</f>
        <v>45,80</v>
      </c>
      <c r="H261" s="2" t="s">
        <v>207</v>
      </c>
    </row>
    <row r="262" customFormat="false" ht="16.5" hidden="false" customHeight="false" outlineLevel="0" collapsed="false">
      <c r="B262" s="1" t="str">
        <f aca="false">C262&amp;D262</f>
        <v>eclairt_sour</v>
      </c>
      <c r="C262" s="2" t="s">
        <v>115</v>
      </c>
      <c r="D262" s="2" t="s">
        <v>212</v>
      </c>
      <c r="E262" s="1" t="n">
        <v>100</v>
      </c>
      <c r="F262" s="1" t="n">
        <f aca="false">VLOOKUP(C262,dish_base!$B$4:$O$92,14,FALSE())</f>
        <v>80</v>
      </c>
      <c r="G262" s="1" t="str">
        <f aca="false">VLOOKUP(C262,dish_base!$B$4:$M$92,12,FALSE())</f>
        <v>45,80</v>
      </c>
      <c r="H262" s="2" t="s">
        <v>207</v>
      </c>
    </row>
    <row r="263" customFormat="false" ht="16.5" hidden="false" customHeight="false" outlineLevel="0" collapsed="false">
      <c r="B263" s="1" t="str">
        <f aca="false">C263&amp;D263</f>
        <v>tanghulut_sour</v>
      </c>
      <c r="C263" s="2" t="s">
        <v>118</v>
      </c>
      <c r="D263" s="2" t="s">
        <v>212</v>
      </c>
      <c r="E263" s="1" t="n">
        <v>100</v>
      </c>
      <c r="F263" s="1" t="n">
        <f aca="false">VLOOKUP(C263,dish_base!$B$4:$O$92,14,FALSE())</f>
        <v>80</v>
      </c>
      <c r="G263" s="3" t="str">
        <f aca="false">VLOOKUP(C263,dish_base!$B$4:$M$92,12,FALSE())</f>
        <v>45,80</v>
      </c>
      <c r="H263" s="2" t="s">
        <v>207</v>
      </c>
    </row>
    <row r="264" customFormat="false" ht="16.5" hidden="false" customHeight="false" outlineLevel="0" collapsed="false">
      <c r="B264" s="1" t="str">
        <f aca="false">C264&amp;D264</f>
        <v>soufflet_sour</v>
      </c>
      <c r="C264" s="2" t="s">
        <v>121</v>
      </c>
      <c r="D264" s="2" t="s">
        <v>212</v>
      </c>
      <c r="E264" s="1" t="n">
        <v>100</v>
      </c>
      <c r="F264" s="1" t="n">
        <f aca="false">VLOOKUP(C264,dish_base!$B$4:$O$92,14,FALSE())</f>
        <v>90</v>
      </c>
      <c r="G264" s="3" t="str">
        <f aca="false">VLOOKUP(C264,dish_base!$B$4:$M$92,12,FALSE())</f>
        <v>55,100</v>
      </c>
      <c r="H264" s="2" t="s">
        <v>207</v>
      </c>
    </row>
    <row r="265" customFormat="false" ht="16.5" hidden="false" customHeight="false" outlineLevel="0" collapsed="false">
      <c r="B265" s="1" t="str">
        <f aca="false">C265&amp;D265</f>
        <v>taosut_sour</v>
      </c>
      <c r="C265" s="2" t="s">
        <v>124</v>
      </c>
      <c r="D265" s="2" t="s">
        <v>212</v>
      </c>
      <c r="E265" s="1" t="n">
        <v>100</v>
      </c>
      <c r="F265" s="1" t="n">
        <f aca="false">VLOOKUP(C265,dish_base!$B$4:$O$92,14,FALSE())</f>
        <v>90</v>
      </c>
      <c r="G265" s="3" t="str">
        <f aca="false">VLOOKUP(C265,dish_base!$B$4:$M$92,12,FALSE())</f>
        <v>55,100</v>
      </c>
      <c r="H265" s="2" t="s">
        <v>207</v>
      </c>
    </row>
    <row r="266" customFormat="false" ht="16.5" hidden="false" customHeight="false" outlineLevel="0" collapsed="false">
      <c r="B266" s="1" t="str">
        <f aca="false">C266&amp;D266</f>
        <v>mooncaket_sour</v>
      </c>
      <c r="C266" s="2" t="s">
        <v>127</v>
      </c>
      <c r="D266" s="2" t="s">
        <v>212</v>
      </c>
      <c r="E266" s="1" t="n">
        <v>100</v>
      </c>
      <c r="F266" s="1" t="n">
        <f aca="false">VLOOKUP(C266,dish_base!$B$4:$O$92,14,FALSE())</f>
        <v>90</v>
      </c>
      <c r="G266" s="3" t="str">
        <f aca="false">VLOOKUP(C266,dish_base!$B$4:$M$92,12,FALSE())</f>
        <v>55,100</v>
      </c>
      <c r="H266" s="2" t="s">
        <v>207</v>
      </c>
    </row>
    <row r="267" customFormat="false" ht="16.5" hidden="false" customHeight="false" outlineLevel="0" collapsed="false">
      <c r="B267" s="1" t="str">
        <f aca="false">C267&amp;D267</f>
        <v>wafflet_sour</v>
      </c>
      <c r="C267" s="2" t="s">
        <v>130</v>
      </c>
      <c r="D267" s="2" t="s">
        <v>212</v>
      </c>
      <c r="E267" s="1" t="n">
        <v>100</v>
      </c>
      <c r="F267" s="1" t="n">
        <f aca="false">VLOOKUP(C267,dish_base!$B$4:$O$92,14,FALSE())</f>
        <v>90</v>
      </c>
      <c r="G267" s="3" t="str">
        <f aca="false">VLOOKUP(C267,dish_base!$B$4:$M$92,12,FALSE())</f>
        <v>55,100</v>
      </c>
      <c r="H267" s="2" t="s">
        <v>207</v>
      </c>
    </row>
    <row r="268" customFormat="false" ht="16.5" hidden="false" customHeight="false" outlineLevel="0" collapsed="false">
      <c r="B268" s="1" t="str">
        <f aca="false">C268&amp;D268</f>
        <v>dorayakit_sour</v>
      </c>
      <c r="C268" s="2" t="s">
        <v>133</v>
      </c>
      <c r="D268" s="2" t="s">
        <v>212</v>
      </c>
      <c r="E268" s="1" t="n">
        <v>100</v>
      </c>
      <c r="F268" s="1" t="n">
        <f aca="false">VLOOKUP(C268,dish_base!$B$4:$O$92,14,FALSE())</f>
        <v>90</v>
      </c>
      <c r="G268" s="3" t="str">
        <f aca="false">VLOOKUP(C268,dish_base!$B$4:$M$92,12,FALSE())</f>
        <v>55,100</v>
      </c>
      <c r="H268" s="2" t="s">
        <v>207</v>
      </c>
    </row>
    <row r="269" customFormat="false" ht="16.5" hidden="false" customHeight="false" outlineLevel="0" collapsed="false">
      <c r="B269" s="1" t="str">
        <f aca="false">C269&amp;D269</f>
        <v>cream_caket_sour</v>
      </c>
      <c r="C269" s="2" t="s">
        <v>136</v>
      </c>
      <c r="D269" s="2" t="s">
        <v>212</v>
      </c>
      <c r="E269" s="1" t="n">
        <v>100</v>
      </c>
      <c r="F269" s="1" t="n">
        <f aca="false">VLOOKUP(C269,dish_base!$B$4:$O$92,14,FALSE())</f>
        <v>90</v>
      </c>
      <c r="G269" s="3" t="str">
        <f aca="false">VLOOKUP(C269,dish_base!$B$4:$M$92,12,FALSE())</f>
        <v>55,100</v>
      </c>
      <c r="H269" s="2" t="s">
        <v>207</v>
      </c>
    </row>
    <row r="270" customFormat="false" ht="16.5" hidden="false" customHeight="false" outlineLevel="0" collapsed="false">
      <c r="B270" s="1" t="str">
        <f aca="false">C270&amp;D270</f>
        <v>donutt_sour</v>
      </c>
      <c r="C270" s="2" t="s">
        <v>139</v>
      </c>
      <c r="D270" s="2" t="s">
        <v>212</v>
      </c>
      <c r="E270" s="1" t="n">
        <v>100</v>
      </c>
      <c r="F270" s="1" t="n">
        <f aca="false">VLOOKUP(C270,dish_base!$B$4:$O$92,14,FALSE())</f>
        <v>90</v>
      </c>
      <c r="G270" s="3" t="str">
        <f aca="false">VLOOKUP(C270,dish_base!$B$4:$M$92,12,FALSE())</f>
        <v>55,100</v>
      </c>
      <c r="H270" s="2" t="s">
        <v>207</v>
      </c>
    </row>
    <row r="271" customFormat="false" ht="16.5" hidden="false" customHeight="false" outlineLevel="0" collapsed="false">
      <c r="B271" s="1" t="str">
        <f aca="false">C271&amp;D271</f>
        <v>pengtangt_sour</v>
      </c>
      <c r="C271" s="2" t="s">
        <v>142</v>
      </c>
      <c r="D271" s="2" t="s">
        <v>212</v>
      </c>
      <c r="E271" s="1" t="n">
        <v>100</v>
      </c>
      <c r="F271" s="1" t="n">
        <f aca="false">VLOOKUP(C271,dish_base!$B$4:$O$92,14,FALSE())</f>
        <v>90</v>
      </c>
      <c r="G271" s="3" t="str">
        <f aca="false">VLOOKUP(C271,dish_base!$B$4:$M$92,12,FALSE())</f>
        <v>55,100</v>
      </c>
      <c r="H271" s="2" t="s">
        <v>207</v>
      </c>
    </row>
    <row r="272" customFormat="false" ht="16.5" hidden="false" customHeight="false" outlineLevel="0" collapsed="false">
      <c r="B272" s="1" t="str">
        <f aca="false">C272&amp;D272</f>
        <v>parfaitt_sour</v>
      </c>
      <c r="C272" s="2" t="s">
        <v>145</v>
      </c>
      <c r="D272" s="2" t="s">
        <v>212</v>
      </c>
      <c r="E272" s="1" t="n">
        <v>100</v>
      </c>
      <c r="F272" s="1" t="n">
        <f aca="false">VLOOKUP(C272,dish_base!$B$4:$O$92,14,FALSE())</f>
        <v>120</v>
      </c>
      <c r="G272" s="3" t="str">
        <f aca="false">VLOOKUP(C272,dish_base!$B$4:$M$92,12,FALSE())</f>
        <v>70,120</v>
      </c>
      <c r="H272" s="2" t="s">
        <v>207</v>
      </c>
    </row>
    <row r="273" customFormat="false" ht="16.5" hidden="false" customHeight="false" outlineLevel="0" collapsed="false">
      <c r="B273" s="1" t="str">
        <f aca="false">C273&amp;D273</f>
        <v>sundae_bigt_sour</v>
      </c>
      <c r="C273" s="2" t="s">
        <v>148</v>
      </c>
      <c r="D273" s="2" t="s">
        <v>212</v>
      </c>
      <c r="E273" s="1" t="n">
        <v>100</v>
      </c>
      <c r="F273" s="1" t="n">
        <f aca="false">VLOOKUP(C273,dish_base!$B$4:$O$92,14,FALSE())</f>
        <v>120</v>
      </c>
      <c r="G273" s="3" t="str">
        <f aca="false">VLOOKUP(C273,dish_base!$B$4:$M$92,12,FALSE())</f>
        <v>70,120</v>
      </c>
      <c r="H273" s="2" t="s">
        <v>207</v>
      </c>
    </row>
    <row r="274" customFormat="false" ht="16.5" hidden="false" customHeight="false" outlineLevel="0" collapsed="false">
      <c r="B274" s="1" t="str">
        <f aca="false">C274&amp;D274</f>
        <v>swiss_rollt_sour</v>
      </c>
      <c r="C274" s="2" t="s">
        <v>150</v>
      </c>
      <c r="D274" s="2" t="s">
        <v>212</v>
      </c>
      <c r="E274" s="1" t="n">
        <v>100</v>
      </c>
      <c r="F274" s="1" t="n">
        <f aca="false">VLOOKUP(C274,dish_base!$B$4:$O$92,14,FALSE())</f>
        <v>120</v>
      </c>
      <c r="G274" s="3" t="str">
        <f aca="false">VLOOKUP(C274,dish_base!$B$4:$M$92,12,FALSE())</f>
        <v>70,120</v>
      </c>
      <c r="H274" s="2" t="s">
        <v>207</v>
      </c>
    </row>
    <row r="275" customFormat="false" ht="16.5" hidden="false" customHeight="false" outlineLevel="0" collapsed="false">
      <c r="B275" s="1" t="str">
        <f aca="false">C275&amp;D275</f>
        <v>mango_sagot_sour</v>
      </c>
      <c r="C275" s="2" t="s">
        <v>153</v>
      </c>
      <c r="D275" s="2" t="s">
        <v>212</v>
      </c>
      <c r="E275" s="1" t="n">
        <v>100</v>
      </c>
      <c r="F275" s="1" t="n">
        <f aca="false">VLOOKUP(C275,dish_base!$B$4:$O$92,14,FALSE())</f>
        <v>120</v>
      </c>
      <c r="G275" s="3" t="str">
        <f aca="false">VLOOKUP(C275,dish_base!$B$4:$M$92,12,FALSE())</f>
        <v>70,120</v>
      </c>
      <c r="H275" s="2" t="s">
        <v>207</v>
      </c>
    </row>
    <row r="276" customFormat="false" ht="16.5" hidden="false" customHeight="false" outlineLevel="0" collapsed="false">
      <c r="B276" s="1" t="str">
        <f aca="false">C276&amp;D276</f>
        <v>chiffiont_sour</v>
      </c>
      <c r="C276" s="2" t="s">
        <v>156</v>
      </c>
      <c r="D276" s="2" t="s">
        <v>212</v>
      </c>
      <c r="E276" s="1" t="n">
        <v>100</v>
      </c>
      <c r="F276" s="1" t="n">
        <f aca="false">VLOOKUP(C276,dish_base!$B$4:$O$92,14,FALSE())</f>
        <v>120</v>
      </c>
      <c r="G276" s="3" t="str">
        <f aca="false">VLOOKUP(C276,dish_base!$B$4:$M$92,12,FALSE())</f>
        <v>70,120</v>
      </c>
      <c r="H276" s="2" t="s">
        <v>207</v>
      </c>
    </row>
    <row r="277" customFormat="false" ht="16.5" hidden="false" customHeight="false" outlineLevel="0" collapsed="false">
      <c r="B277" s="1" t="str">
        <f aca="false">C277&amp;D277</f>
        <v>apple_piet_sour</v>
      </c>
      <c r="C277" s="2" t="s">
        <v>159</v>
      </c>
      <c r="D277" s="2" t="s">
        <v>212</v>
      </c>
      <c r="E277" s="1" t="n">
        <v>100</v>
      </c>
      <c r="F277" s="1" t="n">
        <f aca="false">VLOOKUP(C277,dish_base!$B$4:$O$92,14,FALSE())</f>
        <v>120</v>
      </c>
      <c r="G277" s="3" t="str">
        <f aca="false">VLOOKUP(C277,dish_base!$B$4:$M$92,12,FALSE())</f>
        <v>70,120</v>
      </c>
      <c r="H277" s="2" t="s">
        <v>207</v>
      </c>
    </row>
    <row r="278" customFormat="false" ht="16.5" hidden="false" customHeight="false" outlineLevel="0" collapsed="false">
      <c r="B278" s="1" t="str">
        <f aca="false">C278&amp;D278</f>
        <v>fruit_caket_sour</v>
      </c>
      <c r="C278" s="2" t="s">
        <v>162</v>
      </c>
      <c r="D278" s="2" t="s">
        <v>212</v>
      </c>
      <c r="E278" s="1" t="n">
        <v>100</v>
      </c>
      <c r="F278" s="1" t="n">
        <f aca="false">VLOOKUP(C278,dish_base!$B$4:$O$92,14,FALSE())</f>
        <v>120</v>
      </c>
      <c r="G278" s="3" t="str">
        <f aca="false">VLOOKUP(C278,dish_base!$B$4:$M$92,12,FALSE())</f>
        <v>70,120</v>
      </c>
      <c r="H278" s="2" t="s">
        <v>207</v>
      </c>
    </row>
    <row r="279" customFormat="false" ht="16.5" hidden="false" customHeight="false" outlineLevel="0" collapsed="false">
      <c r="B279" s="1" t="str">
        <f aca="false">C279&amp;D279</f>
        <v>chocolatet_sour</v>
      </c>
      <c r="C279" s="2" t="s">
        <v>165</v>
      </c>
      <c r="D279" s="2" t="s">
        <v>212</v>
      </c>
      <c r="E279" s="1" t="n">
        <v>100</v>
      </c>
      <c r="F279" s="1" t="n">
        <f aca="false">VLOOKUP(C279,dish_base!$B$4:$O$92,14,FALSE())</f>
        <v>120</v>
      </c>
      <c r="G279" s="3" t="str">
        <f aca="false">VLOOKUP(C279,dish_base!$B$4:$M$92,12,FALSE())</f>
        <v>70,120</v>
      </c>
      <c r="H279" s="2" t="s">
        <v>207</v>
      </c>
    </row>
    <row r="280" customFormat="false" ht="16.5" hidden="false" customHeight="false" outlineLevel="0" collapsed="false">
      <c r="B280" s="1" t="str">
        <f aca="false">C280&amp;D280</f>
        <v>croissantt_sour</v>
      </c>
      <c r="C280" s="2" t="s">
        <v>168</v>
      </c>
      <c r="D280" s="2" t="s">
        <v>212</v>
      </c>
      <c r="E280" s="1" t="n">
        <v>100</v>
      </c>
      <c r="F280" s="1" t="n">
        <f aca="false">VLOOKUP(C280,dish_base!$B$4:$O$92,14,FALSE())</f>
        <v>80</v>
      </c>
      <c r="G280" s="3" t="str">
        <f aca="false">VLOOKUP(C280,dish_base!$B$4:$M$92,12,FALSE())</f>
        <v>45,80</v>
      </c>
      <c r="H280" s="2" t="s">
        <v>207</v>
      </c>
    </row>
    <row r="281" customFormat="false" ht="16.5" hidden="false" customHeight="false" outlineLevel="0" collapsed="false">
      <c r="B281" s="1" t="str">
        <f aca="false">C281&amp;D281</f>
        <v>palmiert_sour</v>
      </c>
      <c r="C281" s="2" t="s">
        <v>172</v>
      </c>
      <c r="D281" s="2" t="s">
        <v>212</v>
      </c>
      <c r="E281" s="1" t="n">
        <v>100</v>
      </c>
      <c r="F281" s="1" t="n">
        <f aca="false">VLOOKUP(C281,dish_base!$B$4:$O$92,14,FALSE())</f>
        <v>80</v>
      </c>
      <c r="G281" s="3" t="str">
        <f aca="false">VLOOKUP(C281,dish_base!$B$4:$M$92,12,FALSE())</f>
        <v>45,80</v>
      </c>
      <c r="H281" s="2" t="s">
        <v>207</v>
      </c>
    </row>
    <row r="282" customFormat="false" ht="16.5" hidden="false" customHeight="false" outlineLevel="0" collapsed="false">
      <c r="B282" s="1" t="str">
        <f aca="false">C282&amp;D282</f>
        <v>candycanet_sour</v>
      </c>
      <c r="C282" s="2" t="s">
        <v>176</v>
      </c>
      <c r="D282" s="2" t="s">
        <v>212</v>
      </c>
      <c r="E282" s="1" t="n">
        <v>100</v>
      </c>
      <c r="F282" s="1" t="n">
        <f aca="false">VLOOKUP(C282,dish_base!$B$4:$O$92,14,FALSE())</f>
        <v>90</v>
      </c>
      <c r="G282" s="3" t="str">
        <f aca="false">VLOOKUP(C282,dish_base!$B$4:$M$92,12,FALSE())</f>
        <v>55,100</v>
      </c>
      <c r="H282" s="2" t="s">
        <v>207</v>
      </c>
    </row>
    <row r="283" customFormat="false" ht="16.5" hidden="false" customHeight="false" outlineLevel="0" collapsed="false">
      <c r="B283" s="1" t="str">
        <f aca="false">C283&amp;D283</f>
        <v>big_lollipopt_sour</v>
      </c>
      <c r="C283" s="2" t="s">
        <v>179</v>
      </c>
      <c r="D283" s="2" t="s">
        <v>212</v>
      </c>
      <c r="E283" s="1" t="n">
        <v>100</v>
      </c>
      <c r="F283" s="1" t="n">
        <f aca="false">VLOOKUP(C283,dish_base!$B$4:$O$92,14,FALSE())</f>
        <v>190</v>
      </c>
      <c r="G283" s="3" t="str">
        <f aca="false">VLOOKUP(C283,dish_base!$B$4:$M$92,12,FALSE())</f>
        <v>80,130</v>
      </c>
      <c r="H283" s="2" t="s">
        <v>207</v>
      </c>
    </row>
    <row r="284" customFormat="false" ht="16.5" hidden="false" customHeight="false" outlineLevel="0" collapsed="false">
      <c r="B284" s="1" t="str">
        <f aca="false">C284&amp;D284</f>
        <v>marshmallowt_sour</v>
      </c>
      <c r="C284" s="2" t="s">
        <v>183</v>
      </c>
      <c r="D284" s="2" t="s">
        <v>212</v>
      </c>
      <c r="E284" s="1" t="n">
        <v>100</v>
      </c>
      <c r="F284" s="1" t="n">
        <f aca="false">VLOOKUP(C284,dish_base!$B$4:$O$92,14,FALSE())</f>
        <v>160</v>
      </c>
      <c r="G284" s="3" t="str">
        <f aca="false">VLOOKUP(C284,dish_base!$B$4:$M$92,12,FALSE())</f>
        <v>80,130</v>
      </c>
      <c r="H284" s="2" t="s">
        <v>207</v>
      </c>
    </row>
    <row r="285" customFormat="false" ht="16.5" hidden="false" customHeight="false" outlineLevel="0" collapsed="false">
      <c r="B285" s="1" t="str">
        <f aca="false">C285&amp;D285</f>
        <v>double_caket_sour</v>
      </c>
      <c r="C285" s="2" t="s">
        <v>186</v>
      </c>
      <c r="D285" s="2" t="s">
        <v>212</v>
      </c>
      <c r="E285" s="1" t="n">
        <v>100</v>
      </c>
      <c r="F285" s="1" t="n">
        <f aca="false">VLOOKUP(C285,dish_base!$B$4:$O$92,14,FALSE())</f>
        <v>260</v>
      </c>
      <c r="G285" s="3" t="str">
        <f aca="false">VLOOKUP(C285,dish_base!$B$4:$M$92,12,FALSE())</f>
        <v>80,130</v>
      </c>
      <c r="H285" s="2" t="s">
        <v>207</v>
      </c>
    </row>
    <row r="286" customFormat="false" ht="16.5" hidden="false" customHeight="false" outlineLevel="0" collapsed="false">
      <c r="B286" s="1" t="str">
        <f aca="false">C286&amp;D286</f>
        <v>cookiet_salty</v>
      </c>
      <c r="C286" s="2" t="s">
        <v>23</v>
      </c>
      <c r="D286" s="2" t="s">
        <v>213</v>
      </c>
      <c r="E286" s="1" t="n">
        <v>100</v>
      </c>
      <c r="F286" s="1" t="n">
        <f aca="false">VLOOKUP(C286,dish_base!$B$4:$O$92,14,FALSE())</f>
        <v>50</v>
      </c>
      <c r="G286" s="1" t="str">
        <f aca="false">VLOOKUP(C286,dish_base!$B$4:$M$92,12,FALSE())</f>
        <v>35,60</v>
      </c>
      <c r="H286" s="2" t="s">
        <v>207</v>
      </c>
    </row>
    <row r="287" customFormat="false" ht="16.5" hidden="false" customHeight="false" outlineLevel="0" collapsed="false">
      <c r="B287" s="1" t="str">
        <f aca="false">C287&amp;D287</f>
        <v>macaront_salty</v>
      </c>
      <c r="C287" s="2" t="s">
        <v>28</v>
      </c>
      <c r="D287" s="2" t="s">
        <v>213</v>
      </c>
      <c r="E287" s="1" t="n">
        <v>100</v>
      </c>
      <c r="F287" s="1" t="n">
        <f aca="false">VLOOKUP(C287,dish_base!$B$4:$O$92,14,FALSE())</f>
        <v>50</v>
      </c>
      <c r="G287" s="1" t="str">
        <f aca="false">VLOOKUP(C287,dish_base!$B$4:$M$92,12,FALSE())</f>
        <v>35,60</v>
      </c>
      <c r="H287" s="2" t="s">
        <v>207</v>
      </c>
    </row>
    <row r="288" customFormat="false" ht="16.5" hidden="false" customHeight="false" outlineLevel="0" collapsed="false">
      <c r="B288" s="1" t="str">
        <f aca="false">C288&amp;D288</f>
        <v>puddingt_salty</v>
      </c>
      <c r="C288" s="2" t="s">
        <v>31</v>
      </c>
      <c r="D288" s="2" t="s">
        <v>213</v>
      </c>
      <c r="E288" s="1" t="n">
        <v>100</v>
      </c>
      <c r="F288" s="1" t="n">
        <f aca="false">VLOOKUP(C288,dish_base!$B$4:$O$92,14,FALSE())</f>
        <v>50</v>
      </c>
      <c r="G288" s="1" t="str">
        <f aca="false">VLOOKUP(C288,dish_base!$B$4:$M$92,12,FALSE())</f>
        <v>35,60</v>
      </c>
      <c r="H288" s="2" t="s">
        <v>207</v>
      </c>
    </row>
    <row r="289" customFormat="false" ht="16.5" hidden="false" customHeight="false" outlineLevel="0" collapsed="false">
      <c r="B289" s="1" t="str">
        <f aca="false">C289&amp;D289</f>
        <v>pufft_salty</v>
      </c>
      <c r="C289" s="2" t="s">
        <v>34</v>
      </c>
      <c r="D289" s="2" t="s">
        <v>213</v>
      </c>
      <c r="E289" s="1" t="n">
        <v>100</v>
      </c>
      <c r="F289" s="1" t="n">
        <f aca="false">VLOOKUP(C289,dish_base!$B$4:$O$92,14,FALSE())</f>
        <v>50</v>
      </c>
      <c r="G289" s="1" t="str">
        <f aca="false">VLOOKUP(C289,dish_base!$B$4:$M$92,12,FALSE())</f>
        <v>35,60</v>
      </c>
      <c r="H289" s="2" t="s">
        <v>207</v>
      </c>
    </row>
    <row r="290" customFormat="false" ht="16.5" hidden="false" customHeight="false" outlineLevel="0" collapsed="false">
      <c r="B290" s="1" t="str">
        <f aca="false">C290&amp;D290</f>
        <v>eggtartt_salty</v>
      </c>
      <c r="C290" s="2" t="s">
        <v>37</v>
      </c>
      <c r="D290" s="2" t="s">
        <v>213</v>
      </c>
      <c r="E290" s="1" t="n">
        <v>100</v>
      </c>
      <c r="F290" s="1" t="n">
        <f aca="false">VLOOKUP(C290,dish_base!$B$4:$O$92,14,FALSE())</f>
        <v>50</v>
      </c>
      <c r="G290" s="1" t="str">
        <f aca="false">VLOOKUP(C290,dish_base!$B$4:$M$92,12,FALSE())</f>
        <v>35,60</v>
      </c>
      <c r="H290" s="2" t="s">
        <v>207</v>
      </c>
    </row>
    <row r="291" customFormat="false" ht="16.5" hidden="false" customHeight="false" outlineLevel="0" collapsed="false">
      <c r="B291" s="1" t="str">
        <f aca="false">C291&amp;D291</f>
        <v>mochit_salty</v>
      </c>
      <c r="C291" s="2" t="s">
        <v>40</v>
      </c>
      <c r="D291" s="2" t="s">
        <v>213</v>
      </c>
      <c r="E291" s="1" t="n">
        <v>100</v>
      </c>
      <c r="F291" s="1" t="n">
        <f aca="false">VLOOKUP(C291,dish_base!$B$4:$O$92,14,FALSE())</f>
        <v>50</v>
      </c>
      <c r="G291" s="1" t="str">
        <f aca="false">VLOOKUP(C291,dish_base!$B$4:$M$92,12,FALSE())</f>
        <v>35,60</v>
      </c>
      <c r="H291" s="2" t="s">
        <v>207</v>
      </c>
    </row>
    <row r="292" customFormat="false" ht="16.5" hidden="false" customHeight="false" outlineLevel="0" collapsed="false">
      <c r="B292" s="1" t="str">
        <f aca="false">C292&amp;D292</f>
        <v>daifukut_salty</v>
      </c>
      <c r="C292" s="2" t="s">
        <v>43</v>
      </c>
      <c r="D292" s="2" t="s">
        <v>213</v>
      </c>
      <c r="E292" s="1" t="n">
        <v>100</v>
      </c>
      <c r="F292" s="1" t="n">
        <f aca="false">VLOOKUP(C292,dish_base!$B$4:$O$92,14,FALSE())</f>
        <v>50</v>
      </c>
      <c r="G292" s="1" t="str">
        <f aca="false">VLOOKUP(C292,dish_base!$B$4:$M$92,12,FALSE())</f>
        <v>35,60</v>
      </c>
      <c r="H292" s="2" t="s">
        <v>207</v>
      </c>
    </row>
    <row r="293" customFormat="false" ht="16.5" hidden="false" customHeight="false" outlineLevel="0" collapsed="false">
      <c r="B293" s="1" t="str">
        <f aca="false">C293&amp;D293</f>
        <v>choco_candyt_salty</v>
      </c>
      <c r="C293" s="2" t="s">
        <v>46</v>
      </c>
      <c r="D293" s="2" t="s">
        <v>213</v>
      </c>
      <c r="E293" s="1" t="n">
        <v>100</v>
      </c>
      <c r="F293" s="1" t="n">
        <f aca="false">VLOOKUP(C293,dish_base!$B$4:$O$92,14,FALSE())</f>
        <v>50</v>
      </c>
      <c r="G293" s="1" t="str">
        <f aca="false">VLOOKUP(C293,dish_base!$B$4:$M$92,12,FALSE())</f>
        <v>35,60</v>
      </c>
      <c r="H293" s="2" t="s">
        <v>207</v>
      </c>
    </row>
    <row r="294" customFormat="false" ht="16.5" hidden="false" customHeight="false" outlineLevel="0" collapsed="false">
      <c r="B294" s="1" t="str">
        <f aca="false">C294&amp;D294</f>
        <v>jellyt_salty</v>
      </c>
      <c r="C294" s="2" t="s">
        <v>49</v>
      </c>
      <c r="D294" s="2" t="s">
        <v>213</v>
      </c>
      <c r="E294" s="1" t="n">
        <v>100</v>
      </c>
      <c r="F294" s="1" t="n">
        <f aca="false">VLOOKUP(C294,dish_base!$B$4:$O$92,14,FALSE())</f>
        <v>50</v>
      </c>
      <c r="G294" s="1" t="str">
        <f aca="false">VLOOKUP(C294,dish_base!$B$4:$M$92,12,FALSE())</f>
        <v>35,60</v>
      </c>
      <c r="H294" s="2" t="s">
        <v>207</v>
      </c>
    </row>
    <row r="295" customFormat="false" ht="16.5" hidden="false" customHeight="false" outlineLevel="0" collapsed="false">
      <c r="B295" s="1" t="str">
        <f aca="false">C295&amp;D295</f>
        <v>cream_cellt_salty</v>
      </c>
      <c r="C295" s="2" t="s">
        <v>53</v>
      </c>
      <c r="D295" s="2" t="s">
        <v>213</v>
      </c>
      <c r="E295" s="1" t="n">
        <v>100</v>
      </c>
      <c r="F295" s="1" t="n">
        <f aca="false">VLOOKUP(C295,dish_base!$B$4:$O$92,14,FALSE())</f>
        <v>50</v>
      </c>
      <c r="G295" s="1" t="str">
        <f aca="false">VLOOKUP(C295,dish_base!$B$4:$M$92,12,FALSE())</f>
        <v>35,60</v>
      </c>
      <c r="H295" s="2" t="s">
        <v>207</v>
      </c>
    </row>
    <row r="296" customFormat="false" ht="16.5" hidden="false" customHeight="false" outlineLevel="0" collapsed="false">
      <c r="B296" s="1" t="str">
        <f aca="false">C296&amp;D296</f>
        <v>sugarbeant_salty</v>
      </c>
      <c r="C296" s="2" t="s">
        <v>57</v>
      </c>
      <c r="D296" s="2" t="s">
        <v>213</v>
      </c>
      <c r="E296" s="1" t="n">
        <v>100</v>
      </c>
      <c r="F296" s="1" t="n">
        <f aca="false">VLOOKUP(C296,dish_base!$B$4:$O$92,14,FALSE())</f>
        <v>50</v>
      </c>
      <c r="G296" s="1" t="str">
        <f aca="false">VLOOKUP(C296,dish_base!$B$4:$M$92,12,FALSE())</f>
        <v>35,60</v>
      </c>
      <c r="H296" s="2" t="s">
        <v>207</v>
      </c>
    </row>
    <row r="297" customFormat="false" ht="16.5" hidden="false" customHeight="false" outlineLevel="0" collapsed="false">
      <c r="B297" s="1" t="str">
        <f aca="false">C297&amp;D297</f>
        <v>gold_chocot_salty</v>
      </c>
      <c r="C297" s="2" t="s">
        <v>61</v>
      </c>
      <c r="D297" s="2" t="s">
        <v>213</v>
      </c>
      <c r="E297" s="1" t="n">
        <v>100</v>
      </c>
      <c r="F297" s="1" t="n">
        <f aca="false">VLOOKUP(C297,dish_base!$B$4:$O$92,14,FALSE())</f>
        <v>50</v>
      </c>
      <c r="G297" s="1" t="str">
        <f aca="false">VLOOKUP(C297,dish_base!$B$4:$M$92,12,FALSE())</f>
        <v>35,60</v>
      </c>
      <c r="H297" s="2" t="s">
        <v>207</v>
      </c>
    </row>
    <row r="298" customFormat="false" ht="16.5" hidden="false" customHeight="false" outlineLevel="0" collapsed="false">
      <c r="B298" s="1" t="str">
        <f aca="false">C298&amp;D298</f>
        <v>milk_slicet_salty</v>
      </c>
      <c r="C298" s="2" t="s">
        <v>65</v>
      </c>
      <c r="D298" s="2" t="s">
        <v>213</v>
      </c>
      <c r="E298" s="1" t="n">
        <v>100</v>
      </c>
      <c r="F298" s="1" t="n">
        <f aca="false">VLOOKUP(C298,dish_base!$B$4:$O$92,14,FALSE())</f>
        <v>50</v>
      </c>
      <c r="G298" s="1" t="str">
        <f aca="false">VLOOKUP(C298,dish_base!$B$4:$M$92,12,FALSE())</f>
        <v>35,60</v>
      </c>
      <c r="H298" s="2" t="s">
        <v>207</v>
      </c>
    </row>
    <row r="299" customFormat="false" ht="16.5" hidden="false" customHeight="false" outlineLevel="0" collapsed="false">
      <c r="B299" s="1" t="str">
        <f aca="false">C299&amp;D299</f>
        <v>sundaet_salty</v>
      </c>
      <c r="C299" s="2" t="s">
        <v>69</v>
      </c>
      <c r="D299" s="2" t="s">
        <v>213</v>
      </c>
      <c r="E299" s="1" t="n">
        <v>100</v>
      </c>
      <c r="F299" s="1" t="n">
        <f aca="false">VLOOKUP(C299,dish_base!$B$4:$O$92,14,FALSE())</f>
        <v>60</v>
      </c>
      <c r="G299" s="1" t="str">
        <f aca="false">VLOOKUP(C299,dish_base!$B$4:$M$92,12,FALSE())</f>
        <v>40,70</v>
      </c>
      <c r="H299" s="2" t="s">
        <v>207</v>
      </c>
    </row>
    <row r="300" customFormat="false" ht="16.5" hidden="false" customHeight="false" outlineLevel="0" collapsed="false">
      <c r="B300" s="1" t="str">
        <f aca="false">C300&amp;D300</f>
        <v>conet_salty</v>
      </c>
      <c r="C300" s="2" t="s">
        <v>73</v>
      </c>
      <c r="D300" s="2" t="s">
        <v>213</v>
      </c>
      <c r="E300" s="1" t="n">
        <v>100</v>
      </c>
      <c r="F300" s="1" t="n">
        <f aca="false">VLOOKUP(C300,dish_base!$B$4:$O$92,14,FALSE())</f>
        <v>60</v>
      </c>
      <c r="G300" s="1" t="str">
        <f aca="false">VLOOKUP(C300,dish_base!$B$4:$M$92,12,FALSE())</f>
        <v>40,70</v>
      </c>
      <c r="H300" s="2" t="s">
        <v>207</v>
      </c>
    </row>
    <row r="301" customFormat="false" ht="16.5" hidden="false" customHeight="false" outlineLevel="0" collapsed="false">
      <c r="B301" s="1" t="str">
        <f aca="false">C301&amp;D301</f>
        <v>lollipopt_salty</v>
      </c>
      <c r="C301" s="2" t="s">
        <v>76</v>
      </c>
      <c r="D301" s="2" t="s">
        <v>213</v>
      </c>
      <c r="E301" s="1" t="n">
        <v>100</v>
      </c>
      <c r="F301" s="1" t="n">
        <f aca="false">VLOOKUP(C301,dish_base!$B$4:$O$92,14,FALSE())</f>
        <v>60</v>
      </c>
      <c r="G301" s="1" t="str">
        <f aca="false">VLOOKUP(C301,dish_base!$B$4:$M$92,12,FALSE())</f>
        <v>40,70</v>
      </c>
      <c r="H301" s="2" t="s">
        <v>207</v>
      </c>
    </row>
    <row r="302" customFormat="false" ht="16.5" hidden="false" customHeight="false" outlineLevel="0" collapsed="false">
      <c r="B302" s="1" t="str">
        <f aca="false">C302&amp;D302</f>
        <v>gummyt_salty</v>
      </c>
      <c r="C302" s="2" t="s">
        <v>79</v>
      </c>
      <c r="D302" s="2" t="s">
        <v>213</v>
      </c>
      <c r="E302" s="1" t="n">
        <v>100</v>
      </c>
      <c r="F302" s="1" t="n">
        <f aca="false">VLOOKUP(C302,dish_base!$B$4:$O$92,14,FALSE())</f>
        <v>60</v>
      </c>
      <c r="G302" s="1" t="str">
        <f aca="false">VLOOKUP(C302,dish_base!$B$4:$M$92,12,FALSE())</f>
        <v>40,70</v>
      </c>
      <c r="H302" s="2" t="s">
        <v>207</v>
      </c>
    </row>
    <row r="303" customFormat="false" ht="16.5" hidden="false" customHeight="false" outlineLevel="0" collapsed="false">
      <c r="B303" s="1" t="str">
        <f aca="false">C303&amp;D303</f>
        <v>cupcaket_salty</v>
      </c>
      <c r="C303" s="2" t="s">
        <v>82</v>
      </c>
      <c r="D303" s="2" t="s">
        <v>213</v>
      </c>
      <c r="E303" s="1" t="n">
        <v>100</v>
      </c>
      <c r="F303" s="1" t="n">
        <f aca="false">VLOOKUP(C303,dish_base!$B$4:$O$92,14,FALSE())</f>
        <v>60</v>
      </c>
      <c r="G303" s="1" t="str">
        <f aca="false">VLOOKUP(C303,dish_base!$B$4:$M$92,12,FALSE())</f>
        <v>40,70</v>
      </c>
      <c r="H303" s="2" t="s">
        <v>207</v>
      </c>
    </row>
    <row r="304" customFormat="false" ht="16.5" hidden="false" customHeight="false" outlineLevel="0" collapsed="false">
      <c r="B304" s="1" t="str">
        <f aca="false">C304&amp;D304</f>
        <v>mousset_salty</v>
      </c>
      <c r="C304" s="2" t="s">
        <v>86</v>
      </c>
      <c r="D304" s="2" t="s">
        <v>213</v>
      </c>
      <c r="E304" s="1" t="n">
        <v>100</v>
      </c>
      <c r="F304" s="1" t="n">
        <f aca="false">VLOOKUP(C304,dish_base!$B$4:$O$92,14,FALSE())</f>
        <v>60</v>
      </c>
      <c r="G304" s="1" t="str">
        <f aca="false">VLOOKUP(C304,dish_base!$B$4:$M$92,12,FALSE())</f>
        <v>40,70</v>
      </c>
      <c r="H304" s="2" t="s">
        <v>207</v>
      </c>
    </row>
    <row r="305" customFormat="false" ht="16.5" hidden="false" customHeight="false" outlineLevel="0" collapsed="false">
      <c r="B305" s="1" t="str">
        <f aca="false">C305&amp;D305</f>
        <v>toffeet_salty</v>
      </c>
      <c r="C305" s="2" t="s">
        <v>93</v>
      </c>
      <c r="D305" s="2" t="s">
        <v>213</v>
      </c>
      <c r="E305" s="1" t="n">
        <v>100</v>
      </c>
      <c r="F305" s="1" t="n">
        <f aca="false">VLOOKUP(C305,dish_base!$B$4:$O$92,14,FALSE())</f>
        <v>60</v>
      </c>
      <c r="G305" s="1" t="str">
        <f aca="false">VLOOKUP(C305,dish_base!$B$4:$M$92,12,FALSE())</f>
        <v>40,70</v>
      </c>
      <c r="H305" s="2" t="s">
        <v>207</v>
      </c>
    </row>
    <row r="306" customFormat="false" ht="16.5" hidden="false" customHeight="false" outlineLevel="0" collapsed="false">
      <c r="B306" s="1" t="str">
        <f aca="false">C306&amp;D306</f>
        <v>nougatt_salty</v>
      </c>
      <c r="C306" s="2" t="s">
        <v>100</v>
      </c>
      <c r="D306" s="2" t="s">
        <v>213</v>
      </c>
      <c r="E306" s="1" t="n">
        <v>100</v>
      </c>
      <c r="F306" s="1" t="n">
        <f aca="false">VLOOKUP(C306,dish_base!$B$4:$O$92,14,FALSE())</f>
        <v>60</v>
      </c>
      <c r="G306" s="1" t="str">
        <f aca="false">VLOOKUP(C306,dish_base!$B$4:$M$92,12,FALSE())</f>
        <v>40,70</v>
      </c>
      <c r="H306" s="2" t="s">
        <v>207</v>
      </c>
    </row>
    <row r="307" customFormat="false" ht="16.5" hidden="false" customHeight="false" outlineLevel="0" collapsed="false">
      <c r="B307" s="1" t="str">
        <f aca="false">C307&amp;D307</f>
        <v>eggrollt_salty</v>
      </c>
      <c r="C307" s="2" t="s">
        <v>106</v>
      </c>
      <c r="D307" s="2" t="s">
        <v>213</v>
      </c>
      <c r="E307" s="1" t="n">
        <v>100</v>
      </c>
      <c r="F307" s="1" t="n">
        <f aca="false">VLOOKUP(C307,dish_base!$B$4:$O$92,14,FALSE())</f>
        <v>80</v>
      </c>
      <c r="G307" s="1" t="str">
        <f aca="false">VLOOKUP(C307,dish_base!$B$4:$M$92,12,FALSE())</f>
        <v>45,80</v>
      </c>
      <c r="H307" s="2" t="s">
        <v>207</v>
      </c>
    </row>
    <row r="308" customFormat="false" ht="16.5" hidden="false" customHeight="false" outlineLevel="0" collapsed="false">
      <c r="B308" s="1" t="str">
        <f aca="false">C308&amp;D308</f>
        <v>choco_bart_salty</v>
      </c>
      <c r="C308" s="2" t="s">
        <v>112</v>
      </c>
      <c r="D308" s="2" t="s">
        <v>213</v>
      </c>
      <c r="E308" s="1" t="n">
        <v>100</v>
      </c>
      <c r="F308" s="1" t="n">
        <f aca="false">VLOOKUP(C308,dish_base!$B$4:$O$92,14,FALSE())</f>
        <v>80</v>
      </c>
      <c r="G308" s="1" t="str">
        <f aca="false">VLOOKUP(C308,dish_base!$B$4:$M$92,12,FALSE())</f>
        <v>45,80</v>
      </c>
      <c r="H308" s="2" t="s">
        <v>207</v>
      </c>
    </row>
    <row r="309" customFormat="false" ht="16.5" hidden="false" customHeight="false" outlineLevel="0" collapsed="false">
      <c r="B309" s="1" t="str">
        <f aca="false">C309&amp;D309</f>
        <v>eclairt_salty</v>
      </c>
      <c r="C309" s="2" t="s">
        <v>115</v>
      </c>
      <c r="D309" s="2" t="s">
        <v>213</v>
      </c>
      <c r="E309" s="1" t="n">
        <v>100</v>
      </c>
      <c r="F309" s="1" t="n">
        <f aca="false">VLOOKUP(C309,dish_base!$B$4:$O$92,14,FALSE())</f>
        <v>80</v>
      </c>
      <c r="G309" s="1" t="str">
        <f aca="false">VLOOKUP(C309,dish_base!$B$4:$M$92,12,FALSE())</f>
        <v>45,80</v>
      </c>
      <c r="H309" s="2" t="s">
        <v>207</v>
      </c>
    </row>
    <row r="310" customFormat="false" ht="16.5" hidden="false" customHeight="false" outlineLevel="0" collapsed="false">
      <c r="B310" s="1" t="str">
        <f aca="false">C310&amp;D310</f>
        <v>tanghulut_salty</v>
      </c>
      <c r="C310" s="2" t="s">
        <v>118</v>
      </c>
      <c r="D310" s="2" t="s">
        <v>213</v>
      </c>
      <c r="E310" s="1" t="n">
        <v>100</v>
      </c>
      <c r="F310" s="1" t="n">
        <f aca="false">VLOOKUP(C310,dish_base!$B$4:$O$92,14,FALSE())</f>
        <v>80</v>
      </c>
      <c r="G310" s="3" t="str">
        <f aca="false">VLOOKUP(C310,dish_base!$B$4:$M$92,12,FALSE())</f>
        <v>45,80</v>
      </c>
      <c r="H310" s="2" t="s">
        <v>207</v>
      </c>
    </row>
    <row r="311" customFormat="false" ht="16.5" hidden="false" customHeight="false" outlineLevel="0" collapsed="false">
      <c r="B311" s="1" t="str">
        <f aca="false">C311&amp;D311</f>
        <v>soufflet_salty</v>
      </c>
      <c r="C311" s="2" t="s">
        <v>121</v>
      </c>
      <c r="D311" s="2" t="s">
        <v>213</v>
      </c>
      <c r="E311" s="1" t="n">
        <v>100</v>
      </c>
      <c r="F311" s="1" t="n">
        <f aca="false">VLOOKUP(C311,dish_base!$B$4:$O$92,14,FALSE())</f>
        <v>90</v>
      </c>
      <c r="G311" s="3" t="str">
        <f aca="false">VLOOKUP(C311,dish_base!$B$4:$M$92,12,FALSE())</f>
        <v>55,100</v>
      </c>
      <c r="H311" s="2" t="s">
        <v>207</v>
      </c>
    </row>
    <row r="312" customFormat="false" ht="16.5" hidden="false" customHeight="false" outlineLevel="0" collapsed="false">
      <c r="B312" s="1" t="str">
        <f aca="false">C312&amp;D312</f>
        <v>taosut_salty</v>
      </c>
      <c r="C312" s="2" t="s">
        <v>124</v>
      </c>
      <c r="D312" s="2" t="s">
        <v>213</v>
      </c>
      <c r="E312" s="1" t="n">
        <v>100</v>
      </c>
      <c r="F312" s="1" t="n">
        <f aca="false">VLOOKUP(C312,dish_base!$B$4:$O$92,14,FALSE())</f>
        <v>90</v>
      </c>
      <c r="G312" s="3" t="str">
        <f aca="false">VLOOKUP(C312,dish_base!$B$4:$M$92,12,FALSE())</f>
        <v>55,100</v>
      </c>
      <c r="H312" s="2" t="s">
        <v>207</v>
      </c>
    </row>
    <row r="313" customFormat="false" ht="16.5" hidden="false" customHeight="false" outlineLevel="0" collapsed="false">
      <c r="B313" s="1" t="str">
        <f aca="false">C313&amp;D313</f>
        <v>mooncaket_salty</v>
      </c>
      <c r="C313" s="2" t="s">
        <v>127</v>
      </c>
      <c r="D313" s="2" t="s">
        <v>213</v>
      </c>
      <c r="E313" s="1" t="n">
        <v>100</v>
      </c>
      <c r="F313" s="1" t="n">
        <f aca="false">VLOOKUP(C313,dish_base!$B$4:$O$92,14,FALSE())</f>
        <v>90</v>
      </c>
      <c r="G313" s="3" t="str">
        <f aca="false">VLOOKUP(C313,dish_base!$B$4:$M$92,12,FALSE())</f>
        <v>55,100</v>
      </c>
      <c r="H313" s="2" t="s">
        <v>207</v>
      </c>
    </row>
    <row r="314" customFormat="false" ht="16.5" hidden="false" customHeight="false" outlineLevel="0" collapsed="false">
      <c r="B314" s="1" t="str">
        <f aca="false">C314&amp;D314</f>
        <v>wafflet_salty</v>
      </c>
      <c r="C314" s="2" t="s">
        <v>130</v>
      </c>
      <c r="D314" s="2" t="s">
        <v>213</v>
      </c>
      <c r="E314" s="1" t="n">
        <v>100</v>
      </c>
      <c r="F314" s="1" t="n">
        <f aca="false">VLOOKUP(C314,dish_base!$B$4:$O$92,14,FALSE())</f>
        <v>90</v>
      </c>
      <c r="G314" s="3" t="str">
        <f aca="false">VLOOKUP(C314,dish_base!$B$4:$M$92,12,FALSE())</f>
        <v>55,100</v>
      </c>
      <c r="H314" s="2" t="s">
        <v>207</v>
      </c>
    </row>
    <row r="315" customFormat="false" ht="16.5" hidden="false" customHeight="false" outlineLevel="0" collapsed="false">
      <c r="B315" s="1" t="str">
        <f aca="false">C315&amp;D315</f>
        <v>dorayakit_salty</v>
      </c>
      <c r="C315" s="2" t="s">
        <v>133</v>
      </c>
      <c r="D315" s="2" t="s">
        <v>213</v>
      </c>
      <c r="E315" s="1" t="n">
        <v>100</v>
      </c>
      <c r="F315" s="1" t="n">
        <f aca="false">VLOOKUP(C315,dish_base!$B$4:$O$92,14,FALSE())</f>
        <v>90</v>
      </c>
      <c r="G315" s="3" t="str">
        <f aca="false">VLOOKUP(C315,dish_base!$B$4:$M$92,12,FALSE())</f>
        <v>55,100</v>
      </c>
      <c r="H315" s="2" t="s">
        <v>207</v>
      </c>
    </row>
    <row r="316" customFormat="false" ht="16.5" hidden="false" customHeight="false" outlineLevel="0" collapsed="false">
      <c r="B316" s="1" t="str">
        <f aca="false">C316&amp;D316</f>
        <v>cream_caket_salty</v>
      </c>
      <c r="C316" s="2" t="s">
        <v>136</v>
      </c>
      <c r="D316" s="2" t="s">
        <v>213</v>
      </c>
      <c r="E316" s="1" t="n">
        <v>100</v>
      </c>
      <c r="F316" s="1" t="n">
        <f aca="false">VLOOKUP(C316,dish_base!$B$4:$O$92,14,FALSE())</f>
        <v>90</v>
      </c>
      <c r="G316" s="3" t="str">
        <f aca="false">VLOOKUP(C316,dish_base!$B$4:$M$92,12,FALSE())</f>
        <v>55,100</v>
      </c>
      <c r="H316" s="2" t="s">
        <v>207</v>
      </c>
    </row>
    <row r="317" customFormat="false" ht="16.5" hidden="false" customHeight="false" outlineLevel="0" collapsed="false">
      <c r="B317" s="1" t="str">
        <f aca="false">C317&amp;D317</f>
        <v>donutt_salty</v>
      </c>
      <c r="C317" s="2" t="s">
        <v>139</v>
      </c>
      <c r="D317" s="2" t="s">
        <v>213</v>
      </c>
      <c r="E317" s="1" t="n">
        <v>100</v>
      </c>
      <c r="F317" s="1" t="n">
        <f aca="false">VLOOKUP(C317,dish_base!$B$4:$O$92,14,FALSE())</f>
        <v>90</v>
      </c>
      <c r="G317" s="3" t="str">
        <f aca="false">VLOOKUP(C317,dish_base!$B$4:$M$92,12,FALSE())</f>
        <v>55,100</v>
      </c>
      <c r="H317" s="2" t="s">
        <v>207</v>
      </c>
    </row>
    <row r="318" customFormat="false" ht="16.5" hidden="false" customHeight="false" outlineLevel="0" collapsed="false">
      <c r="B318" s="1" t="str">
        <f aca="false">C318&amp;D318</f>
        <v>pengtangt_salty</v>
      </c>
      <c r="C318" s="2" t="s">
        <v>142</v>
      </c>
      <c r="D318" s="2" t="s">
        <v>213</v>
      </c>
      <c r="E318" s="1" t="n">
        <v>100</v>
      </c>
      <c r="F318" s="1" t="n">
        <f aca="false">VLOOKUP(C318,dish_base!$B$4:$O$92,14,FALSE())</f>
        <v>90</v>
      </c>
      <c r="G318" s="3" t="str">
        <f aca="false">VLOOKUP(C318,dish_base!$B$4:$M$92,12,FALSE())</f>
        <v>55,100</v>
      </c>
      <c r="H318" s="2" t="s">
        <v>207</v>
      </c>
    </row>
    <row r="319" customFormat="false" ht="16.5" hidden="false" customHeight="false" outlineLevel="0" collapsed="false">
      <c r="B319" s="1" t="str">
        <f aca="false">C319&amp;D319</f>
        <v>parfaitt_salty</v>
      </c>
      <c r="C319" s="2" t="s">
        <v>145</v>
      </c>
      <c r="D319" s="2" t="s">
        <v>213</v>
      </c>
      <c r="E319" s="1" t="n">
        <v>100</v>
      </c>
      <c r="F319" s="1" t="n">
        <f aca="false">VLOOKUP(C319,dish_base!$B$4:$O$92,14,FALSE())</f>
        <v>120</v>
      </c>
      <c r="G319" s="3" t="str">
        <f aca="false">VLOOKUP(C319,dish_base!$B$4:$M$92,12,FALSE())</f>
        <v>70,120</v>
      </c>
      <c r="H319" s="2" t="s">
        <v>207</v>
      </c>
    </row>
    <row r="320" customFormat="false" ht="16.5" hidden="false" customHeight="false" outlineLevel="0" collapsed="false">
      <c r="B320" s="1" t="str">
        <f aca="false">C320&amp;D320</f>
        <v>sundae_bigt_salty</v>
      </c>
      <c r="C320" s="2" t="s">
        <v>148</v>
      </c>
      <c r="D320" s="2" t="s">
        <v>213</v>
      </c>
      <c r="E320" s="1" t="n">
        <v>100</v>
      </c>
      <c r="F320" s="1" t="n">
        <f aca="false">VLOOKUP(C320,dish_base!$B$4:$O$92,14,FALSE())</f>
        <v>120</v>
      </c>
      <c r="G320" s="3" t="str">
        <f aca="false">VLOOKUP(C320,dish_base!$B$4:$M$92,12,FALSE())</f>
        <v>70,120</v>
      </c>
      <c r="H320" s="2" t="s">
        <v>207</v>
      </c>
    </row>
    <row r="321" customFormat="false" ht="16.5" hidden="false" customHeight="false" outlineLevel="0" collapsed="false">
      <c r="B321" s="1" t="str">
        <f aca="false">C321&amp;D321</f>
        <v>swiss_rollt_salty</v>
      </c>
      <c r="C321" s="2" t="s">
        <v>150</v>
      </c>
      <c r="D321" s="2" t="s">
        <v>213</v>
      </c>
      <c r="E321" s="1" t="n">
        <v>100</v>
      </c>
      <c r="F321" s="1" t="n">
        <f aca="false">VLOOKUP(C321,dish_base!$B$4:$O$92,14,FALSE())</f>
        <v>120</v>
      </c>
      <c r="G321" s="3" t="str">
        <f aca="false">VLOOKUP(C321,dish_base!$B$4:$M$92,12,FALSE())</f>
        <v>70,120</v>
      </c>
      <c r="H321" s="2" t="s">
        <v>207</v>
      </c>
    </row>
    <row r="322" customFormat="false" ht="16.5" hidden="false" customHeight="false" outlineLevel="0" collapsed="false">
      <c r="B322" s="1" t="str">
        <f aca="false">C322&amp;D322</f>
        <v>mango_sagot_salty</v>
      </c>
      <c r="C322" s="2" t="s">
        <v>153</v>
      </c>
      <c r="D322" s="2" t="s">
        <v>213</v>
      </c>
      <c r="E322" s="1" t="n">
        <v>100</v>
      </c>
      <c r="F322" s="1" t="n">
        <f aca="false">VLOOKUP(C322,dish_base!$B$4:$O$92,14,FALSE())</f>
        <v>120</v>
      </c>
      <c r="G322" s="3" t="str">
        <f aca="false">VLOOKUP(C322,dish_base!$B$4:$M$92,12,FALSE())</f>
        <v>70,120</v>
      </c>
      <c r="H322" s="2" t="s">
        <v>207</v>
      </c>
    </row>
    <row r="323" customFormat="false" ht="16.5" hidden="false" customHeight="false" outlineLevel="0" collapsed="false">
      <c r="B323" s="1" t="str">
        <f aca="false">C323&amp;D323</f>
        <v>chiffiont_salty</v>
      </c>
      <c r="C323" s="2" t="s">
        <v>156</v>
      </c>
      <c r="D323" s="2" t="s">
        <v>213</v>
      </c>
      <c r="E323" s="1" t="n">
        <v>100</v>
      </c>
      <c r="F323" s="1" t="n">
        <f aca="false">VLOOKUP(C323,dish_base!$B$4:$O$92,14,FALSE())</f>
        <v>120</v>
      </c>
      <c r="G323" s="3" t="str">
        <f aca="false">VLOOKUP(C323,dish_base!$B$4:$M$92,12,FALSE())</f>
        <v>70,120</v>
      </c>
      <c r="H323" s="2" t="s">
        <v>207</v>
      </c>
    </row>
    <row r="324" customFormat="false" ht="16.5" hidden="false" customHeight="false" outlineLevel="0" collapsed="false">
      <c r="B324" s="1" t="str">
        <f aca="false">C324&amp;D324</f>
        <v>apple_piet_salty</v>
      </c>
      <c r="C324" s="2" t="s">
        <v>159</v>
      </c>
      <c r="D324" s="2" t="s">
        <v>213</v>
      </c>
      <c r="E324" s="1" t="n">
        <v>100</v>
      </c>
      <c r="F324" s="1" t="n">
        <f aca="false">VLOOKUP(C324,dish_base!$B$4:$O$92,14,FALSE())</f>
        <v>120</v>
      </c>
      <c r="G324" s="3" t="str">
        <f aca="false">VLOOKUP(C324,dish_base!$B$4:$M$92,12,FALSE())</f>
        <v>70,120</v>
      </c>
      <c r="H324" s="2" t="s">
        <v>207</v>
      </c>
    </row>
    <row r="325" customFormat="false" ht="16.5" hidden="false" customHeight="false" outlineLevel="0" collapsed="false">
      <c r="B325" s="1" t="str">
        <f aca="false">C325&amp;D325</f>
        <v>fruit_caket_salty</v>
      </c>
      <c r="C325" s="2" t="s">
        <v>162</v>
      </c>
      <c r="D325" s="2" t="s">
        <v>213</v>
      </c>
      <c r="E325" s="1" t="n">
        <v>100</v>
      </c>
      <c r="F325" s="1" t="n">
        <f aca="false">VLOOKUP(C325,dish_base!$B$4:$O$92,14,FALSE())</f>
        <v>120</v>
      </c>
      <c r="G325" s="3" t="str">
        <f aca="false">VLOOKUP(C325,dish_base!$B$4:$M$92,12,FALSE())</f>
        <v>70,120</v>
      </c>
      <c r="H325" s="2" t="s">
        <v>207</v>
      </c>
    </row>
    <row r="326" customFormat="false" ht="16.5" hidden="false" customHeight="false" outlineLevel="0" collapsed="false">
      <c r="B326" s="1" t="str">
        <f aca="false">C326&amp;D326</f>
        <v>chocolatet_salty</v>
      </c>
      <c r="C326" s="2" t="s">
        <v>165</v>
      </c>
      <c r="D326" s="2" t="s">
        <v>213</v>
      </c>
      <c r="E326" s="1" t="n">
        <v>100</v>
      </c>
      <c r="F326" s="1" t="n">
        <f aca="false">VLOOKUP(C326,dish_base!$B$4:$O$92,14,FALSE())</f>
        <v>120</v>
      </c>
      <c r="G326" s="3" t="str">
        <f aca="false">VLOOKUP(C326,dish_base!$B$4:$M$92,12,FALSE())</f>
        <v>70,120</v>
      </c>
      <c r="H326" s="2" t="s">
        <v>207</v>
      </c>
    </row>
    <row r="327" customFormat="false" ht="16.5" hidden="false" customHeight="false" outlineLevel="0" collapsed="false">
      <c r="B327" s="1" t="str">
        <f aca="false">C327&amp;D327</f>
        <v>croissantt_salty</v>
      </c>
      <c r="C327" s="2" t="s">
        <v>168</v>
      </c>
      <c r="D327" s="2" t="s">
        <v>213</v>
      </c>
      <c r="E327" s="1" t="n">
        <v>100</v>
      </c>
      <c r="F327" s="1" t="n">
        <f aca="false">VLOOKUP(C327,dish_base!$B$4:$O$92,14,FALSE())</f>
        <v>80</v>
      </c>
      <c r="G327" s="3" t="str">
        <f aca="false">VLOOKUP(C327,dish_base!$B$4:$M$92,12,FALSE())</f>
        <v>45,80</v>
      </c>
      <c r="H327" s="2" t="s">
        <v>207</v>
      </c>
    </row>
    <row r="328" customFormat="false" ht="16.5" hidden="false" customHeight="false" outlineLevel="0" collapsed="false">
      <c r="B328" s="1" t="str">
        <f aca="false">C328&amp;D328</f>
        <v>palmiert_salty</v>
      </c>
      <c r="C328" s="2" t="s">
        <v>172</v>
      </c>
      <c r="D328" s="2" t="s">
        <v>213</v>
      </c>
      <c r="E328" s="1" t="n">
        <v>100</v>
      </c>
      <c r="F328" s="1" t="n">
        <f aca="false">VLOOKUP(C328,dish_base!$B$4:$O$92,14,FALSE())</f>
        <v>80</v>
      </c>
      <c r="G328" s="3" t="str">
        <f aca="false">VLOOKUP(C328,dish_base!$B$4:$M$92,12,FALSE())</f>
        <v>45,80</v>
      </c>
      <c r="H328" s="2" t="s">
        <v>207</v>
      </c>
    </row>
    <row r="329" customFormat="false" ht="16.5" hidden="false" customHeight="false" outlineLevel="0" collapsed="false">
      <c r="B329" s="1" t="str">
        <f aca="false">C329&amp;D329</f>
        <v>candycanet_salty</v>
      </c>
      <c r="C329" s="2" t="s">
        <v>176</v>
      </c>
      <c r="D329" s="2" t="s">
        <v>213</v>
      </c>
      <c r="E329" s="1" t="n">
        <v>100</v>
      </c>
      <c r="F329" s="1" t="n">
        <f aca="false">VLOOKUP(C329,dish_base!$B$4:$O$92,14,FALSE())</f>
        <v>90</v>
      </c>
      <c r="G329" s="3" t="str">
        <f aca="false">VLOOKUP(C329,dish_base!$B$4:$M$92,12,FALSE())</f>
        <v>55,100</v>
      </c>
      <c r="H329" s="2" t="s">
        <v>207</v>
      </c>
    </row>
    <row r="330" customFormat="false" ht="16.5" hidden="false" customHeight="false" outlineLevel="0" collapsed="false">
      <c r="B330" s="1" t="str">
        <f aca="false">C330&amp;D330</f>
        <v>big_lollipopt_salty</v>
      </c>
      <c r="C330" s="2" t="s">
        <v>179</v>
      </c>
      <c r="D330" s="2" t="s">
        <v>213</v>
      </c>
      <c r="E330" s="1" t="n">
        <v>100</v>
      </c>
      <c r="F330" s="1" t="n">
        <f aca="false">VLOOKUP(C330,dish_base!$B$4:$O$92,14,FALSE())</f>
        <v>190</v>
      </c>
      <c r="G330" s="3" t="str">
        <f aca="false">VLOOKUP(C330,dish_base!$B$4:$M$92,12,FALSE())</f>
        <v>80,130</v>
      </c>
      <c r="H330" s="2" t="s">
        <v>207</v>
      </c>
    </row>
    <row r="331" customFormat="false" ht="16.5" hidden="false" customHeight="false" outlineLevel="0" collapsed="false">
      <c r="B331" s="1" t="str">
        <f aca="false">C331&amp;D331</f>
        <v>marshmallowt_salty</v>
      </c>
      <c r="C331" s="2" t="s">
        <v>183</v>
      </c>
      <c r="D331" s="2" t="s">
        <v>213</v>
      </c>
      <c r="E331" s="1" t="n">
        <v>100</v>
      </c>
      <c r="F331" s="1" t="n">
        <f aca="false">VLOOKUP(C331,dish_base!$B$4:$O$92,14,FALSE())</f>
        <v>160</v>
      </c>
      <c r="G331" s="3" t="str">
        <f aca="false">VLOOKUP(C331,dish_base!$B$4:$M$92,12,FALSE())</f>
        <v>80,130</v>
      </c>
      <c r="H331" s="2" t="s">
        <v>207</v>
      </c>
    </row>
    <row r="332" customFormat="false" ht="16.5" hidden="false" customHeight="false" outlineLevel="0" collapsed="false">
      <c r="B332" s="1" t="str">
        <f aca="false">C332&amp;D332</f>
        <v>double_caket_salty</v>
      </c>
      <c r="C332" s="2" t="s">
        <v>186</v>
      </c>
      <c r="D332" s="2" t="s">
        <v>213</v>
      </c>
      <c r="E332" s="1" t="n">
        <v>100</v>
      </c>
      <c r="F332" s="1" t="n">
        <f aca="false">VLOOKUP(C332,dish_base!$B$4:$O$92,14,FALSE())</f>
        <v>260</v>
      </c>
      <c r="G332" s="3" t="str">
        <f aca="false">VLOOKUP(C332,dish_base!$B$4:$M$92,12,FALSE())</f>
        <v>80,130</v>
      </c>
      <c r="H332" s="2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8" activeCellId="0" sqref="L18"/>
    </sheetView>
  </sheetViews>
  <sheetFormatPr defaultColWidth="9.00390625" defaultRowHeight="16.5" customHeight="false" zeroHeight="false" outlineLevelRow="0" outlineLevelCol="0"/>
  <cols>
    <col collapsed="false" customWidth="true" hidden="false" outlineLevel="0" max="1" min="1" style="0" width="13.08"/>
    <col collapsed="false" customWidth="true" hidden="false" outlineLevel="0" max="2" min="2" style="0" width="23.23"/>
    <col collapsed="false" customWidth="true" hidden="false" outlineLevel="0" max="4" min="3" style="0" width="53.24"/>
  </cols>
  <sheetData>
    <row r="1" customFormat="false" ht="16.5" hidden="false" customHeight="false" outlineLevel="0" collapsed="false">
      <c r="A1" s="4" t="s">
        <v>0</v>
      </c>
      <c r="B1" s="4" t="s">
        <v>1</v>
      </c>
      <c r="C1" s="4" t="s">
        <v>214</v>
      </c>
    </row>
    <row r="2" customFormat="false" ht="16.5" hidden="false" customHeight="false" outlineLevel="0" collapsed="false">
      <c r="A2" s="4" t="s">
        <v>9</v>
      </c>
      <c r="B2" s="0" t="s">
        <v>215</v>
      </c>
      <c r="C2" s="0" t="s">
        <v>216</v>
      </c>
    </row>
    <row r="3" customFormat="false" ht="16.5" hidden="false" customHeight="false" outlineLevel="0" collapsed="false">
      <c r="A3" s="4" t="s">
        <v>18</v>
      </c>
      <c r="B3" s="4" t="s">
        <v>19</v>
      </c>
      <c r="C3" s="4" t="s">
        <v>19</v>
      </c>
    </row>
    <row r="4" customFormat="false" ht="16.5" hidden="false" customHeight="false" outlineLevel="0" collapsed="false">
      <c r="B4" s="4" t="s">
        <v>26</v>
      </c>
      <c r="C4" s="4" t="s">
        <v>217</v>
      </c>
    </row>
    <row r="5" customFormat="false" ht="16.5" hidden="false" customHeight="false" outlineLevel="0" collapsed="false">
      <c r="B5" s="4" t="s">
        <v>30</v>
      </c>
      <c r="C5" s="4" t="s">
        <v>218</v>
      </c>
    </row>
    <row r="6" customFormat="false" ht="16.5" hidden="false" customHeight="false" outlineLevel="0" collapsed="false">
      <c r="B6" s="4" t="s">
        <v>33</v>
      </c>
      <c r="C6" s="4" t="s">
        <v>219</v>
      </c>
    </row>
    <row r="7" customFormat="false" ht="16.5" hidden="false" customHeight="false" outlineLevel="0" collapsed="false">
      <c r="B7" s="4" t="s">
        <v>36</v>
      </c>
      <c r="C7" s="4" t="s">
        <v>220</v>
      </c>
    </row>
    <row r="8" customFormat="false" ht="16.5" hidden="false" customHeight="false" outlineLevel="0" collapsed="false">
      <c r="B8" s="4" t="s">
        <v>39</v>
      </c>
      <c r="C8" s="4" t="s">
        <v>221</v>
      </c>
    </row>
    <row r="9" customFormat="false" ht="16.5" hidden="false" customHeight="false" outlineLevel="0" collapsed="false">
      <c r="B9" s="4" t="s">
        <v>42</v>
      </c>
      <c r="C9" s="4" t="s">
        <v>222</v>
      </c>
    </row>
    <row r="10" customFormat="false" ht="16.5" hidden="false" customHeight="false" outlineLevel="0" collapsed="false">
      <c r="B10" s="4" t="s">
        <v>45</v>
      </c>
      <c r="C10" s="4" t="s">
        <v>223</v>
      </c>
    </row>
    <row r="11" customFormat="false" ht="16.5" hidden="false" customHeight="false" outlineLevel="0" collapsed="false">
      <c r="B11" s="4" t="s">
        <v>48</v>
      </c>
      <c r="C11" s="4" t="s">
        <v>224</v>
      </c>
    </row>
    <row r="12" customFormat="false" ht="16.5" hidden="false" customHeight="false" outlineLevel="0" collapsed="false">
      <c r="B12" s="4" t="s">
        <v>51</v>
      </c>
      <c r="C12" s="4" t="s">
        <v>225</v>
      </c>
    </row>
    <row r="13" customFormat="false" ht="16.5" hidden="false" customHeight="false" outlineLevel="0" collapsed="false">
      <c r="B13" s="4" t="s">
        <v>55</v>
      </c>
      <c r="C13" s="4" t="s">
        <v>226</v>
      </c>
    </row>
    <row r="14" customFormat="false" ht="16.5" hidden="false" customHeight="false" outlineLevel="0" collapsed="false">
      <c r="B14" s="4" t="s">
        <v>59</v>
      </c>
      <c r="C14" s="4" t="s">
        <v>227</v>
      </c>
    </row>
    <row r="15" customFormat="false" ht="16.5" hidden="false" customHeight="false" outlineLevel="0" collapsed="false">
      <c r="B15" s="4" t="s">
        <v>63</v>
      </c>
      <c r="C15" s="4" t="s">
        <v>228</v>
      </c>
    </row>
    <row r="16" customFormat="false" ht="16.5" hidden="false" customHeight="false" outlineLevel="0" collapsed="false">
      <c r="B16" s="4" t="s">
        <v>67</v>
      </c>
      <c r="C16" s="4" t="s">
        <v>229</v>
      </c>
    </row>
    <row r="17" customFormat="false" ht="16.5" hidden="false" customHeight="false" outlineLevel="0" collapsed="false">
      <c r="B17" s="4" t="s">
        <v>71</v>
      </c>
      <c r="C17" s="4" t="s">
        <v>230</v>
      </c>
    </row>
    <row r="18" customFormat="false" ht="16.5" hidden="false" customHeight="false" outlineLevel="0" collapsed="false">
      <c r="B18" s="4" t="s">
        <v>75</v>
      </c>
      <c r="C18" s="4" t="s">
        <v>231</v>
      </c>
      <c r="G18" s="4" t="s">
        <v>232</v>
      </c>
    </row>
    <row r="19" customFormat="false" ht="16.5" hidden="false" customHeight="false" outlineLevel="0" collapsed="false">
      <c r="B19" s="4" t="s">
        <v>78</v>
      </c>
      <c r="C19" s="4" t="s">
        <v>233</v>
      </c>
    </row>
    <row r="20" customFormat="false" ht="16.5" hidden="false" customHeight="false" outlineLevel="0" collapsed="false">
      <c r="B20" s="4" t="s">
        <v>81</v>
      </c>
      <c r="C20" s="4" t="s">
        <v>234</v>
      </c>
    </row>
    <row r="21" customFormat="false" ht="16.5" hidden="false" customHeight="false" outlineLevel="0" collapsed="false">
      <c r="B21" s="4" t="s">
        <v>84</v>
      </c>
      <c r="C21" s="4" t="s">
        <v>235</v>
      </c>
    </row>
    <row r="22" customFormat="false" ht="16.5" hidden="false" customHeight="false" outlineLevel="0" collapsed="false">
      <c r="B22" s="4" t="s">
        <v>88</v>
      </c>
      <c r="C22" s="4" t="s">
        <v>236</v>
      </c>
    </row>
    <row r="23" customFormat="false" ht="16.5" hidden="false" customHeight="false" outlineLevel="0" collapsed="false">
      <c r="B23" s="4" t="s">
        <v>95</v>
      </c>
      <c r="C23" s="4" t="s">
        <v>237</v>
      </c>
    </row>
    <row r="24" customFormat="false" ht="16.5" hidden="false" customHeight="false" outlineLevel="0" collapsed="false">
      <c r="B24" s="4" t="s">
        <v>102</v>
      </c>
      <c r="C24" s="4" t="s">
        <v>238</v>
      </c>
    </row>
    <row r="25" customFormat="false" ht="16.5" hidden="false" customHeight="false" outlineLevel="0" collapsed="false">
      <c r="B25" s="4" t="s">
        <v>108</v>
      </c>
      <c r="C25" s="4" t="s">
        <v>239</v>
      </c>
    </row>
    <row r="26" customFormat="false" ht="16.5" hidden="false" customHeight="false" outlineLevel="0" collapsed="false">
      <c r="B26" s="4" t="s">
        <v>114</v>
      </c>
      <c r="C26" s="4" t="s">
        <v>240</v>
      </c>
    </row>
    <row r="27" customFormat="false" ht="16.5" hidden="false" customHeight="false" outlineLevel="0" collapsed="false">
      <c r="B27" s="4" t="s">
        <v>117</v>
      </c>
      <c r="C27" s="4" t="s">
        <v>241</v>
      </c>
    </row>
    <row r="28" customFormat="false" ht="16.5" hidden="false" customHeight="false" outlineLevel="0" collapsed="false">
      <c r="B28" s="4" t="s">
        <v>120</v>
      </c>
      <c r="C28" s="4" t="s">
        <v>242</v>
      </c>
    </row>
    <row r="29" customFormat="false" ht="16.5" hidden="false" customHeight="false" outlineLevel="0" collapsed="false">
      <c r="B29" s="4" t="s">
        <v>123</v>
      </c>
      <c r="C29" s="4" t="s">
        <v>243</v>
      </c>
    </row>
    <row r="30" customFormat="false" ht="16.5" hidden="false" customHeight="false" outlineLevel="0" collapsed="false">
      <c r="B30" s="4" t="s">
        <v>126</v>
      </c>
      <c r="C30" s="4" t="s">
        <v>244</v>
      </c>
    </row>
    <row r="31" customFormat="false" ht="16.5" hidden="false" customHeight="false" outlineLevel="0" collapsed="false">
      <c r="B31" s="4" t="s">
        <v>129</v>
      </c>
      <c r="C31" s="4" t="s">
        <v>245</v>
      </c>
    </row>
    <row r="32" customFormat="false" ht="16.5" hidden="false" customHeight="false" outlineLevel="0" collapsed="false">
      <c r="B32" s="4" t="s">
        <v>132</v>
      </c>
      <c r="C32" s="4" t="s">
        <v>246</v>
      </c>
    </row>
    <row r="33" customFormat="false" ht="16.5" hidden="false" customHeight="false" outlineLevel="0" collapsed="false">
      <c r="B33" s="4" t="s">
        <v>135</v>
      </c>
      <c r="C33" s="4" t="s">
        <v>247</v>
      </c>
    </row>
    <row r="34" customFormat="false" ht="16.5" hidden="false" customHeight="false" outlineLevel="0" collapsed="false">
      <c r="B34" s="4" t="s">
        <v>138</v>
      </c>
      <c r="C34" s="4" t="s">
        <v>248</v>
      </c>
    </row>
    <row r="35" customFormat="false" ht="16.5" hidden="false" customHeight="false" outlineLevel="0" collapsed="false">
      <c r="B35" s="4" t="s">
        <v>141</v>
      </c>
      <c r="C35" s="4" t="s">
        <v>249</v>
      </c>
    </row>
    <row r="36" customFormat="false" ht="16.5" hidden="false" customHeight="false" outlineLevel="0" collapsed="false">
      <c r="B36" s="4" t="s">
        <v>144</v>
      </c>
      <c r="C36" s="4" t="s">
        <v>250</v>
      </c>
    </row>
    <row r="37" customFormat="false" ht="16.5" hidden="false" customHeight="false" outlineLevel="0" collapsed="false">
      <c r="B37" s="4" t="s">
        <v>147</v>
      </c>
      <c r="C37" s="4" t="s">
        <v>251</v>
      </c>
    </row>
    <row r="38" customFormat="false" ht="16.5" hidden="false" customHeight="false" outlineLevel="0" collapsed="false">
      <c r="B38" s="4" t="s">
        <v>149</v>
      </c>
      <c r="C38" s="4" t="s">
        <v>252</v>
      </c>
    </row>
    <row r="39" customFormat="false" ht="16.5" hidden="false" customHeight="false" outlineLevel="0" collapsed="false">
      <c r="B39" s="4" t="s">
        <v>152</v>
      </c>
      <c r="C39" s="4" t="s">
        <v>253</v>
      </c>
    </row>
    <row r="40" customFormat="false" ht="16.5" hidden="false" customHeight="false" outlineLevel="0" collapsed="false">
      <c r="B40" s="4" t="s">
        <v>155</v>
      </c>
      <c r="C40" s="4" t="s">
        <v>254</v>
      </c>
    </row>
    <row r="41" customFormat="false" ht="16.5" hidden="false" customHeight="false" outlineLevel="0" collapsed="false">
      <c r="B41" s="4" t="s">
        <v>158</v>
      </c>
      <c r="C41" s="4" t="s">
        <v>255</v>
      </c>
    </row>
    <row r="42" customFormat="false" ht="16.5" hidden="false" customHeight="false" outlineLevel="0" collapsed="false">
      <c r="B42" s="4" t="s">
        <v>161</v>
      </c>
      <c r="C42" s="4" t="s">
        <v>256</v>
      </c>
    </row>
    <row r="43" customFormat="false" ht="16.5" hidden="false" customHeight="false" outlineLevel="0" collapsed="false">
      <c r="B43" s="4" t="s">
        <v>164</v>
      </c>
      <c r="C43" s="4" t="s">
        <v>257</v>
      </c>
    </row>
    <row r="44" customFormat="false" ht="16.5" hidden="false" customHeight="false" outlineLevel="0" collapsed="false">
      <c r="B44" s="4" t="s">
        <v>167</v>
      </c>
      <c r="C44" s="4" t="s">
        <v>258</v>
      </c>
    </row>
    <row r="45" customFormat="false" ht="16.5" hidden="false" customHeight="false" outlineLevel="0" collapsed="false">
      <c r="B45" s="4" t="s">
        <v>170</v>
      </c>
      <c r="C45" s="4" t="s">
        <v>259</v>
      </c>
    </row>
    <row r="46" customFormat="false" ht="16.5" hidden="false" customHeight="false" outlineLevel="0" collapsed="false">
      <c r="B46" s="4" t="s">
        <v>174</v>
      </c>
      <c r="C46" s="4" t="s">
        <v>260</v>
      </c>
    </row>
    <row r="47" customFormat="false" ht="16.5" hidden="false" customHeight="false" outlineLevel="0" collapsed="false">
      <c r="B47" s="4" t="s">
        <v>178</v>
      </c>
      <c r="C47" s="4" t="s">
        <v>261</v>
      </c>
    </row>
    <row r="48" customFormat="false" ht="16.5" hidden="false" customHeight="false" outlineLevel="0" collapsed="false">
      <c r="B48" s="4" t="s">
        <v>181</v>
      </c>
      <c r="C48" s="4" t="s">
        <v>262</v>
      </c>
    </row>
    <row r="49" customFormat="false" ht="16.5" hidden="false" customHeight="false" outlineLevel="0" collapsed="false">
      <c r="B49" s="4" t="s">
        <v>185</v>
      </c>
      <c r="C49" s="4" t="s">
        <v>263</v>
      </c>
    </row>
    <row r="50" customFormat="false" ht="16.5" hidden="false" customHeight="false" outlineLevel="0" collapsed="false">
      <c r="B50" s="4" t="s">
        <v>188</v>
      </c>
      <c r="C50" s="4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.00390625" defaultRowHeight="16.5" customHeight="false" zeroHeight="false" outlineLevelRow="0" outlineLevelCol="0"/>
  <cols>
    <col collapsed="false" customWidth="true" hidden="false" outlineLevel="0" max="1" min="1" style="1" width="13.08"/>
    <col collapsed="false" customWidth="true" hidden="false" outlineLevel="0" max="2" min="2" style="1" width="9.3"/>
    <col collapsed="false" customWidth="true" hidden="false" outlineLevel="0" max="3" min="3" style="1" width="10.3"/>
    <col collapsed="false" customWidth="true" hidden="false" outlineLevel="0" max="4" min="4" style="1" width="65.16"/>
    <col collapsed="false" customWidth="true" hidden="false" outlineLevel="0" max="5" min="5" style="1" width="17.84"/>
    <col collapsed="false" customWidth="true" hidden="false" outlineLevel="0" max="6" min="6" style="1" width="11.92"/>
    <col collapsed="false" customWidth="true" hidden="false" outlineLevel="0" max="7" min="7" style="1" width="12.62"/>
    <col collapsed="false" customWidth="true" hidden="false" outlineLevel="0" max="8" min="8" style="1" width="14.26"/>
    <col collapsed="false" customWidth="true" hidden="false" outlineLevel="0" max="9" min="9" style="1" width="58.65"/>
    <col collapsed="false" customWidth="false" hidden="false" outlineLevel="0" max="16384" min="10" style="1" width="9"/>
  </cols>
  <sheetData>
    <row r="1" customFormat="false" ht="16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265</v>
      </c>
      <c r="E1" s="2" t="s">
        <v>266</v>
      </c>
      <c r="F1" s="2" t="s">
        <v>267</v>
      </c>
      <c r="G1" s="2" t="s">
        <v>268</v>
      </c>
      <c r="H1" s="2" t="s">
        <v>269</v>
      </c>
    </row>
    <row r="2" customFormat="false" ht="16.5" hidden="false" customHeight="false" outlineLevel="0" collapsed="false">
      <c r="A2" s="2" t="s">
        <v>9</v>
      </c>
      <c r="B2" s="1" t="s">
        <v>270</v>
      </c>
      <c r="C2" s="1" t="s">
        <v>271</v>
      </c>
      <c r="D2" s="1" t="s">
        <v>272</v>
      </c>
      <c r="E2" s="1" t="s">
        <v>273</v>
      </c>
      <c r="F2" s="1" t="s">
        <v>274</v>
      </c>
      <c r="G2" s="1" t="s">
        <v>275</v>
      </c>
      <c r="H2" s="1" t="s">
        <v>276</v>
      </c>
    </row>
    <row r="3" customFormat="false" ht="16.5" hidden="false" customHeight="false" outlineLevel="0" collapsed="false">
      <c r="A3" s="2" t="s">
        <v>18</v>
      </c>
      <c r="B3" s="2" t="s">
        <v>19</v>
      </c>
      <c r="C3" s="2" t="s">
        <v>19</v>
      </c>
      <c r="D3" s="2" t="s">
        <v>19</v>
      </c>
      <c r="E3" s="2" t="s">
        <v>277</v>
      </c>
      <c r="F3" s="2" t="s">
        <v>22</v>
      </c>
      <c r="G3" s="2" t="s">
        <v>278</v>
      </c>
      <c r="H3" s="2" t="s">
        <v>19</v>
      </c>
    </row>
    <row r="4" customFormat="false" ht="16.5" hidden="false" customHeight="false" outlineLevel="0" collapsed="false">
      <c r="B4" s="2" t="s">
        <v>208</v>
      </c>
      <c r="C4" s="1" t="s">
        <v>279</v>
      </c>
      <c r="D4" s="1" t="s">
        <v>280</v>
      </c>
      <c r="E4" s="2" t="s">
        <v>281</v>
      </c>
      <c r="G4" s="2" t="s">
        <v>282</v>
      </c>
      <c r="I4" s="1" t="s">
        <v>283</v>
      </c>
    </row>
    <row r="5" customFormat="false" ht="16.5" hidden="false" customHeight="false" outlineLevel="0" collapsed="false">
      <c r="B5" s="2" t="s">
        <v>209</v>
      </c>
      <c r="C5" s="1" t="s">
        <v>284</v>
      </c>
      <c r="D5" s="1" t="s">
        <v>285</v>
      </c>
      <c r="E5" s="2" t="s">
        <v>281</v>
      </c>
      <c r="G5" s="2" t="s">
        <v>286</v>
      </c>
      <c r="I5" s="1" t="s">
        <v>287</v>
      </c>
    </row>
    <row r="6" customFormat="false" ht="33.75" hidden="false" customHeight="true" outlineLevel="0" collapsed="false">
      <c r="B6" s="2" t="s">
        <v>210</v>
      </c>
      <c r="C6" s="1" t="s">
        <v>288</v>
      </c>
      <c r="D6" s="5" t="s">
        <v>289</v>
      </c>
      <c r="E6" s="2" t="s">
        <v>290</v>
      </c>
      <c r="G6" s="2" t="s">
        <v>291</v>
      </c>
      <c r="I6" s="1" t="s">
        <v>292</v>
      </c>
    </row>
    <row r="7" customFormat="false" ht="16.5" hidden="false" customHeight="false" outlineLevel="0" collapsed="false">
      <c r="B7" s="2" t="s">
        <v>211</v>
      </c>
      <c r="C7" s="1" t="s">
        <v>293</v>
      </c>
      <c r="D7" s="1" t="s">
        <v>294</v>
      </c>
      <c r="E7" s="2" t="s">
        <v>295</v>
      </c>
      <c r="G7" s="2" t="s">
        <v>282</v>
      </c>
      <c r="I7" s="1" t="s">
        <v>296</v>
      </c>
    </row>
    <row r="8" customFormat="false" ht="33.75" hidden="false" customHeight="true" outlineLevel="0" collapsed="false">
      <c r="B8" s="2" t="s">
        <v>212</v>
      </c>
      <c r="C8" s="1" t="s">
        <v>297</v>
      </c>
      <c r="D8" s="5" t="s">
        <v>298</v>
      </c>
      <c r="E8" s="2" t="s">
        <v>299</v>
      </c>
      <c r="G8" s="2" t="s">
        <v>300</v>
      </c>
      <c r="I8" s="1" t="s">
        <v>301</v>
      </c>
    </row>
    <row r="9" customFormat="false" ht="51" hidden="false" customHeight="true" outlineLevel="0" collapsed="false">
      <c r="B9" s="2" t="s">
        <v>213</v>
      </c>
      <c r="C9" s="1" t="s">
        <v>302</v>
      </c>
      <c r="D9" s="5" t="s">
        <v>303</v>
      </c>
      <c r="E9" s="2" t="s">
        <v>304</v>
      </c>
      <c r="G9" s="2" t="s">
        <v>305</v>
      </c>
      <c r="I9" s="1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.00390625" defaultRowHeight="16.5" customHeight="false" zeroHeight="false" outlineLevelRow="0" outlineLevelCol="0"/>
  <cols>
    <col collapsed="false" customWidth="true" hidden="false" outlineLevel="0" max="1" min="1" style="0" width="13.08"/>
    <col collapsed="false" customWidth="true" hidden="false" outlineLevel="0" max="2" min="2" style="0" width="13"/>
    <col collapsed="false" customWidth="true" hidden="false" outlineLevel="0" max="3" min="3" style="0" width="10.3"/>
    <col collapsed="false" customWidth="true" hidden="false" outlineLevel="0" max="4" min="4" style="0" width="19.84"/>
    <col collapsed="false" customWidth="true" hidden="false" outlineLevel="0" max="5" min="5" style="0" width="10.3"/>
    <col collapsed="false" customWidth="true" hidden="false" outlineLevel="0" max="6" min="6" style="0" width="27.54"/>
    <col collapsed="false" customWidth="true" hidden="false" outlineLevel="0" max="7" min="7" style="0" width="14.85"/>
    <col collapsed="false" customWidth="true" hidden="false" outlineLevel="0" max="8" min="8" style="0" width="53.46"/>
  </cols>
  <sheetData>
    <row r="1" customFormat="false" ht="16.5" hidden="false" customHeight="false" outlineLevel="0" collapsed="false">
      <c r="A1" s="4" t="s">
        <v>0</v>
      </c>
      <c r="B1" s="4" t="s">
        <v>1</v>
      </c>
      <c r="C1" s="4" t="s">
        <v>307</v>
      </c>
      <c r="D1" s="4" t="s">
        <v>308</v>
      </c>
      <c r="E1" s="4" t="s">
        <v>6</v>
      </c>
      <c r="F1" s="4" t="s">
        <v>266</v>
      </c>
      <c r="G1" s="4" t="s">
        <v>309</v>
      </c>
      <c r="H1" s="4" t="s">
        <v>265</v>
      </c>
    </row>
    <row r="2" customFormat="false" ht="16.5" hidden="false" customHeight="false" outlineLevel="0" collapsed="false">
      <c r="A2" s="4" t="s">
        <v>9</v>
      </c>
      <c r="B2" s="0" t="s">
        <v>310</v>
      </c>
      <c r="C2" s="0" t="s">
        <v>311</v>
      </c>
      <c r="D2" s="0" t="s">
        <v>312</v>
      </c>
      <c r="E2" s="0" t="s">
        <v>313</v>
      </c>
      <c r="F2" s="0" t="s">
        <v>314</v>
      </c>
      <c r="G2" s="0" t="s">
        <v>315</v>
      </c>
      <c r="H2" s="0" t="s">
        <v>316</v>
      </c>
    </row>
    <row r="3" customFormat="false" ht="16.5" hidden="false" customHeight="false" outlineLevel="0" collapsed="false">
      <c r="A3" s="4" t="s">
        <v>18</v>
      </c>
      <c r="B3" s="4" t="s">
        <v>19</v>
      </c>
      <c r="C3" s="4" t="s">
        <v>20</v>
      </c>
      <c r="D3" s="4" t="s">
        <v>20</v>
      </c>
      <c r="E3" s="4" t="s">
        <v>19</v>
      </c>
      <c r="F3" s="4" t="s">
        <v>317</v>
      </c>
      <c r="G3" s="4" t="s">
        <v>204</v>
      </c>
      <c r="H3" s="4" t="s">
        <v>19</v>
      </c>
    </row>
    <row r="4" customFormat="false" ht="16.5" hidden="false" customHeight="false" outlineLevel="0" collapsed="false">
      <c r="B4" s="4" t="s">
        <v>318</v>
      </c>
      <c r="C4" s="0" t="n">
        <v>0</v>
      </c>
      <c r="D4" s="0" t="n">
        <v>1</v>
      </c>
      <c r="E4" s="4" t="s">
        <v>85</v>
      </c>
      <c r="F4" s="4" t="s">
        <v>319</v>
      </c>
      <c r="G4" s="0" t="n">
        <v>5</v>
      </c>
      <c r="H4" s="0" t="s">
        <v>320</v>
      </c>
    </row>
    <row r="5" customFormat="false" ht="16.5" hidden="false" customHeight="false" outlineLevel="0" collapsed="false">
      <c r="B5" s="4" t="s">
        <v>321</v>
      </c>
      <c r="C5" s="0" t="n">
        <v>1</v>
      </c>
      <c r="D5" s="0" t="n">
        <v>50</v>
      </c>
      <c r="E5" s="4" t="s">
        <v>85</v>
      </c>
      <c r="F5" s="4" t="s">
        <v>322</v>
      </c>
      <c r="G5" s="0" t="n">
        <v>0.1</v>
      </c>
      <c r="H5" s="0" t="s">
        <v>323</v>
      </c>
    </row>
    <row r="6" customFormat="false" ht="16.5" hidden="false" customHeight="false" outlineLevel="0" collapsed="false">
      <c r="B6" s="4" t="s">
        <v>324</v>
      </c>
      <c r="C6" s="0" t="n">
        <v>2</v>
      </c>
      <c r="D6" s="0" t="n">
        <v>100</v>
      </c>
      <c r="E6" s="4" t="s">
        <v>85</v>
      </c>
      <c r="F6" s="4" t="s">
        <v>325</v>
      </c>
      <c r="G6" s="0" t="n">
        <v>0.02</v>
      </c>
      <c r="H6" s="0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9"/>
  <sheetViews>
    <sheetView showFormulas="false" showGridLines="true" showRowColHeaders="true" showZeros="true" rightToLeft="false" tabSelected="false" showOutlineSymbols="true" defaultGridColor="true" view="normal" topLeftCell="P2" colorId="64" zoomScale="85" zoomScaleNormal="85" zoomScalePageLayoutView="100" workbookViewId="0">
      <selection pane="topLeft" activeCell="P28" activeCellId="0" sqref="P28"/>
    </sheetView>
  </sheetViews>
  <sheetFormatPr defaultColWidth="9.00390625" defaultRowHeight="16.5" customHeight="false" zeroHeight="false" outlineLevelRow="0" outlineLevelCol="0"/>
  <cols>
    <col collapsed="false" customWidth="true" hidden="false" outlineLevel="0" max="1" min="1" style="0" width="13.08"/>
    <col collapsed="false" customWidth="true" hidden="false" outlineLevel="0" max="2" min="2" style="0" width="36.38"/>
    <col collapsed="false" customWidth="true" hidden="false" outlineLevel="0" max="3" min="3" style="0" width="12.16"/>
    <col collapsed="false" customWidth="true" hidden="false" outlineLevel="0" max="4" min="4" style="0" width="19.76"/>
    <col collapsed="false" customWidth="true" hidden="false" outlineLevel="0" max="5" min="5" style="0" width="16.38"/>
    <col collapsed="false" customWidth="true" hidden="false" outlineLevel="0" max="6" min="6" style="0" width="11.23"/>
    <col collapsed="false" customWidth="true" hidden="false" outlineLevel="0" max="7" min="7" style="0" width="12.31"/>
    <col collapsed="false" customWidth="true" hidden="false" outlineLevel="0" max="8" min="8" style="0" width="25.31"/>
    <col collapsed="false" customWidth="true" hidden="false" outlineLevel="0" max="9" min="9" style="0" width="21.84"/>
    <col collapsed="false" customWidth="true" hidden="false" outlineLevel="0" max="10" min="10" style="0" width="12.77"/>
    <col collapsed="false" customWidth="true" hidden="false" outlineLevel="0" max="11" min="11" style="0" width="21.77"/>
    <col collapsed="false" customWidth="true" hidden="false" outlineLevel="0" max="12" min="12" style="0" width="12.77"/>
    <col collapsed="false" customWidth="true" hidden="false" outlineLevel="0" max="13" min="13" style="0" width="40.3"/>
    <col collapsed="false" customWidth="true" hidden="false" outlineLevel="0" max="14" min="14" style="0" width="10.3"/>
    <col collapsed="false" customWidth="true" hidden="false" outlineLevel="0" max="15" min="15" style="0" width="12.77"/>
    <col collapsed="false" customWidth="true" hidden="false" outlineLevel="0" max="16" min="16" style="0" width="84.62"/>
    <col collapsed="false" customWidth="true" hidden="false" outlineLevel="0" max="17" min="17" style="0" width="20.7"/>
    <col collapsed="false" customWidth="true" hidden="false" outlineLevel="0" max="18" min="18" style="0" width="34.54"/>
  </cols>
  <sheetData>
    <row r="1" customFormat="false" ht="16.5" hidden="false" customHeight="false" outlineLevel="0" collapsed="false">
      <c r="A1" s="4" t="s">
        <v>0</v>
      </c>
      <c r="B1" s="4" t="s">
        <v>1</v>
      </c>
      <c r="C1" s="4" t="s">
        <v>327</v>
      </c>
      <c r="D1" s="4" t="s">
        <v>328</v>
      </c>
      <c r="E1" s="4" t="s">
        <v>329</v>
      </c>
      <c r="F1" s="4" t="s">
        <v>330</v>
      </c>
      <c r="G1" s="4" t="s">
        <v>331</v>
      </c>
      <c r="H1" s="4" t="s">
        <v>332</v>
      </c>
      <c r="I1" s="4" t="s">
        <v>333</v>
      </c>
      <c r="J1" s="4" t="s">
        <v>334</v>
      </c>
      <c r="K1" s="4" t="s">
        <v>335</v>
      </c>
      <c r="L1" s="4" t="s">
        <v>336</v>
      </c>
      <c r="M1" s="4" t="s">
        <v>337</v>
      </c>
      <c r="N1" s="4" t="s">
        <v>338</v>
      </c>
      <c r="O1" s="4" t="s">
        <v>339</v>
      </c>
      <c r="P1" s="4" t="s">
        <v>340</v>
      </c>
      <c r="Q1" s="4" t="s">
        <v>269</v>
      </c>
    </row>
    <row r="2" customFormat="false" ht="16.5" hidden="false" customHeight="false" outlineLevel="0" collapsed="false">
      <c r="A2" s="4" t="s">
        <v>9</v>
      </c>
      <c r="B2" s="0" t="s">
        <v>341</v>
      </c>
      <c r="C2" s="0" t="s">
        <v>342</v>
      </c>
      <c r="D2" s="0" t="s">
        <v>343</v>
      </c>
      <c r="E2" s="0" t="s">
        <v>344</v>
      </c>
      <c r="F2" s="0" t="s">
        <v>345</v>
      </c>
      <c r="G2" s="0" t="s">
        <v>346</v>
      </c>
      <c r="H2" s="0" t="s">
        <v>347</v>
      </c>
      <c r="I2" s="0" t="s">
        <v>348</v>
      </c>
      <c r="J2" s="0" t="s">
        <v>349</v>
      </c>
      <c r="K2" s="0" t="s">
        <v>350</v>
      </c>
      <c r="L2" s="0" t="s">
        <v>351</v>
      </c>
      <c r="M2" s="0" t="s">
        <v>352</v>
      </c>
      <c r="N2" s="0" t="s">
        <v>353</v>
      </c>
      <c r="O2" s="0" t="s">
        <v>354</v>
      </c>
      <c r="P2" s="0" t="s">
        <v>355</v>
      </c>
      <c r="Q2" s="0" t="s">
        <v>356</v>
      </c>
    </row>
    <row r="3" customFormat="false" ht="16.5" hidden="false" customHeight="false" outlineLevel="0" collapsed="false">
      <c r="A3" s="4" t="s">
        <v>18</v>
      </c>
      <c r="B3" s="4" t="s">
        <v>19</v>
      </c>
      <c r="C3" s="4" t="s">
        <v>357</v>
      </c>
      <c r="D3" s="4" t="s">
        <v>358</v>
      </c>
      <c r="E3" s="4" t="s">
        <v>359</v>
      </c>
      <c r="F3" s="4" t="s">
        <v>360</v>
      </c>
      <c r="G3" s="4" t="s">
        <v>361</v>
      </c>
      <c r="H3" s="4" t="s">
        <v>19</v>
      </c>
      <c r="I3" s="4" t="s">
        <v>317</v>
      </c>
      <c r="J3" s="4" t="s">
        <v>359</v>
      </c>
      <c r="K3" s="4" t="s">
        <v>20</v>
      </c>
      <c r="L3" s="4" t="s">
        <v>278</v>
      </c>
      <c r="M3" s="4" t="s">
        <v>22</v>
      </c>
      <c r="N3" s="4" t="s">
        <v>21</v>
      </c>
      <c r="O3" s="4" t="s">
        <v>21</v>
      </c>
      <c r="P3" s="4" t="s">
        <v>19</v>
      </c>
      <c r="Q3" s="4" t="s">
        <v>19</v>
      </c>
    </row>
    <row r="4" customFormat="false" ht="33.75" hidden="false" customHeight="true" outlineLevel="0" collapsed="false">
      <c r="B4" s="4" t="s">
        <v>217</v>
      </c>
      <c r="C4" s="4" t="s">
        <v>362</v>
      </c>
      <c r="D4" s="4" t="s">
        <v>363</v>
      </c>
      <c r="E4" s="4" t="s">
        <v>364</v>
      </c>
      <c r="F4" s="4" t="s">
        <v>365</v>
      </c>
      <c r="G4" s="4" t="s">
        <v>366</v>
      </c>
      <c r="I4" s="4" t="s">
        <v>322</v>
      </c>
      <c r="J4" s="4" t="s">
        <v>364</v>
      </c>
      <c r="K4" s="0" t="n">
        <v>0</v>
      </c>
      <c r="L4" s="0" t="n">
        <v>3</v>
      </c>
      <c r="N4" s="4" t="s">
        <v>25</v>
      </c>
      <c r="O4" s="4" t="s">
        <v>367</v>
      </c>
      <c r="P4" s="6" t="s">
        <v>368</v>
      </c>
    </row>
    <row r="5" customFormat="false" ht="33.75" hidden="false" customHeight="true" outlineLevel="0" collapsed="false">
      <c r="B5" s="4" t="s">
        <v>369</v>
      </c>
      <c r="C5" s="4" t="s">
        <v>362</v>
      </c>
      <c r="D5" s="4" t="s">
        <v>370</v>
      </c>
      <c r="E5" s="4" t="s">
        <v>371</v>
      </c>
      <c r="F5" s="4" t="s">
        <v>372</v>
      </c>
      <c r="G5" s="4" t="s">
        <v>373</v>
      </c>
      <c r="I5" s="4" t="s">
        <v>319</v>
      </c>
      <c r="J5" s="4" t="s">
        <v>364</v>
      </c>
      <c r="K5" s="0" t="n">
        <v>0</v>
      </c>
      <c r="L5" s="0" t="n">
        <v>8</v>
      </c>
      <c r="N5" s="4" t="s">
        <v>25</v>
      </c>
      <c r="O5" s="4" t="s">
        <v>367</v>
      </c>
      <c r="P5" s="7" t="s">
        <v>374</v>
      </c>
    </row>
    <row r="6" customFormat="false" ht="16.5" hidden="false" customHeight="false" outlineLevel="0" collapsed="false">
      <c r="B6" s="4" t="s">
        <v>375</v>
      </c>
      <c r="C6" s="4" t="s">
        <v>362</v>
      </c>
      <c r="D6" s="4" t="s">
        <v>376</v>
      </c>
      <c r="E6" s="4" t="s">
        <v>364</v>
      </c>
      <c r="F6" s="4" t="s">
        <v>365</v>
      </c>
      <c r="G6" s="4" t="s">
        <v>373</v>
      </c>
      <c r="I6" s="4" t="s">
        <v>377</v>
      </c>
      <c r="J6" s="4" t="s">
        <v>378</v>
      </c>
      <c r="K6" s="0" t="n">
        <v>1</v>
      </c>
      <c r="L6" s="0" t="n">
        <v>0</v>
      </c>
      <c r="N6" s="4" t="s">
        <v>25</v>
      </c>
      <c r="O6" s="4" t="s">
        <v>25</v>
      </c>
      <c r="P6" s="0" t="s">
        <v>379</v>
      </c>
      <c r="Q6" s="4" t="s">
        <v>380</v>
      </c>
    </row>
    <row r="7" customFormat="false" ht="33.75" hidden="false" customHeight="true" outlineLevel="0" collapsed="false">
      <c r="B7" s="4" t="s">
        <v>219</v>
      </c>
      <c r="C7" s="4" t="s">
        <v>362</v>
      </c>
      <c r="D7" s="4" t="s">
        <v>381</v>
      </c>
      <c r="E7" s="4" t="s">
        <v>371</v>
      </c>
      <c r="F7" s="4" t="s">
        <v>365</v>
      </c>
      <c r="G7" s="4" t="s">
        <v>373</v>
      </c>
      <c r="I7" s="4" t="s">
        <v>319</v>
      </c>
      <c r="J7" s="4" t="s">
        <v>364</v>
      </c>
      <c r="K7" s="0" t="n">
        <v>0</v>
      </c>
      <c r="L7" s="0" t="n">
        <v>-2</v>
      </c>
      <c r="N7" s="4" t="s">
        <v>25</v>
      </c>
      <c r="O7" s="4" t="s">
        <v>367</v>
      </c>
      <c r="P7" s="7" t="s">
        <v>382</v>
      </c>
    </row>
    <row r="8" customFormat="false" ht="33.75" hidden="false" customHeight="true" outlineLevel="0" collapsed="false">
      <c r="B8" s="4" t="s">
        <v>220</v>
      </c>
      <c r="C8" s="4" t="s">
        <v>362</v>
      </c>
      <c r="D8" s="4" t="s">
        <v>370</v>
      </c>
      <c r="E8" s="4" t="s">
        <v>371</v>
      </c>
      <c r="F8" s="4" t="s">
        <v>365</v>
      </c>
      <c r="G8" s="4" t="s">
        <v>373</v>
      </c>
      <c r="I8" s="4" t="s">
        <v>383</v>
      </c>
      <c r="J8" s="4" t="s">
        <v>384</v>
      </c>
      <c r="K8" s="0" t="n">
        <v>0</v>
      </c>
      <c r="L8" s="0" t="n">
        <v>2</v>
      </c>
      <c r="N8" s="4" t="s">
        <v>25</v>
      </c>
      <c r="O8" s="4" t="s">
        <v>367</v>
      </c>
      <c r="P8" s="7" t="s">
        <v>385</v>
      </c>
      <c r="Q8" s="2" t="s">
        <v>386</v>
      </c>
    </row>
    <row r="9" customFormat="false" ht="33.75" hidden="false" customHeight="true" outlineLevel="0" collapsed="false">
      <c r="B9" s="4" t="s">
        <v>221</v>
      </c>
      <c r="C9" s="4" t="s">
        <v>362</v>
      </c>
      <c r="D9" s="4" t="s">
        <v>376</v>
      </c>
      <c r="E9" s="4" t="s">
        <v>364</v>
      </c>
      <c r="F9" s="4" t="s">
        <v>365</v>
      </c>
      <c r="G9" s="4" t="s">
        <v>366</v>
      </c>
      <c r="I9" s="4" t="s">
        <v>387</v>
      </c>
      <c r="J9" s="4" t="s">
        <v>364</v>
      </c>
      <c r="K9" s="0" t="n">
        <v>0</v>
      </c>
      <c r="L9" s="0" t="n">
        <v>6</v>
      </c>
      <c r="N9" s="4" t="s">
        <v>25</v>
      </c>
      <c r="O9" s="4" t="s">
        <v>367</v>
      </c>
      <c r="P9" s="6" t="s">
        <v>388</v>
      </c>
    </row>
    <row r="10" customFormat="false" ht="33.75" hidden="false" customHeight="true" outlineLevel="0" collapsed="false">
      <c r="B10" s="4" t="s">
        <v>222</v>
      </c>
      <c r="C10" s="4" t="s">
        <v>362</v>
      </c>
      <c r="D10" s="4" t="s">
        <v>370</v>
      </c>
      <c r="E10" s="4" t="s">
        <v>389</v>
      </c>
      <c r="F10" s="4" t="s">
        <v>365</v>
      </c>
      <c r="G10" s="4" t="s">
        <v>373</v>
      </c>
      <c r="I10" s="4" t="s">
        <v>322</v>
      </c>
      <c r="J10" s="4" t="s">
        <v>364</v>
      </c>
      <c r="K10" s="0" t="n">
        <v>0</v>
      </c>
      <c r="L10" s="0" t="n">
        <v>1</v>
      </c>
      <c r="N10" s="4" t="s">
        <v>25</v>
      </c>
      <c r="O10" s="4" t="s">
        <v>367</v>
      </c>
      <c r="P10" s="7" t="s">
        <v>390</v>
      </c>
    </row>
    <row r="11" customFormat="false" ht="33.75" hidden="false" customHeight="true" outlineLevel="0" collapsed="false">
      <c r="B11" s="4" t="s">
        <v>223</v>
      </c>
      <c r="C11" s="4" t="s">
        <v>362</v>
      </c>
      <c r="D11" s="4" t="s">
        <v>370</v>
      </c>
      <c r="E11" s="4" t="s">
        <v>391</v>
      </c>
      <c r="F11" s="4" t="s">
        <v>365</v>
      </c>
      <c r="G11" s="4" t="s">
        <v>373</v>
      </c>
      <c r="I11" s="4" t="s">
        <v>319</v>
      </c>
      <c r="J11" s="4" t="s">
        <v>364</v>
      </c>
      <c r="K11" s="0" t="n">
        <v>0</v>
      </c>
      <c r="L11" s="0" t="n">
        <v>10</v>
      </c>
      <c r="N11" s="4" t="s">
        <v>25</v>
      </c>
      <c r="O11" s="4" t="s">
        <v>367</v>
      </c>
      <c r="P11" s="7" t="s">
        <v>374</v>
      </c>
    </row>
    <row r="12" customFormat="false" ht="33.75" hidden="false" customHeight="true" outlineLevel="0" collapsed="false">
      <c r="B12" s="4" t="s">
        <v>224</v>
      </c>
      <c r="C12" s="4" t="s">
        <v>362</v>
      </c>
      <c r="D12" s="4" t="s">
        <v>392</v>
      </c>
      <c r="E12" s="4" t="s">
        <v>364</v>
      </c>
      <c r="F12" s="4" t="s">
        <v>365</v>
      </c>
      <c r="G12" s="4" t="s">
        <v>373</v>
      </c>
      <c r="I12" s="4" t="s">
        <v>387</v>
      </c>
      <c r="J12" s="4" t="s">
        <v>364</v>
      </c>
      <c r="K12" s="0" t="n">
        <v>0</v>
      </c>
      <c r="L12" s="0" t="n">
        <v>5</v>
      </c>
      <c r="N12" s="4" t="s">
        <v>25</v>
      </c>
      <c r="O12" s="4" t="s">
        <v>367</v>
      </c>
      <c r="P12" s="6" t="s">
        <v>393</v>
      </c>
    </row>
    <row r="13" customFormat="false" ht="33.75" hidden="false" customHeight="true" outlineLevel="0" collapsed="false">
      <c r="B13" s="4" t="s">
        <v>225</v>
      </c>
      <c r="C13" s="4" t="s">
        <v>362</v>
      </c>
      <c r="D13" s="4" t="s">
        <v>370</v>
      </c>
      <c r="E13" s="4" t="s">
        <v>391</v>
      </c>
      <c r="F13" s="4" t="s">
        <v>372</v>
      </c>
      <c r="G13" s="4" t="s">
        <v>373</v>
      </c>
      <c r="I13" s="4" t="s">
        <v>322</v>
      </c>
      <c r="J13" s="4" t="s">
        <v>394</v>
      </c>
      <c r="K13" s="0" t="n">
        <v>0</v>
      </c>
      <c r="L13" s="0" t="n">
        <v>0.2</v>
      </c>
      <c r="N13" s="4" t="s">
        <v>25</v>
      </c>
      <c r="O13" s="4" t="s">
        <v>367</v>
      </c>
      <c r="P13" s="7" t="s">
        <v>390</v>
      </c>
    </row>
    <row r="14" customFormat="false" ht="16.5" hidden="false" customHeight="false" outlineLevel="0" collapsed="false">
      <c r="B14" s="4" t="s">
        <v>226</v>
      </c>
      <c r="C14" s="4" t="s">
        <v>362</v>
      </c>
      <c r="D14" s="4" t="s">
        <v>376</v>
      </c>
      <c r="E14" s="4" t="s">
        <v>364</v>
      </c>
      <c r="F14" s="4" t="s">
        <v>365</v>
      </c>
      <c r="G14" s="4" t="s">
        <v>373</v>
      </c>
      <c r="I14" s="4" t="s">
        <v>383</v>
      </c>
      <c r="J14" s="4" t="s">
        <v>384</v>
      </c>
      <c r="K14" s="0" t="n">
        <v>0</v>
      </c>
      <c r="L14" s="0" t="n">
        <v>5</v>
      </c>
      <c r="N14" s="4" t="s">
        <v>25</v>
      </c>
      <c r="O14" s="4" t="s">
        <v>367</v>
      </c>
      <c r="P14" s="0" t="s">
        <v>395</v>
      </c>
      <c r="Q14" s="2" t="s">
        <v>386</v>
      </c>
    </row>
    <row r="15" s="8" customFormat="true" ht="16.5" hidden="false" customHeight="false" outlineLevel="0" collapsed="false">
      <c r="B15" s="9" t="s">
        <v>396</v>
      </c>
      <c r="C15" s="9" t="s">
        <v>362</v>
      </c>
      <c r="D15" s="9" t="s">
        <v>376</v>
      </c>
      <c r="E15" s="9" t="s">
        <v>364</v>
      </c>
      <c r="F15" s="9" t="s">
        <v>365</v>
      </c>
      <c r="G15" s="9" t="s">
        <v>373</v>
      </c>
      <c r="I15" s="9" t="s">
        <v>397</v>
      </c>
      <c r="J15" s="9" t="s">
        <v>364</v>
      </c>
      <c r="K15" s="8" t="n">
        <v>0</v>
      </c>
      <c r="L15" s="8" t="n">
        <v>1</v>
      </c>
      <c r="N15" s="9" t="s">
        <v>367</v>
      </c>
      <c r="O15" s="9" t="s">
        <v>25</v>
      </c>
      <c r="P15" s="8" t="s">
        <v>398</v>
      </c>
      <c r="R15" s="8" t="s">
        <v>399</v>
      </c>
    </row>
    <row r="16" customFormat="false" ht="16.5" hidden="false" customHeight="false" outlineLevel="0" collapsed="false">
      <c r="B16" s="4" t="s">
        <v>400</v>
      </c>
      <c r="C16" s="4" t="s">
        <v>362</v>
      </c>
      <c r="D16" s="4" t="s">
        <v>376</v>
      </c>
      <c r="E16" s="4" t="s">
        <v>364</v>
      </c>
      <c r="F16" s="4" t="s">
        <v>365</v>
      </c>
      <c r="G16" s="4" t="s">
        <v>373</v>
      </c>
      <c r="I16" s="4" t="s">
        <v>377</v>
      </c>
      <c r="J16" s="4" t="s">
        <v>401</v>
      </c>
      <c r="K16" s="0" t="n">
        <v>1</v>
      </c>
      <c r="L16" s="0" t="n">
        <v>0</v>
      </c>
      <c r="N16" s="4" t="s">
        <v>25</v>
      </c>
      <c r="O16" s="4" t="s">
        <v>25</v>
      </c>
      <c r="P16" s="0" t="s">
        <v>379</v>
      </c>
      <c r="Q16" s="4" t="s">
        <v>380</v>
      </c>
    </row>
    <row r="17" customFormat="false" ht="33.75" hidden="false" customHeight="true" outlineLevel="0" collapsed="false">
      <c r="B17" s="4" t="s">
        <v>228</v>
      </c>
      <c r="C17" s="4" t="s">
        <v>362</v>
      </c>
      <c r="D17" s="4" t="s">
        <v>402</v>
      </c>
      <c r="E17" s="4" t="s">
        <v>371</v>
      </c>
      <c r="F17" s="4" t="s">
        <v>365</v>
      </c>
      <c r="G17" s="4" t="s">
        <v>366</v>
      </c>
      <c r="I17" s="4" t="s">
        <v>290</v>
      </c>
      <c r="J17" s="4" t="s">
        <v>364</v>
      </c>
      <c r="K17" s="0" t="n">
        <v>0</v>
      </c>
      <c r="L17" s="0" t="n">
        <v>30</v>
      </c>
      <c r="N17" s="4" t="s">
        <v>25</v>
      </c>
      <c r="O17" s="4" t="s">
        <v>25</v>
      </c>
      <c r="P17" s="6" t="s">
        <v>403</v>
      </c>
      <c r="R17" s="0" t="s">
        <v>404</v>
      </c>
    </row>
    <row r="18" customFormat="false" ht="33.75" hidden="false" customHeight="true" outlineLevel="0" collapsed="false">
      <c r="B18" s="4" t="s">
        <v>229</v>
      </c>
      <c r="C18" s="4" t="s">
        <v>362</v>
      </c>
      <c r="D18" s="4" t="s">
        <v>402</v>
      </c>
      <c r="E18" s="4" t="s">
        <v>391</v>
      </c>
      <c r="F18" s="4" t="s">
        <v>365</v>
      </c>
      <c r="G18" s="4" t="s">
        <v>366</v>
      </c>
      <c r="I18" s="4" t="s">
        <v>383</v>
      </c>
      <c r="J18" s="4" t="s">
        <v>384</v>
      </c>
      <c r="K18" s="0" t="n">
        <v>0</v>
      </c>
      <c r="L18" s="0" t="n">
        <v>10</v>
      </c>
      <c r="N18" s="4" t="s">
        <v>25</v>
      </c>
      <c r="O18" s="4" t="s">
        <v>367</v>
      </c>
      <c r="P18" s="6" t="s">
        <v>405</v>
      </c>
      <c r="Q18" s="2" t="s">
        <v>386</v>
      </c>
    </row>
    <row r="19" customFormat="false" ht="33.75" hidden="false" customHeight="true" outlineLevel="0" collapsed="false">
      <c r="B19" s="4" t="s">
        <v>406</v>
      </c>
      <c r="C19" s="4" t="s">
        <v>362</v>
      </c>
      <c r="D19" s="4" t="s">
        <v>370</v>
      </c>
      <c r="E19" s="4" t="s">
        <v>391</v>
      </c>
      <c r="F19" s="4" t="s">
        <v>365</v>
      </c>
      <c r="G19" s="4" t="s">
        <v>373</v>
      </c>
      <c r="I19" s="4" t="s">
        <v>322</v>
      </c>
      <c r="J19" s="4" t="s">
        <v>364</v>
      </c>
      <c r="K19" s="0" t="n">
        <v>0</v>
      </c>
      <c r="L19" s="0" t="n">
        <v>2</v>
      </c>
      <c r="N19" s="4" t="s">
        <v>25</v>
      </c>
      <c r="O19" s="4" t="s">
        <v>367</v>
      </c>
      <c r="P19" s="7" t="s">
        <v>390</v>
      </c>
    </row>
    <row r="20" customFormat="false" ht="16.5" hidden="false" customHeight="false" outlineLevel="0" collapsed="false">
      <c r="B20" s="4" t="s">
        <v>407</v>
      </c>
      <c r="C20" s="4" t="s">
        <v>362</v>
      </c>
      <c r="D20" s="4" t="s">
        <v>376</v>
      </c>
      <c r="E20" s="4" t="s">
        <v>364</v>
      </c>
      <c r="F20" s="4" t="s">
        <v>365</v>
      </c>
      <c r="G20" s="4" t="s">
        <v>373</v>
      </c>
      <c r="I20" s="4" t="s">
        <v>408</v>
      </c>
      <c r="J20" s="4" t="s">
        <v>364</v>
      </c>
      <c r="K20" s="0" t="n">
        <v>0</v>
      </c>
      <c r="L20" s="0" t="n">
        <v>1</v>
      </c>
      <c r="N20" s="4" t="s">
        <v>367</v>
      </c>
      <c r="O20" s="4" t="s">
        <v>25</v>
      </c>
      <c r="P20" s="4" t="s">
        <v>409</v>
      </c>
    </row>
    <row r="21" customFormat="false" ht="16.5" hidden="false" customHeight="false" outlineLevel="0" collapsed="false">
      <c r="B21" s="4" t="s">
        <v>231</v>
      </c>
      <c r="C21" s="4" t="s">
        <v>362</v>
      </c>
      <c r="D21" s="4" t="s">
        <v>376</v>
      </c>
      <c r="E21" s="4" t="s">
        <v>364</v>
      </c>
      <c r="F21" s="4" t="s">
        <v>365</v>
      </c>
      <c r="G21" s="4" t="s">
        <v>373</v>
      </c>
      <c r="I21" s="4" t="s">
        <v>383</v>
      </c>
      <c r="J21" s="4" t="s">
        <v>384</v>
      </c>
      <c r="K21" s="0" t="n">
        <v>0</v>
      </c>
      <c r="L21" s="0" t="n">
        <v>10</v>
      </c>
      <c r="N21" s="4" t="s">
        <v>25</v>
      </c>
      <c r="O21" s="4" t="s">
        <v>367</v>
      </c>
      <c r="P21" s="0" t="s">
        <v>395</v>
      </c>
      <c r="Q21" s="2" t="s">
        <v>386</v>
      </c>
    </row>
    <row r="22" s="8" customFormat="true" ht="33.75" hidden="false" customHeight="true" outlineLevel="0" collapsed="false">
      <c r="B22" s="9" t="s">
        <v>410</v>
      </c>
      <c r="C22" s="9" t="s">
        <v>411</v>
      </c>
      <c r="D22" s="9" t="s">
        <v>376</v>
      </c>
      <c r="E22" s="9" t="s">
        <v>364</v>
      </c>
      <c r="F22" s="9" t="s">
        <v>365</v>
      </c>
      <c r="G22" s="9" t="s">
        <v>373</v>
      </c>
      <c r="I22" s="9" t="s">
        <v>412</v>
      </c>
      <c r="J22" s="9" t="s">
        <v>364</v>
      </c>
      <c r="K22" s="8" t="n">
        <v>0</v>
      </c>
      <c r="L22" s="8" t="n">
        <v>1</v>
      </c>
      <c r="N22" s="9" t="s">
        <v>25</v>
      </c>
      <c r="O22" s="9" t="s">
        <v>25</v>
      </c>
      <c r="P22" s="10" t="s">
        <v>413</v>
      </c>
      <c r="R22" s="8" t="s">
        <v>414</v>
      </c>
    </row>
    <row r="23" customFormat="false" ht="33.75" hidden="false" customHeight="true" outlineLevel="0" collapsed="false">
      <c r="B23" s="4" t="s">
        <v>415</v>
      </c>
      <c r="C23" s="4" t="s">
        <v>362</v>
      </c>
      <c r="D23" s="4" t="s">
        <v>416</v>
      </c>
      <c r="E23" s="4" t="s">
        <v>371</v>
      </c>
      <c r="F23" s="4" t="s">
        <v>365</v>
      </c>
      <c r="G23" s="4" t="s">
        <v>366</v>
      </c>
      <c r="H23" s="4" t="s">
        <v>417</v>
      </c>
      <c r="I23" s="4" t="s">
        <v>325</v>
      </c>
      <c r="J23" s="4" t="s">
        <v>364</v>
      </c>
      <c r="K23" s="0" t="n">
        <v>0</v>
      </c>
      <c r="L23" s="0" t="n">
        <v>1.5</v>
      </c>
      <c r="N23" s="4" t="s">
        <v>25</v>
      </c>
      <c r="O23" s="4" t="s">
        <v>25</v>
      </c>
      <c r="P23" s="7" t="s">
        <v>418</v>
      </c>
    </row>
    <row r="24" customFormat="false" ht="16.5" hidden="false" customHeight="false" outlineLevel="0" collapsed="false">
      <c r="B24" s="4" t="s">
        <v>419</v>
      </c>
      <c r="C24" s="4" t="s">
        <v>362</v>
      </c>
      <c r="D24" s="4" t="s">
        <v>376</v>
      </c>
      <c r="E24" s="4" t="s">
        <v>364</v>
      </c>
      <c r="F24" s="4" t="s">
        <v>365</v>
      </c>
      <c r="G24" s="4" t="s">
        <v>373</v>
      </c>
      <c r="I24" s="4" t="s">
        <v>377</v>
      </c>
      <c r="J24" s="4" t="s">
        <v>420</v>
      </c>
      <c r="K24" s="0" t="n">
        <v>2</v>
      </c>
      <c r="L24" s="0" t="n">
        <v>0</v>
      </c>
      <c r="N24" s="4" t="s">
        <v>25</v>
      </c>
      <c r="O24" s="4" t="s">
        <v>25</v>
      </c>
      <c r="P24" s="0" t="s">
        <v>379</v>
      </c>
      <c r="Q24" s="4" t="s">
        <v>380</v>
      </c>
    </row>
    <row r="25" customFormat="false" ht="33.75" hidden="false" customHeight="true" outlineLevel="0" collapsed="false">
      <c r="B25" s="4" t="s">
        <v>421</v>
      </c>
      <c r="C25" s="4" t="s">
        <v>362</v>
      </c>
      <c r="D25" s="4" t="s">
        <v>370</v>
      </c>
      <c r="E25" s="4" t="s">
        <v>371</v>
      </c>
      <c r="F25" s="4" t="s">
        <v>365</v>
      </c>
      <c r="G25" s="4" t="s">
        <v>373</v>
      </c>
      <c r="I25" s="4" t="s">
        <v>325</v>
      </c>
      <c r="J25" s="4" t="s">
        <v>364</v>
      </c>
      <c r="K25" s="0" t="n">
        <v>0</v>
      </c>
      <c r="L25" s="0" t="n">
        <v>1.2</v>
      </c>
      <c r="N25" s="4" t="s">
        <v>25</v>
      </c>
      <c r="O25" s="4" t="s">
        <v>25</v>
      </c>
      <c r="P25" s="7" t="s">
        <v>422</v>
      </c>
    </row>
    <row r="26" customFormat="false" ht="16.5" hidden="false" customHeight="false" outlineLevel="0" collapsed="false">
      <c r="B26" s="4" t="s">
        <v>423</v>
      </c>
      <c r="C26" s="4" t="s">
        <v>362</v>
      </c>
      <c r="D26" s="4" t="s">
        <v>376</v>
      </c>
      <c r="E26" s="4" t="s">
        <v>364</v>
      </c>
      <c r="F26" s="4" t="s">
        <v>365</v>
      </c>
      <c r="G26" s="4" t="s">
        <v>373</v>
      </c>
      <c r="I26" s="4" t="s">
        <v>377</v>
      </c>
      <c r="J26" s="4" t="s">
        <v>371</v>
      </c>
      <c r="K26" s="0" t="n">
        <v>2</v>
      </c>
      <c r="L26" s="0" t="n">
        <v>0</v>
      </c>
      <c r="N26" s="4" t="s">
        <v>25</v>
      </c>
      <c r="O26" s="4" t="s">
        <v>25</v>
      </c>
      <c r="P26" s="0" t="s">
        <v>379</v>
      </c>
      <c r="Q26" s="4" t="s">
        <v>380</v>
      </c>
    </row>
    <row r="27" customFormat="false" ht="16.5" hidden="false" customHeight="false" outlineLevel="0" collapsed="false">
      <c r="B27" s="4" t="s">
        <v>424</v>
      </c>
      <c r="C27" s="4" t="s">
        <v>362</v>
      </c>
      <c r="D27" s="4" t="s">
        <v>376</v>
      </c>
      <c r="E27" s="4" t="s">
        <v>364</v>
      </c>
      <c r="F27" s="4" t="s">
        <v>365</v>
      </c>
      <c r="G27" s="4" t="s">
        <v>373</v>
      </c>
      <c r="I27" s="4" t="s">
        <v>425</v>
      </c>
      <c r="J27" s="4" t="s">
        <v>371</v>
      </c>
      <c r="K27" s="0" t="n">
        <v>0</v>
      </c>
      <c r="L27" s="0" t="n">
        <v>1</v>
      </c>
      <c r="N27" s="4" t="s">
        <v>25</v>
      </c>
      <c r="O27" s="4" t="s">
        <v>25</v>
      </c>
      <c r="P27" s="0" t="s">
        <v>426</v>
      </c>
    </row>
    <row r="28" customFormat="false" ht="33.75" hidden="false" customHeight="true" outlineLevel="0" collapsed="false">
      <c r="B28" s="4" t="s">
        <v>427</v>
      </c>
      <c r="C28" s="4" t="s">
        <v>362</v>
      </c>
      <c r="D28" s="4" t="s">
        <v>392</v>
      </c>
      <c r="E28" s="4" t="s">
        <v>364</v>
      </c>
      <c r="F28" s="4" t="s">
        <v>365</v>
      </c>
      <c r="G28" s="4" t="s">
        <v>373</v>
      </c>
      <c r="I28" s="4" t="s">
        <v>383</v>
      </c>
      <c r="J28" s="4" t="s">
        <v>384</v>
      </c>
      <c r="K28" s="0" t="n">
        <v>0</v>
      </c>
      <c r="L28" s="0" t="n">
        <v>6</v>
      </c>
      <c r="N28" s="4" t="s">
        <v>25</v>
      </c>
      <c r="O28" s="4" t="s">
        <v>367</v>
      </c>
      <c r="P28" s="6" t="s">
        <v>428</v>
      </c>
      <c r="Q28" s="2" t="s">
        <v>386</v>
      </c>
    </row>
    <row r="29" customFormat="false" ht="16.5" hidden="false" customHeight="false" outlineLevel="0" collapsed="false">
      <c r="B29" s="4" t="s">
        <v>429</v>
      </c>
      <c r="C29" s="4" t="s">
        <v>362</v>
      </c>
      <c r="D29" s="4" t="s">
        <v>376</v>
      </c>
      <c r="E29" s="4" t="s">
        <v>364</v>
      </c>
      <c r="F29" s="4" t="s">
        <v>365</v>
      </c>
      <c r="G29" s="4" t="s">
        <v>373</v>
      </c>
      <c r="I29" s="4" t="s">
        <v>325</v>
      </c>
      <c r="J29" s="4" t="s">
        <v>364</v>
      </c>
      <c r="K29" s="0" t="n">
        <v>0</v>
      </c>
      <c r="L29" s="0" t="n">
        <v>1.5</v>
      </c>
      <c r="N29" s="4" t="s">
        <v>25</v>
      </c>
      <c r="O29" s="4" t="s">
        <v>25</v>
      </c>
      <c r="P29" s="4" t="s">
        <v>430</v>
      </c>
    </row>
    <row r="30" customFormat="false" ht="16.5" hidden="false" customHeight="false" outlineLevel="0" collapsed="false">
      <c r="B30" s="4" t="s">
        <v>431</v>
      </c>
      <c r="C30" s="4" t="s">
        <v>362</v>
      </c>
      <c r="D30" s="4" t="s">
        <v>376</v>
      </c>
      <c r="E30" s="4" t="s">
        <v>364</v>
      </c>
      <c r="F30" s="4" t="s">
        <v>365</v>
      </c>
      <c r="G30" s="4" t="s">
        <v>373</v>
      </c>
      <c r="I30" s="4" t="s">
        <v>387</v>
      </c>
      <c r="J30" s="4" t="s">
        <v>364</v>
      </c>
      <c r="K30" s="0" t="n">
        <v>0</v>
      </c>
      <c r="L30" s="0" t="n">
        <v>10</v>
      </c>
      <c r="N30" s="4" t="s">
        <v>25</v>
      </c>
      <c r="O30" s="4" t="s">
        <v>367</v>
      </c>
      <c r="P30" s="4" t="s">
        <v>432</v>
      </c>
    </row>
    <row r="31" customFormat="false" ht="16.5" hidden="false" customHeight="false" outlineLevel="0" collapsed="false">
      <c r="B31" s="4" t="s">
        <v>433</v>
      </c>
      <c r="C31" s="4" t="s">
        <v>362</v>
      </c>
      <c r="D31" s="4" t="s">
        <v>376</v>
      </c>
      <c r="E31" s="4" t="s">
        <v>364</v>
      </c>
      <c r="F31" s="4" t="s">
        <v>365</v>
      </c>
      <c r="G31" s="4" t="s">
        <v>373</v>
      </c>
      <c r="I31" s="4" t="s">
        <v>377</v>
      </c>
      <c r="J31" s="4" t="s">
        <v>401</v>
      </c>
      <c r="K31" s="0" t="n">
        <v>2</v>
      </c>
      <c r="L31" s="0" t="n">
        <v>0</v>
      </c>
      <c r="N31" s="4" t="s">
        <v>25</v>
      </c>
      <c r="O31" s="4" t="s">
        <v>25</v>
      </c>
      <c r="P31" s="0" t="s">
        <v>379</v>
      </c>
      <c r="Q31" s="4" t="s">
        <v>380</v>
      </c>
    </row>
    <row r="32" customFormat="false" ht="33.75" hidden="false" customHeight="true" outlineLevel="0" collapsed="false">
      <c r="B32" s="4" t="s">
        <v>434</v>
      </c>
      <c r="C32" s="4" t="s">
        <v>362</v>
      </c>
      <c r="D32" s="4" t="s">
        <v>370</v>
      </c>
      <c r="E32" s="4" t="s">
        <v>435</v>
      </c>
      <c r="F32" s="4" t="s">
        <v>365</v>
      </c>
      <c r="G32" s="4" t="s">
        <v>373</v>
      </c>
      <c r="I32" s="4" t="s">
        <v>322</v>
      </c>
      <c r="J32" s="4" t="s">
        <v>364</v>
      </c>
      <c r="K32" s="0" t="n">
        <v>0</v>
      </c>
      <c r="L32" s="0" t="n">
        <v>0.2</v>
      </c>
      <c r="N32" s="4" t="s">
        <v>25</v>
      </c>
      <c r="O32" s="4" t="s">
        <v>367</v>
      </c>
      <c r="P32" s="7" t="s">
        <v>390</v>
      </c>
    </row>
    <row r="33" customFormat="false" ht="16.5" hidden="false" customHeight="false" outlineLevel="0" collapsed="false">
      <c r="B33" s="4" t="s">
        <v>436</v>
      </c>
      <c r="C33" s="4" t="s">
        <v>362</v>
      </c>
      <c r="D33" s="4" t="s">
        <v>376</v>
      </c>
      <c r="E33" s="4" t="s">
        <v>364</v>
      </c>
      <c r="F33" s="4" t="s">
        <v>365</v>
      </c>
      <c r="G33" s="4" t="s">
        <v>373</v>
      </c>
      <c r="I33" s="4" t="s">
        <v>408</v>
      </c>
      <c r="J33" s="4" t="s">
        <v>364</v>
      </c>
      <c r="K33" s="0" t="n">
        <v>0</v>
      </c>
      <c r="L33" s="0" t="n">
        <v>3</v>
      </c>
      <c r="N33" s="4" t="s">
        <v>367</v>
      </c>
      <c r="O33" s="4" t="s">
        <v>25</v>
      </c>
      <c r="P33" s="4" t="s">
        <v>409</v>
      </c>
    </row>
    <row r="34" customFormat="false" ht="16.5" hidden="false" customHeight="false" outlineLevel="0" collapsed="false">
      <c r="B34" s="4" t="s">
        <v>437</v>
      </c>
      <c r="C34" s="4" t="s">
        <v>362</v>
      </c>
      <c r="D34" s="4" t="s">
        <v>376</v>
      </c>
      <c r="E34" s="4" t="s">
        <v>364</v>
      </c>
      <c r="F34" s="4" t="s">
        <v>365</v>
      </c>
      <c r="G34" s="4" t="s">
        <v>373</v>
      </c>
      <c r="I34" s="4" t="s">
        <v>322</v>
      </c>
      <c r="J34" s="4" t="s">
        <v>394</v>
      </c>
      <c r="K34" s="0" t="n">
        <v>0</v>
      </c>
      <c r="L34" s="0" t="n">
        <v>5</v>
      </c>
      <c r="N34" s="4" t="s">
        <v>25</v>
      </c>
      <c r="O34" s="4" t="s">
        <v>367</v>
      </c>
      <c r="P34" s="4" t="s">
        <v>438</v>
      </c>
    </row>
    <row r="35" customFormat="false" ht="16.5" hidden="false" customHeight="false" outlineLevel="0" collapsed="false">
      <c r="B35" s="4" t="s">
        <v>439</v>
      </c>
      <c r="C35" s="4" t="s">
        <v>362</v>
      </c>
      <c r="D35" s="4" t="s">
        <v>376</v>
      </c>
      <c r="E35" s="4" t="s">
        <v>364</v>
      </c>
      <c r="F35" s="4" t="s">
        <v>365</v>
      </c>
      <c r="G35" s="4" t="s">
        <v>373</v>
      </c>
      <c r="I35" s="4" t="s">
        <v>377</v>
      </c>
      <c r="J35" s="4" t="s">
        <v>401</v>
      </c>
      <c r="K35" s="0" t="n">
        <v>3</v>
      </c>
      <c r="L35" s="0" t="n">
        <v>0</v>
      </c>
      <c r="N35" s="4" t="s">
        <v>25</v>
      </c>
      <c r="O35" s="4" t="s">
        <v>25</v>
      </c>
      <c r="P35" s="0" t="s">
        <v>379</v>
      </c>
      <c r="Q35" s="4" t="s">
        <v>380</v>
      </c>
    </row>
    <row r="36" customFormat="false" ht="16.5" hidden="false" customHeight="false" outlineLevel="0" collapsed="false">
      <c r="B36" s="4" t="s">
        <v>440</v>
      </c>
      <c r="C36" s="4" t="s">
        <v>362</v>
      </c>
      <c r="D36" s="4" t="s">
        <v>376</v>
      </c>
      <c r="E36" s="4" t="s">
        <v>364</v>
      </c>
      <c r="F36" s="4" t="s">
        <v>365</v>
      </c>
      <c r="G36" s="4" t="s">
        <v>373</v>
      </c>
      <c r="I36" s="4" t="s">
        <v>441</v>
      </c>
      <c r="J36" s="4" t="s">
        <v>384</v>
      </c>
      <c r="K36" s="0" t="n">
        <v>0</v>
      </c>
      <c r="L36" s="0" t="n">
        <v>10</v>
      </c>
      <c r="N36" s="4" t="s">
        <v>25</v>
      </c>
      <c r="O36" s="4" t="s">
        <v>25</v>
      </c>
      <c r="P36" s="0" t="s">
        <v>442</v>
      </c>
      <c r="Q36" s="2" t="s">
        <v>386</v>
      </c>
      <c r="R36" s="4" t="s">
        <v>389</v>
      </c>
    </row>
    <row r="37" customFormat="false" ht="16.5" hidden="false" customHeight="false" outlineLevel="0" collapsed="false">
      <c r="B37" s="4" t="s">
        <v>443</v>
      </c>
      <c r="C37" s="4" t="s">
        <v>362</v>
      </c>
      <c r="D37" s="4" t="s">
        <v>376</v>
      </c>
      <c r="E37" s="4" t="s">
        <v>364</v>
      </c>
      <c r="F37" s="4" t="s">
        <v>365</v>
      </c>
      <c r="G37" s="4" t="s">
        <v>373</v>
      </c>
      <c r="I37" s="4" t="s">
        <v>322</v>
      </c>
      <c r="J37" s="4" t="s">
        <v>364</v>
      </c>
      <c r="K37" s="0" t="n">
        <v>0</v>
      </c>
      <c r="L37" s="0" t="n">
        <v>5</v>
      </c>
      <c r="N37" s="4" t="s">
        <v>25</v>
      </c>
      <c r="O37" s="4" t="s">
        <v>367</v>
      </c>
      <c r="P37" s="4" t="s">
        <v>438</v>
      </c>
      <c r="R37" s="4" t="s">
        <v>394</v>
      </c>
    </row>
    <row r="38" customFormat="false" ht="16.5" hidden="false" customHeight="false" outlineLevel="0" collapsed="false">
      <c r="B38" s="4" t="s">
        <v>444</v>
      </c>
      <c r="C38" s="4" t="s">
        <v>362</v>
      </c>
      <c r="D38" s="4" t="s">
        <v>376</v>
      </c>
      <c r="E38" s="4" t="s">
        <v>364</v>
      </c>
      <c r="F38" s="4" t="s">
        <v>365</v>
      </c>
      <c r="G38" s="4" t="s">
        <v>373</v>
      </c>
      <c r="I38" s="4" t="s">
        <v>322</v>
      </c>
      <c r="J38" s="4" t="s">
        <v>389</v>
      </c>
      <c r="K38" s="0" t="n">
        <v>0</v>
      </c>
      <c r="L38" s="0" t="n">
        <v>3</v>
      </c>
      <c r="N38" s="4" t="s">
        <v>25</v>
      </c>
      <c r="O38" s="4" t="s">
        <v>367</v>
      </c>
      <c r="P38" s="4" t="s">
        <v>438</v>
      </c>
      <c r="R38" s="4" t="s">
        <v>391</v>
      </c>
    </row>
    <row r="39" customFormat="false" ht="16.5" hidden="false" customHeight="false" outlineLevel="0" collapsed="false">
      <c r="B39" s="4" t="s">
        <v>445</v>
      </c>
      <c r="C39" s="4" t="s">
        <v>362</v>
      </c>
      <c r="D39" s="4" t="s">
        <v>376</v>
      </c>
      <c r="E39" s="4" t="s">
        <v>364</v>
      </c>
      <c r="F39" s="4" t="s">
        <v>365</v>
      </c>
      <c r="G39" s="4" t="s">
        <v>373</v>
      </c>
      <c r="I39" s="4" t="s">
        <v>377</v>
      </c>
      <c r="J39" s="4" t="s">
        <v>378</v>
      </c>
      <c r="K39" s="0" t="n">
        <v>3</v>
      </c>
      <c r="L39" s="0" t="n">
        <v>0</v>
      </c>
      <c r="N39" s="4" t="s">
        <v>25</v>
      </c>
      <c r="O39" s="4" t="s">
        <v>25</v>
      </c>
      <c r="P39" s="0" t="s">
        <v>379</v>
      </c>
      <c r="Q39" s="4" t="s">
        <v>380</v>
      </c>
      <c r="R39" s="4" t="s">
        <v>401</v>
      </c>
    </row>
    <row r="40" customFormat="false" ht="33.75" hidden="false" customHeight="true" outlineLevel="0" collapsed="false">
      <c r="B40" s="4" t="s">
        <v>243</v>
      </c>
      <c r="C40" s="4" t="s">
        <v>362</v>
      </c>
      <c r="D40" s="4" t="s">
        <v>376</v>
      </c>
      <c r="E40" s="4" t="s">
        <v>364</v>
      </c>
      <c r="F40" s="4" t="s">
        <v>365</v>
      </c>
      <c r="G40" s="4" t="s">
        <v>373</v>
      </c>
      <c r="I40" s="4" t="s">
        <v>383</v>
      </c>
      <c r="J40" s="4" t="s">
        <v>384</v>
      </c>
      <c r="K40" s="0" t="n">
        <v>0</v>
      </c>
      <c r="L40" s="0" t="n">
        <v>1.5</v>
      </c>
      <c r="M40" s="4" t="s">
        <v>446</v>
      </c>
      <c r="N40" s="4" t="s">
        <v>25</v>
      </c>
      <c r="O40" s="4" t="s">
        <v>25</v>
      </c>
      <c r="P40" s="6" t="s">
        <v>447</v>
      </c>
      <c r="Q40" s="2" t="s">
        <v>386</v>
      </c>
      <c r="R40" s="0" t="s">
        <v>448</v>
      </c>
    </row>
    <row r="41" customFormat="false" ht="33.75" hidden="false" customHeight="true" outlineLevel="0" collapsed="false">
      <c r="B41" s="4" t="s">
        <v>244</v>
      </c>
      <c r="C41" s="4" t="s">
        <v>362</v>
      </c>
      <c r="D41" s="4" t="s">
        <v>370</v>
      </c>
      <c r="E41" s="4" t="s">
        <v>391</v>
      </c>
      <c r="F41" s="4" t="s">
        <v>365</v>
      </c>
      <c r="G41" s="4" t="s">
        <v>449</v>
      </c>
      <c r="H41" s="4" t="s">
        <v>450</v>
      </c>
      <c r="I41" s="4" t="s">
        <v>325</v>
      </c>
      <c r="J41" s="4" t="s">
        <v>391</v>
      </c>
      <c r="K41" s="0" t="n">
        <v>0</v>
      </c>
      <c r="L41" s="0" t="n">
        <v>0</v>
      </c>
      <c r="M41" s="4" t="s">
        <v>451</v>
      </c>
      <c r="N41" s="4" t="s">
        <v>25</v>
      </c>
      <c r="O41" s="4" t="s">
        <v>25</v>
      </c>
      <c r="P41" s="7" t="s">
        <v>452</v>
      </c>
    </row>
    <row r="42" customFormat="false" ht="16.5" hidden="false" customHeight="false" outlineLevel="0" collapsed="false">
      <c r="B42" s="4" t="s">
        <v>453</v>
      </c>
      <c r="C42" s="4" t="s">
        <v>362</v>
      </c>
      <c r="D42" s="4" t="s">
        <v>376</v>
      </c>
      <c r="E42" s="4" t="s">
        <v>364</v>
      </c>
      <c r="F42" s="4" t="s">
        <v>365</v>
      </c>
      <c r="G42" s="4" t="s">
        <v>373</v>
      </c>
      <c r="I42" s="4" t="s">
        <v>408</v>
      </c>
      <c r="J42" s="4" t="s">
        <v>364</v>
      </c>
      <c r="K42" s="0" t="n">
        <v>0</v>
      </c>
      <c r="L42" s="0" t="n">
        <v>4</v>
      </c>
      <c r="N42" s="4" t="s">
        <v>367</v>
      </c>
      <c r="O42" s="4" t="s">
        <v>25</v>
      </c>
      <c r="P42" s="4" t="s">
        <v>409</v>
      </c>
    </row>
    <row r="43" customFormat="false" ht="16.5" hidden="false" customHeight="false" outlineLevel="0" collapsed="false">
      <c r="B43" s="4" t="s">
        <v>454</v>
      </c>
      <c r="C43" s="4" t="s">
        <v>362</v>
      </c>
      <c r="D43" s="4" t="s">
        <v>376</v>
      </c>
      <c r="E43" s="4" t="s">
        <v>364</v>
      </c>
      <c r="F43" s="4" t="s">
        <v>365</v>
      </c>
      <c r="G43" s="4" t="s">
        <v>373</v>
      </c>
      <c r="I43" s="4" t="s">
        <v>325</v>
      </c>
      <c r="J43" s="4" t="s">
        <v>364</v>
      </c>
      <c r="K43" s="0" t="n">
        <v>0</v>
      </c>
      <c r="L43" s="0" t="n">
        <v>3</v>
      </c>
      <c r="N43" s="4" t="s">
        <v>25</v>
      </c>
      <c r="O43" s="4" t="s">
        <v>25</v>
      </c>
      <c r="P43" s="4" t="s">
        <v>430</v>
      </c>
    </row>
    <row r="44" customFormat="false" ht="33.75" hidden="false" customHeight="true" outlineLevel="0" collapsed="false">
      <c r="B44" s="4" t="s">
        <v>455</v>
      </c>
      <c r="C44" s="4" t="s">
        <v>362</v>
      </c>
      <c r="D44" s="4" t="s">
        <v>402</v>
      </c>
      <c r="E44" s="4" t="s">
        <v>391</v>
      </c>
      <c r="F44" s="4" t="s">
        <v>365</v>
      </c>
      <c r="G44" s="4" t="s">
        <v>366</v>
      </c>
      <c r="I44" s="4" t="s">
        <v>408</v>
      </c>
      <c r="J44" s="4" t="s">
        <v>364</v>
      </c>
      <c r="K44" s="0" t="n">
        <v>0</v>
      </c>
      <c r="L44" s="0" t="n">
        <v>9</v>
      </c>
      <c r="N44" s="4" t="s">
        <v>367</v>
      </c>
      <c r="O44" s="4" t="s">
        <v>25</v>
      </c>
      <c r="P44" s="6" t="s">
        <v>456</v>
      </c>
    </row>
    <row r="45" customFormat="false" ht="16.5" hidden="false" customHeight="false" outlineLevel="0" collapsed="false">
      <c r="B45" s="4" t="s">
        <v>457</v>
      </c>
      <c r="C45" s="4" t="s">
        <v>362</v>
      </c>
      <c r="D45" s="4" t="s">
        <v>376</v>
      </c>
      <c r="E45" s="4" t="s">
        <v>364</v>
      </c>
      <c r="F45" s="4" t="s">
        <v>365</v>
      </c>
      <c r="G45" s="4" t="s">
        <v>373</v>
      </c>
      <c r="I45" s="4" t="s">
        <v>408</v>
      </c>
      <c r="J45" s="4" t="s">
        <v>389</v>
      </c>
      <c r="K45" s="0" t="n">
        <v>0</v>
      </c>
      <c r="L45" s="0" t="n">
        <v>2</v>
      </c>
      <c r="N45" s="4" t="s">
        <v>367</v>
      </c>
      <c r="O45" s="4" t="s">
        <v>25</v>
      </c>
      <c r="P45" s="4" t="s">
        <v>458</v>
      </c>
    </row>
    <row r="46" customFormat="false" ht="16.5" hidden="false" customHeight="false" outlineLevel="0" collapsed="false">
      <c r="B46" s="4" t="s">
        <v>459</v>
      </c>
      <c r="C46" s="4" t="s">
        <v>362</v>
      </c>
      <c r="D46" s="4" t="s">
        <v>376</v>
      </c>
      <c r="E46" s="4" t="s">
        <v>364</v>
      </c>
      <c r="F46" s="4" t="s">
        <v>365</v>
      </c>
      <c r="G46" s="4" t="s">
        <v>373</v>
      </c>
      <c r="I46" s="4" t="s">
        <v>322</v>
      </c>
      <c r="J46" s="4" t="s">
        <v>364</v>
      </c>
      <c r="K46" s="0" t="n">
        <v>0</v>
      </c>
      <c r="L46" s="0" t="n">
        <v>4</v>
      </c>
      <c r="N46" s="4" t="s">
        <v>25</v>
      </c>
      <c r="O46" s="4" t="s">
        <v>367</v>
      </c>
      <c r="P46" s="4" t="s">
        <v>438</v>
      </c>
    </row>
    <row r="47" customFormat="false" ht="33.75" hidden="false" customHeight="true" outlineLevel="0" collapsed="false">
      <c r="B47" s="4" t="s">
        <v>460</v>
      </c>
      <c r="C47" s="4" t="s">
        <v>362</v>
      </c>
      <c r="D47" s="4" t="s">
        <v>376</v>
      </c>
      <c r="E47" s="4" t="s">
        <v>364</v>
      </c>
      <c r="F47" s="4" t="s">
        <v>365</v>
      </c>
      <c r="G47" s="4" t="s">
        <v>373</v>
      </c>
      <c r="I47" s="4" t="s">
        <v>319</v>
      </c>
      <c r="J47" s="4" t="s">
        <v>461</v>
      </c>
      <c r="K47" s="0" t="n">
        <v>0</v>
      </c>
      <c r="L47" s="0" t="n">
        <v>10</v>
      </c>
      <c r="M47" s="4" t="s">
        <v>462</v>
      </c>
      <c r="N47" s="4" t="s">
        <v>25</v>
      </c>
      <c r="O47" s="4" t="s">
        <v>367</v>
      </c>
      <c r="P47" s="6" t="s">
        <v>463</v>
      </c>
    </row>
    <row r="48" customFormat="false" ht="16.5" hidden="false" customHeight="false" outlineLevel="0" collapsed="false">
      <c r="B48" s="4" t="s">
        <v>464</v>
      </c>
      <c r="C48" s="4" t="s">
        <v>362</v>
      </c>
      <c r="D48" s="4" t="s">
        <v>376</v>
      </c>
      <c r="E48" s="4" t="s">
        <v>364</v>
      </c>
      <c r="F48" s="4" t="s">
        <v>365</v>
      </c>
      <c r="G48" s="4" t="s">
        <v>373</v>
      </c>
      <c r="I48" s="4" t="s">
        <v>383</v>
      </c>
      <c r="J48" s="4" t="s">
        <v>384</v>
      </c>
      <c r="K48" s="0" t="n">
        <v>0</v>
      </c>
      <c r="L48" s="0" t="n">
        <v>15</v>
      </c>
      <c r="N48" s="4" t="s">
        <v>25</v>
      </c>
      <c r="O48" s="4" t="s">
        <v>367</v>
      </c>
      <c r="P48" s="0" t="s">
        <v>395</v>
      </c>
      <c r="Q48" s="2" t="s">
        <v>386</v>
      </c>
    </row>
    <row r="49" customFormat="false" ht="33.75" hidden="false" customHeight="true" outlineLevel="0" collapsed="false">
      <c r="B49" s="4" t="s">
        <v>465</v>
      </c>
      <c r="C49" s="4" t="s">
        <v>362</v>
      </c>
      <c r="D49" s="4" t="s">
        <v>392</v>
      </c>
      <c r="E49" s="4" t="s">
        <v>364</v>
      </c>
      <c r="F49" s="4" t="s">
        <v>365</v>
      </c>
      <c r="G49" s="4" t="s">
        <v>373</v>
      </c>
      <c r="I49" s="4" t="s">
        <v>322</v>
      </c>
      <c r="J49" s="4" t="s">
        <v>364</v>
      </c>
      <c r="K49" s="0" t="n">
        <v>0</v>
      </c>
      <c r="L49" s="0" t="n">
        <v>5</v>
      </c>
      <c r="N49" s="4" t="s">
        <v>25</v>
      </c>
      <c r="O49" s="4" t="s">
        <v>367</v>
      </c>
      <c r="P49" s="7" t="s">
        <v>466</v>
      </c>
    </row>
    <row r="50" customFormat="false" ht="16.5" hidden="false" customHeight="false" outlineLevel="0" collapsed="false">
      <c r="B50" s="4" t="s">
        <v>467</v>
      </c>
      <c r="C50" s="4" t="s">
        <v>362</v>
      </c>
      <c r="D50" s="4" t="s">
        <v>376</v>
      </c>
      <c r="E50" s="4" t="s">
        <v>364</v>
      </c>
      <c r="F50" s="4" t="s">
        <v>365</v>
      </c>
      <c r="G50" s="4" t="s">
        <v>373</v>
      </c>
      <c r="I50" s="4" t="s">
        <v>377</v>
      </c>
      <c r="J50" s="4" t="s">
        <v>420</v>
      </c>
      <c r="K50" s="0" t="n">
        <v>0</v>
      </c>
      <c r="L50" s="0" t="n">
        <v>0</v>
      </c>
      <c r="N50" s="4" t="s">
        <v>25</v>
      </c>
      <c r="O50" s="4" t="s">
        <v>25</v>
      </c>
      <c r="P50" s="0" t="s">
        <v>379</v>
      </c>
      <c r="Q50" s="4" t="s">
        <v>380</v>
      </c>
    </row>
    <row r="51" customFormat="false" ht="16.5" hidden="false" customHeight="false" outlineLevel="0" collapsed="false">
      <c r="B51" s="4" t="s">
        <v>468</v>
      </c>
      <c r="C51" s="4" t="s">
        <v>362</v>
      </c>
      <c r="D51" s="4" t="s">
        <v>376</v>
      </c>
      <c r="E51" s="4" t="s">
        <v>364</v>
      </c>
      <c r="F51" s="4" t="s">
        <v>365</v>
      </c>
      <c r="G51" s="4" t="s">
        <v>373</v>
      </c>
      <c r="I51" s="4" t="s">
        <v>408</v>
      </c>
      <c r="J51" s="4" t="s">
        <v>364</v>
      </c>
      <c r="K51" s="0" t="n">
        <v>0</v>
      </c>
      <c r="L51" s="0" t="n">
        <v>9</v>
      </c>
      <c r="N51" s="4" t="s">
        <v>367</v>
      </c>
      <c r="O51" s="4" t="s">
        <v>25</v>
      </c>
      <c r="P51" s="4" t="s">
        <v>409</v>
      </c>
    </row>
    <row r="52" customFormat="false" ht="16.5" hidden="false" customHeight="false" outlineLevel="0" collapsed="false">
      <c r="B52" s="4" t="s">
        <v>469</v>
      </c>
      <c r="C52" s="4" t="s">
        <v>362</v>
      </c>
      <c r="D52" s="4" t="s">
        <v>376</v>
      </c>
      <c r="E52" s="4" t="s">
        <v>364</v>
      </c>
      <c r="F52" s="4" t="s">
        <v>365</v>
      </c>
      <c r="G52" s="4" t="s">
        <v>373</v>
      </c>
      <c r="I52" s="4" t="s">
        <v>325</v>
      </c>
      <c r="J52" s="4" t="s">
        <v>389</v>
      </c>
      <c r="K52" s="0" t="n">
        <v>0</v>
      </c>
      <c r="L52" s="0" t="n">
        <v>2</v>
      </c>
      <c r="N52" s="4" t="s">
        <v>25</v>
      </c>
      <c r="O52" s="4" t="s">
        <v>25</v>
      </c>
      <c r="P52" s="4" t="s">
        <v>430</v>
      </c>
    </row>
    <row r="53" customFormat="false" ht="16.5" hidden="false" customHeight="false" outlineLevel="0" collapsed="false">
      <c r="B53" s="4" t="s">
        <v>470</v>
      </c>
      <c r="C53" s="4" t="s">
        <v>362</v>
      </c>
      <c r="D53" s="4" t="s">
        <v>376</v>
      </c>
      <c r="E53" s="4" t="s">
        <v>364</v>
      </c>
      <c r="F53" s="4" t="s">
        <v>365</v>
      </c>
      <c r="G53" s="4" t="s">
        <v>373</v>
      </c>
      <c r="I53" s="4" t="s">
        <v>383</v>
      </c>
      <c r="J53" s="4" t="s">
        <v>384</v>
      </c>
      <c r="K53" s="0" t="n">
        <v>0</v>
      </c>
      <c r="L53" s="0" t="n">
        <v>20</v>
      </c>
      <c r="N53" s="4" t="s">
        <v>25</v>
      </c>
      <c r="O53" s="4" t="s">
        <v>367</v>
      </c>
      <c r="P53" s="0" t="s">
        <v>395</v>
      </c>
      <c r="Q53" s="2" t="s">
        <v>386</v>
      </c>
    </row>
    <row r="54" customFormat="false" ht="16.5" hidden="false" customHeight="false" outlineLevel="0" collapsed="false">
      <c r="B54" s="4" t="s">
        <v>471</v>
      </c>
      <c r="C54" s="4" t="s">
        <v>362</v>
      </c>
      <c r="D54" s="4" t="s">
        <v>376</v>
      </c>
      <c r="E54" s="4" t="s">
        <v>364</v>
      </c>
      <c r="F54" s="4" t="s">
        <v>365</v>
      </c>
      <c r="G54" s="4" t="s">
        <v>373</v>
      </c>
      <c r="I54" s="4" t="s">
        <v>322</v>
      </c>
      <c r="J54" s="4" t="s">
        <v>435</v>
      </c>
      <c r="K54" s="0" t="n">
        <v>0</v>
      </c>
      <c r="L54" s="0" t="n">
        <v>0.5</v>
      </c>
      <c r="N54" s="4" t="s">
        <v>25</v>
      </c>
      <c r="O54" s="4" t="s">
        <v>367</v>
      </c>
      <c r="P54" s="4" t="s">
        <v>438</v>
      </c>
    </row>
    <row r="55" customFormat="false" ht="16.5" hidden="false" customHeight="false" outlineLevel="0" collapsed="false">
      <c r="B55" s="4" t="s">
        <v>472</v>
      </c>
      <c r="C55" s="4" t="s">
        <v>362</v>
      </c>
      <c r="D55" s="4" t="s">
        <v>376</v>
      </c>
      <c r="E55" s="4" t="s">
        <v>364</v>
      </c>
      <c r="F55" s="4" t="s">
        <v>365</v>
      </c>
      <c r="G55" s="4" t="s">
        <v>373</v>
      </c>
      <c r="I55" s="4" t="s">
        <v>425</v>
      </c>
      <c r="J55" s="4" t="s">
        <v>371</v>
      </c>
      <c r="K55" s="0" t="n">
        <v>0</v>
      </c>
      <c r="L55" s="0" t="n">
        <v>2</v>
      </c>
      <c r="N55" s="4" t="s">
        <v>25</v>
      </c>
      <c r="O55" s="4" t="s">
        <v>25</v>
      </c>
      <c r="P55" s="0" t="s">
        <v>426</v>
      </c>
    </row>
    <row r="56" customFormat="false" ht="16.5" hidden="false" customHeight="false" outlineLevel="0" collapsed="false">
      <c r="B56" s="4" t="s">
        <v>473</v>
      </c>
      <c r="C56" s="4" t="s">
        <v>362</v>
      </c>
      <c r="D56" s="4" t="s">
        <v>376</v>
      </c>
      <c r="E56" s="4" t="s">
        <v>364</v>
      </c>
      <c r="F56" s="4" t="s">
        <v>365</v>
      </c>
      <c r="G56" s="4" t="s">
        <v>373</v>
      </c>
      <c r="I56" s="4" t="s">
        <v>408</v>
      </c>
      <c r="J56" s="4" t="s">
        <v>364</v>
      </c>
      <c r="K56" s="0" t="n">
        <v>0</v>
      </c>
      <c r="L56" s="0" t="n">
        <v>7</v>
      </c>
      <c r="N56" s="4" t="s">
        <v>367</v>
      </c>
      <c r="O56" s="4" t="s">
        <v>25</v>
      </c>
      <c r="P56" s="4" t="s">
        <v>409</v>
      </c>
    </row>
    <row r="57" customFormat="false" ht="16.5" hidden="false" customHeight="false" outlineLevel="0" collapsed="false">
      <c r="B57" s="4" t="s">
        <v>474</v>
      </c>
      <c r="C57" s="4" t="s">
        <v>362</v>
      </c>
      <c r="D57" s="4" t="s">
        <v>376</v>
      </c>
      <c r="E57" s="4" t="s">
        <v>364</v>
      </c>
      <c r="F57" s="4" t="s">
        <v>365</v>
      </c>
      <c r="G57" s="4" t="s">
        <v>373</v>
      </c>
      <c r="I57" s="4" t="s">
        <v>322</v>
      </c>
      <c r="J57" s="4" t="s">
        <v>461</v>
      </c>
      <c r="K57" s="0" t="n">
        <v>0</v>
      </c>
      <c r="L57" s="0" t="n">
        <v>5</v>
      </c>
      <c r="M57" s="4" t="s">
        <v>462</v>
      </c>
      <c r="N57" s="4" t="s">
        <v>25</v>
      </c>
      <c r="O57" s="4" t="s">
        <v>367</v>
      </c>
      <c r="P57" s="0" t="s">
        <v>475</v>
      </c>
    </row>
    <row r="58" customFormat="false" ht="33.75" hidden="false" customHeight="true" outlineLevel="0" collapsed="false">
      <c r="B58" s="4" t="s">
        <v>256</v>
      </c>
      <c r="C58" s="4" t="s">
        <v>362</v>
      </c>
      <c r="D58" s="4" t="s">
        <v>370</v>
      </c>
      <c r="E58" s="4" t="s">
        <v>391</v>
      </c>
      <c r="F58" s="4" t="s">
        <v>365</v>
      </c>
      <c r="G58" s="4" t="s">
        <v>373</v>
      </c>
      <c r="I58" s="4" t="s">
        <v>322</v>
      </c>
      <c r="J58" s="4" t="s">
        <v>394</v>
      </c>
      <c r="K58" s="0" t="n">
        <v>0</v>
      </c>
      <c r="L58" s="0" t="n">
        <v>0.3</v>
      </c>
      <c r="N58" s="4" t="s">
        <v>25</v>
      </c>
      <c r="O58" s="4" t="s">
        <v>367</v>
      </c>
      <c r="P58" s="7" t="s">
        <v>390</v>
      </c>
    </row>
    <row r="59" customFormat="false" ht="16.5" hidden="false" customHeight="false" outlineLevel="0" collapsed="false">
      <c r="B59" s="4" t="s">
        <v>476</v>
      </c>
      <c r="C59" s="4" t="s">
        <v>362</v>
      </c>
      <c r="D59" s="4" t="s">
        <v>376</v>
      </c>
      <c r="E59" s="4" t="s">
        <v>364</v>
      </c>
      <c r="F59" s="4" t="s">
        <v>365</v>
      </c>
      <c r="G59" s="4" t="s">
        <v>373</v>
      </c>
      <c r="I59" s="4" t="s">
        <v>325</v>
      </c>
      <c r="J59" s="4" t="s">
        <v>364</v>
      </c>
      <c r="K59" s="0" t="n">
        <v>0</v>
      </c>
      <c r="L59" s="0" t="n">
        <v>2</v>
      </c>
      <c r="N59" s="4" t="s">
        <v>25</v>
      </c>
      <c r="O59" s="4" t="s">
        <v>25</v>
      </c>
      <c r="P59" s="4" t="s">
        <v>430</v>
      </c>
    </row>
    <row r="60" customFormat="false" ht="33.75" hidden="false" customHeight="true" outlineLevel="0" collapsed="false">
      <c r="B60" s="4" t="s">
        <v>477</v>
      </c>
      <c r="C60" s="4" t="s">
        <v>362</v>
      </c>
      <c r="D60" s="4" t="s">
        <v>478</v>
      </c>
      <c r="E60" s="4" t="s">
        <v>435</v>
      </c>
      <c r="F60" s="4" t="s">
        <v>365</v>
      </c>
      <c r="G60" s="4" t="s">
        <v>449</v>
      </c>
      <c r="H60" s="4" t="s">
        <v>479</v>
      </c>
      <c r="I60" s="4" t="s">
        <v>383</v>
      </c>
      <c r="J60" s="4" t="s">
        <v>384</v>
      </c>
      <c r="K60" s="0" t="n">
        <v>0</v>
      </c>
      <c r="L60" s="0" t="n">
        <v>0</v>
      </c>
      <c r="M60" s="4" t="s">
        <v>480</v>
      </c>
      <c r="N60" s="4" t="s">
        <v>25</v>
      </c>
      <c r="O60" s="4" t="s">
        <v>25</v>
      </c>
      <c r="P60" s="6" t="s">
        <v>481</v>
      </c>
      <c r="Q60" s="2" t="s">
        <v>386</v>
      </c>
    </row>
    <row r="61" customFormat="false" ht="33.75" hidden="false" customHeight="true" outlineLevel="0" collapsed="false">
      <c r="B61" s="4" t="s">
        <v>258</v>
      </c>
      <c r="C61" s="4" t="s">
        <v>362</v>
      </c>
      <c r="D61" s="4" t="s">
        <v>482</v>
      </c>
      <c r="E61" s="4" t="s">
        <v>435</v>
      </c>
      <c r="F61" s="4" t="s">
        <v>372</v>
      </c>
      <c r="G61" s="4" t="s">
        <v>449</v>
      </c>
      <c r="H61" s="4" t="s">
        <v>483</v>
      </c>
      <c r="I61" s="4" t="s">
        <v>325</v>
      </c>
      <c r="J61" s="4" t="s">
        <v>435</v>
      </c>
      <c r="K61" s="0" t="n">
        <v>0</v>
      </c>
      <c r="L61" s="0" t="n">
        <v>0</v>
      </c>
      <c r="M61" s="4" t="s">
        <v>484</v>
      </c>
      <c r="N61" s="4" t="s">
        <v>25</v>
      </c>
      <c r="O61" s="4" t="s">
        <v>25</v>
      </c>
      <c r="P61" s="6" t="s">
        <v>485</v>
      </c>
      <c r="Q61" s="4" t="s">
        <v>380</v>
      </c>
    </row>
    <row r="62" customFormat="false" ht="33.75" hidden="false" customHeight="true" outlineLevel="0" collapsed="false">
      <c r="B62" s="4" t="s">
        <v>259</v>
      </c>
      <c r="C62" s="4" t="s">
        <v>362</v>
      </c>
      <c r="D62" s="4" t="s">
        <v>370</v>
      </c>
      <c r="E62" s="4" t="s">
        <v>371</v>
      </c>
      <c r="F62" s="4" t="s">
        <v>372</v>
      </c>
      <c r="G62" s="4" t="s">
        <v>373</v>
      </c>
      <c r="I62" s="4" t="s">
        <v>383</v>
      </c>
      <c r="J62" s="4" t="s">
        <v>384</v>
      </c>
      <c r="K62" s="0" t="n">
        <v>0</v>
      </c>
      <c r="L62" s="0" t="n">
        <v>2</v>
      </c>
      <c r="N62" s="4" t="s">
        <v>25</v>
      </c>
      <c r="O62" s="4" t="s">
        <v>367</v>
      </c>
      <c r="P62" s="7" t="s">
        <v>385</v>
      </c>
      <c r="Q62" s="2" t="s">
        <v>386</v>
      </c>
    </row>
    <row r="63" customFormat="false" ht="16.5" hidden="false" customHeight="false" outlineLevel="0" collapsed="false">
      <c r="B63" s="4" t="s">
        <v>486</v>
      </c>
      <c r="C63" s="4" t="s">
        <v>362</v>
      </c>
      <c r="D63" s="4" t="s">
        <v>376</v>
      </c>
      <c r="E63" s="4" t="s">
        <v>364</v>
      </c>
      <c r="F63" s="4" t="s">
        <v>365</v>
      </c>
      <c r="G63" s="4" t="s">
        <v>373</v>
      </c>
      <c r="I63" s="4" t="s">
        <v>325</v>
      </c>
      <c r="J63" s="4" t="s">
        <v>394</v>
      </c>
      <c r="K63" s="0" t="n">
        <v>0</v>
      </c>
      <c r="L63" s="0" t="n">
        <v>1.5</v>
      </c>
      <c r="N63" s="4" t="s">
        <v>25</v>
      </c>
      <c r="O63" s="4" t="s">
        <v>25</v>
      </c>
      <c r="P63" s="4" t="s">
        <v>430</v>
      </c>
    </row>
    <row r="64" customFormat="false" ht="16.5" hidden="false" customHeight="false" outlineLevel="0" collapsed="false">
      <c r="B64" s="4" t="s">
        <v>487</v>
      </c>
      <c r="C64" s="4" t="s">
        <v>362</v>
      </c>
      <c r="D64" s="4" t="s">
        <v>376</v>
      </c>
      <c r="E64" s="4" t="s">
        <v>364</v>
      </c>
      <c r="F64" s="4" t="s">
        <v>365</v>
      </c>
      <c r="G64" s="4" t="s">
        <v>373</v>
      </c>
      <c r="I64" s="4" t="s">
        <v>325</v>
      </c>
      <c r="J64" s="4" t="s">
        <v>389</v>
      </c>
      <c r="K64" s="0" t="n">
        <v>0</v>
      </c>
      <c r="L64" s="0" t="n">
        <v>1.4</v>
      </c>
      <c r="N64" s="4" t="s">
        <v>25</v>
      </c>
      <c r="O64" s="4" t="s">
        <v>25</v>
      </c>
      <c r="P64" s="4" t="s">
        <v>430</v>
      </c>
    </row>
    <row r="65" customFormat="false" ht="16.5" hidden="false" customHeight="false" outlineLevel="0" collapsed="false">
      <c r="B65" s="4" t="s">
        <v>488</v>
      </c>
      <c r="C65" s="4" t="s">
        <v>362</v>
      </c>
      <c r="D65" s="4" t="s">
        <v>376</v>
      </c>
      <c r="E65" s="4" t="s">
        <v>364</v>
      </c>
      <c r="F65" s="4" t="s">
        <v>365</v>
      </c>
      <c r="G65" s="4" t="s">
        <v>373</v>
      </c>
      <c r="I65" s="4" t="s">
        <v>377</v>
      </c>
      <c r="J65" s="4" t="s">
        <v>371</v>
      </c>
      <c r="K65" s="0" t="n">
        <v>0</v>
      </c>
      <c r="L65" s="0" t="n">
        <v>0</v>
      </c>
      <c r="N65" s="4" t="s">
        <v>25</v>
      </c>
      <c r="O65" s="4" t="s">
        <v>25</v>
      </c>
      <c r="P65" s="0" t="s">
        <v>379</v>
      </c>
      <c r="Q65" s="4" t="s">
        <v>380</v>
      </c>
    </row>
    <row r="66" customFormat="false" ht="33.75" hidden="false" customHeight="true" outlineLevel="0" collapsed="false">
      <c r="B66" s="4" t="s">
        <v>262</v>
      </c>
      <c r="C66" s="4" t="s">
        <v>362</v>
      </c>
      <c r="D66" s="4" t="s">
        <v>376</v>
      </c>
      <c r="E66" s="4" t="s">
        <v>364</v>
      </c>
      <c r="F66" s="4" t="s">
        <v>365</v>
      </c>
      <c r="G66" s="4" t="s">
        <v>373</v>
      </c>
      <c r="I66" s="4" t="s">
        <v>489</v>
      </c>
      <c r="J66" s="4" t="s">
        <v>435</v>
      </c>
      <c r="K66" s="0" t="n">
        <v>0</v>
      </c>
      <c r="L66" s="0" t="n">
        <v>0</v>
      </c>
      <c r="M66" s="4" t="s">
        <v>490</v>
      </c>
      <c r="N66" s="4" t="s">
        <v>25</v>
      </c>
      <c r="O66" s="4" t="s">
        <v>25</v>
      </c>
      <c r="P66" s="6" t="s">
        <v>491</v>
      </c>
      <c r="Q66" s="4" t="s">
        <v>380</v>
      </c>
    </row>
    <row r="67" customFormat="false" ht="33.75" hidden="false" customHeight="true" outlineLevel="0" collapsed="false">
      <c r="B67" s="4" t="s">
        <v>492</v>
      </c>
      <c r="C67" s="4" t="s">
        <v>362</v>
      </c>
      <c r="D67" s="4" t="s">
        <v>392</v>
      </c>
      <c r="E67" s="4" t="s">
        <v>364</v>
      </c>
      <c r="F67" s="4" t="s">
        <v>365</v>
      </c>
      <c r="G67" s="4" t="s">
        <v>373</v>
      </c>
      <c r="I67" s="4" t="s">
        <v>325</v>
      </c>
      <c r="J67" s="4" t="s">
        <v>364</v>
      </c>
      <c r="K67" s="0" t="n">
        <v>0</v>
      </c>
      <c r="L67" s="0" t="n">
        <v>1.5</v>
      </c>
      <c r="N67" s="4" t="s">
        <v>25</v>
      </c>
      <c r="O67" s="4" t="s">
        <v>25</v>
      </c>
      <c r="P67" s="7" t="s">
        <v>493</v>
      </c>
    </row>
    <row r="68" customFormat="false" ht="16.5" hidden="false" customHeight="false" outlineLevel="0" collapsed="false">
      <c r="B68" s="4" t="s">
        <v>494</v>
      </c>
      <c r="C68" s="4" t="s">
        <v>362</v>
      </c>
      <c r="D68" s="4" t="s">
        <v>376</v>
      </c>
      <c r="E68" s="4" t="s">
        <v>364</v>
      </c>
      <c r="F68" s="4" t="s">
        <v>365</v>
      </c>
      <c r="G68" s="4" t="s">
        <v>373</v>
      </c>
      <c r="I68" s="4" t="s">
        <v>377</v>
      </c>
      <c r="J68" s="4" t="s">
        <v>378</v>
      </c>
      <c r="K68" s="0" t="n">
        <v>0</v>
      </c>
      <c r="L68" s="0" t="n">
        <v>0</v>
      </c>
      <c r="N68" s="4" t="s">
        <v>25</v>
      </c>
      <c r="O68" s="4" t="s">
        <v>25</v>
      </c>
      <c r="P68" s="0" t="s">
        <v>379</v>
      </c>
      <c r="Q68" s="4" t="s">
        <v>380</v>
      </c>
    </row>
    <row r="69" customFormat="false" ht="16.5" hidden="false" customHeight="false" outlineLevel="0" collapsed="false">
      <c r="B69" s="4" t="s">
        <v>264</v>
      </c>
      <c r="C69" s="4" t="s">
        <v>362</v>
      </c>
      <c r="D69" s="4" t="s">
        <v>376</v>
      </c>
      <c r="E69" s="4" t="s">
        <v>364</v>
      </c>
      <c r="F69" s="4" t="s">
        <v>365</v>
      </c>
      <c r="G69" s="4" t="s">
        <v>373</v>
      </c>
      <c r="I69" s="4" t="s">
        <v>425</v>
      </c>
      <c r="J69" s="4" t="s">
        <v>364</v>
      </c>
      <c r="K69" s="0" t="n">
        <v>0</v>
      </c>
      <c r="L69" s="0" t="n">
        <v>3</v>
      </c>
      <c r="M69" s="4" t="s">
        <v>462</v>
      </c>
      <c r="N69" s="4" t="s">
        <v>25</v>
      </c>
      <c r="O69" s="4" t="s">
        <v>25</v>
      </c>
      <c r="P69" s="4" t="s">
        <v>495</v>
      </c>
    </row>
  </sheetData>
  <autoFilter ref="C1:C6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90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B28" activeCellId="0" sqref="B28"/>
    </sheetView>
  </sheetViews>
  <sheetFormatPr defaultColWidth="9.23828125" defaultRowHeight="16.5" customHeight="false" zeroHeight="false" outlineLevelRow="0" outlineLevelCol="0"/>
  <cols>
    <col collapsed="false" customWidth="false" hidden="false" outlineLevel="0" max="1" min="1" style="1" width="9.24"/>
    <col collapsed="false" customWidth="true" hidden="false" outlineLevel="0" max="2" min="2" style="1" width="11.54"/>
    <col collapsed="false" customWidth="true" hidden="false" outlineLevel="0" max="3" min="3" style="1" width="22.75"/>
    <col collapsed="false" customWidth="true" hidden="false" outlineLevel="0" max="4" min="4" style="1" width="16.48"/>
    <col collapsed="false" customWidth="true" hidden="false" outlineLevel="0" max="5" min="5" style="1" width="62.7"/>
    <col collapsed="false" customWidth="true" hidden="false" outlineLevel="0" max="7" min="6" style="1" width="21.06"/>
    <col collapsed="false" customWidth="true" hidden="false" outlineLevel="0" max="8" min="8" style="1" width="19.07"/>
    <col collapsed="false" customWidth="true" hidden="false" outlineLevel="0" max="9" min="9" style="1" width="11.23"/>
    <col collapsed="false" customWidth="true" hidden="false" outlineLevel="0" max="10" min="10" style="1" width="46.47"/>
    <col collapsed="false" customWidth="false" hidden="false" outlineLevel="0" max="13" min="11" style="1" width="9.24"/>
    <col collapsed="false" customWidth="true" hidden="false" outlineLevel="0" max="14" min="14" style="1" width="20.99"/>
    <col collapsed="false" customWidth="true" hidden="false" outlineLevel="0" max="15" min="15" style="11" width="106.14"/>
    <col collapsed="false" customWidth="false" hidden="false" outlineLevel="0" max="16384" min="16" style="1" width="9.24"/>
  </cols>
  <sheetData>
    <row r="2" customFormat="false" ht="18" hidden="false" customHeight="true" outlineLevel="0" collapsed="false">
      <c r="A2" s="2" t="s">
        <v>1</v>
      </c>
      <c r="B2" s="12" t="s">
        <v>496</v>
      </c>
      <c r="C2" s="12" t="s">
        <v>497</v>
      </c>
      <c r="D2" s="12" t="s">
        <v>498</v>
      </c>
      <c r="E2" s="12" t="s">
        <v>499</v>
      </c>
      <c r="F2" s="12" t="s">
        <v>500</v>
      </c>
      <c r="G2" s="12" t="s">
        <v>501</v>
      </c>
      <c r="H2" s="12" t="s">
        <v>502</v>
      </c>
      <c r="I2" s="12" t="s">
        <v>503</v>
      </c>
      <c r="J2" s="12" t="s">
        <v>504</v>
      </c>
      <c r="M2" s="1" t="s">
        <v>505</v>
      </c>
    </row>
    <row r="3" customFormat="false" ht="17.25" hidden="false" customHeight="true" outlineLevel="0" collapsed="false">
      <c r="A3" s="1" t="n">
        <v>1</v>
      </c>
      <c r="B3" s="12" t="s">
        <v>24</v>
      </c>
      <c r="C3" s="2" t="s">
        <v>27</v>
      </c>
      <c r="D3" s="1" t="n">
        <v>10</v>
      </c>
      <c r="E3" s="1" t="s">
        <v>506</v>
      </c>
      <c r="G3" s="1" t="s">
        <v>507</v>
      </c>
      <c r="H3" s="1" t="s">
        <v>508</v>
      </c>
      <c r="I3" s="1" t="s">
        <v>509</v>
      </c>
      <c r="M3" s="1" t="s">
        <v>510</v>
      </c>
      <c r="O3" s="11" t="s">
        <v>511</v>
      </c>
    </row>
    <row r="4" customFormat="false" ht="17.25" hidden="false" customHeight="true" outlineLevel="0" collapsed="false">
      <c r="A4" s="1" t="n">
        <v>2</v>
      </c>
      <c r="B4" s="13" t="s">
        <v>29</v>
      </c>
      <c r="C4" s="2" t="s">
        <v>27</v>
      </c>
      <c r="D4" s="1" t="n">
        <v>8</v>
      </c>
      <c r="E4" s="1" t="s">
        <v>512</v>
      </c>
      <c r="G4" s="1" t="s">
        <v>513</v>
      </c>
      <c r="H4" s="1" t="s">
        <v>508</v>
      </c>
      <c r="I4" s="1" t="s">
        <v>514</v>
      </c>
      <c r="M4" s="1" t="s">
        <v>515</v>
      </c>
    </row>
    <row r="5" customFormat="false" ht="17.25" hidden="false" customHeight="true" outlineLevel="0" collapsed="false">
      <c r="A5" s="1" t="n">
        <v>3</v>
      </c>
      <c r="B5" s="12" t="s">
        <v>32</v>
      </c>
      <c r="C5" s="2" t="s">
        <v>27</v>
      </c>
      <c r="D5" s="1" t="n">
        <v>30</v>
      </c>
      <c r="E5" s="1" t="s">
        <v>516</v>
      </c>
      <c r="G5" s="1" t="s">
        <v>513</v>
      </c>
      <c r="H5" s="1" t="s">
        <v>508</v>
      </c>
      <c r="I5" s="1" t="s">
        <v>509</v>
      </c>
      <c r="K5" s="1" t="s">
        <v>517</v>
      </c>
      <c r="M5" s="1" t="s">
        <v>518</v>
      </c>
    </row>
    <row r="6" customFormat="false" ht="17.25" hidden="false" customHeight="true" outlineLevel="0" collapsed="false">
      <c r="A6" s="1" t="n">
        <v>4</v>
      </c>
      <c r="B6" s="14" t="s">
        <v>35</v>
      </c>
      <c r="C6" s="2" t="s">
        <v>27</v>
      </c>
      <c r="D6" s="1" t="n">
        <v>8</v>
      </c>
      <c r="E6" s="1" t="s">
        <v>519</v>
      </c>
      <c r="G6" s="2" t="s">
        <v>520</v>
      </c>
      <c r="H6" s="1" t="s">
        <v>508</v>
      </c>
      <c r="I6" s="1" t="s">
        <v>521</v>
      </c>
      <c r="M6" s="1" t="s">
        <v>522</v>
      </c>
    </row>
    <row r="7" customFormat="false" ht="17.25" hidden="false" customHeight="true" outlineLevel="0" collapsed="false">
      <c r="A7" s="1" t="n">
        <v>5</v>
      </c>
      <c r="B7" s="12" t="s">
        <v>38</v>
      </c>
      <c r="C7" s="2" t="s">
        <v>27</v>
      </c>
      <c r="D7" s="1" t="n">
        <v>6</v>
      </c>
      <c r="E7" s="1" t="s">
        <v>523</v>
      </c>
      <c r="G7" s="1" t="s">
        <v>513</v>
      </c>
      <c r="H7" s="1" t="s">
        <v>508</v>
      </c>
      <c r="I7" s="1" t="s">
        <v>509</v>
      </c>
      <c r="M7" s="1" t="s">
        <v>524</v>
      </c>
    </row>
    <row r="8" customFormat="false" ht="17.25" hidden="false" customHeight="true" outlineLevel="0" collapsed="false">
      <c r="A8" s="1" t="n">
        <v>6</v>
      </c>
      <c r="B8" s="12" t="s">
        <v>41</v>
      </c>
      <c r="C8" s="2" t="s">
        <v>27</v>
      </c>
      <c r="D8" s="1" t="n">
        <v>10</v>
      </c>
      <c r="E8" s="1" t="s">
        <v>525</v>
      </c>
      <c r="G8" s="1" t="s">
        <v>526</v>
      </c>
      <c r="H8" s="1" t="s">
        <v>527</v>
      </c>
      <c r="I8" s="1" t="s">
        <v>509</v>
      </c>
    </row>
    <row r="9" customFormat="false" ht="17.25" hidden="false" customHeight="true" outlineLevel="0" collapsed="false">
      <c r="A9" s="1" t="n">
        <v>7</v>
      </c>
      <c r="B9" s="12" t="s">
        <v>44</v>
      </c>
      <c r="C9" s="2" t="s">
        <v>27</v>
      </c>
      <c r="D9" s="1" t="n">
        <v>6</v>
      </c>
      <c r="E9" s="1" t="s">
        <v>528</v>
      </c>
      <c r="G9" s="1" t="s">
        <v>513</v>
      </c>
      <c r="H9" s="1" t="s">
        <v>508</v>
      </c>
      <c r="I9" s="1" t="s">
        <v>509</v>
      </c>
    </row>
    <row r="10" customFormat="false" ht="17.25" hidden="false" customHeight="true" outlineLevel="0" collapsed="false">
      <c r="A10" s="1" t="n">
        <v>8</v>
      </c>
      <c r="B10" s="13" t="s">
        <v>47</v>
      </c>
      <c r="C10" s="2" t="s">
        <v>27</v>
      </c>
      <c r="D10" s="1" t="n">
        <v>10</v>
      </c>
      <c r="E10" s="1" t="s">
        <v>529</v>
      </c>
      <c r="G10" s="1" t="s">
        <v>530</v>
      </c>
      <c r="H10" s="1" t="s">
        <v>527</v>
      </c>
      <c r="I10" s="1" t="s">
        <v>514</v>
      </c>
      <c r="N10" s="1" t="s">
        <v>531</v>
      </c>
    </row>
    <row r="11" customFormat="false" ht="17.25" hidden="false" customHeight="true" outlineLevel="0" collapsed="false">
      <c r="A11" s="1" t="n">
        <v>9</v>
      </c>
      <c r="B11" s="12" t="s">
        <v>50</v>
      </c>
      <c r="C11" s="2" t="s">
        <v>27</v>
      </c>
      <c r="D11" s="1" t="n">
        <v>4</v>
      </c>
      <c r="E11" s="1" t="s">
        <v>532</v>
      </c>
      <c r="G11" s="1" t="s">
        <v>507</v>
      </c>
      <c r="H11" s="1" t="s">
        <v>508</v>
      </c>
      <c r="I11" s="1" t="s">
        <v>509</v>
      </c>
    </row>
    <row r="12" customFormat="false" ht="17.25" hidden="false" customHeight="true" outlineLevel="0" collapsed="false">
      <c r="A12" s="1" t="n">
        <v>10</v>
      </c>
      <c r="B12" s="14" t="s">
        <v>54</v>
      </c>
      <c r="C12" s="2" t="s">
        <v>27</v>
      </c>
      <c r="D12" s="1" t="n">
        <v>10</v>
      </c>
      <c r="E12" s="1" t="s">
        <v>533</v>
      </c>
      <c r="G12" s="2" t="s">
        <v>520</v>
      </c>
      <c r="H12" s="1" t="s">
        <v>508</v>
      </c>
      <c r="I12" s="1" t="s">
        <v>521</v>
      </c>
      <c r="M12" s="1" t="s">
        <v>534</v>
      </c>
      <c r="N12" s="1" t="s">
        <v>535</v>
      </c>
      <c r="O12" s="11" t="s">
        <v>536</v>
      </c>
    </row>
    <row r="13" customFormat="false" ht="17.25" hidden="false" customHeight="true" outlineLevel="0" collapsed="false">
      <c r="A13" s="1" t="n">
        <v>11</v>
      </c>
      <c r="B13" s="13" t="s">
        <v>58</v>
      </c>
      <c r="C13" s="2" t="s">
        <v>27</v>
      </c>
      <c r="D13" s="1" t="n">
        <v>10</v>
      </c>
      <c r="E13" s="1" t="s">
        <v>537</v>
      </c>
      <c r="G13" s="1" t="s">
        <v>538</v>
      </c>
      <c r="H13" s="1" t="s">
        <v>539</v>
      </c>
      <c r="I13" s="1" t="s">
        <v>514</v>
      </c>
      <c r="J13" s="1" t="s">
        <v>540</v>
      </c>
      <c r="M13" s="1" t="s">
        <v>541</v>
      </c>
      <c r="N13" s="1" t="s">
        <v>542</v>
      </c>
      <c r="O13" s="11" t="s">
        <v>543</v>
      </c>
    </row>
    <row r="14" customFormat="false" ht="16.5" hidden="false" customHeight="false" outlineLevel="0" collapsed="false">
      <c r="A14" s="1" t="n">
        <v>12</v>
      </c>
      <c r="B14" s="1" t="s">
        <v>62</v>
      </c>
      <c r="C14" s="2" t="s">
        <v>27</v>
      </c>
      <c r="D14" s="1" t="n">
        <v>6</v>
      </c>
      <c r="E14" s="1" t="s">
        <v>544</v>
      </c>
      <c r="G14" s="1" t="s">
        <v>545</v>
      </c>
      <c r="H14" s="1" t="s">
        <v>527</v>
      </c>
      <c r="I14" s="1" t="s">
        <v>546</v>
      </c>
      <c r="N14" s="1" t="s">
        <v>547</v>
      </c>
      <c r="O14" s="11" t="s">
        <v>548</v>
      </c>
    </row>
    <row r="15" customFormat="false" ht="16.5" hidden="false" customHeight="false" outlineLevel="0" collapsed="false">
      <c r="A15" s="1" t="n">
        <v>13</v>
      </c>
      <c r="B15" s="15" t="s">
        <v>66</v>
      </c>
      <c r="C15" s="2" t="s">
        <v>27</v>
      </c>
      <c r="D15" s="1" t="n">
        <v>8</v>
      </c>
      <c r="E15" s="1" t="s">
        <v>549</v>
      </c>
      <c r="G15" s="2" t="s">
        <v>520</v>
      </c>
      <c r="H15" s="1" t="s">
        <v>527</v>
      </c>
      <c r="I15" s="1" t="s">
        <v>521</v>
      </c>
      <c r="N15" s="1" t="s">
        <v>550</v>
      </c>
      <c r="O15" s="11" t="s">
        <v>551</v>
      </c>
    </row>
    <row r="16" customFormat="false" ht="17.25" hidden="false" customHeight="true" outlineLevel="0" collapsed="false">
      <c r="A16" s="1" t="n">
        <v>14</v>
      </c>
      <c r="B16" s="12" t="s">
        <v>70</v>
      </c>
      <c r="C16" s="2" t="s">
        <v>72</v>
      </c>
      <c r="D16" s="1" t="n">
        <v>20</v>
      </c>
      <c r="E16" s="1" t="s">
        <v>552</v>
      </c>
      <c r="G16" s="1" t="s">
        <v>507</v>
      </c>
      <c r="H16" s="1" t="s">
        <v>553</v>
      </c>
      <c r="I16" s="1" t="s">
        <v>509</v>
      </c>
      <c r="M16" s="1" t="s">
        <v>554</v>
      </c>
      <c r="N16" s="1" t="s">
        <v>555</v>
      </c>
      <c r="O16" s="11" t="s">
        <v>556</v>
      </c>
    </row>
    <row r="17" customFormat="false" ht="17.25" hidden="false" customHeight="true" outlineLevel="0" collapsed="false">
      <c r="A17" s="1" t="n">
        <v>15</v>
      </c>
      <c r="B17" s="14" t="s">
        <v>74</v>
      </c>
      <c r="C17" s="2" t="s">
        <v>27</v>
      </c>
      <c r="D17" s="1" t="n">
        <v>20</v>
      </c>
      <c r="E17" s="16" t="s">
        <v>557</v>
      </c>
      <c r="G17" s="2" t="s">
        <v>520</v>
      </c>
      <c r="H17" s="1" t="s">
        <v>553</v>
      </c>
      <c r="I17" s="1" t="s">
        <v>521</v>
      </c>
      <c r="N17" s="1" t="s">
        <v>558</v>
      </c>
      <c r="O17" s="11" t="s">
        <v>559</v>
      </c>
    </row>
    <row r="18" customFormat="false" ht="16.5" hidden="false" customHeight="false" outlineLevel="0" collapsed="false">
      <c r="C18" s="2" t="s">
        <v>27</v>
      </c>
      <c r="N18" s="1" t="s">
        <v>560</v>
      </c>
      <c r="O18" s="11" t="s">
        <v>561</v>
      </c>
    </row>
    <row r="19" customFormat="false" ht="17.25" hidden="false" customHeight="true" outlineLevel="0" collapsed="false">
      <c r="A19" s="1" t="n">
        <v>16</v>
      </c>
      <c r="B19" s="13" t="s">
        <v>77</v>
      </c>
      <c r="C19" s="2" t="s">
        <v>72</v>
      </c>
      <c r="D19" s="1" t="n">
        <v>10</v>
      </c>
      <c r="E19" s="1" t="s">
        <v>562</v>
      </c>
      <c r="G19" s="1" t="s">
        <v>526</v>
      </c>
      <c r="H19" s="1" t="s">
        <v>553</v>
      </c>
      <c r="I19" s="1" t="s">
        <v>514</v>
      </c>
      <c r="N19" s="1" t="s">
        <v>563</v>
      </c>
      <c r="O19" s="11" t="s">
        <v>564</v>
      </c>
    </row>
    <row r="20" customFormat="false" ht="17.25" hidden="false" customHeight="true" outlineLevel="0" collapsed="false">
      <c r="A20" s="1" t="n">
        <v>17</v>
      </c>
      <c r="B20" s="13" t="s">
        <v>80</v>
      </c>
      <c r="C20" s="2" t="s">
        <v>72</v>
      </c>
      <c r="E20" s="1" t="s">
        <v>565</v>
      </c>
      <c r="G20" s="1" t="s">
        <v>526</v>
      </c>
      <c r="H20" s="1" t="s">
        <v>553</v>
      </c>
      <c r="I20" s="1" t="s">
        <v>514</v>
      </c>
      <c r="M20" s="1" t="s">
        <v>566</v>
      </c>
      <c r="N20" s="1" t="s">
        <v>567</v>
      </c>
      <c r="O20" s="11" t="s">
        <v>568</v>
      </c>
    </row>
    <row r="21" customFormat="false" ht="17.25" hidden="false" customHeight="true" outlineLevel="0" collapsed="false">
      <c r="A21" s="1" t="n">
        <v>18</v>
      </c>
      <c r="B21" s="14" t="s">
        <v>83</v>
      </c>
      <c r="C21" s="2" t="s">
        <v>72</v>
      </c>
      <c r="D21" s="1" t="n">
        <v>14</v>
      </c>
      <c r="E21" s="1" t="s">
        <v>569</v>
      </c>
      <c r="G21" s="2" t="s">
        <v>520</v>
      </c>
      <c r="H21" s="1" t="s">
        <v>570</v>
      </c>
      <c r="I21" s="1" t="s">
        <v>521</v>
      </c>
      <c r="N21" s="1" t="s">
        <v>571</v>
      </c>
      <c r="O21" s="11" t="s">
        <v>572</v>
      </c>
    </row>
    <row r="22" customFormat="false" ht="17.25" hidden="false" customHeight="true" outlineLevel="0" collapsed="false">
      <c r="A22" s="1" t="n">
        <v>19</v>
      </c>
      <c r="B22" s="14" t="s">
        <v>87</v>
      </c>
      <c r="C22" s="2" t="s">
        <v>27</v>
      </c>
      <c r="D22" s="1" t="n">
        <v>16</v>
      </c>
      <c r="E22" s="1" t="s">
        <v>573</v>
      </c>
      <c r="G22" s="1" t="s">
        <v>526</v>
      </c>
      <c r="H22" s="1" t="s">
        <v>570</v>
      </c>
      <c r="I22" s="1" t="s">
        <v>521</v>
      </c>
      <c r="N22" s="1" t="s">
        <v>574</v>
      </c>
      <c r="O22" s="11" t="s">
        <v>575</v>
      </c>
    </row>
    <row r="23" customFormat="false" ht="16.5" hidden="false" customHeight="false" outlineLevel="0" collapsed="false">
      <c r="C23" s="2" t="s">
        <v>27</v>
      </c>
      <c r="M23" s="1" t="s">
        <v>576</v>
      </c>
      <c r="N23" s="1" t="s">
        <v>577</v>
      </c>
      <c r="O23" s="11" t="s">
        <v>578</v>
      </c>
    </row>
    <row r="24" customFormat="false" ht="17.25" hidden="false" customHeight="true" outlineLevel="0" collapsed="false">
      <c r="A24" s="1" t="n">
        <v>20</v>
      </c>
      <c r="B24" s="13" t="s">
        <v>94</v>
      </c>
      <c r="C24" s="2" t="s">
        <v>27</v>
      </c>
      <c r="D24" s="1" t="n">
        <v>15</v>
      </c>
      <c r="E24" s="1" t="s">
        <v>579</v>
      </c>
      <c r="G24" s="1" t="s">
        <v>580</v>
      </c>
      <c r="H24" s="1" t="s">
        <v>553</v>
      </c>
      <c r="I24" s="1" t="s">
        <v>514</v>
      </c>
      <c r="M24" s="1" t="s">
        <v>497</v>
      </c>
      <c r="N24" s="1" t="s">
        <v>581</v>
      </c>
      <c r="O24" s="11" t="s">
        <v>582</v>
      </c>
    </row>
    <row r="25" customFormat="false" ht="16.5" hidden="false" customHeight="false" outlineLevel="0" collapsed="false">
      <c r="C25" s="2" t="s">
        <v>27</v>
      </c>
      <c r="N25" s="1" t="s">
        <v>581</v>
      </c>
      <c r="O25" s="11" t="s">
        <v>583</v>
      </c>
    </row>
    <row r="26" customFormat="false" ht="17.25" hidden="false" customHeight="true" outlineLevel="0" collapsed="false">
      <c r="A26" s="1" t="n">
        <v>21</v>
      </c>
      <c r="B26" s="13" t="s">
        <v>101</v>
      </c>
      <c r="C26" s="2" t="s">
        <v>27</v>
      </c>
      <c r="D26" s="1" t="n">
        <v>20</v>
      </c>
      <c r="E26" s="1" t="s">
        <v>584</v>
      </c>
      <c r="G26" s="1" t="s">
        <v>538</v>
      </c>
      <c r="H26" s="1" t="s">
        <v>553</v>
      </c>
      <c r="I26" s="1" t="s">
        <v>514</v>
      </c>
      <c r="M26" s="1" t="s">
        <v>585</v>
      </c>
      <c r="N26" s="1" t="s">
        <v>586</v>
      </c>
      <c r="O26" s="11" t="s">
        <v>587</v>
      </c>
    </row>
    <row r="27" customFormat="false" ht="16.5" hidden="false" customHeight="false" outlineLevel="0" collapsed="false">
      <c r="C27" s="2" t="s">
        <v>27</v>
      </c>
      <c r="N27" s="1" t="s">
        <v>588</v>
      </c>
      <c r="O27" s="11" t="s">
        <v>589</v>
      </c>
    </row>
    <row r="28" customFormat="false" ht="17.25" hidden="false" customHeight="true" outlineLevel="0" collapsed="false">
      <c r="A28" s="1" t="n">
        <v>22</v>
      </c>
      <c r="B28" s="12" t="s">
        <v>107</v>
      </c>
      <c r="C28" s="2" t="s">
        <v>109</v>
      </c>
      <c r="D28" s="1" t="n">
        <v>30</v>
      </c>
      <c r="E28" s="1" t="s">
        <v>590</v>
      </c>
      <c r="G28" s="1" t="s">
        <v>507</v>
      </c>
      <c r="H28" s="1" t="s">
        <v>553</v>
      </c>
      <c r="I28" s="1" t="s">
        <v>509</v>
      </c>
      <c r="M28" s="1" t="s">
        <v>591</v>
      </c>
      <c r="N28" s="1" t="s">
        <v>592</v>
      </c>
      <c r="O28" s="11" t="s">
        <v>593</v>
      </c>
    </row>
    <row r="29" customFormat="false" ht="17.25" hidden="false" customHeight="true" outlineLevel="0" collapsed="false">
      <c r="A29" s="1" t="n">
        <v>23</v>
      </c>
      <c r="B29" s="13" t="s">
        <v>113</v>
      </c>
      <c r="C29" s="2" t="s">
        <v>109</v>
      </c>
      <c r="D29" s="1" t="n">
        <v>40</v>
      </c>
      <c r="E29" s="1" t="s">
        <v>594</v>
      </c>
      <c r="G29" s="1" t="s">
        <v>595</v>
      </c>
      <c r="H29" s="1" t="s">
        <v>553</v>
      </c>
      <c r="I29" s="1" t="s">
        <v>514</v>
      </c>
      <c r="N29" s="1" t="s">
        <v>596</v>
      </c>
      <c r="O29" s="11" t="s">
        <v>597</v>
      </c>
    </row>
    <row r="30" customFormat="false" ht="17.25" hidden="false" customHeight="true" outlineLevel="0" collapsed="false">
      <c r="A30" s="1" t="n">
        <v>24</v>
      </c>
      <c r="B30" s="14" t="s">
        <v>116</v>
      </c>
      <c r="C30" s="2" t="s">
        <v>27</v>
      </c>
      <c r="D30" s="1" t="n">
        <v>30</v>
      </c>
      <c r="E30" s="1" t="s">
        <v>598</v>
      </c>
      <c r="G30" s="1" t="s">
        <v>538</v>
      </c>
      <c r="H30" s="1" t="s">
        <v>553</v>
      </c>
      <c r="I30" s="1" t="s">
        <v>521</v>
      </c>
      <c r="M30" s="1" t="s">
        <v>514</v>
      </c>
      <c r="N30" s="1" t="s">
        <v>599</v>
      </c>
      <c r="O30" s="11" t="s">
        <v>600</v>
      </c>
    </row>
    <row r="31" customFormat="false" ht="16.5" hidden="false" customHeight="false" outlineLevel="0" collapsed="false">
      <c r="C31" s="2" t="s">
        <v>27</v>
      </c>
      <c r="N31" s="1" t="s">
        <v>599</v>
      </c>
      <c r="O31" s="11" t="s">
        <v>601</v>
      </c>
    </row>
    <row r="32" customFormat="false" ht="16.5" hidden="false" customHeight="false" outlineLevel="0" collapsed="false">
      <c r="C32" s="2" t="s">
        <v>27</v>
      </c>
      <c r="N32" s="1" t="s">
        <v>602</v>
      </c>
      <c r="O32" s="17" t="s">
        <v>603</v>
      </c>
    </row>
    <row r="33" customFormat="false" ht="17.25" hidden="false" customHeight="true" outlineLevel="0" collapsed="false">
      <c r="A33" s="1" t="n">
        <v>25</v>
      </c>
      <c r="B33" s="13" t="s">
        <v>119</v>
      </c>
      <c r="C33" s="2" t="s">
        <v>27</v>
      </c>
      <c r="D33" s="1" t="n">
        <v>20</v>
      </c>
      <c r="E33" s="1" t="s">
        <v>604</v>
      </c>
      <c r="G33" s="1" t="s">
        <v>507</v>
      </c>
      <c r="H33" s="1" t="s">
        <v>553</v>
      </c>
      <c r="I33" s="1" t="s">
        <v>514</v>
      </c>
      <c r="M33" s="1" t="s">
        <v>605</v>
      </c>
      <c r="N33" s="1" t="s">
        <v>606</v>
      </c>
      <c r="O33" s="17" t="s">
        <v>607</v>
      </c>
    </row>
    <row r="34" customFormat="false" ht="16.5" hidden="false" customHeight="false" outlineLevel="0" collapsed="false">
      <c r="C34" s="2" t="s">
        <v>27</v>
      </c>
      <c r="M34" s="1" t="s">
        <v>608</v>
      </c>
      <c r="N34" s="1" t="s">
        <v>609</v>
      </c>
      <c r="O34" s="17" t="s">
        <v>610</v>
      </c>
    </row>
    <row r="35" customFormat="false" ht="16.5" hidden="false" customHeight="false" outlineLevel="0" collapsed="false">
      <c r="C35" s="2" t="s">
        <v>27</v>
      </c>
    </row>
    <row r="36" customFormat="false" ht="17.25" hidden="false" customHeight="true" outlineLevel="0" collapsed="false">
      <c r="A36" s="1" t="n">
        <v>26</v>
      </c>
      <c r="B36" s="14" t="s">
        <v>122</v>
      </c>
      <c r="C36" s="2" t="s">
        <v>72</v>
      </c>
      <c r="D36" s="1" t="n">
        <v>30</v>
      </c>
      <c r="E36" s="1" t="s">
        <v>611</v>
      </c>
      <c r="G36" s="2" t="s">
        <v>520</v>
      </c>
      <c r="H36" s="1" t="s">
        <v>553</v>
      </c>
      <c r="I36" s="1" t="s">
        <v>521</v>
      </c>
    </row>
    <row r="37" customFormat="false" ht="16.5" hidden="false" customHeight="false" outlineLevel="0" collapsed="false">
      <c r="C37" s="2" t="s">
        <v>72</v>
      </c>
      <c r="N37" s="1" t="s">
        <v>534</v>
      </c>
      <c r="O37" s="11" t="s">
        <v>536</v>
      </c>
    </row>
    <row r="38" customFormat="false" ht="17.25" hidden="false" customHeight="true" outlineLevel="0" collapsed="false">
      <c r="A38" s="1" t="n">
        <v>27</v>
      </c>
      <c r="B38" s="12" t="s">
        <v>125</v>
      </c>
      <c r="C38" s="2" t="s">
        <v>72</v>
      </c>
      <c r="D38" s="1" t="n">
        <v>20</v>
      </c>
      <c r="E38" s="1" t="s">
        <v>612</v>
      </c>
      <c r="G38" s="1" t="s">
        <v>526</v>
      </c>
      <c r="H38" s="1" t="s">
        <v>570</v>
      </c>
      <c r="I38" s="1" t="s">
        <v>509</v>
      </c>
      <c r="N38" s="1" t="s">
        <v>613</v>
      </c>
      <c r="O38" s="11" t="s">
        <v>614</v>
      </c>
    </row>
    <row r="39" customFormat="false" ht="16.5" hidden="false" customHeight="false" outlineLevel="0" collapsed="false">
      <c r="C39" s="2" t="s">
        <v>72</v>
      </c>
      <c r="N39" s="1" t="s">
        <v>615</v>
      </c>
      <c r="O39" s="11" t="s">
        <v>616</v>
      </c>
    </row>
    <row r="40" customFormat="false" ht="17.25" hidden="false" customHeight="true" outlineLevel="0" collapsed="false">
      <c r="A40" s="1" t="n">
        <v>28</v>
      </c>
      <c r="B40" s="12" t="s">
        <v>128</v>
      </c>
      <c r="C40" s="2" t="s">
        <v>72</v>
      </c>
      <c r="D40" s="1" t="n">
        <v>25</v>
      </c>
      <c r="E40" s="1" t="s">
        <v>617</v>
      </c>
      <c r="G40" s="1" t="s">
        <v>499</v>
      </c>
      <c r="H40" s="1" t="s">
        <v>570</v>
      </c>
      <c r="I40" s="1" t="s">
        <v>509</v>
      </c>
      <c r="N40" s="1" t="s">
        <v>618</v>
      </c>
      <c r="O40" s="11" t="s">
        <v>619</v>
      </c>
    </row>
    <row r="41" customFormat="false" ht="17.25" hidden="false" customHeight="true" outlineLevel="0" collapsed="false">
      <c r="C41" s="2" t="s">
        <v>72</v>
      </c>
      <c r="N41" s="1" t="s">
        <v>620</v>
      </c>
      <c r="O41" s="11" t="s">
        <v>621</v>
      </c>
    </row>
    <row r="42" customFormat="false" ht="17.25" hidden="false" customHeight="true" outlineLevel="0" collapsed="false">
      <c r="A42" s="1" t="n">
        <v>29</v>
      </c>
      <c r="B42" s="12" t="s">
        <v>131</v>
      </c>
      <c r="C42" s="2" t="s">
        <v>72</v>
      </c>
      <c r="D42" s="1" t="n">
        <v>20</v>
      </c>
      <c r="E42" s="1" t="s">
        <v>622</v>
      </c>
      <c r="G42" s="1" t="s">
        <v>526</v>
      </c>
      <c r="H42" s="1" t="s">
        <v>570</v>
      </c>
      <c r="I42" s="1" t="s">
        <v>509</v>
      </c>
    </row>
    <row r="43" customFormat="false" ht="16.5" hidden="false" customHeight="false" outlineLevel="0" collapsed="false">
      <c r="C43" s="2" t="s">
        <v>72</v>
      </c>
      <c r="N43" s="1" t="s">
        <v>623</v>
      </c>
      <c r="O43" s="11" t="s">
        <v>624</v>
      </c>
    </row>
    <row r="44" customFormat="false" ht="17.25" hidden="false" customHeight="true" outlineLevel="0" collapsed="false">
      <c r="A44" s="1" t="n">
        <v>30</v>
      </c>
      <c r="B44" s="12" t="s">
        <v>134</v>
      </c>
      <c r="C44" s="2" t="s">
        <v>72</v>
      </c>
      <c r="D44" s="1" t="n">
        <v>20</v>
      </c>
      <c r="E44" s="1" t="s">
        <v>625</v>
      </c>
      <c r="G44" s="1" t="s">
        <v>507</v>
      </c>
      <c r="H44" s="1" t="s">
        <v>570</v>
      </c>
      <c r="I44" s="1" t="s">
        <v>509</v>
      </c>
      <c r="N44" s="1" t="s">
        <v>626</v>
      </c>
      <c r="O44" s="11" t="s">
        <v>627</v>
      </c>
    </row>
    <row r="45" customFormat="false" ht="16.5" hidden="false" customHeight="false" outlineLevel="0" collapsed="false">
      <c r="C45" s="2" t="s">
        <v>72</v>
      </c>
      <c r="N45" s="1" t="s">
        <v>628</v>
      </c>
      <c r="O45" s="11" t="s">
        <v>629</v>
      </c>
    </row>
    <row r="46" customFormat="false" ht="17.25" hidden="false" customHeight="true" outlineLevel="0" collapsed="false">
      <c r="A46" s="1" t="n">
        <v>31</v>
      </c>
      <c r="B46" s="14" t="s">
        <v>137</v>
      </c>
      <c r="C46" s="2" t="s">
        <v>72</v>
      </c>
      <c r="D46" s="1" t="n">
        <v>50</v>
      </c>
      <c r="E46" s="1" t="s">
        <v>630</v>
      </c>
      <c r="G46" s="1" t="s">
        <v>513</v>
      </c>
      <c r="H46" s="1" t="s">
        <v>570</v>
      </c>
      <c r="I46" s="1" t="s">
        <v>521</v>
      </c>
      <c r="N46" s="1" t="s">
        <v>631</v>
      </c>
      <c r="O46" s="11" t="s">
        <v>632</v>
      </c>
    </row>
    <row r="47" customFormat="false" ht="16.5" hidden="false" customHeight="false" outlineLevel="0" collapsed="false">
      <c r="C47" s="2" t="s">
        <v>72</v>
      </c>
      <c r="N47" s="1" t="s">
        <v>633</v>
      </c>
      <c r="O47" s="11" t="s">
        <v>634</v>
      </c>
    </row>
    <row r="48" customFormat="false" ht="17.25" hidden="false" customHeight="true" outlineLevel="0" collapsed="false">
      <c r="A48" s="1" t="n">
        <v>32</v>
      </c>
      <c r="B48" s="14" t="s">
        <v>140</v>
      </c>
      <c r="C48" s="2" t="s">
        <v>72</v>
      </c>
      <c r="D48" s="1" t="n">
        <v>40</v>
      </c>
      <c r="E48" s="1" t="s">
        <v>635</v>
      </c>
      <c r="G48" s="2" t="s">
        <v>520</v>
      </c>
      <c r="H48" s="1" t="s">
        <v>570</v>
      </c>
      <c r="I48" s="1" t="s">
        <v>521</v>
      </c>
      <c r="N48" s="1" t="s">
        <v>636</v>
      </c>
      <c r="O48" s="11" t="s">
        <v>637</v>
      </c>
    </row>
    <row r="49" customFormat="false" ht="16.5" hidden="false" customHeight="false" outlineLevel="0" collapsed="false">
      <c r="C49" s="2" t="s">
        <v>72</v>
      </c>
      <c r="N49" s="1" t="s">
        <v>638</v>
      </c>
      <c r="O49" s="11" t="s">
        <v>639</v>
      </c>
    </row>
    <row r="50" customFormat="false" ht="17.25" hidden="false" customHeight="true" outlineLevel="0" collapsed="false">
      <c r="A50" s="1" t="n">
        <v>33</v>
      </c>
      <c r="B50" s="18" t="s">
        <v>143</v>
      </c>
      <c r="C50" s="2" t="s">
        <v>72</v>
      </c>
      <c r="D50" s="1" t="n">
        <v>30</v>
      </c>
      <c r="E50" s="1" t="s">
        <v>640</v>
      </c>
      <c r="G50" s="1" t="s">
        <v>507</v>
      </c>
      <c r="H50" s="1" t="s">
        <v>553</v>
      </c>
      <c r="I50" s="1" t="s">
        <v>514</v>
      </c>
      <c r="N50" s="1" t="s">
        <v>641</v>
      </c>
      <c r="O50" s="11" t="s">
        <v>642</v>
      </c>
    </row>
    <row r="51" customFormat="false" ht="16.5" hidden="false" customHeight="false" outlineLevel="0" collapsed="false">
      <c r="C51" s="2" t="s">
        <v>72</v>
      </c>
      <c r="N51" s="1" t="s">
        <v>643</v>
      </c>
      <c r="O51" s="11" t="s">
        <v>644</v>
      </c>
    </row>
    <row r="52" customFormat="false" ht="17.25" hidden="false" customHeight="true" outlineLevel="0" collapsed="false">
      <c r="A52" s="1" t="n">
        <v>34</v>
      </c>
      <c r="B52" s="12" t="s">
        <v>146</v>
      </c>
      <c r="C52" s="2" t="s">
        <v>109</v>
      </c>
      <c r="D52" s="1" t="n">
        <v>50</v>
      </c>
      <c r="E52" s="1" t="s">
        <v>645</v>
      </c>
      <c r="G52" s="1" t="s">
        <v>526</v>
      </c>
      <c r="H52" s="1" t="s">
        <v>646</v>
      </c>
      <c r="I52" s="1" t="s">
        <v>509</v>
      </c>
      <c r="N52" s="1" t="s">
        <v>647</v>
      </c>
      <c r="O52" s="11" t="s">
        <v>648</v>
      </c>
    </row>
    <row r="53" customFormat="false" ht="16.5" hidden="false" customHeight="false" outlineLevel="0" collapsed="false">
      <c r="C53" s="2" t="s">
        <v>109</v>
      </c>
      <c r="N53" s="1" t="s">
        <v>649</v>
      </c>
      <c r="O53" s="11" t="s">
        <v>650</v>
      </c>
    </row>
    <row r="54" customFormat="false" ht="17.25" hidden="false" customHeight="true" outlineLevel="0" collapsed="false">
      <c r="A54" s="1" t="n">
        <v>35</v>
      </c>
      <c r="B54" s="12" t="s">
        <v>70</v>
      </c>
      <c r="C54" s="2" t="s">
        <v>72</v>
      </c>
      <c r="D54" s="1" t="n">
        <v>40</v>
      </c>
      <c r="E54" s="1" t="s">
        <v>651</v>
      </c>
      <c r="G54" s="1" t="s">
        <v>526</v>
      </c>
      <c r="H54" s="1" t="s">
        <v>646</v>
      </c>
      <c r="I54" s="1" t="s">
        <v>509</v>
      </c>
    </row>
    <row r="55" customFormat="false" ht="16.5" hidden="false" customHeight="false" outlineLevel="0" collapsed="false">
      <c r="C55" s="2" t="s">
        <v>72</v>
      </c>
    </row>
    <row r="56" customFormat="false" ht="16.5" hidden="false" customHeight="false" outlineLevel="0" collapsed="false">
      <c r="C56" s="2" t="s">
        <v>72</v>
      </c>
    </row>
    <row r="57" customFormat="false" ht="17.25" hidden="false" customHeight="true" outlineLevel="0" collapsed="false">
      <c r="A57" s="1" t="n">
        <v>36</v>
      </c>
      <c r="B57" s="14" t="s">
        <v>151</v>
      </c>
      <c r="C57" s="2" t="s">
        <v>72</v>
      </c>
      <c r="D57" s="1" t="n">
        <v>30</v>
      </c>
      <c r="E57" s="1" t="s">
        <v>652</v>
      </c>
      <c r="G57" s="1" t="s">
        <v>507</v>
      </c>
      <c r="H57" s="1" t="s">
        <v>553</v>
      </c>
      <c r="I57" s="1" t="s">
        <v>521</v>
      </c>
    </row>
    <row r="58" customFormat="false" ht="16.5" hidden="false" customHeight="false" outlineLevel="0" collapsed="false">
      <c r="C58" s="2" t="s">
        <v>72</v>
      </c>
    </row>
    <row r="59" customFormat="false" ht="16.5" hidden="false" customHeight="false" outlineLevel="0" collapsed="false">
      <c r="C59" s="2" t="s">
        <v>72</v>
      </c>
    </row>
    <row r="60" customFormat="false" ht="17.25" hidden="false" customHeight="true" outlineLevel="0" collapsed="false">
      <c r="A60" s="1" t="n">
        <v>37</v>
      </c>
      <c r="B60" s="12" t="s">
        <v>154</v>
      </c>
      <c r="C60" s="2" t="s">
        <v>109</v>
      </c>
      <c r="D60" s="1" t="n">
        <v>20</v>
      </c>
      <c r="E60" s="1" t="s">
        <v>653</v>
      </c>
      <c r="G60" s="1" t="s">
        <v>499</v>
      </c>
      <c r="H60" s="1" t="s">
        <v>570</v>
      </c>
      <c r="I60" s="1" t="s">
        <v>509</v>
      </c>
    </row>
    <row r="61" customFormat="false" ht="16.5" hidden="false" customHeight="false" outlineLevel="0" collapsed="false">
      <c r="C61" s="2" t="s">
        <v>109</v>
      </c>
    </row>
    <row r="62" customFormat="false" ht="17.25" hidden="false" customHeight="true" outlineLevel="0" collapsed="false">
      <c r="A62" s="1" t="n">
        <v>38</v>
      </c>
      <c r="B62" s="14" t="s">
        <v>157</v>
      </c>
      <c r="C62" s="2" t="s">
        <v>109</v>
      </c>
      <c r="D62" s="1" t="n">
        <v>30</v>
      </c>
      <c r="E62" s="1" t="s">
        <v>654</v>
      </c>
      <c r="G62" s="1" t="s">
        <v>507</v>
      </c>
      <c r="H62" s="1" t="s">
        <v>570</v>
      </c>
      <c r="I62" s="1" t="s">
        <v>521</v>
      </c>
    </row>
    <row r="63" customFormat="false" ht="16.5" hidden="false" customHeight="false" outlineLevel="0" collapsed="false">
      <c r="C63" s="2" t="s">
        <v>109</v>
      </c>
    </row>
    <row r="64" customFormat="false" ht="17.25" hidden="false" customHeight="true" outlineLevel="0" collapsed="false">
      <c r="A64" s="1" t="n">
        <v>39</v>
      </c>
      <c r="B64" s="12" t="s">
        <v>160</v>
      </c>
      <c r="C64" s="2" t="s">
        <v>72</v>
      </c>
      <c r="D64" s="1" t="n">
        <v>50</v>
      </c>
      <c r="E64" s="1" t="s">
        <v>655</v>
      </c>
      <c r="G64" s="1" t="s">
        <v>507</v>
      </c>
      <c r="H64" s="1" t="s">
        <v>553</v>
      </c>
      <c r="I64" s="1" t="s">
        <v>509</v>
      </c>
    </row>
    <row r="65" customFormat="false" ht="16.5" hidden="false" customHeight="false" outlineLevel="0" collapsed="false">
      <c r="C65" s="2" t="s">
        <v>72</v>
      </c>
    </row>
    <row r="66" customFormat="false" ht="16.5" hidden="false" customHeight="false" outlineLevel="0" collapsed="false">
      <c r="C66" s="2" t="s">
        <v>72</v>
      </c>
    </row>
    <row r="67" customFormat="false" ht="17.25" hidden="false" customHeight="true" outlineLevel="0" collapsed="false">
      <c r="A67" s="1" t="n">
        <v>40</v>
      </c>
      <c r="B67" s="14" t="s">
        <v>163</v>
      </c>
      <c r="C67" s="2" t="s">
        <v>72</v>
      </c>
      <c r="D67" s="1" t="n">
        <v>40</v>
      </c>
      <c r="E67" s="1" t="s">
        <v>656</v>
      </c>
      <c r="G67" s="2" t="s">
        <v>520</v>
      </c>
      <c r="H67" s="1" t="s">
        <v>553</v>
      </c>
      <c r="I67" s="1" t="s">
        <v>521</v>
      </c>
    </row>
    <row r="68" customFormat="false" ht="16.5" hidden="false" customHeight="false" outlineLevel="0" collapsed="false">
      <c r="C68" s="2" t="s">
        <v>72</v>
      </c>
    </row>
    <row r="69" customFormat="false" ht="16.5" hidden="false" customHeight="false" outlineLevel="0" collapsed="false">
      <c r="C69" s="2" t="s">
        <v>72</v>
      </c>
    </row>
    <row r="70" customFormat="false" ht="17.25" hidden="false" customHeight="true" outlineLevel="0" collapsed="false">
      <c r="A70" s="1" t="n">
        <v>41</v>
      </c>
      <c r="B70" s="18" t="s">
        <v>166</v>
      </c>
      <c r="C70" s="2" t="s">
        <v>109</v>
      </c>
      <c r="D70" s="1" t="n">
        <v>30</v>
      </c>
      <c r="E70" s="1" t="s">
        <v>657</v>
      </c>
      <c r="G70" s="1" t="s">
        <v>526</v>
      </c>
      <c r="H70" s="1" t="s">
        <v>570</v>
      </c>
      <c r="I70" s="1" t="s">
        <v>514</v>
      </c>
    </row>
    <row r="71" customFormat="false" ht="16.5" hidden="false" customHeight="false" outlineLevel="0" collapsed="false">
      <c r="C71" s="2" t="s">
        <v>109</v>
      </c>
    </row>
    <row r="72" customFormat="false" ht="17.25" hidden="false" customHeight="true" outlineLevel="0" collapsed="false">
      <c r="A72" s="1" t="n">
        <v>42</v>
      </c>
      <c r="B72" s="19" t="s">
        <v>169</v>
      </c>
      <c r="C72" s="2" t="s">
        <v>72</v>
      </c>
      <c r="D72" s="1" t="n">
        <v>20</v>
      </c>
      <c r="E72" s="1" t="s">
        <v>658</v>
      </c>
      <c r="G72" s="2" t="s">
        <v>520</v>
      </c>
      <c r="H72" s="1" t="s">
        <v>553</v>
      </c>
      <c r="I72" s="1" t="s">
        <v>521</v>
      </c>
    </row>
    <row r="73" customFormat="false" ht="16.5" hidden="false" customHeight="false" outlineLevel="0" collapsed="false">
      <c r="C73" s="2" t="s">
        <v>171</v>
      </c>
    </row>
    <row r="74" customFormat="false" ht="17.25" hidden="false" customHeight="true" outlineLevel="0" collapsed="false">
      <c r="A74" s="1" t="n">
        <v>43</v>
      </c>
      <c r="B74" s="20" t="s">
        <v>173</v>
      </c>
      <c r="C74" s="2" t="s">
        <v>175</v>
      </c>
      <c r="D74" s="1" t="n">
        <v>30</v>
      </c>
      <c r="E74" s="1" t="s">
        <v>659</v>
      </c>
      <c r="G74" s="1" t="s">
        <v>526</v>
      </c>
      <c r="H74" s="1" t="s">
        <v>553</v>
      </c>
      <c r="I74" s="1" t="s">
        <v>509</v>
      </c>
    </row>
    <row r="75" customFormat="false" ht="16.5" hidden="false" customHeight="false" outlineLevel="0" collapsed="false">
      <c r="C75" s="2" t="s">
        <v>72</v>
      </c>
    </row>
    <row r="76" customFormat="false" ht="17.25" hidden="false" customHeight="true" outlineLevel="0" collapsed="false">
      <c r="A76" s="1" t="n">
        <v>44</v>
      </c>
      <c r="B76" s="21" t="s">
        <v>177</v>
      </c>
      <c r="C76" s="2" t="s">
        <v>72</v>
      </c>
      <c r="D76" s="1" t="n">
        <v>40</v>
      </c>
      <c r="E76" s="1" t="s">
        <v>660</v>
      </c>
      <c r="G76" s="1" t="s">
        <v>526</v>
      </c>
      <c r="H76" s="1" t="s">
        <v>570</v>
      </c>
      <c r="I76" s="1" t="s">
        <v>514</v>
      </c>
      <c r="J76" s="20"/>
      <c r="K76" s="20"/>
      <c r="L76" s="20"/>
    </row>
    <row r="77" customFormat="false" ht="17.25" hidden="false" customHeight="true" outlineLevel="0" collapsed="false">
      <c r="C77" s="2" t="s">
        <v>171</v>
      </c>
      <c r="K77" s="20"/>
    </row>
    <row r="78" customFormat="false" ht="17.25" hidden="false" customHeight="true" outlineLevel="0" collapsed="false">
      <c r="C78" s="2" t="s">
        <v>171</v>
      </c>
      <c r="K78" s="20"/>
      <c r="L78" s="20"/>
    </row>
    <row r="79" customFormat="false" ht="17.25" hidden="false" customHeight="true" outlineLevel="0" collapsed="false">
      <c r="A79" s="1" t="n">
        <v>45</v>
      </c>
      <c r="B79" s="21" t="s">
        <v>180</v>
      </c>
      <c r="C79" s="2" t="s">
        <v>109</v>
      </c>
      <c r="D79" s="1" t="n">
        <v>100</v>
      </c>
      <c r="E79" s="1" t="s">
        <v>661</v>
      </c>
      <c r="G79" s="1" t="s">
        <v>499</v>
      </c>
      <c r="H79" s="1" t="s">
        <v>646</v>
      </c>
      <c r="I79" s="1" t="s">
        <v>514</v>
      </c>
    </row>
    <row r="80" customFormat="false" ht="16.5" hidden="false" customHeight="false" outlineLevel="0" collapsed="false">
      <c r="C80" s="2" t="s">
        <v>109</v>
      </c>
    </row>
    <row r="81" customFormat="false" ht="17.25" hidden="false" customHeight="true" outlineLevel="0" collapsed="false">
      <c r="C81" s="2" t="s">
        <v>109</v>
      </c>
      <c r="K81" s="20"/>
    </row>
    <row r="82" customFormat="false" ht="17.25" hidden="false" customHeight="true" outlineLevel="0" collapsed="false">
      <c r="C82" s="2" t="s">
        <v>182</v>
      </c>
      <c r="J82" s="20"/>
      <c r="K82" s="20"/>
      <c r="L82" s="20"/>
    </row>
    <row r="83" customFormat="false" ht="17.25" hidden="false" customHeight="true" outlineLevel="0" collapsed="false">
      <c r="C83" s="2" t="s">
        <v>182</v>
      </c>
      <c r="J83" s="20"/>
      <c r="K83" s="20"/>
      <c r="L83" s="20"/>
    </row>
    <row r="84" customFormat="false" ht="17.25" hidden="false" customHeight="true" outlineLevel="0" collapsed="false">
      <c r="A84" s="1" t="n">
        <v>46</v>
      </c>
      <c r="B84" s="21" t="s">
        <v>184</v>
      </c>
      <c r="C84" s="2" t="s">
        <v>109</v>
      </c>
      <c r="D84" s="1" t="n">
        <v>80</v>
      </c>
      <c r="E84" s="1" t="s">
        <v>662</v>
      </c>
      <c r="G84" s="1" t="s">
        <v>526</v>
      </c>
      <c r="H84" s="1" t="s">
        <v>646</v>
      </c>
      <c r="I84" s="1" t="s">
        <v>509</v>
      </c>
      <c r="J84" s="20"/>
      <c r="K84" s="20"/>
      <c r="L84" s="20"/>
    </row>
    <row r="85" customFormat="false" ht="17.25" hidden="false" customHeight="true" outlineLevel="0" collapsed="false">
      <c r="C85" s="2" t="s">
        <v>109</v>
      </c>
      <c r="J85" s="20"/>
      <c r="K85" s="20"/>
      <c r="L85" s="20"/>
    </row>
    <row r="86" customFormat="false" ht="17.25" hidden="false" customHeight="true" outlineLevel="0" collapsed="false">
      <c r="C86" s="2" t="s">
        <v>109</v>
      </c>
      <c r="J86" s="20"/>
      <c r="K86" s="20"/>
      <c r="L86" s="20"/>
    </row>
    <row r="87" customFormat="false" ht="17.25" hidden="false" customHeight="true" outlineLevel="0" collapsed="false">
      <c r="A87" s="1" t="n">
        <v>47</v>
      </c>
      <c r="B87" s="19" t="s">
        <v>187</v>
      </c>
      <c r="C87" s="2" t="s">
        <v>189</v>
      </c>
      <c r="D87" s="1" t="n">
        <v>140</v>
      </c>
      <c r="E87" s="1" t="s">
        <v>663</v>
      </c>
      <c r="G87" s="1" t="s">
        <v>499</v>
      </c>
      <c r="H87" s="1" t="s">
        <v>646</v>
      </c>
      <c r="I87" s="1" t="s">
        <v>521</v>
      </c>
      <c r="K87" s="20"/>
      <c r="L87" s="20"/>
    </row>
    <row r="88" customFormat="false" ht="16.5" hidden="false" customHeight="false" outlineLevel="0" collapsed="false">
      <c r="C88" s="2" t="s">
        <v>189</v>
      </c>
    </row>
    <row r="89" customFormat="false" ht="16.5" hidden="false" customHeight="false" outlineLevel="0" collapsed="false">
      <c r="C89" s="2" t="s">
        <v>190</v>
      </c>
    </row>
    <row r="90" customFormat="false" ht="16.5" hidden="false" customHeight="false" outlineLevel="0" collapsed="false">
      <c r="C90" s="2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H4:R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T4" activeCellId="0" sqref="T4"/>
    </sheetView>
  </sheetViews>
  <sheetFormatPr defaultColWidth="9.23828125" defaultRowHeight="45" customHeight="true" zeroHeight="false" outlineLevelRow="0" outlineLevelCol="0"/>
  <cols>
    <col collapsed="false" customWidth="false" hidden="false" outlineLevel="0" max="16384" min="1" style="1" width="9.24"/>
  </cols>
  <sheetData>
    <row r="4" customFormat="false" ht="45" hidden="false" customHeight="false" outlineLevel="0" collapsed="false">
      <c r="H4" s="22"/>
      <c r="I4" s="22"/>
      <c r="J4" s="23"/>
      <c r="K4" s="23"/>
      <c r="L4" s="23"/>
      <c r="M4" s="23" t="s">
        <v>664</v>
      </c>
      <c r="N4" s="23" t="s">
        <v>664</v>
      </c>
      <c r="O4" s="23" t="s">
        <v>664</v>
      </c>
      <c r="P4" s="23" t="s">
        <v>664</v>
      </c>
      <c r="Q4" s="23"/>
      <c r="R4" s="23"/>
    </row>
    <row r="5" customFormat="false" ht="45" hidden="false" customHeight="false" outlineLevel="0" collapsed="false">
      <c r="H5" s="22"/>
      <c r="I5" s="22"/>
      <c r="J5" s="23"/>
      <c r="K5" s="23"/>
      <c r="L5" s="23"/>
      <c r="M5" s="23" t="s">
        <v>664</v>
      </c>
      <c r="N5" s="23" t="s">
        <v>664</v>
      </c>
      <c r="O5" s="23" t="s">
        <v>665</v>
      </c>
      <c r="P5" s="23" t="s">
        <v>665</v>
      </c>
      <c r="Q5" s="23" t="s">
        <v>666</v>
      </c>
      <c r="R5" s="23"/>
    </row>
    <row r="6" customFormat="false" ht="45" hidden="false" customHeight="false" outlineLevel="0" collapsed="false">
      <c r="H6" s="22"/>
      <c r="I6" s="22"/>
      <c r="J6" s="23" t="s">
        <v>667</v>
      </c>
      <c r="K6" s="23" t="s">
        <v>667</v>
      </c>
      <c r="L6" s="23" t="s">
        <v>667</v>
      </c>
      <c r="M6" s="24" t="s">
        <v>668</v>
      </c>
      <c r="N6" s="24" t="s">
        <v>668</v>
      </c>
      <c r="O6" s="23" t="s">
        <v>669</v>
      </c>
      <c r="P6" s="25"/>
      <c r="Q6" s="23" t="s">
        <v>670</v>
      </c>
      <c r="R6" s="23" t="s">
        <v>667</v>
      </c>
    </row>
    <row r="7" customFormat="false" ht="45" hidden="false" customHeight="false" outlineLevel="0" collapsed="false">
      <c r="H7" s="22"/>
      <c r="I7" s="22"/>
      <c r="J7" s="23" t="s">
        <v>667</v>
      </c>
      <c r="K7" s="23" t="s">
        <v>667</v>
      </c>
      <c r="L7" s="23" t="s">
        <v>671</v>
      </c>
      <c r="M7" s="24" t="s">
        <v>669</v>
      </c>
      <c r="N7" s="24" t="s">
        <v>669</v>
      </c>
      <c r="O7" s="23" t="s">
        <v>669</v>
      </c>
      <c r="P7" s="25"/>
      <c r="Q7" s="23" t="s">
        <v>670</v>
      </c>
      <c r="R7" s="23" t="s">
        <v>667</v>
      </c>
    </row>
    <row r="8" customFormat="false" ht="45" hidden="false" customHeight="false" outlineLevel="0" collapsed="false">
      <c r="H8" s="23" t="s">
        <v>667</v>
      </c>
      <c r="I8" s="23" t="s">
        <v>667</v>
      </c>
      <c r="J8" s="23" t="s">
        <v>667</v>
      </c>
      <c r="K8" s="23" t="s">
        <v>667</v>
      </c>
      <c r="L8" s="23" t="s">
        <v>670</v>
      </c>
      <c r="M8" s="25"/>
      <c r="N8" s="25"/>
      <c r="O8" s="25"/>
      <c r="P8" s="25"/>
      <c r="Q8" s="23" t="s">
        <v>670</v>
      </c>
      <c r="R8" s="23" t="s">
        <v>667</v>
      </c>
    </row>
    <row r="9" customFormat="false" ht="45" hidden="false" customHeight="false" outlineLevel="0" collapsed="false">
      <c r="H9" s="23"/>
      <c r="I9" s="23"/>
      <c r="J9" s="23"/>
      <c r="K9" s="23"/>
      <c r="L9" s="23" t="s">
        <v>666</v>
      </c>
      <c r="M9" s="23" t="s">
        <v>665</v>
      </c>
      <c r="N9" s="23" t="s">
        <v>665</v>
      </c>
      <c r="O9" s="23" t="s">
        <v>665</v>
      </c>
      <c r="P9" s="23" t="s">
        <v>665</v>
      </c>
      <c r="Q9" s="23" t="s">
        <v>666</v>
      </c>
      <c r="R9" s="23"/>
    </row>
    <row r="10" customFormat="false" ht="45" hidden="false" customHeight="false" outlineLevel="0" collapsed="false">
      <c r="H10" s="23"/>
      <c r="I10" s="23"/>
      <c r="J10" s="23"/>
      <c r="K10" s="23"/>
      <c r="L10" s="23"/>
      <c r="M10" s="23" t="s">
        <v>664</v>
      </c>
      <c r="N10" s="23" t="s">
        <v>664</v>
      </c>
      <c r="O10" s="23" t="s">
        <v>664</v>
      </c>
      <c r="P10" s="23" t="s">
        <v>664</v>
      </c>
      <c r="Q10" s="23"/>
      <c r="R10" s="23"/>
    </row>
    <row r="11" customFormat="false" ht="45" hidden="false" customHeight="false" outlineLevel="0" collapsed="false">
      <c r="H11" s="22"/>
      <c r="I11" s="22"/>
      <c r="J11" s="22"/>
      <c r="K11" s="22"/>
      <c r="L11" s="22"/>
      <c r="M11" s="23" t="s">
        <v>664</v>
      </c>
      <c r="N11" s="23" t="s">
        <v>664</v>
      </c>
      <c r="O11" s="22"/>
      <c r="P11" s="22"/>
      <c r="Q11" s="22"/>
      <c r="R11" s="22"/>
    </row>
    <row r="12" customFormat="false" ht="45" hidden="false" customHeight="false" outlineLevel="0" collapsed="false">
      <c r="H12" s="22"/>
      <c r="I12" s="22"/>
      <c r="J12" s="22"/>
      <c r="K12" s="22"/>
      <c r="L12" s="22"/>
      <c r="M12" s="23" t="s">
        <v>664</v>
      </c>
      <c r="N12" s="23" t="s">
        <v>664</v>
      </c>
      <c r="O12" s="22"/>
      <c r="P12" s="22"/>
      <c r="Q12" s="22"/>
      <c r="R12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2026-06-30T23:56:00Z</dcterms:created>
  <dc:creator>openpyxl</dc:creator>
  <dc:description/>
  <dc:language>zh-CN</dc:language>
  <cp:lastModifiedBy>hcm-b0451</cp:lastModifiedBy>
  <dcterms:modified xsi:type="dcterms:W3CDTF">2026-07-16T19:55:47Z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