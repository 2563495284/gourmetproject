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3fb733ab9241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a49def1f2cc247ec"/>
    <x:sheet xmlns:r="http://schemas.openxmlformats.org/officeDocument/2006/relationships" name="dish_variant" sheetId="2" r:id="Rb6234b209424429b"/>
    <x:sheet xmlns:r="http://schemas.openxmlformats.org/officeDocument/2006/relationships" name="skill" sheetId="3" r:id="R25581d148fe14676"/>
    <x:sheet xmlns:r="http://schemas.openxmlformats.org/officeDocument/2006/relationships" name="flavor" sheetId="4" r:id="R020285e1efd64e48"/>
    <x:sheet xmlns:r="http://schemas.openxmlformats.org/officeDocument/2006/relationships" name="cake_layer_buff" sheetId="5" r:id="R52d9bcfa7b9b4cd2"/>
    <x:sheet xmlns:r="http://schemas.openxmlformats.org/officeDocument/2006/relationships" name="sub_skill" sheetId="6" r:id="R3962b01070ef4012"/>
    <x:sheet xmlns:r="http://schemas.openxmlformats.org/officeDocument/2006/relationships" name="食物设计新" sheetId="9" r:id="R3639c2d3ee474185"/>
    <x:sheet xmlns:r="http://schemas.openxmlformats.org/officeDocument/2006/relationships" name="食物设计" sheetId="7" r:id="R3d90c16825b44dfe"/>
    <x:sheet xmlns:r="http://schemas.openxmlformats.org/officeDocument/2006/relationships" name="位置" sheetId="8" r:id="Rc876a931c62a4934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<x:sst xmlns:x="http://schemas.openxmlformats.org/spreadsheetml/2006/main">
  <x:si>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</x:si>
  <x:si>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</x:si>
  <x:si>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</x:si>
  <x:si>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</x:si>
  <x:si>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</x:si>
  <x:si>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</x:si>
  <x:si>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</x:si>
  <x:si>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</x:si>
  <x:si>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</x:si>
  <x:si>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</x:si>
  <x:si>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</x:si>
  <x:si>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</x:si>
  <x:si>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</x:si>
  <x:si>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</x:si>
  <x:si>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是否允许旋转摆放</x:t>
  </x:si>
  <x:si>
    <x:t xml:space="preserve">技能ID列表(| 分隔)</x:t>
  </x:si>
  <x:si>
    <x:t xml:space="preserve">食物分类(如cake;空=无)</x:t>
  </x:si>
  <x:si>
    <x:t xml:space="preserve">视为食物数(默认1)</x:t>
  </x:si>
  <x:si>
    <x:t xml:space="preserve">食物形状行列表</x:t>
  </x:si>
  <x:si>
    <x:t xml:space="preserve">食谱展示顺序(升序:从上到下、从左到右)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</x:si>
  <x:si>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</x:si>
  <x:si>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</x:si>
  <x:si>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</x:si>
  <x:si>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</x:si>
  <x:si>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</x:si>
  <x:si>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</x:si>
  <x:si>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右箭头饼干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</x:si>
  <x:si>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</x:si>
  <x:si>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</x:si>
  <x:si>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</x:si>
  <x:si>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</x:si>
  <x:si>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</x:si>
  <x:si>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</x:si>
  <x:si>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</x:si>
  <x:si>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</x:si>
  <x:si>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</x:si>
  <x:si>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</x:si>
  <x:si>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</x:si>
  <x:si>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</x:si>
  <x:si>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</x:si>
  <x:si>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</x:si>
  <x:si>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</x:si>
  <x:si>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</x:si>
  <x:si>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</x:si>
  <x:si>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</x:si>
  <x:si>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</x:si>
  <x:si>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</x:si>
  <x:si>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</x:si>
  <x:si>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</x:si>
  <x:si>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</x:si>
  <x:si>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</x:si>
  <x:si>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</x:si>
  <x:si>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</x:si>
  <x:si>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</x:si>
  <x:si>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</x:si>
  <x:si>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</x:si>
  <x:si>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 周</x:t>
  </x:si>
  <x:si>
    <x:t xml:space="preserve">mousse</x:t>
  </x:si>
  <x:si>
    <x:t xml:space="preserve">慕斯蛋糕</x:t>
  </x:si>
  <x:si>
    <x:t xml:space="preserve">sk_mousse</x:t>
  </x:si>
  <x:si>
    <x:t xml:space="preserve">1 周</x:t>
  </x:si>
  <x:si>
    <x:t xml:space="preserve">fruit_candy</x:t>
  </x:si>
  <x:si>
    <x:t xml:space="preserve">水果糖</x:t>
  </x:si>
  <x:si>
    <x:t xml:space="preserve">sk_fruit_candy</x:t>
  </x:si>
  <x:si>
    <x:t xml:space="preserve">2 周</x:t>
  </x:si>
  <x:si>
    <x:t xml:space="preserve">3 周</x:t>
  </x:si>
  <x:si>
    <x:t xml:space="preserve">choco_bar</x:t>
  </x:si>
  <x:si>
    <x:t xml:space="preserve">巧克力棒</x:t>
  </x:si>
  <x:si>
    <x:t xml:space="preserve">sk_choco_bar</x:t>
  </x:si>
  <x:si>
    <x:t xml:space="preserve">4 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</x:si>
  <x:si>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</x:si>
  <x:si>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</x:si>
  <x:si>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</x:si>
  <x:si>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</x:si>
  <x:si>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</x:si>
  <x:si>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</x:si>
  <x:si>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</x:si>
  <x:si>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</x:si>
  <x:si>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</x:si>
  <x:si>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</x:si>
  <x:si>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</x:si>
  <x:si>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</x:si>
  <x:si>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</x:si>
  <x:si>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</x:si>
  <x:si>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</x:si>
  <x:si>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</x:si>
  <x:si>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</x:si>
  <x:si>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</x:si>
  <x:si>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</x:si>
  <x:si>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</x:si>
  <x:si>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</x:si>
  <x:si>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</x:si>
  <x:si>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</x:si>
  <x:si>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</x:si>
  <x:si>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</x:si>
  <x:si>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</x:si>
  <x:si>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</x:si>
  <x:si>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</x:si>
  <x:si>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</x:si>
  <x:si>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</x:si>
  <x:si>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</x:si>
  <x:si>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</x:si>
  <x:si>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</x:si>
  <x:si>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</x:si>
  <x:si>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</x:si>
  <x:si>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</x:si>
  <x:si>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</x:si>
  <x:si>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</x:si>
  <x:si>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</x:si>
  <x:si>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</x:si>
  <x:si>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</x:si>
  <x:si>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</x:si>
  <x:si>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</x:si>
  <x:si>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</x:si>
  <x:si>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</x:si>
  <x:si>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</x:si>
  <x:si>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</x:si>
  <x:si>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</x:si>
  <x:si>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</x:si>
  <x:si>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</x:si>
  <x:si>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</x:si>
  <x:si>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</x:si>
  <x:si>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</x:si>
  <x:si>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</x:si>
  <x:si>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</x:si>
  <x:si>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</x:si>
  <x:si>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</x:si>
  <x:si>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</x:si>
  <x:si>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</x:si>
  <x:si>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</x:si>
  <x:si>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</x:si>
  <x:si>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</x:si>
  <x:si>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</x:si>
  <x:si>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</x:si>
  <x:si>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</x:si>
  <x:si>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</x:si>
  <x:si>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</x:si>
  <x:si>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</x:si>
  <x:si>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</x:si>
  <x:si>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</x:si>
  <x:si>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</x:si>
  <x:si>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</x:si>
  <x:si>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</x:si>
  <x:si>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</x:si>
  <x:si>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</x:si>
  <x:si>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</x:si>
  <x:si>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</x:si>
  <x:si>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</x:si>
  <x:si>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</x:si>
  <x:si>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</x:si>
  <x:si>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</x:si>
  <x:si>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</x:si>
  <x:si>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</x:si>
  <x:si>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</x:si>
  <x:si>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</x:si>
  <x:si>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</x:si>
  <x:si>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</x:si>
  <x:si>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</x:si>
  <x:si>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</x:si>
  <x:si>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</x:si>
  <x:si>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</x:si>
  <x:si>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</x:si>
  <x:si>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</x:si>
  <x:si>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</x:si>
  <x:si>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</x:si>
  <x:si>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</x:si>
  <x:si>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</x:si>
  <x:si>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</x:si>
  <x:si>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</x:si>
  <x:si>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</x:si>
  <x:si>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</x:si>
  <x:si>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</x:si>
  <x:si>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</x:si>
  <x:si>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</x:si>
  <x:si>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</x:si>
  <x:si>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</x:si>
  <x:si>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</x:si>
  <x:si>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</x:si>
  <x:si>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</x:si>
  <x:si>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</x:si>
  <x:si>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</x:si>
  <x:si>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rotation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</x:si>
  <x:si>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</x:si>
  <x:si>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</x:si>
  <x:si>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</x:si>
  <x:si>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</x:si>
  <x:si>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</x:si>
  <x:si>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</x:si>
  <x:si>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</x:si>
  <x:si>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</x:si>
  <x:si>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</x:si>
  <x:si>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共用固定旋转朝向(整格四向)</x:t>
  </x:si>
  <x:si>
    <x:t xml:space="preserve">策划备注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</x:si>
  <x:si>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</x:si>
  <x:si>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</x:si>
  <x:si>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</x:si>
  <x:si>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</x:si>
  <x:si>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</x:si>
  <x:si>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</x:si>
  <x:si>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</x:si>
  <x:si>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</x:si>
  <x:si>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</x:si>
  <x:si>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t_sweet|t_sour|t_salty|t_bitter|t_numb|t_rust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</x:si>
  <x:si>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</x:si>
  <x:si>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</x:si>
  <x:si>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</x:si>
  <x:si>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</x:si>
  <x:si>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</x:si>
  <x:si>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</x:si>
  <x:si>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</x:si>
  <x:si>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</x:si>
  <x:si>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</x:si>
  <x:si>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</x:si>
  <x:si>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</x:si>
  <x:si>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</x:si>
  <x:si>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</x:si>
  <x:si>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</x:si>
  <x:si>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</x:si>
  <x:si>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</x:si>
  <x:si>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</x:si>
  <x:si>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</x:si>
  <x:si>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</x:si>
  <x:si>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</x:si>
  <x:si>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</x:si>
  <x:si>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</x:si>
  <x:si>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</x:si>
  <x:si>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</x:si>
  <x:si>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</x:si>
  <x:si>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</x:si>
  <x:si>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</x:si>
  <x:si>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</x:si>
  <x:si>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</x:si>
  <x:si>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</x:si>
  <x:si>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</x:si>
  <x:si>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</x:si>
  <x:si>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</x:si>
  <x:si>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</x:si>
  <x:si>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</x:si>
  <x:si>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</x:si>
  <x:si>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</x:si>
  <x:si>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</x:si>
  <x:si>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</x:si>
  <x:si>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</x:si>
  <x:si>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</x:si>
  <x:si>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</x:si>
  <x:si>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</x:si>
  <x:si>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</x:si>
  <x:si>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</x:si>
  <x:si>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</x:si>
  <x:si>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</x:si>
  <x:si>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</x:si>
  <x:si>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</x:si>
  <x:si>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</x:si>
  <x:si>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</x:si>
  <x:si>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</x:si>
  <x:si>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</x:si>
  <x:si>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</x:si>
  <x:si>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</x:si>
  <x:si>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</x:si>
  <x:si>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</x:si>
  <x:si>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</x:si>
  <x:si>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</x:si>
  <x:si>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</x:si>
  <x:si>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</x:si>
  <x:si>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</x:si>
  <x:si>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</x:si>
  <x:si>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</x:si>
  <x:si>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</x:si>
  <x:si>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</x:si>
  <x:si>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</x:si>
  <x:si>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</x:si>
  <x:si>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</x:si>
  <x:si>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</x:si>
  <x:si>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</x:si>
  <x:si>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</x:si>
  <x:si>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</x:si>
  <x:si>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</x:si>
  <x:si>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</x:si>
  <x:si>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</x:si>
  <x:si>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</x:si>
  <x:si>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</x:si>
  <x:si>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</x:si>
  <x:si>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</x:si>
  <x:si>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</x:si>
  <x:si>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</x:si>
  <x:si>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</x:si>
  <x:si>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</x:si>
  <x:si>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</x:si>
  <x:si>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</x:si>
  <x:si>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</x:si>
  <x:si>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同一食物本体下的风味展示顺序(升序)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</x:si>
  <x:si>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</x:si>
  <x:si>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</x:si>
  <x:si>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</x:si>
  <x:si>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</x:si>
  <x:si>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</x:si>
  <x:si>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</x:si>
  <x:si>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</x:si>
  <x:si>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</x:si>
  <x:si>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</x:si>
  <x:si>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</x:si>
  <x:si>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</x:si>
  <x:si>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</x:si>
  <x:si>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</x:si>
  <x:si>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</x:si>
  <x:si>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</x:si>
  <x:si>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+10 金币</x:t>
  </x:si>
  <x:si>
    <x:t xml:space="preserve">GrantGold</x:t>
  </x:si>
  <x:si>
    <x:t xml:space="preserve">结算时获得 10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</x:si>
  <x:si>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</x:si>
  <x:si>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</x:si>
  <x:si>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</x:si>
  <x:si>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</x:si>
  <x:si>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</x:si>
  <x:si>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</x:si>
  <x:si>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</x:si>
  <x:si>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结算开始时，若在食谱中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</x:si>
  <x:si>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</x:si>
  <x:si>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</x:si>
  <x:si>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</x:si>
  <x:si>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</x:si>
  <x:si>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结算开始时，若在食谱中
场上食物基础分数 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</x:si>
  <x:si>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</x:si>
  <x:si>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</x:si>
  <x:si>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</x:si>
  <x:si>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</x:si>
  <x:si>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</x:si>
  <x:si>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</x:si>
  <x:si>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</x:si>
  <x:si>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</x:si>
  <x:si>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</x:si>
  <x:si>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</x:si>
  <x:si>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</x:si>
  <x:si>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</x:si>
  <x:si>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</x:si>
  <x:si>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</x:si>
  <x:si>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</x:si>
  <x:si>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</x:si>
  <x:si>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</x:si>
  <x:si>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</x:si>
  <x:si>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</x:si>
  <x:si>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</x:si>
  <x:si>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</x:si>
  <x:si>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</x:si>
  <x:si>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</x:si>
  <x:si>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</x:si>
  <x:si>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</x:si>
  <x:si>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</x:si>
  <x:si>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</x:si>
  <x:si>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</x:si>
  <x:si>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</x:si>
  <x:si>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</x:si>
  <x:si>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</x:si>
  <x:si>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</x:si>
  <x:si>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</x:si>
  <x:si>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</x:si>
  <x:si>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</x:si>
  <x:si>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</x:si>
  <x:si>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</x:si>
  <x:si>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</x:si>
  <x:si>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</x:si>
  <x:si>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</x:si>
  <x:si>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</x:si>
  <x:si>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</x:si>
  <x:si>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</x:si>
  <x:si>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</x:si>
  <x:si>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</x:si>
  <x:si>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</x:si>
  <x:si>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</x:si>
  <x:si>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</x:si>
  <x:si>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</x:si>
  <x:si>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</x:si>
  <x:si>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</x:si>
  <x:si>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</x:si>
  <x:si>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</x:si>
  <x:si>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</x:si>
  <x:si>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</x:si>
  <x:si>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</x:si>
  <x:si>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</x:si>
  <x:si>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</x:si>
  <x:si>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</x:si>
  <x:si>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</x:si>
  <x:si>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</x:si>
  <x:si>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</x:si>
  <x:si>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</x:si>
  <x:si>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</x:si>
  <x:si>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</x:si>
  <x:si>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</x:si>
  <x:si>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</x:si>
  <x:si>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</x:si>
  <x:si>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</x:si>
  <x:si>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</x:si>
  <x:si>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</x:si>
  <x:si>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</x:si>
  <x:si>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</x:si>
  <x:si>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</x:si>
  <x:si>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</x:si>
  <x:si>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</x:si>
  <x:si>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</x:si>
  <x:si>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</x:si>
  <x:si>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</x:si>
  <x:si>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</x:si>
  <x:si>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</x:si>
  <x:si>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</x:si>
  <x:si>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Other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</x:si>
  <x:si>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</x:si>
  <x:si>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</x:si>
  <x:si>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</x:si>
  <x:si>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</x:si>
  <x:si>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</x:si>
  <x:si>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</x:si>
  <x:si>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</x:si>
  <x:si>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</x:si>
  <x:si>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</x:si>
  <x:si>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</x:si>
  <x:si>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</x:si>
  <x:si>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</x:si>
  <x:si>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</x:si>
  <x:si>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</x:si>
  <x:si>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</x:si>
  <x:si>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</x:si>
  <x:si>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</x:si>
  <x:si>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</x:si>
  <x:si>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</x:si>
  <x:si>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</x:si>
  <x:si>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</x:si>
  <x:si>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</x:si>
  <x:si>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{cscope}食物数量达 {tiers} 时
倍率 {tiervals}</x:t>
  </x:si>
  <x:si>
    <x:t xml:space="preserve">when:transfer;resultscope:ColumnAndSelf</x:t>
  </x:si>
  <x:si>
    <x:t xml:space="preserve">结算后，{cscope}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</x:si>
  <x:si>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</x:si>
  <x:si>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</x:si>
  <x:si>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</x:si>
  <x:si>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</x:si>
  <x:si>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</x:si>
  <x:si>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</x:si>
  <x:si>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</x:si>
  <x:si>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</x:si>
  <x:si>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</x:si>
  <x:si>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</x:si>
  <x:si>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</x:si>
  <x:si>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</x:si>
  <x:si>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</x:si>
  <x:si>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</x:si>
  <x:si>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</x:si>
  <x:si>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</x:si>
  <x:si>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</x:si>
  <x:si>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</x:si>
  <x:si>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</x:si>
  <x:si>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</x:si>
  <x:si>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</x:si>
  <x:si>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</x:si>
  <x:si>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</x:si>
  <x:si>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</x:si>
  <x:si>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</x:si>
  <x:si>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</x:si>
  <x:si>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</x:si>
  <x:si>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</x:si>
  <x:si>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</x:si>
  <x:si>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</x:si>
  <x:si>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</x:si>
  <x:si>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</x:si>
  <x:si>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</x:si>
  <x:si>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</x:si>
  <x:si>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{ascope}食物把食物数量加入倍率</x:t>
  </x:si>
  <x:si>
    <x:t xml:space="preserve">CopySkill</x:t>
  </x:si>
  <x:si>
    <x:t xml:space="preserve">{ascope}获得 {0} 种不同的{cat}技能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</x:si>
  <x:si>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</x:si>
  <x:si>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</x:si>
  <x:si>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</x:si>
  <x:si>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</x:si>
  <x:si>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</x:si>
  <x:si>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</x:si>
  <x:si>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</x:si>
  <x:si>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</x:si>
  <x:si>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</x:si>
  <x:si>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</x:si>
  <x:si>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</x:si>
  <x:si>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</x:si>
  <x:si>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</x:si>
  <x:si>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</x:si>
  <x:si>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</x:si>
  <x:si>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</x:si>
  <x:si>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</x:si>
  <x:si>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2 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</x:si>
  <x:si>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</x:si>
  <x:si>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</x:si>
  <x:si>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</x:si>
  <x:si>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</x:si>
  <x:si>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</x:si>
  <x:si>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</x:si>
  <x:si>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左侧及自身
每有1 个食物，倍率 +0.8</x:t>
  </x:si>
  <x:si>
    <x:t xml:space="preserve">个数</x:t>
  </x:si>
  <x:si>
    <x:t xml:space="preserve">左</x:t>
  </x:si>
  <x:si>
    <x:t xml:space="preserve">右侧及自身
每有1 个技能，分数 +6
甜蜜传递1 个食物</x:t>
  </x:si>
  <x:si>
    <x:t xml:space="preserve">传递</x:t>
  </x:si>
  <x:si>
    <x:t xml:space="preserve">分数</x:t>
  </x:si>
  <x:si>
    <x:t xml:space="preserve">右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</x:si>
  <x:si>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</x:si>
  <x:si>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</x:si>
  <x:si>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</x:si>
  <x:si>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左侧及自身
每有1 个食物，欢乐蛋糕 +2 层</x:t>
  </x:si>
  <x:si>
    <x:t xml:space="preserve">个数+蛋糕</x:t>
  </x:si>
  <x:si>
    <x:t xml:space="preserve">上侧及自身倍率 +0.4
甜蜜传递2 个食物</x:t>
  </x:si>
  <x:si>
    <x:t xml:space="preserve">上</x:t>
  </x:si>
  <x:si>
    <x:t xml:space="preserve">周围及自身
每有1 个食物，分数 +5
甜蜜传递1 个食物</x:t>
  </x:si>
  <x:si>
    <x:t xml:space="preserve">传递+个数</x:t>
  </x:si>
  <x:si>
    <x:t xml:space="preserve">下侧及自身
每有2 个食物，倍率 +0.8
额外视为1 个食物</x:t>
  </x:si>
  <x:si>
    <x:t xml:space="preserve">下</x:t>
  </x:si>
  <x:si>
    <x:t xml:space="preserve">本列食物倍率 +0.5
欢乐蛋糕 +5 层</x:t>
  </x:si>
  <x:si>
    <x:t xml:space="preserve">列</x:t>
  </x:si>
  <x:si>
    <x:t xml:space="preserve">全场没有空格时
所有食物分数 +10</x:t>
  </x:si>
  <x:si>
    <x:t xml:space="preserve">所有</x:t>
  </x:si>
  <x:si>
    <x:t xml:space="preserve">3+3+3 个略高级的食物
（数值进一步增强，在普通机制的基础上有更进一步的机制</x:t>
  </x:si>
  <x:si>
    <x:t xml:space="preserve">本行
每有1 个食物，分数 +10
额外视为2 个食物</x:t>
  </x:si>
  <x:si>
    <x:t xml:space="preserve">行</x:t>
  </x:si>
  <x:si>
    <x:t xml:space="preserve">周围及自身
额外视为3 个食物</x:t>
  </x:si>
  <x:si>
    <x:t xml:space="preserve">右侧及自身
倍率 +2
甜蜜传递1 个食物</x:t>
  </x:si>
  <x:si>
    <x:t xml:space="preserve">蛋糕类食物倍率 +1.5
本行分数 +30</x:t>
  </x:si>
  <x:si>
    <x:t xml:space="preserve">周围及自身
倍率 +1
欢乐蛋糕 +15 层</x:t>
  </x:si>
  <x:si>
    <x:t xml:space="preserve">本列食物数量达6/15/30
倍率 +2.5/5/8
额外视为2 个食物</x:t>
  </x:si>
  <x:si>
    <x:t xml:space="preserve">本列食物
发动甜蜜传递时，倍率 ×1.5</x:t>
  </x:si>
  <x:si>
    <x:t xml:space="preserve">周围及自身
分数永久 +15
甜蜜传递1 个食物</x:t>
  </x:si>
  <x:si>
    <x:t xml:space="preserve">欢乐蛋糕 +10 层
将自身分数加至蛋糕类食物上</x:t>
  </x:si>
  <x:si>
    <x:t xml:space="preserve">左侧及自身
倍率 ×2</x:t>
  </x:si>
  <x:si>
    <x:t xml:space="preserve">2+2+2 个略高级的食物
（数值进一步增强，在普通机制的基础上有更进一步的机制</x:t>
  </x:si>
  <x:si>
    <x:t xml:space="preserve">欢乐蛋糕x1.5 层
至少 +20 层</x:t>
  </x:si>
  <x:si>
    <x:t xml:space="preserve">使3 个带有甜蜜传递的食物
额外结算1 次甜蜜传递</x:t>
  </x:si>
  <x:si>
    <x:t xml:space="preserve">本行食物
达8/16/25 个时，倍率 ×2/3/4
额外视为5 个食物</x:t>
  </x:si>
  <x:si>
    <x:t xml:space="preserve">本列
每有1 个食物，倍率 +0.3
额外视为4 个食物</x:t>
  </x:si>
  <x:si>
    <x:t xml:space="preserve">欢乐蛋糕 +25 层
本列蛋糕类食物
分数 +30</x:t>
  </x:si>
  <x:si>
    <x:t xml:space="preserve">每有1 个技能
倍率 +3
甜蜜传递3 个食物</x:t>
  </x:si>
  <x:si>
    <x:t xml:space="preserve">2+2+2 个高级的食物
（数值进一步增强，在普通机制的基础上有更进一步的机制</x:t>
  </x:si>
  <x:si>
    <x:t xml:space="preserve">本行蛋糕类
食物倍率 ×2
蛋糕数量达3/5/8时
蛋糕层数 +15/30/50</x:t>
  </x:si>
  <x:si>
    <x:t xml:space="preserve">右侧及自身
倍率 ×2.5
甜蜜传递1 个食物</x:t>
  </x:si>
  <x:si>
    <x:t xml:space="preserve">周围及自身
每有1 个食物，倍率 ×1.1
额外视为7 个食物</x:t>
  </x:si>
  <x:si>
    <x:t xml:space="preserve">本行蛋糕类食物
倍率 ×2
将餐桌格总数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</x:si>
  <x:si>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</x:si>
  <x:si>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</x:si>
  <x:si>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</x:si>
  <x:si>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</x:si>
  <x:si>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</x:si>
  <x:si>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</x:si>
  <x:si>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 个技能
倍率 ×2
甜蜜传递至同行食物</x:t>
  </x:si>
  <x:si>
    <x:t xml:space="preserve">作用倍率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</x:si>
  <x:si>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</x:si>
  <x:si>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</x:si>
  <x:si>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</x:si>
  <x:si>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</x:si>
  <x:si>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</x:si>
  <x:si>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</x:si>
  <x:si>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</x:si>
  <x:si>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</x:si>
  <x:si>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</x:si>
  <x:si>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</x:si>
  <x:si>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</x:si>
  <x:si>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</x:si>
  <x:si>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</x:si>
  <x:si>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</x:si>
  <x:si>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</x:si>
  <x:si>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</x:si>
  <x:si>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 个空格
分数 -2</x:t>
  </x:si>
  <x:si>
    <x:t xml:space="preserve">保证空格少</x:t>
  </x:si>
  <x:si>
    <x:t xml:space="preserve">泡芙</x:t>
  </x:si>
  <x:si>
    <x:t xml:space="preserve">周围每有 1 个食物
欢乐蛋糕 +2 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</x:si>
  <x:si>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</x:si>
  <x:si>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</x:si>
  <x:si>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</x:si>
  <x:si>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 +8</x:t>
  </x:si>
  <x:si>
    <x:t xml:space="preserve">自身永久加分数</x:t>
  </x:si>
  <x:si>
    <x:t xml:space="preserve">4回合回本</x:t>
  </x:si>
  <x:si>
    <x:t xml:space="preserve">本列每有1 个食物
倍率 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</x:si>
  <x:si>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</x:si>
  <x:si>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</x:si>
  <x:si>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</x:si>
  <x:si>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 个食物
分数 +8</x:t>
  </x:si>
  <x:si>
    <x:t xml:space="preserve">周围没有空格时
自身倍率 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</x:si>
  <x:si>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</x:si>
  <x:si>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</x:si>
  <x:si>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</x:si>
  <x:si>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 个技能
欢乐蛋糕 +5 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</x:si>
  <x:si>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</x:si>
  <x:si>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</x:si>
  <x:si>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</x:si>
  <x:si>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 个食物，倍率 +0.1</x:t>
  </x:si>
  <x:si>
    <x:t xml:space="preserve">左侧及自身
每有1 个食物，倍率 +0.5
额外视为1 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</x:si>
  <x:si>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</x:si>
  <x:si>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</x:si>
  <x:si>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</x:si>
  <x:si>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 +8 层</x:t>
  </x:si>
  <x:si>
    <x:t xml:space="preserve">右侧及自身每有1 个技能
分数 +10
甜蜜传递1 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</x:si>
  <x:si>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</x:si>
  <x:si>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</x:si>
  <x:si>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</x:si>
  <x:si>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</x:si>
  <x:si>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</x:si>
  <x:si>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 个食物
倍率 +0.2
甜蜜传递至周围1 个食物</x:t>
  </x:si>
  <x:si>
    <x:t xml:space="preserve">周围及自身
分数 +10
欢乐蛋糕 +10 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</x:si>
  <x:si>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</x:si>
  <x:si>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</x:si>
  <x:si>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</x:si>
  <x:si>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</x:si>
  <x:si>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</x:si>
  <x:si>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 个金币</x:t>
  </x:si>
  <x:si>
    <x:t xml:space="preserve">左侧及自身每有1 个食物
欢乐蛋糕 +3 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</x:si>
  <x:si>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</x:si>
  <x:si>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</x:si>
  <x:si>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</x:si>
  <x:si>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 个空格</x:t>
  </x:si>
  <x:si>
    <x:t xml:space="preserve">奶片</x:t>
  </x:si>
  <x:si>
    <x:t xml:space="preserve">若本列被填满
欢乐蛋糕 +10 层</x:t>
  </x:si>
  <x:si>
    <x:t xml:space="preserve">上侧及自身
倍率 +10
甜蜜传递2 个食物</x:t>
  </x:si>
  <x:si>
    <x:t xml:space="preserve">有条件加层数</x:t>
  </x:si>
  <x:si>
    <x:t xml:space="preserve">1 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</x:si>
  <x:si>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</x:si>
  <x:si>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</x:si>
  <x:si>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</x:si>
  <x:si>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</x:si>
  <x:si>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</x:si>
  <x:si>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</x:si>
  <x:si>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 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</x:si>
  <x:si>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</x:si>
  <x:si>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</x:si>
  <x:si>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</x:si>
  <x:si>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</x:si>
  <x:si>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 +15 层
额外视为2 个食物</x:t>
  </x:si>
  <x:si>
    <x:t xml:space="preserve">周围及自身
每有1 个食物，分数 +10
甜蜜传递1 个食物</x:t>
  </x:si>
  <x:si>
    <x:t xml:space="preserve">加层数，过度</x:t>
  </x:si>
  <x:si>
    <x:t xml:space="preserve">3 格</x:t>
  </x:si>
  <x:si>
    <x:t xml:space="preserve">阶梯数量</x:t>
  </x:si>
  <x:si>
    <x:t xml:space="preserve">（周围/同列/同行/空）食物数量达到[2/5/10]时</x:t>
  </x:si>
  <x:si>
    <x:t xml:space="preserve">4 格</x:t>
  </x:si>
  <x:si>
    <x:t xml:space="preserve">大小检测</x:t>
  </x:si>
  <x:si>
    <x:t xml:space="preserve">（周围/同列/同行/空）每有1（种/个）（大于等于/小于等于）3 格的食物</x:t>
  </x:si>
  <x:si>
    <x:t xml:space="preserve">棒棒糖</x:t>
  </x:si>
  <x:si>
    <x:t xml:space="preserve">周围有占1 格的食物时
倍率 ×1.5
甜蜜传递至同行2 个食物</x:t>
  </x:si>
  <x:si>
    <x:t xml:space="preserve">下侧及自身
每有2 个食物，倍率 +0.5
额外视为1 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</x:si>
  <x:si>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</x:si>
  <x:si>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</x:si>
  <x:si>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</x:si>
  <x:si>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</x:si>
  <x:si>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 个食物</x:t>
  </x:si>
  <x:si>
    <x:t xml:space="preserve">本行食物分数 +10
甜蜜传递至同列1 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</x:si>
  <x:si>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</x:si>
  <x:si>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</x:si>
  <x:si>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</x:si>
  <x:si>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</x:si>
  <x:si>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</x:si>
  <x:si>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</x:si>
  <x:si>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 个技能
欢乐蛋糕 +6 层
甜蜜传递至同行1 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</x:si>
  <x:si>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</x:si>
  <x:si>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</x:si>
  <x:si>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</x:si>
  <x:si>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本局每结算过一次本种食物</x:t>
  </x:si>
  <x:si>
    <x:t xml:space="preserve">蛋糕食物
倍率 ×1.2
欢乐蛋糕 +5 层</x:t>
  </x:si>
  <x:si>
    <x:t xml:space="preserve">一类乘倍率，加buff</x:t>
  </x:si>
  <x:si>
    <x:t xml:space="preserve">小局相同检测</x:t>
  </x:si>
  <x:si>
    <x:t xml:space="preserve">本场经营挑战经营挑战，每（结算过一次/有一个）本种食物</x:t>
  </x:si>
  <x:si>
    <x:t xml:space="preserve">餐桌没有空格时
所有食物分数 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</x:si>
  <x:si>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</x:si>
  <x:si>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</x:si>
  <x:si>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</x:si>
  <x:si>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</x:si>
  <x:si>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 +10
甜蜜传递至同列2 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</x:si>
  <x:si>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</x:si>
  <x:si>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</x:si>
  <x:si>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</x:si>
  <x:si>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</x:si>
  <x:si>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</x:si>
  <x:si>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 +10
甜蜜传递至同行2 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</x:si>
  <x:si>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</x:si>
  <x:si>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</x:si>
  <x:si>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</x:si>
  <x:si>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</x:si>
  <x:si>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</x:si>
  <x:si>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</x:si>
  <x:si>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</x:si>
  <x:si>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 个食物
全场每有1 个食物
倍率 +0.2</x:t>
  </x:si>
  <x:si>
    <x:t xml:space="preserve">全场检测加自身倍率</x:t>
  </x:si>
  <x:si>
    <x:t xml:space="preserve">食谱</x:t>
  </x:si>
  <x:si>
    <x:t xml:space="preserve">食谱检测</x:t>
  </x:si>
  <x:si>
    <x:t xml:space="preserve">食谱中食物（大于等于/小于等于）3（种/个）时</x:t>
  </x:si>
  <x:si>
    <x:t xml:space="preserve">周围及自身倍率 +1.5
甜蜜传递1 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</x:si>
  <x:si>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</x:si>
  <x:si>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</x:si>
  <x:si>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</x:si>
  <x:si>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</x:si>
  <x:si>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 层欢乐蛋糕
每消耗一层
本行倍率 +0.8</x:t>
  </x:si>
  <x:si>
    <x:t xml:space="preserve">本行倍率加</x:t>
  </x:si>
  <x:si>
    <x:t xml:space="preserve">传递检测</x:t>
  </x:si>
  <x:si>
    <x:t xml:space="preserve">本食物每有1 个被传递的技能</x:t>
  </x:si>
  <x:si>
    <x:t xml:space="preserve">本食物有被传递的技能时</x:t>
  </x:si>
  <x:si>
    <x:t xml:space="preserve">传递次数检测</x:t>
  </x:si>
  <x:si>
    <x:t xml:space="preserve">本局传递次数达到10 次时</x:t>
  </x:si>
  <x:si>
    <x:t xml:space="preserve">本列食物
倍率 +1
甜蜜传递至同行2 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</x:si>
  <x:si>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</x:si>
  <x:si>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</x:si>
  <x:si>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</x:si>
  <x:si>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 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</x:si>
  <x:si>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</x:si>
  <x:si>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</x:si>
  <x:si>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</x:si>
  <x:si>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</x:si>
  <x:si>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</x:si>
  <x:si>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 层
至少 +10 层</x:t>
  </x:si>
  <x:si>
    <x:t xml:space="preserve">使1 个带有甜蜜传递的食物
额外结算1 次甜蜜传递</x:t>
  </x:si>
  <x:si>
    <x:t xml:space="preserve">本行倍率乘</x:t>
  </x:si>
  <x:si>
    <x:t xml:space="preserve">层数消耗</x:t>
  </x:si>
  <x:si>
    <x:t xml:space="preserve">消耗（5 层/所有）欢乐蛋糕层数</x:t>
  </x:si>
  <x:si>
    <x:t xml:space="preserve">层数转化分数</x:t>
  </x:si>
  <x:si>
    <x:t xml:space="preserve">每10 层使（周围/同列/同行/空/下一个结算）（全部/随机两个）食物分数（x1.5/+10）</x:t>
  </x:si>
  <x:si>
    <x:t xml:space="preserve">额外视为5 个食物
本列食物达「10/18/25」个时
本列倍率x「2/3/4」</x:t>
  </x:si>
  <x:si>
    <x:t xml:space="preserve">周围倍率乘</x:t>
  </x:si>
  <x:si>
    <x:t xml:space="preserve">层数转化结算</x:t>
  </x:si>
  <x:si>
    <x:t xml:space="preserve">每10 层使（周围/同列/同行/空/下一个结算）（全部/随机两个）食物额外结算1 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</x:si>
  <x:si>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</x:si>
  <x:si>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</x:si>
  <x:si>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</x:si>
  <x:si>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 个食物
周围及自身倍率 ×2.5</x:t>
  </x:si>
  <x:si>
    <x:t xml:space="preserve">周围倍率加</x:t>
  </x:si>
  <x:si>
    <x:t xml:space="preserve">多次结算</x:t>
  </x:si>
  <x:si>
    <x:t xml:space="preserve">（周围/同列/同行/全部/本/下一个结算）（随机2 个/空）食物，（周围/同列/同行/全部/本）（随机2 个/空）额外结算1 次</x:t>
  </x:si>
  <x:si>
    <x:t xml:space="preserve">额外视为7 个食物
本行每有1 个食物
周围及自身倍率 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</x:si>
  <x:si>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</x:si>
  <x:si>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</x:si>
  <x:si>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</x:si>
  <x:si>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 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</x:si>
  <x:si>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</x:si>
  <x:si>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 个食物
本列食物分数 +50</x:t>
  </x:si>
  <x:si>
    <x:t xml:space="preserve">经济运营</x:t>
  </x:si>
  <x:si>
    <x:t xml:space="preserve">获得5 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</x:si>
  <x:si>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</x:si>
  <x:si>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</x:si>
  <x:si>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 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</x:si>
  <x:si>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</x:si>
  <x:si>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</x:si>
  <x:si>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</x:si>
  <x:si>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 个/空）食物</x:t>
  </x:si>
  <x:si>
    <x:t xml:space="preserve">甜甜圈</x:t>
  </x:si>
  <x:si>
    <x:t xml:space="preserve">蛋糕层数 +40</x:t>
  </x:si>
  <x:si>
    <x:t xml:space="preserve">自身</x:t>
  </x:si>
  <x:si>
    <x:t xml:space="preserve">技能复制</x:t>
  </x:si>
  <x:si>
    <x:t xml:space="preserve">复制（周围/同列/同行/全部/本/下一个结算）（随机2 个/空）食物的任意一个技能</x:t>
  </x:si>
  <x:si>
    <x:t xml:space="preserve">技能获得</x:t>
  </x:si>
  <x:si>
    <x:t xml:space="preserve">（周围/同列/同行/全部/本/下一个结算）（随机2 个/空）食物获得技能</x:t>
  </x:si>
  <x:si>
    <x:t xml:space="preserve">椪糖</x:t>
  </x:si>
  <x:si>
    <x:t xml:space="preserve">每有1 个技能
倍率 +3
甜蜜传递至同列3 个食物</x:t>
  </x:si>
  <x:si>
    <x:t xml:space="preserve">后</x:t>
  </x:si>
  <x:si>
    <x:t xml:space="preserve">失效食物</x:t>
  </x:si>
  <x:si>
    <x:t xml:space="preserve">使（周围/同列/同行/全部/本/下一个结算）（随机2 个/空）食物技能在本局失效</x:t>
  </x:si>
  <x:si>
    <x:t xml:space="preserve">多数菜</x:t>
  </x:si>
  <x:si>
    <x:t xml:space="preserve">本菜视为2种菜</x:t>
  </x:si>
  <x:si>
    <x:t xml:space="preserve">额外视为9 个食物
周围每有1 个食物
周围及自身倍率 ×1.2</x:t>
  </x:si>
  <x:si>
    <x:t xml:space="preserve">大圣代</x:t>
  </x:si>
  <x:si>
    <x:t xml:space="preserve">额外视为4 个食物
本列倍率×N
（N=1+周围食物数量×0.2）</x:t>
  </x:si>
  <x:si>
    <x:t xml:space="preserve">瑞士卷</x:t>
  </x:si>
  <x:si>
    <x:t xml:space="preserve">蛋糕层数 +20
所有食物倍率 +1</x:t>
  </x:si>
  <x:si>
    <x:t xml:space="preserve">额外视为7 个食物
将所有占1 格食物的倍率
添加到自身</x:t>
  </x:si>
  <x:si>
    <x:t xml:space="preserve">倍率 +8
将倍率加到蛋糕食物上</x:t>
  </x:si>
  <x:si>
    <x:t xml:space="preserve">本行每有1 个食物
周围及自身倍率 +0.5</x:t>
  </x:si>
  <x:si>
    <x:t xml:space="preserve">蛋糕食物倍率 ×2
蛋糕数量达3/5/8时
蛋糕层数 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</x:si>
  <x:si>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</x:si>
  <x:si>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</x:si>
  <x:si>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</x:si>
  <x:si>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 +10 层</x:t>
  </x:si>
  <x:si>
    <x:t xml:space="preserve">额外视为3 个食物
周围及自身倍率×N
（N=1+本列食物数量×0.05）</x:t>
  </x:si>
  <x:si>
    <x:t xml:space="preserve">本列食物倍率 ×1.3
甜蜜传递至周围1 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</x:si>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</x:sst>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e79c1d1dd946dd" /><Relationship Type="http://schemas.openxmlformats.org/officeDocument/2006/relationships/theme" Target="/xl/theme/theme1.xml" Id="R0820fe69ea2948c2" /><Relationship Type="http://schemas.openxmlformats.org/officeDocument/2006/relationships/sharedStrings" Target="/xl/sharedStrings.xml" Id="Ra6d0e9fa9a6d4b28" /><Relationship Type="http://schemas.openxmlformats.org/officeDocument/2006/relationships/worksheet" Target="/xl/worksheets/sheet1.xml" Id="Ra49def1f2cc247ec" /><Relationship Type="http://schemas.openxmlformats.org/officeDocument/2006/relationships/worksheet" Target="/xl/worksheets/sheet2.xml" Id="Rb6234b209424429b" /><Relationship Type="http://schemas.openxmlformats.org/officeDocument/2006/relationships/worksheet" Target="/xl/worksheets/sheet3.xml" Id="R25581d148fe14676" /><Relationship Type="http://schemas.openxmlformats.org/officeDocument/2006/relationships/worksheet" Target="/xl/worksheets/sheet4.xml" Id="R020285e1efd64e48" /><Relationship Type="http://schemas.openxmlformats.org/officeDocument/2006/relationships/worksheet" Target="/xl/worksheets/sheet5.xml" Id="R52d9bcfa7b9b4cd2" /><Relationship Type="http://schemas.openxmlformats.org/officeDocument/2006/relationships/worksheet" Target="/xl/worksheets/sheet6.xml" Id="R3962b01070ef4012" /><Relationship Type="http://schemas.openxmlformats.org/officeDocument/2006/relationships/worksheet" Target="/xl/worksheets/sheet7.xml" Id="R3639c2d3ee474185" /><Relationship Type="http://schemas.openxmlformats.org/officeDocument/2006/relationships/worksheet" Target="/xl/worksheets/sheet8.xml" Id="R3d90c16825b44dfe" /><Relationship Type="http://schemas.openxmlformats.org/officeDocument/2006/relationships/worksheet" Target="/xl/worksheets/sheet9.xml" Id="Rc876a931c62a49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0" width="25" style="1" customWidth="1"/>
    <x:col min="11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">
        <x:v>9</x:v>
      </x:c>
      <x:c r="K1" s="1" t="str">
        <x:f>""</x:f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35" t="s">
        <x:v>19</x:v>
      </x:c>
      <x:c r="K2" s="1" t="str">
        <x:f>""</x:f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23</x:v>
      </x:c>
      <x:c r="F3" s="1" t="s">
        <x:v>21</x:v>
      </x:c>
      <x:c r="G3" s="1" t="s">
        <x:v>21</x:v>
      </x:c>
      <x:c r="H3" s="1" t="s">
        <x:v>22</x:v>
      </x:c>
      <x:c r="I3" s="1" t="s">
        <x:v>24</x:v>
      </x:c>
      <x:c r="J3" t="s">
        <x:v>22</x:v>
      </x:c>
      <x:c r="K3" s="1" t="str">
        <x:f>""</x:f>
      </x:c>
    </x:row>
    <x:row r="4">
      <x:c r="B4" s="8" t="s">
        <x:v>25</x:v>
      </x:c>
      <x:c r="C4" s="1" t="s">
        <x:v>26</x:v>
      </x:c>
      <x:c r="D4" s="1">
        <x:v>10</x:v>
      </x:c>
      <x:c r="E4" s="1" t="s">
        <x:v>27</x:v>
      </x:c>
      <x:c r="F4" s="1" t="s">
        <x:v>28</x:v>
      </x:c>
      <x:c r="H4" s="1">
        <x:v>1</x:v>
      </x:c>
      <x:c r="I4" s="1" t="s">
        <x:v>29</x:v>
      </x:c>
      <x:c r="J4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30</x:v>
      </x:c>
      <x:c r="C5" s="1" t="s">
        <x:v>31</x:v>
      </x:c>
      <x:c r="D5" s="1">
        <x:v>10</x:v>
      </x:c>
      <x:c r="E5" s="1" t="s">
        <x:v>27</x:v>
      </x:c>
      <x:c r="F5" s="1" t="s">
        <x:v>32</x:v>
      </x:c>
      <x:c r="H5" s="1">
        <x:v>1</x:v>
      </x:c>
      <x:c r="I5" s="1" t="s">
        <x:v>29</x:v>
      </x:c>
      <x:c r="J5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33</x:v>
      </x:c>
      <x:c r="C6" s="1" t="s">
        <x:v>34</x:v>
      </x:c>
      <x:c r="D6" s="1">
        <x:v>10</x:v>
      </x:c>
      <x:c r="E6" s="1" t="s">
        <x:v>27</x:v>
      </x:c>
      <x:c r="F6" s="1" t="s">
        <x:v>35</x:v>
      </x:c>
      <x:c r="H6" s="1">
        <x:v>1</x:v>
      </x:c>
      <x:c r="I6" s="1" t="s">
        <x:v>36</x:v>
      </x:c>
      <x:c r="J6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36</x:v>
      </x:c>
      <x:c r="J7"/>
    </x:row>
    <x:row r="8">
      <x:c r="B8" s="1" t="s">
        <x:v>37</x:v>
      </x:c>
      <x:c r="C8" s="1" t="s">
        <x:v>38</x:v>
      </x:c>
      <x:c r="D8" s="1">
        <x:v>10</x:v>
      </x:c>
      <x:c r="E8" s="1" t="s">
        <x:v>27</x:v>
      </x:c>
      <x:c r="F8" s="1" t="s">
        <x:v>39</x:v>
      </x:c>
      <x:c r="H8" s="1">
        <x:v>1</x:v>
      </x:c>
      <x:c r="I8" s="1" t="s">
        <x:v>36</x:v>
      </x:c>
      <x:c r="J8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36</x:v>
      </x:c>
      <x:c r="J9"/>
    </x:row>
    <x:row r="10">
      <x:c r="B10" s="1" t="s">
        <x:v>40</x:v>
      </x:c>
      <x:c r="C10" s="1" t="s">
        <x:v>41</x:v>
      </x:c>
      <x:c r="D10" s="1">
        <x:v>20</x:v>
      </x:c>
      <x:c r="E10" s="1" t="s">
        <x:v>27</x:v>
      </x:c>
      <x:c r="F10" s="1" t="s">
        <x:v>42</x:v>
      </x:c>
      <x:c r="H10" s="1">
        <x:v>1</x:v>
      </x:c>
      <x:c r="I10" s="1" t="s">
        <x:v>29</x:v>
      </x:c>
      <x:c r="J10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43</x:v>
      </x:c>
      <x:c r="C11" s="1" t="s">
        <x:v>44</x:v>
      </x:c>
      <x:c r="D11" s="1">
        <x:v>20</x:v>
      </x:c>
      <x:c r="E11" s="1" t="s">
        <x:v>27</x:v>
      </x:c>
      <x:c r="F11" s="1" t="s">
        <x:v>45</x:v>
      </x:c>
      <x:c r="G11" s="1" t="s">
        <x:v>46</x:v>
      </x:c>
      <x:c r="H11" s="1">
        <x:v>1</x:v>
      </x:c>
      <x:c r="I11" s="1" t="s">
        <x:v>29</x:v>
      </x:c>
      <x:c r="J11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47</x:v>
      </x:c>
      <x:c r="C12" s="1" t="s">
        <x:v>48</x:v>
      </x:c>
      <x:c r="D12" s="1">
        <x:v>20</x:v>
      </x:c>
      <x:c r="E12" s="1" t="s">
        <x:v>27</x:v>
      </x:c>
      <x:c r="F12" s="1" t="s">
        <x:v>49</x:v>
      </x:c>
      <x:c r="H12" s="1">
        <x:v>1</x:v>
      </x:c>
      <x:c r="I12" s="1" t="s">
        <x:v>29</x:v>
      </x:c>
      <x:c r="J12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50</x:v>
      </x:c>
      <x:c r="C13" s="1" t="s">
        <x:v>51</x:v>
      </x:c>
      <x:c r="D13" s="1">
        <x:v>20</x:v>
      </x:c>
      <x:c r="E13" s="1" t="s">
        <x:v>27</x:v>
      </x:c>
      <x:c r="F13" s="1" t="s">
        <x:v>52</x:v>
      </x:c>
      <x:c r="H13" s="1">
        <x:v>1</x:v>
      </x:c>
      <x:c r="I13" s="1" t="s">
        <x:v>29</x:v>
      </x:c>
      <x:c r="J13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53</x:v>
      </x:c>
      <x:c r="C14" s="1" t="s">
        <x:v>54</x:v>
      </x:c>
      <x:c r="D14" s="1">
        <x:v>20</x:v>
      </x:c>
      <x:c r="E14" s="1" t="s">
        <x:v>27</x:v>
      </x:c>
      <x:c r="F14" s="1" t="s">
        <x:v>55</x:v>
      </x:c>
      <x:c r="G14" s="1" t="s">
        <x:v>46</x:v>
      </x:c>
      <x:c r="H14" s="1">
        <x:v>1</x:v>
      </x:c>
      <x:c r="I14" s="1" t="s">
        <x:v>29</x:v>
      </x:c>
      <x:c r="J14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56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57</x:v>
      </x:c>
      <x:c r="C15" s="1" t="s">
        <x:v>58</x:v>
      </x:c>
      <x:c r="D15" s="1">
        <x:v>20</x:v>
      </x:c>
      <x:c r="E15" s="1" t="s">
        <x:v>27</x:v>
      </x:c>
      <x:c r="F15" s="1" t="s">
        <x:v>59</x:v>
      </x:c>
      <x:c r="G15" s="1" t="s">
        <x:v>46</x:v>
      </x:c>
      <x:c r="H15" s="1">
        <x:v>1</x:v>
      </x:c>
      <x:c r="I15" s="1" t="s">
        <x:v>29</x:v>
      </x:c>
      <x:c r="J15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60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61</x:v>
      </x:c>
      <x:c r="C16" s="1" t="s">
        <x:v>62</x:v>
      </x:c>
      <x:c r="D16" s="1">
        <x:v>20</x:v>
      </x:c>
      <x:c r="E16" s="1" t="s">
        <x:v>27</x:v>
      </x:c>
      <x:c r="F16" s="1" t="s">
        <x:v>63</x:v>
      </x:c>
      <x:c r="H16" s="1">
        <x:v>1</x:v>
      </x:c>
      <x:c r="I16" s="1" t="s">
        <x:v>36</x:v>
      </x:c>
      <x:c r="J16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64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36</x:v>
      </x:c>
      <x:c r="J17"/>
      <x:c r="Q17" s="1" t="s">
        <x:v>65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66</x:v>
      </x:c>
      <x:c r="C18" s="1" t="s">
        <x:v>67</x:v>
      </x:c>
      <x:c r="D18" s="1">
        <x:v>20</x:v>
      </x:c>
      <x:c r="E18" s="1" t="s">
        <x:v>27</x:v>
      </x:c>
      <x:c r="F18" s="1" t="s">
        <x:v>68</x:v>
      </x:c>
      <x:c r="H18" s="1">
        <x:v>1</x:v>
      </x:c>
      <x:c r="I18" s="1" t="s">
        <x:v>36</x:v>
      </x:c>
      <x:c r="J18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69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36</x:v>
      </x:c>
      <x:c r="J19"/>
    </x:row>
    <x:row r="20">
      <x:c r="B20" s="1" t="s">
        <x:v>70</x:v>
      </x:c>
      <x:c r="C20" s="1" t="s">
        <x:v>71</x:v>
      </x:c>
      <x:c r="D20" s="1">
        <x:v>20</x:v>
      </x:c>
      <x:c r="E20" s="1" t="s">
        <x:v>27</x:v>
      </x:c>
      <x:c r="F20" s="1" t="s">
        <x:v>72</x:v>
      </x:c>
      <x:c r="H20" s="1">
        <x:v>2</x:v>
      </x:c>
      <x:c r="I20" s="1" t="s">
        <x:v>36</x:v>
      </x:c>
      <x:c r="J20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36</x:v>
      </x:c>
      <x:c r="J21"/>
    </x:row>
    <x:row r="22">
      <x:c r="B22" s="1" t="s">
        <x:v>73</x:v>
      </x:c>
      <x:c r="C22" s="1" t="s">
        <x:v>74</x:v>
      </x:c>
      <x:c r="D22" s="1">
        <x:v>20</x:v>
      </x:c>
      <x:c r="E22" s="1" t="s">
        <x:v>27</x:v>
      </x:c>
      <x:c r="F22" s="1" t="s">
        <x:v>75</x:v>
      </x:c>
      <x:c r="G22" s="1" t="s">
        <x:v>46</x:v>
      </x:c>
      <x:c r="H22" s="1">
        <x:v>1</x:v>
      </x:c>
      <x:c r="I22" s="1" t="s">
        <x:v>36</x:v>
      </x:c>
      <x:c r="J22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36</x:v>
      </x:c>
      <x:c r="J23"/>
    </x:row>
    <x:row r="24">
      <x:c r="B24" s="1" t="s">
        <x:v>76</x:v>
      </x:c>
      <x:c r="C24" s="1" t="s">
        <x:v>77</x:v>
      </x:c>
      <x:c r="D24" s="1">
        <x:v>20</x:v>
      </x:c>
      <x:c r="E24" s="1" t="s">
        <x:v>27</x:v>
      </x:c>
      <x:c r="F24" s="1" t="s">
        <x:v>78</x:v>
      </x:c>
      <x:c r="H24" s="1">
        <x:v>1</x:v>
      </x:c>
      <x:c r="I24" s="1" t="s">
        <x:v>36</x:v>
      </x:c>
      <x:c r="J24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36</x:v>
      </x:c>
      <x:c r="J25"/>
      <x:c r="T25" s="1" t="s">
        <x:v>79</x:v>
      </x:c>
      <x:c r="U25" s="1" t="s">
        <x:v>80</x:v>
      </x:c>
    </x:row>
    <x:row r="26">
      <x:c r="B26" s="1" t="s">
        <x:v>81</x:v>
      </x:c>
      <x:c r="C26" s="1" t="s">
        <x:v>82</x:v>
      </x:c>
      <x:c r="D26" s="1">
        <x:v>30</x:v>
      </x:c>
      <x:c r="E26" s="1" t="s">
        <x:v>27</x:v>
      </x:c>
      <x:c r="F26" s="1" t="s">
        <x:v>83</x:v>
      </x:c>
      <x:c r="H26" s="1">
        <x:v>3</x:v>
      </x:c>
      <x:c r="I26" s="1" t="s">
        <x:v>84</x:v>
      </x:c>
      <x:c r="J26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85</x:v>
      </x:c>
      <x:c r="U26" s="1" t="s">
        <x:v>86</x:v>
      </x:c>
    </x:row>
    <x:row r="27">
      <x:c r="B27" s="1" t="s">
        <x:v>87</x:v>
      </x:c>
      <x:c r="C27" s="1" t="s">
        <x:v>88</x:v>
      </x:c>
      <x:c r="D27" s="1">
        <x:v>30</x:v>
      </x:c>
      <x:c r="E27" s="1" t="s">
        <x:v>27</x:v>
      </x:c>
      <x:c r="F27" s="1" t="s">
        <x:v>89</x:v>
      </x:c>
      <x:c r="H27" s="1">
        <x:v>1</x:v>
      </x:c>
      <x:c r="I27" s="1" t="s">
        <x:v>84</x:v>
      </x:c>
      <x:c r="J27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90</x:v>
      </x:c>
      <x:c r="U27" s="1" t="s">
        <x:v>91</x:v>
      </x:c>
    </x:row>
    <x:row r="28">
      <x:c r="B28" s="1" t="s">
        <x:v>92</x:v>
      </x:c>
      <x:c r="C28" s="1" t="s">
        <x:v>93</x:v>
      </x:c>
      <x:c r="D28" s="1">
        <x:v>30</x:v>
      </x:c>
      <x:c r="E28" s="1" t="s">
        <x:v>27</x:v>
      </x:c>
      <x:c r="F28" s="1" t="s">
        <x:v>94</x:v>
      </x:c>
      <x:c r="H28" s="1">
        <x:v>1</x:v>
      </x:c>
      <x:c r="I28" s="1" t="s">
        <x:v>84</x:v>
      </x:c>
      <x:c r="J28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95</x:v>
      </x:c>
      <x:c r="U28" s="1" t="s">
        <x:v>96</x:v>
      </x:c>
    </x:row>
    <x:row r="29">
      <x:c r="B29" s="1" t="s">
        <x:v>97</x:v>
      </x:c>
      <x:c r="C29" s="1" t="s">
        <x:v>98</x:v>
      </x:c>
      <x:c r="D29" s="1">
        <x:v>30</x:v>
      </x:c>
      <x:c r="E29" s="1" t="s">
        <x:v>27</x:v>
      </x:c>
      <x:c r="F29" s="1" t="s">
        <x:v>99</x:v>
      </x:c>
      <x:c r="G29" s="1" t="s">
        <x:v>46</x:v>
      </x:c>
      <x:c r="H29" s="1">
        <x:v>1</x:v>
      </x:c>
      <x:c r="I29" s="1" t="s">
        <x:v>84</x:v>
      </x:c>
      <x:c r="J29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100</x:v>
      </x:c>
      <x:c r="U29" s="36" t="s">
        <x:v>101</x:v>
      </x:c>
    </x:row>
    <x:row r="30">
      <x:c r="B30" s="1" t="s">
        <x:v>102</x:v>
      </x:c>
      <x:c r="C30" s="1" t="s">
        <x:v>103</x:v>
      </x:c>
      <x:c r="D30" s="1">
        <x:v>30</x:v>
      </x:c>
      <x:c r="E30" s="1" t="s">
        <x:v>27</x:v>
      </x:c>
      <x:c r="F30" s="1" t="s">
        <x:v>104</x:v>
      </x:c>
      <x:c r="G30" s="1" t="s">
        <x:v>46</x:v>
      </x:c>
      <x:c r="H30" s="1">
        <x:v>1</x:v>
      </x:c>
      <x:c r="I30" s="1" t="s">
        <x:v>84</x:v>
      </x:c>
      <x:c r="J30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105</x:v>
      </x:c>
      <x:c r="U30" s="36" t="s">
        <x:v>106</x:v>
      </x:c>
    </x:row>
    <x:row r="31">
      <x:c r="B31" s="1" t="s">
        <x:v>107</x:v>
      </x:c>
      <x:c r="C31" s="1" t="s">
        <x:v>108</x:v>
      </x:c>
      <x:c r="D31" s="1">
        <x:v>30</x:v>
      </x:c>
      <x:c r="E31" s="1" t="s">
        <x:v>27</x:v>
      </x:c>
      <x:c r="F31" s="1" t="s">
        <x:v>109</x:v>
      </x:c>
      <x:c r="H31" s="1">
        <x:v>3</x:v>
      </x:c>
      <x:c r="I31" s="1" t="s">
        <x:v>36</x:v>
      </x:c>
      <x:c r="J31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110</x:v>
      </x:c>
      <x:c r="S31" s="36"/>
      <x:c r="T31" s="36" t="s">
        <x:v>111</x:v>
      </x:c>
      <x:c r="U31" s="36" t="s">
        <x:v>112</x:v>
      </x:c>
    </x:row>
    <x:row r="32">
      <x:c r="I32" s="1" t="s">
        <x:v>36</x:v>
      </x:c>
      <x:c r="J32"/>
      <x:c r="S32" s="36"/>
      <x:c r="T32" s="36"/>
    </x:row>
    <x:row r="33">
      <x:c r="I33" s="1" t="s">
        <x:v>36</x:v>
      </x:c>
      <x:c r="J33"/>
    </x:row>
    <x:row r="34">
      <x:c r="B34" s="1" t="s">
        <x:v>113</x:v>
      </x:c>
      <x:c r="C34" s="1" t="s">
        <x:v>114</x:v>
      </x:c>
      <x:c r="D34" s="1">
        <x:v>30</x:v>
      </x:c>
      <x:c r="E34" s="1" t="s">
        <x:v>27</x:v>
      </x:c>
      <x:c r="F34" s="1" t="s">
        <x:v>115</x:v>
      </x:c>
      <x:c r="H34" s="1">
        <x:v>1</x:v>
      </x:c>
      <x:c r="I34" s="1" t="s">
        <x:v>36</x:v>
      </x:c>
      <x:c r="J34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36</x:v>
      </x:c>
      <x:c r="J35"/>
    </x:row>
    <x:row r="36">
      <x:c r="I36" s="1" t="s">
        <x:v>36</x:v>
      </x:c>
      <x:c r="J36"/>
    </x:row>
    <x:row r="37">
      <x:c r="B37" s="1" t="s">
        <x:v>116</x:v>
      </x:c>
      <x:c r="C37" s="1" t="s">
        <x:v>117</x:v>
      </x:c>
      <x:c r="D37" s="1">
        <x:v>30</x:v>
      </x:c>
      <x:c r="E37" s="1" t="s">
        <x:v>27</x:v>
      </x:c>
      <x:c r="F37" s="1" t="s">
        <x:v>118</x:v>
      </x:c>
      <x:c r="H37" s="1">
        <x:v>1</x:v>
      </x:c>
      <x:c r="I37" s="1" t="s">
        <x:v>36</x:v>
      </x:c>
      <x:c r="J37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36</x:v>
      </x:c>
      <x:c r="J38"/>
    </x:row>
    <x:row r="39">
      <x:c r="I39" s="1" t="s">
        <x:v>36</x:v>
      </x:c>
      <x:c r="J39"/>
    </x:row>
    <x:row r="40">
      <x:c r="B40" s="1" t="s">
        <x:v>119</x:v>
      </x:c>
      <x:c r="C40" s="1" t="s">
        <x:v>120</x:v>
      </x:c>
      <x:c r="D40" s="1">
        <x:v>30</x:v>
      </x:c>
      <x:c r="E40" s="1" t="s">
        <x:v>27</x:v>
      </x:c>
      <x:c r="F40" s="1" t="s">
        <x:v>121</x:v>
      </x:c>
      <x:c r="G40" s="1" t="s">
        <x:v>46</x:v>
      </x:c>
      <x:c r="H40" s="1">
        <x:v>1</x:v>
      </x:c>
      <x:c r="I40" s="1" t="s">
        <x:v>36</x:v>
      </x:c>
      <x:c r="J40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36</x:v>
      </x:c>
      <x:c r="J41"/>
    </x:row>
    <x:row r="42">
      <x:c r="I42" s="1" t="s">
        <x:v>36</x:v>
      </x:c>
      <x:c r="J42"/>
    </x:row>
    <x:row r="43">
      <x:c r="B43" s="1" t="s">
        <x:v>122</x:v>
      </x:c>
      <x:c r="C43" s="1" t="s">
        <x:v>123</x:v>
      </x:c>
      <x:c r="D43" s="1">
        <x:v>30</x:v>
      </x:c>
      <x:c r="E43" s="1" t="s">
        <x:v>27</x:v>
      </x:c>
      <x:c r="F43" s="1" t="s">
        <x:v>124</x:v>
      </x:c>
      <x:c r="H43" s="1">
        <x:v>1</x:v>
      </x:c>
      <x:c r="I43" s="1" t="s">
        <x:v>29</x:v>
      </x:c>
      <x:c r="J43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29</x:v>
      </x:c>
      <x:c r="J44"/>
    </x:row>
    <x:row r="45">
      <x:c r="B45" s="1" t="s">
        <x:v>125</x:v>
      </x:c>
      <x:c r="C45" s="1" t="s">
        <x:v>126</x:v>
      </x:c>
      <x:c r="D45" s="1">
        <x:v>40</x:v>
      </x:c>
      <x:c r="E45" s="1" t="s">
        <x:v>27</x:v>
      </x:c>
      <x:c r="F45" s="1" t="s">
        <x:v>127</x:v>
      </x:c>
      <x:c r="G45" s="1" t="s">
        <x:v>46</x:v>
      </x:c>
      <x:c r="H45" s="1">
        <x:v>1</x:v>
      </x:c>
      <x:c r="I45" s="1" t="s">
        <x:v>29</x:v>
      </x:c>
      <x:c r="J45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29</x:v>
      </x:c>
      <x:c r="J46"/>
    </x:row>
    <x:row r="47">
      <x:c r="B47" s="1" t="s">
        <x:v>128</x:v>
      </x:c>
      <x:c r="C47" s="1" t="s">
        <x:v>129</x:v>
      </x:c>
      <x:c r="D47" s="1">
        <x:v>40</x:v>
      </x:c>
      <x:c r="E47" s="1" t="s">
        <x:v>27</x:v>
      </x:c>
      <x:c r="F47" s="1" t="s">
        <x:v>130</x:v>
      </x:c>
      <x:c r="H47" s="1">
        <x:v>1</x:v>
      </x:c>
      <x:c r="I47" s="1" t="s">
        <x:v>29</x:v>
      </x:c>
      <x:c r="J47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29</x:v>
      </x:c>
      <x:c r="J48"/>
    </x:row>
    <x:row r="49">
      <x:c r="B49" s="1" t="s">
        <x:v>131</x:v>
      </x:c>
      <x:c r="C49" s="1" t="s">
        <x:v>132</x:v>
      </x:c>
      <x:c r="D49" s="1">
        <x:v>40</x:v>
      </x:c>
      <x:c r="E49" s="1" t="s">
        <x:v>27</x:v>
      </x:c>
      <x:c r="F49" s="1" t="s">
        <x:v>133</x:v>
      </x:c>
      <x:c r="H49" s="1">
        <x:v>6</x:v>
      </x:c>
      <x:c r="I49" s="1" t="s">
        <x:v>29</x:v>
      </x:c>
      <x:c r="J49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29</x:v>
      </x:c>
      <x:c r="J50"/>
    </x:row>
    <x:row r="51">
      <x:c r="B51" s="1" t="s">
        <x:v>134</x:v>
      </x:c>
      <x:c r="C51" s="1" t="s">
        <x:v>135</x:v>
      </x:c>
      <x:c r="D51" s="1">
        <x:v>40</x:v>
      </x:c>
      <x:c r="E51" s="1" t="s">
        <x:v>27</x:v>
      </x:c>
      <x:c r="F51" s="1" t="s">
        <x:v>136</x:v>
      </x:c>
      <x:c r="H51" s="1">
        <x:v>5</x:v>
      </x:c>
      <x:c r="I51" s="1" t="s">
        <x:v>29</x:v>
      </x:c>
      <x:c r="J51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29</x:v>
      </x:c>
      <x:c r="J52"/>
    </x:row>
    <x:row r="53">
      <x:c r="B53" s="1" t="s">
        <x:v>137</x:v>
      </x:c>
      <x:c r="C53" s="1" t="s">
        <x:v>138</x:v>
      </x:c>
      <x:c r="D53" s="1">
        <x:v>40</x:v>
      </x:c>
      <x:c r="E53" s="1" t="s">
        <x:v>27</x:v>
      </x:c>
      <x:c r="F53" s="1" t="s">
        <x:v>139</x:v>
      </x:c>
      <x:c r="G53" s="1" t="s">
        <x:v>46</x:v>
      </x:c>
      <x:c r="H53" s="1">
        <x:v>1</x:v>
      </x:c>
      <x:c r="I53" s="1" t="s">
        <x:v>29</x:v>
      </x:c>
      <x:c r="J53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29</x:v>
      </x:c>
      <x:c r="J54"/>
    </x:row>
    <x:row r="55">
      <x:c r="B55" s="1" t="s">
        <x:v>140</x:v>
      </x:c>
      <x:c r="C55" s="1" t="s">
        <x:v>141</x:v>
      </x:c>
      <x:c r="D55" s="1">
        <x:v>40</x:v>
      </x:c>
      <x:c r="E55" s="1" t="s">
        <x:v>27</x:v>
      </x:c>
      <x:c r="F55" s="1" t="s">
        <x:v>142</x:v>
      </x:c>
      <x:c r="H55" s="1">
        <x:v>1</x:v>
      </x:c>
      <x:c r="I55" s="1" t="s">
        <x:v>29</x:v>
      </x:c>
      <x:c r="J55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143</x:v>
      </x:c>
      <x:c r="J56"/>
    </x:row>
    <x:row r="57">
      <x:c r="I57" s="1" t="s">
        <x:v>143</x:v>
      </x:c>
      <x:c r="J57"/>
    </x:row>
    <x:row r="58">
      <x:c r="B58" s="1" t="s">
        <x:v>144</x:v>
      </x:c>
      <x:c r="C58" s="1" t="s">
        <x:v>145</x:v>
      </x:c>
      <x:c r="D58" s="1">
        <x:v>60</x:v>
      </x:c>
      <x:c r="E58" s="1" t="s">
        <x:v>27</x:v>
      </x:c>
      <x:c r="F58" s="1" t="s">
        <x:v>146</x:v>
      </x:c>
      <x:c r="G58" s="1" t="s">
        <x:v>46</x:v>
      </x:c>
      <x:c r="H58" s="1">
        <x:v>1</x:v>
      </x:c>
      <x:c r="I58" s="1" t="s">
        <x:v>84</x:v>
      </x:c>
      <x:c r="J58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84</x:v>
      </x:c>
      <x:c r="J59"/>
    </x:row>
    <x:row r="60">
      <x:c r="B60" s="1" t="s">
        <x:v>147</x:v>
      </x:c>
      <x:c r="C60" s="1" t="s">
        <x:v>148</x:v>
      </x:c>
      <x:c r="D60" s="1">
        <x:v>60</x:v>
      </x:c>
      <x:c r="E60" s="1" t="s">
        <x:v>27</x:v>
      </x:c>
      <x:c r="F60" s="1" t="s">
        <x:v>149</x:v>
      </x:c>
      <x:c r="H60" s="1">
        <x:v>1</x:v>
      </x:c>
      <x:c r="I60" s="1" t="s">
        <x:v>84</x:v>
      </x:c>
      <x:c r="J60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84</x:v>
      </x:c>
      <x:c r="J61"/>
    </x:row>
    <x:row r="62">
      <x:c r="B62" s="1" t="s">
        <x:v>150</x:v>
      </x:c>
      <x:c r="C62" s="1" t="s">
        <x:v>151</x:v>
      </x:c>
      <x:c r="D62" s="1">
        <x:v>60</x:v>
      </x:c>
      <x:c r="E62" s="1" t="s">
        <x:v>27</x:v>
      </x:c>
      <x:c r="F62" s="1" t="s">
        <x:v>152</x:v>
      </x:c>
      <x:c r="H62" s="1">
        <x:v>8</x:v>
      </x:c>
      <x:c r="I62" s="1" t="s">
        <x:v>84</x:v>
      </x:c>
      <x:c r="J62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84</x:v>
      </x:c>
      <x:c r="J63"/>
    </x:row>
    <x:row r="64">
      <x:c r="B64" s="1" t="s">
        <x:v>153</x:v>
      </x:c>
      <x:c r="C64" s="1" t="s">
        <x:v>154</x:v>
      </x:c>
      <x:c r="D64" s="1">
        <x:v>60</x:v>
      </x:c>
      <x:c r="E64" s="1" t="s">
        <x:v>27</x:v>
      </x:c>
      <x:c r="F64" s="1" t="s">
        <x:v>155</x:v>
      </x:c>
      <x:c r="G64" s="1" t="s">
        <x:v>46</x:v>
      </x:c>
      <x:c r="H64" s="1">
        <x:v>1</x:v>
      </x:c>
      <x:c r="I64" s="1" t="s">
        <x:v>29</x:v>
      </x:c>
      <x:c r="J64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29</x:v>
      </x:c>
      <x:c r="J65"/>
    </x:row>
    <x:row r="66">
      <x:c r="I66" s="1" t="s">
        <x:v>29</x:v>
      </x:c>
      <x:c r="J66"/>
    </x:row>
    <x:row r="67">
      <x:c r="B67" s="1" t="s">
        <x:v>156</x:v>
      </x:c>
      <x:c r="C67" s="1" t="s">
        <x:v>157</x:v>
      </x:c>
      <x:c r="D67" s="1">
        <x:v>60</x:v>
      </x:c>
      <x:c r="E67" s="1" t="s">
        <x:v>27</x:v>
      </x:c>
      <x:c r="F67" s="1" t="s">
        <x:v>158</x:v>
      </x:c>
      <x:c r="H67" s="1">
        <x:v>1</x:v>
      </x:c>
      <x:c r="I67" s="1" t="s">
        <x:v>29</x:v>
      </x:c>
      <x:c r="J67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29</x:v>
      </x:c>
      <x:c r="J68"/>
    </x:row>
    <x:row r="69">
      <x:c r="I69" s="1" t="s">
        <x:v>29</x:v>
      </x:c>
      <x:c r="J69"/>
    </x:row>
    <x:row r="70">
      <x:c r="B70" s="1" t="s">
        <x:v>159</x:v>
      </x:c>
      <x:c r="C70" s="1" t="s">
        <x:v>160</x:v>
      </x:c>
      <x:c r="D70" s="1">
        <x:v>60</x:v>
      </x:c>
      <x:c r="E70" s="1" t="s">
        <x:v>27</x:v>
      </x:c>
      <x:c r="F70" s="1" t="s">
        <x:v>161</x:v>
      </x:c>
      <x:c r="H70" s="1">
        <x:v>1</x:v>
      </x:c>
      <x:c r="I70" s="1" t="s">
        <x:v>29</x:v>
      </x:c>
      <x:c r="J70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29</x:v>
      </x:c>
      <x:c r="J71"/>
    </x:row>
    <x:row r="72">
      <x:c r="I72" s="1" t="s">
        <x:v>29</x:v>
      </x:c>
      <x:c r="J72"/>
    </x:row>
    <x:row r="73">
      <x:c r="B73" s="1" t="s">
        <x:v>162</x:v>
      </x:c>
      <x:c r="C73" s="1" t="s">
        <x:v>163</x:v>
      </x:c>
      <x:c r="D73" s="1">
        <x:v>110</x:v>
      </x:c>
      <x:c r="E73" s="1" t="s">
        <x:v>27</x:v>
      </x:c>
      <x:c r="F73" s="1" t="s">
        <x:v>164</x:v>
      </x:c>
      <x:c r="H73" s="1">
        <x:v>1</x:v>
      </x:c>
      <x:c r="I73" s="1" t="s">
        <x:v>84</x:v>
      </x:c>
      <x:c r="J73">
        <x:v>380</x:v>
      </x:c>
      <x:c r="K73" s="1">
        <x:v>9</x:v>
      </x:c>
      <x:c r="L73" s="36" t="s">
        <x:v>111</x:v>
      </x:c>
      <x:c r="M73" s="36" t="s">
        <x:v>112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84</x:v>
      </x:c>
      <x:c r="J74"/>
    </x:row>
    <x:row r="75">
      <x:c r="I75" s="1" t="s">
        <x:v>84</x:v>
      </x:c>
      <x:c r="J75"/>
    </x:row>
    <x:row r="76">
      <x:c r="B76" s="1" t="s">
        <x:v>165</x:v>
      </x:c>
      <x:c r="C76" s="1" t="s">
        <x:v>166</x:v>
      </x:c>
      <x:c r="D76" s="1">
        <x:v>90</x:v>
      </x:c>
      <x:c r="E76" s="1" t="s">
        <x:v>27</x:v>
      </x:c>
      <x:c r="F76" s="1" t="s">
        <x:v>167</x:v>
      </x:c>
      <x:c r="H76" s="1">
        <x:v>1</x:v>
      </x:c>
      <x:c r="I76" s="1" t="s">
        <x:v>84</x:v>
      </x:c>
      <x:c r="J76">
        <x:v>390</x:v>
      </x:c>
      <x:c r="K76" s="1">
        <x:v>9</x:v>
      </x:c>
      <x:c r="L76" s="36" t="s">
        <x:v>111</x:v>
      </x:c>
      <x:c r="M76" s="36" t="s">
        <x:v>112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84</x:v>
      </x:c>
      <x:c r="J77"/>
    </x:row>
    <x:row r="78">
      <x:c r="I78" s="1" t="s">
        <x:v>84</x:v>
      </x:c>
      <x:c r="J78"/>
    </x:row>
    <x:row r="79">
      <x:c r="B79" s="1" t="s">
        <x:v>168</x:v>
      </x:c>
      <x:c r="C79" s="1" t="s">
        <x:v>169</x:v>
      </x:c>
      <x:c r="D79" s="1">
        <x:v>120</x:v>
      </x:c>
      <x:c r="E79" s="1" t="s">
        <x:v>27</x:v>
      </x:c>
      <x:c r="F79" s="1" t="s">
        <x:v>170</x:v>
      </x:c>
      <x:c r="G79" s="1" t="s">
        <x:v>46</x:v>
      </x:c>
      <x:c r="H79" s="1">
        <x:v>1</x:v>
      </x:c>
      <x:c r="I79" s="1" t="s">
        <x:v>84</x:v>
      </x:c>
      <x:c r="J79">
        <x:v>400</x:v>
      </x:c>
      <x:c r="K79" s="1">
        <x:v>12</x:v>
      </x:c>
      <x:c r="L79" s="36" t="s">
        <x:v>111</x:v>
      </x:c>
      <x:c r="M79" s="36" t="s">
        <x:v>112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84</x:v>
      </x:c>
      <x:c r="J80"/>
    </x:row>
    <x:row r="81">
      <x:c r="I81" s="1" t="s">
        <x:v>84</x:v>
      </x:c>
      <x:c r="J81"/>
    </x:row>
    <x:row r="82">
      <x:c r="I82" s="1" t="s">
        <x:v>84</x:v>
      </x:c>
      <x:c r="J82"/>
    </x:row>
    <x:row r="83">
      <x:c r="B83" s="1" t="s">
        <x:v>171</x:v>
      </x:c>
      <x:c r="C83" s="1" t="s">
        <x:v>172</x:v>
      </x:c>
      <x:c r="D83" s="1">
        <x:v>10</x:v>
      </x:c>
      <x:c r="E83" s="1" t="s">
        <x:v>27</x:v>
      </x:c>
      <x:c r="H83" s="1">
        <x:v>1</x:v>
      </x:c>
      <x:c r="I83" s="1" t="s">
        <x:v>36</x:v>
      </x:c>
      <x:c r="J83">
        <x:v>10000</x:v>
      </x:c>
    </x:row>
    <x:row r="84">
      <x:c r="J84"/>
    </x:row>
    <x:row r="85">
      <x:c r="J85"/>
      <x:c r="M85" s="36"/>
    </x:row>
    <x:row r="86">
      <x:c r="J86"/>
      <x:c r="M86" s="36"/>
    </x:row>
    <x:row r="87">
      <x:c r="J87"/>
      <x:c r="M87" s="36"/>
    </x:row>
    <x:row r="88">
      <x:c r="J88"/>
      <x:c r="M88" s="36"/>
    </x:row>
    <x:row r="89">
      <x:c r="J89"/>
      <x:c r="M89" s="36"/>
    </x:row>
    <x:row r="90">
      <x:c r="J90"/>
      <x:c r="M90" s="36"/>
    </x:row>
    <x:row r="91">
      <x:c r="J91"/>
      <x:c r="M91" s="36"/>
    </x:row>
    <x:row r="92">
      <x:c r="J92"/>
      <x:c r="M92" s="36"/>
    </x:row>
    <x:row r="93">
      <x:c r="J93"/>
      <x:c r="M93" s="36"/>
    </x:row>
    <x:row r="94">
      <x:c r="J94"/>
      <x:c r="M94" s="36"/>
    </x:row>
    <x:row r="95">
      <x:c r="J95"/>
      <x:c r="M95" s="36"/>
    </x:row>
    <x:row r="96">
      <x:c r="J96"/>
      <x:c r="M96" s="36"/>
    </x:row>
    <x:row r="97">
      <x:c r="J97"/>
      <x:c r="M97" s="36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6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173</x:v>
      </x:c>
      <x:c r="D1" s="1" t="s">
        <x:v>174</x:v>
      </x:c>
      <x:c r="E1" s="1" t="s">
        <x:v>175</x:v>
      </x:c>
      <x:c r="F1" s="1" t="s">
        <x:v>176</x:v>
      </x:c>
      <x:c r="G1" s="36" t="s">
        <x:v>177</x:v>
      </x:c>
      <x:c r="H1" s="1" t="s">
        <x:v>178</x:v>
      </x:c>
      <x:c r="I1" t="s">
        <x:v>179</x:v>
      </x:c>
      <x:c r="J1" t="s">
        <x:v>180</x:v>
      </x:c>
      <x:c r="K1" t="s">
        <x:v>181</x:v>
      </x:c>
      <x:c r="L1"/>
    </x:row>
    <x:row r="2">
      <x:c r="A2" s="1" t="s">
        <x:v>10</x:v>
      </x:c>
      <x:c r="B2" s="1" t="s">
        <x:v>182</x:v>
      </x:c>
      <x:c r="C2" s="1" t="s">
        <x:v>183</x:v>
      </x:c>
      <x:c r="D2" s="1" t="s">
        <x:v>184</x:v>
      </x:c>
      <x:c r="E2" s="1" t="s">
        <x:v>185</x:v>
      </x:c>
      <x:c r="F2" s="1" t="s">
        <x:v>186</x:v>
      </x:c>
      <x:c r="G2" s="36" t="s">
        <x:v>187</x:v>
      </x:c>
      <x:c r="H2" s="1" t="s">
        <x:v>188</x:v>
      </x:c>
      <x:c r="I2" t="s">
        <x:v>189</x:v>
      </x:c>
      <x:c r="J2" t="s">
        <x:v>190</x:v>
      </x:c>
      <x:c r="K2" t="s">
        <x:v>191</x:v>
      </x:c>
      <x:c r="L2" t="s">
        <x:v>192</x:v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193</x:v>
      </x:c>
      <x:c r="F3" s="1" t="s">
        <x:v>22</x:v>
      </x:c>
      <x:c r="G3" s="36" t="s">
        <x:v>194</x:v>
      </x:c>
      <x:c r="H3" s="1" t="s">
        <x:v>193</x:v>
      </x:c>
      <x:c r="I3" t="s">
        <x:v>22</x:v>
      </x:c>
      <x:c r="J3" t="s">
        <x:v>194</x:v>
      </x:c>
      <x:c r="K3" t="s">
        <x:v>195</x:v>
      </x:c>
      <x:c r="L3"/>
    </x:row>
    <x:row r="4">
      <x:c r="A4"/>
      <x:c r="B4" s="1" t="s">
        <x:v>25</x:v>
      </x:c>
      <x:c r="C4" s="8" t="s">
        <x:v>25</x:v>
      </x:c>
      <x:c r="D4" s="37"/>
      <x:c r="E4" s="1">
        <x:v>0</x:v>
      </x:c>
      <x:c r="F4" s="1">
        <x:v>100</x:v>
      </x:c>
      <x:c r="G4" s="36" t="s">
        <x:v>196</x:v>
      </x:c>
      <x:c r="H4" s="1">
        <x:v>0</x:v>
      </x:c>
      <x:c r="I4">
        <x:v>0</x:v>
      </x:c>
      <x:c r="J4" t="s">
        <x:v>196</x:v>
      </x:c>
      <x:c r="K4" t="s">
        <x:v>197</x:v>
      </x:c>
      <x:c r="L4" t="s">
        <x:v>198</x:v>
      </x:c>
    </x:row>
    <x:row r="5">
      <x:c r="A5"/>
      <x:c r="B5" s="1" t="str">
        <x:f>C5&amp;D5</x:f>
        <x:v>arrow_cookie_2</x:v>
      </x:c>
      <x:c r="C5" s="1" t="s">
        <x:v>30</x:v>
      </x:c>
      <x:c r="D5" s="37"/>
      <x:c r="E5" s="1">
        <x:v>0</x:v>
      </x:c>
      <x:c r="F5" s="1">
        <x:v>100</x:v>
      </x:c>
      <x:c r="G5" s="36" t="s">
        <x:v>196</x:v>
      </x:c>
      <x:c r="H5" s="1">
        <x:v>0</x:v>
      </x:c>
      <x:c r="I5">
        <x:v>0</x:v>
      </x:c>
      <x:c r="J5" t="s">
        <x:v>196</x:v>
      </x:c>
      <x:c r="K5" t="s">
        <x:v>197</x:v>
      </x:c>
      <x:c r="L5" t="s">
        <x:v>199</x:v>
      </x:c>
    </x:row>
    <x:row r="6">
      <x:c r="A6"/>
      <x:c r="B6" s="1" t="str">
        <x:f>C6&amp;D6</x:f>
        <x:v>arrow_cookie_3</x:v>
      </x:c>
      <x:c r="C6" s="1" t="s">
        <x:v>33</x:v>
      </x:c>
      <x:c r="D6" s="37"/>
      <x:c r="E6" s="1">
        <x:v>0</x:v>
      </x:c>
      <x:c r="F6" s="1">
        <x:v>100</x:v>
      </x:c>
      <x:c r="G6" s="36" t="s">
        <x:v>196</x:v>
      </x:c>
      <x:c r="H6" s="1">
        <x:v>0</x:v>
      </x:c>
      <x:c r="I6">
        <x:v>0</x:v>
      </x:c>
      <x:c r="J6" t="s">
        <x:v>196</x:v>
      </x:c>
      <x:c r="K6" t="s">
        <x:v>197</x:v>
      </x:c>
      <x:c r="L6" t="s">
        <x:v>200</x:v>
      </x:c>
    </x:row>
    <x:row r="7">
      <x:c r="A7"/>
      <x:c r="B7" s="1" t="str">
        <x:f>C7&amp;D7</x:f>
        <x:v>arrow_cookie_4</x:v>
      </x:c>
      <x:c r="C7" s="1" t="s">
        <x:v>37</x:v>
      </x:c>
      <x:c r="D7" s="37"/>
      <x:c r="E7" s="1">
        <x:v>0</x:v>
      </x:c>
      <x:c r="F7" s="1">
        <x:v>100</x:v>
      </x:c>
      <x:c r="G7" s="36" t="s">
        <x:v>196</x:v>
      </x:c>
      <x:c r="H7" s="1">
        <x:v>0</x:v>
      </x:c>
      <x:c r="I7">
        <x:v>0</x:v>
      </x:c>
      <x:c r="J7" t="s">
        <x:v>196</x:v>
      </x:c>
      <x:c r="K7" t="s">
        <x:v>197</x:v>
      </x:c>
      <x:c r="L7" t="s">
        <x:v>201</x:v>
      </x:c>
    </x:row>
    <x:row r="8">
      <x:c r="A8"/>
      <x:c r="B8" s="1" t="str">
        <x:f>C8</x:f>
        <x:v>jelly</x:v>
      </x:c>
      <x:c r="C8" s="1" t="s">
        <x:v>40</x:v>
      </x:c>
      <x:c r="D8" s="37" t="s">
        <x:v>202</x:v>
      </x:c>
      <x:c r="E8" s="1">
        <x:v>1200</x:v>
      </x:c>
      <x:c r="F8" s="1">
        <x:v>30</x:v>
      </x:c>
      <x:c r="G8" s="36" t="s">
        <x:v>90</x:v>
      </x:c>
      <x:c r="H8" s="1">
        <x:v>100</x:v>
      </x:c>
      <x:c r="I8">
        <x:v>70</x:v>
      </x:c>
      <x:c r="J8" t="s">
        <x:v>91</x:v>
      </x:c>
      <x:c r="K8" t="s">
        <x:v>197</x:v>
      </x:c>
      <x:c r="L8" t="s">
        <x:v>41</x:v>
      </x:c>
    </x:row>
    <x:row r="9">
      <x:c r="A9"/>
      <x:c r="B9" s="1" t="str">
        <x:f t="shared" ref="B9:B43" si="0">C9</x:f>
        <x:v>cupcake</x:v>
      </x:c>
      <x:c r="C9" s="1" t="s">
        <x:v>43</x:v>
      </x:c>
      <x:c r="D9" s="37" t="s">
        <x:v>202</x:v>
      </x:c>
      <x:c r="E9" s="1">
        <x:v>1200</x:v>
      </x:c>
      <x:c r="F9" s="1">
        <x:v>30</x:v>
      </x:c>
      <x:c r="G9" s="36" t="s">
        <x:v>90</x:v>
      </x:c>
      <x:c r="H9" s="1">
        <x:v>100</x:v>
      </x:c>
      <x:c r="I9">
        <x:v>70</x:v>
      </x:c>
      <x:c r="J9" t="s">
        <x:v>91</x:v>
      </x:c>
      <x:c r="K9" t="s">
        <x:v>197</x:v>
      </x:c>
      <x:c r="L9" t="s">
        <x:v>44</x:v>
      </x:c>
    </x:row>
    <x:row r="10">
      <x:c r="A10"/>
      <x:c r="B10" s="1" t="str">
        <x:f t="shared" si="0"/>
        <x:v>eggtart</x:v>
      </x:c>
      <x:c r="C10" s="1" t="s">
        <x:v>47</x:v>
      </x:c>
      <x:c r="D10" s="37" t="s">
        <x:v>202</x:v>
      </x:c>
      <x:c r="E10" s="1">
        <x:v>1200</x:v>
      </x:c>
      <x:c r="F10" s="1">
        <x:v>30</x:v>
      </x:c>
      <x:c r="G10" s="36" t="s">
        <x:v>90</x:v>
      </x:c>
      <x:c r="H10" s="1">
        <x:v>100</x:v>
      </x:c>
      <x:c r="I10">
        <x:v>70</x:v>
      </x:c>
      <x:c r="J10" t="s">
        <x:v>91</x:v>
      </x:c>
      <x:c r="K10" t="s">
        <x:v>197</x:v>
      </x:c>
      <x:c r="L10" t="s">
        <x:v>48</x:v>
      </x:c>
    </x:row>
    <x:row r="11">
      <x:c r="A11"/>
      <x:c r="B11" s="1" t="str">
        <x:f t="shared" si="0"/>
        <x:v>sugarbean</x:v>
      </x:c>
      <x:c r="C11" s="1" t="s">
        <x:v>50</x:v>
      </x:c>
      <x:c r="D11" s="37" t="s">
        <x:v>202</x:v>
      </x:c>
      <x:c r="E11" s="1">
        <x:v>1200</x:v>
      </x:c>
      <x:c r="F11" s="1">
        <x:v>30</x:v>
      </x:c>
      <x:c r="G11" s="36" t="s">
        <x:v>90</x:v>
      </x:c>
      <x:c r="H11" s="1">
        <x:v>100</x:v>
      </x:c>
      <x:c r="I11">
        <x:v>70</x:v>
      </x:c>
      <x:c r="J11" t="s">
        <x:v>91</x:v>
      </x:c>
      <x:c r="K11" t="s">
        <x:v>197</x:v>
      </x:c>
      <x:c r="L11" t="s">
        <x:v>51</x:v>
      </x:c>
    </x:row>
    <x:row r="12">
      <x:c r="A12"/>
      <x:c r="B12" s="1" t="str">
        <x:f t="shared" si="0"/>
        <x:v>cheesecake</x:v>
      </x:c>
      <x:c r="C12" s="1" t="s">
        <x:v>53</x:v>
      </x:c>
      <x:c r="D12" s="37" t="s">
        <x:v>202</x:v>
      </x:c>
      <x:c r="E12" s="1">
        <x:v>1200</x:v>
      </x:c>
      <x:c r="F12" s="1">
        <x:v>30</x:v>
      </x:c>
      <x:c r="G12" s="36" t="s">
        <x:v>90</x:v>
      </x:c>
      <x:c r="H12" s="1">
        <x:v>100</x:v>
      </x:c>
      <x:c r="I12">
        <x:v>70</x:v>
      </x:c>
      <x:c r="J12" t="s">
        <x:v>91</x:v>
      </x:c>
      <x:c r="K12" t="s">
        <x:v>197</x:v>
      </x:c>
      <x:c r="L12" t="s">
        <x:v>54</x:v>
      </x:c>
    </x:row>
    <x:row r="13">
      <x:c r="A13"/>
      <x:c r="B13" s="1" t="str">
        <x:f t="shared" si="0"/>
        <x:v>mousse</x:v>
      </x:c>
      <x:c r="C13" s="1" t="s">
        <x:v>57</x:v>
      </x:c>
      <x:c r="D13" s="37" t="s">
        <x:v>202</x:v>
      </x:c>
      <x:c r="E13" s="1">
        <x:v>1200</x:v>
      </x:c>
      <x:c r="F13" s="1">
        <x:v>30</x:v>
      </x:c>
      <x:c r="G13" s="36" t="s">
        <x:v>90</x:v>
      </x:c>
      <x:c r="H13" s="1">
        <x:v>100</x:v>
      </x:c>
      <x:c r="I13">
        <x:v>70</x:v>
      </x:c>
      <x:c r="J13" t="s">
        <x:v>91</x:v>
      </x:c>
      <x:c r="K13" t="s">
        <x:v>197</x:v>
      </x:c>
      <x:c r="L13" t="s">
        <x:v>58</x:v>
      </x:c>
    </x:row>
    <x:row r="14">
      <x:c r="A14"/>
      <x:c r="B14" s="1" t="str">
        <x:f t="shared" si="0"/>
        <x:v>fruit_candy</x:v>
      </x:c>
      <x:c r="C14" s="1" t="s">
        <x:v>61</x:v>
      </x:c>
      <x:c r="D14" s="37" t="s">
        <x:v>202</x:v>
      </x:c>
      <x:c r="E14" s="1">
        <x:v>1200</x:v>
      </x:c>
      <x:c r="F14" s="1">
        <x:v>30</x:v>
      </x:c>
      <x:c r="G14" s="36" t="s">
        <x:v>90</x:v>
      </x:c>
      <x:c r="H14" s="1">
        <x:v>100</x:v>
      </x:c>
      <x:c r="I14">
        <x:v>70</x:v>
      </x:c>
      <x:c r="J14" t="s">
        <x:v>91</x:v>
      </x:c>
      <x:c r="K14" t="s">
        <x:v>197</x:v>
      </x:c>
      <x:c r="L14" t="s">
        <x:v>62</x:v>
      </x:c>
    </x:row>
    <x:row r="15">
      <x:c r="A15"/>
      <x:c r="B15" s="1" t="str">
        <x:f t="shared" si="0"/>
        <x:v>choco_bar</x:v>
      </x:c>
      <x:c r="C15" s="1" t="s">
        <x:v>66</x:v>
      </x:c>
      <x:c r="D15" s="37" t="s">
        <x:v>202</x:v>
      </x:c>
      <x:c r="E15" s="1">
        <x:v>1200</x:v>
      </x:c>
      <x:c r="F15" s="1">
        <x:v>30</x:v>
      </x:c>
      <x:c r="G15" s="36" t="s">
        <x:v>90</x:v>
      </x:c>
      <x:c r="H15" s="1">
        <x:v>100</x:v>
      </x:c>
      <x:c r="I15">
        <x:v>70</x:v>
      </x:c>
      <x:c r="J15" t="s">
        <x:v>91</x:v>
      </x:c>
      <x:c r="K15" t="s">
        <x:v>197</x:v>
      </x:c>
      <x:c r="L15" t="s">
        <x:v>67</x:v>
      </x:c>
    </x:row>
    <x:row r="16">
      <x:c r="A16"/>
      <x:c r="B16" s="1" t="str">
        <x:f t="shared" si="0"/>
        <x:v>mochi</x:v>
      </x:c>
      <x:c r="C16" s="1" t="s">
        <x:v>70</x:v>
      </x:c>
      <x:c r="D16" s="37" t="s">
        <x:v>202</x:v>
      </x:c>
      <x:c r="E16" s="1">
        <x:v>1200</x:v>
      </x:c>
      <x:c r="F16" s="1">
        <x:v>30</x:v>
      </x:c>
      <x:c r="G16" s="36" t="s">
        <x:v>90</x:v>
      </x:c>
      <x:c r="H16" s="1">
        <x:v>100</x:v>
      </x:c>
      <x:c r="I16">
        <x:v>70</x:v>
      </x:c>
      <x:c r="J16" t="s">
        <x:v>91</x:v>
      </x:c>
      <x:c r="K16" t="s">
        <x:v>197</x:v>
      </x:c>
      <x:c r="L16" t="s">
        <x:v>71</x:v>
      </x:c>
    </x:row>
    <x:row r="17">
      <x:c r="A17"/>
      <x:c r="B17" s="1" t="str">
        <x:f t="shared" si="0"/>
        <x:v>cup_cake</x:v>
      </x:c>
      <x:c r="C17" s="1" t="s">
        <x:v>73</x:v>
      </x:c>
      <x:c r="D17" s="37" t="s">
        <x:v>202</x:v>
      </x:c>
      <x:c r="E17" s="1">
        <x:v>1200</x:v>
      </x:c>
      <x:c r="F17" s="1">
        <x:v>30</x:v>
      </x:c>
      <x:c r="G17" s="36" t="s">
        <x:v>90</x:v>
      </x:c>
      <x:c r="H17" s="1">
        <x:v>100</x:v>
      </x:c>
      <x:c r="I17">
        <x:v>70</x:v>
      </x:c>
      <x:c r="J17" t="s">
        <x:v>91</x:v>
      </x:c>
      <x:c r="K17" t="s">
        <x:v>197</x:v>
      </x:c>
      <x:c r="L17" t="s">
        <x:v>74</x:v>
      </x:c>
    </x:row>
    <x:row r="18">
      <x:c r="A18"/>
      <x:c r="B18" s="1" t="str">
        <x:f t="shared" si="0"/>
        <x:v>cream</x:v>
      </x:c>
      <x:c r="C18" s="1" t="s">
        <x:v>76</x:v>
      </x:c>
      <x:c r="D18" s="37" t="s">
        <x:v>202</x:v>
      </x:c>
      <x:c r="E18" s="1">
        <x:v>1200</x:v>
      </x:c>
      <x:c r="F18" s="1">
        <x:v>30</x:v>
      </x:c>
      <x:c r="G18" s="36" t="s">
        <x:v>90</x:v>
      </x:c>
      <x:c r="H18" s="1">
        <x:v>100</x:v>
      </x:c>
      <x:c r="I18">
        <x:v>70</x:v>
      </x:c>
      <x:c r="J18" t="s">
        <x:v>91</x:v>
      </x:c>
      <x:c r="K18" t="s">
        <x:v>197</x:v>
      </x:c>
      <x:c r="L18" t="s">
        <x:v>77</x:v>
      </x:c>
    </x:row>
    <x:row r="19">
      <x:c r="A19"/>
      <x:c r="B19" s="1" t="str">
        <x:f t="shared" si="0"/>
        <x:v>eggroll</x:v>
      </x:c>
      <x:c r="C19" s="1" t="s">
        <x:v>81</x:v>
      </x:c>
      <x:c r="D19" s="37" t="s">
        <x:v>202</x:v>
      </x:c>
      <x:c r="E19" s="1">
        <x:v>1200</x:v>
      </x:c>
      <x:c r="F19" s="1">
        <x:v>45</x:v>
      </x:c>
      <x:c r="G19" s="36" t="s">
        <x:v>95</x:v>
      </x:c>
      <x:c r="H19" s="1">
        <x:v>100</x:v>
      </x:c>
      <x:c r="I19">
        <x:v>90</x:v>
      </x:c>
      <x:c r="J19" t="s">
        <x:v>96</x:v>
      </x:c>
      <x:c r="K19" t="s">
        <x:v>197</x:v>
      </x:c>
      <x:c r="L19" t="s">
        <x:v>82</x:v>
      </x:c>
    </x:row>
    <x:row r="20">
      <x:c r="A20"/>
      <x:c r="B20" s="1" t="str">
        <x:f t="shared" si="0"/>
        <x:v>baguette</x:v>
      </x:c>
      <x:c r="C20" s="1" t="s">
        <x:v>87</x:v>
      </x:c>
      <x:c r="D20" s="37" t="s">
        <x:v>202</x:v>
      </x:c>
      <x:c r="E20" s="1">
        <x:v>1200</x:v>
      </x:c>
      <x:c r="F20" s="1">
        <x:v>45</x:v>
      </x:c>
      <x:c r="G20" s="36" t="s">
        <x:v>95</x:v>
      </x:c>
      <x:c r="H20" s="1">
        <x:v>100</x:v>
      </x:c>
      <x:c r="I20">
        <x:v>90</x:v>
      </x:c>
      <x:c r="J20" t="s">
        <x:v>96</x:v>
      </x:c>
      <x:c r="K20" t="s">
        <x:v>197</x:v>
      </x:c>
      <x:c r="L20" t="s">
        <x:v>88</x:v>
      </x:c>
    </x:row>
    <x:row r="21">
      <x:c r="A21"/>
      <x:c r="B21" s="1" t="str">
        <x:f t="shared" si="0"/>
        <x:v>tanghulu</x:v>
      </x:c>
      <x:c r="C21" s="1" t="s">
        <x:v>92</x:v>
      </x:c>
      <x:c r="D21" s="37" t="s">
        <x:v>202</x:v>
      </x:c>
      <x:c r="E21" s="1">
        <x:v>1200</x:v>
      </x:c>
      <x:c r="F21" s="1">
        <x:v>45</x:v>
      </x:c>
      <x:c r="G21" s="36" t="s">
        <x:v>95</x:v>
      </x:c>
      <x:c r="H21" s="1">
        <x:v>100</x:v>
      </x:c>
      <x:c r="I21">
        <x:v>90</x:v>
      </x:c>
      <x:c r="J21" t="s">
        <x:v>96</x:v>
      </x:c>
      <x:c r="K21" t="s">
        <x:v>197</x:v>
      </x:c>
      <x:c r="L21" t="s">
        <x:v>93</x:v>
      </x:c>
    </x:row>
    <x:row r="22">
      <x:c r="A22"/>
      <x:c r="B22" s="1" t="str">
        <x:f t="shared" si="0"/>
        <x:v>cake_slice</x:v>
      </x:c>
      <x:c r="C22" s="1" t="s">
        <x:v>97</x:v>
      </x:c>
      <x:c r="D22" s="37" t="s">
        <x:v>202</x:v>
      </x:c>
      <x:c r="E22" s="1">
        <x:v>1200</x:v>
      </x:c>
      <x:c r="F22" s="1">
        <x:v>45</x:v>
      </x:c>
      <x:c r="G22" s="36" t="s">
        <x:v>95</x:v>
      </x:c>
      <x:c r="H22" s="1">
        <x:v>100</x:v>
      </x:c>
      <x:c r="I22">
        <x:v>90</x:v>
      </x:c>
      <x:c r="J22" t="s">
        <x:v>96</x:v>
      </x:c>
      <x:c r="K22" t="s">
        <x:v>197</x:v>
      </x:c>
      <x:c r="L22" t="s">
        <x:v>98</x:v>
      </x:c>
    </x:row>
    <x:row r="23">
      <x:c r="A23"/>
      <x:c r="B23" s="1" t="str">
        <x:f t="shared" si="0"/>
        <x:v>long_cake</x:v>
      </x:c>
      <x:c r="C23" s="1" t="s">
        <x:v>102</x:v>
      </x:c>
      <x:c r="D23" s="37" t="s">
        <x:v>202</x:v>
      </x:c>
      <x:c r="E23" s="1">
        <x:v>1200</x:v>
      </x:c>
      <x:c r="F23" s="1">
        <x:v>45</x:v>
      </x:c>
      <x:c r="G23" s="36" t="s">
        <x:v>95</x:v>
      </x:c>
      <x:c r="H23" s="1">
        <x:v>100</x:v>
      </x:c>
      <x:c r="I23">
        <x:v>90</x:v>
      </x:c>
      <x:c r="J23" t="s">
        <x:v>96</x:v>
      </x:c>
      <x:c r="K23" t="s">
        <x:v>197</x:v>
      </x:c>
      <x:c r="L23" t="s">
        <x:v>103</x:v>
      </x:c>
    </x:row>
    <x:row r="24">
      <x:c r="A24"/>
      <x:c r="B24" s="1" t="str">
        <x:f t="shared" si="0"/>
        <x:v>eclair</x:v>
      </x:c>
      <x:c r="C24" s="1" t="s">
        <x:v>107</x:v>
      </x:c>
      <x:c r="D24" s="37" t="s">
        <x:v>202</x:v>
      </x:c>
      <x:c r="E24" s="1">
        <x:v>1200</x:v>
      </x:c>
      <x:c r="F24" s="1">
        <x:v>45</x:v>
      </x:c>
      <x:c r="G24" s="36" t="s">
        <x:v>95</x:v>
      </x:c>
      <x:c r="H24" s="1">
        <x:v>100</x:v>
      </x:c>
      <x:c r="I24">
        <x:v>90</x:v>
      </x:c>
      <x:c r="J24" t="s">
        <x:v>96</x:v>
      </x:c>
      <x:c r="K24" t="s">
        <x:v>197</x:v>
      </x:c>
      <x:c r="L24" t="s">
        <x:v>108</x:v>
      </x:c>
    </x:row>
    <x:row r="25">
      <x:c r="A25"/>
      <x:c r="B25" s="1" t="str">
        <x:f t="shared" si="0"/>
        <x:v>gummy</x:v>
      </x:c>
      <x:c r="C25" s="1" t="s">
        <x:v>113</x:v>
      </x:c>
      <x:c r="D25" s="37" t="s">
        <x:v>202</x:v>
      </x:c>
      <x:c r="E25" s="1">
        <x:v>1200</x:v>
      </x:c>
      <x:c r="F25" s="1">
        <x:v>45</x:v>
      </x:c>
      <x:c r="G25" s="36" t="s">
        <x:v>95</x:v>
      </x:c>
      <x:c r="H25" s="1">
        <x:v>100</x:v>
      </x:c>
      <x:c r="I25">
        <x:v>90</x:v>
      </x:c>
      <x:c r="J25" t="s">
        <x:v>96</x:v>
      </x:c>
      <x:c r="K25" t="s">
        <x:v>197</x:v>
      </x:c>
      <x:c r="L25" t="s">
        <x:v>114</x:v>
      </x:c>
    </x:row>
    <x:row r="26">
      <x:c r="A26"/>
      <x:c r="B26" s="1" t="str">
        <x:f t="shared" si="0"/>
        <x:v>chocolate_strip</x:v>
      </x:c>
      <x:c r="C26" s="1" t="s">
        <x:v>116</x:v>
      </x:c>
      <x:c r="D26" s="37" t="s">
        <x:v>202</x:v>
      </x:c>
      <x:c r="E26" s="1">
        <x:v>1200</x:v>
      </x:c>
      <x:c r="F26" s="1">
        <x:v>45</x:v>
      </x:c>
      <x:c r="G26" s="36" t="s">
        <x:v>95</x:v>
      </x:c>
      <x:c r="H26" s="1">
        <x:v>100</x:v>
      </x:c>
      <x:c r="I26">
        <x:v>90</x:v>
      </x:c>
      <x:c r="J26" t="s">
        <x:v>96</x:v>
      </x:c>
      <x:c r="K26" t="s">
        <x:v>197</x:v>
      </x:c>
      <x:c r="L26" t="s">
        <x:v>117</x:v>
      </x:c>
    </x:row>
    <x:row r="27">
      <x:c r="A27"/>
      <x:c r="B27" s="1" t="str">
        <x:f t="shared" si="0"/>
        <x:v>cake_roll</x:v>
      </x:c>
      <x:c r="C27" s="1" t="s">
        <x:v>119</x:v>
      </x:c>
      <x:c r="D27" s="37" t="s">
        <x:v>202</x:v>
      </x:c>
      <x:c r="E27" s="1">
        <x:v>1200</x:v>
      </x:c>
      <x:c r="F27" s="1">
        <x:v>45</x:v>
      </x:c>
      <x:c r="G27" s="36" t="s">
        <x:v>95</x:v>
      </x:c>
      <x:c r="H27" s="1">
        <x:v>100</x:v>
      </x:c>
      <x:c r="I27">
        <x:v>90</x:v>
      </x:c>
      <x:c r="J27" t="s">
        <x:v>96</x:v>
      </x:c>
      <x:c r="K27" t="s">
        <x:v>197</x:v>
      </x:c>
      <x:c r="L27" t="s">
        <x:v>120</x:v>
      </x:c>
    </x:row>
    <x:row r="28">
      <x:c r="A28"/>
      <x:c r="B28" s="1" t="str">
        <x:f t="shared" si="0"/>
        <x:v>palmier</x:v>
      </x:c>
      <x:c r="C28" s="8" t="s">
        <x:v>122</x:v>
      </x:c>
      <x:c r="D28" s="1" t="s">
        <x:v>202</x:v>
      </x:c>
      <x:c r="E28" s="1">
        <x:v>1200</x:v>
      </x:c>
      <x:c r="F28" s="1">
        <x:v>45</x:v>
      </x:c>
      <x:c r="G28" s="36" t="s">
        <x:v>95</x:v>
      </x:c>
      <x:c r="H28" s="1">
        <x:v>100</x:v>
      </x:c>
      <x:c r="I28">
        <x:v>90</x:v>
      </x:c>
      <x:c r="J28" t="s">
        <x:v>96</x:v>
      </x:c>
      <x:c r="K28" t="s">
        <x:v>197</x:v>
      </x:c>
      <x:c r="L28" t="s">
        <x:v>123</x:v>
      </x:c>
    </x:row>
    <x:row r="29">
      <x:c r="A29"/>
      <x:c r="B29" s="1" t="str">
        <x:f t="shared" si="0"/>
        <x:v>chiffion</x:v>
      </x:c>
      <x:c r="C29" s="8" t="s">
        <x:v>125</x:v>
      </x:c>
      <x:c r="D29" t="s">
        <x:v>202</x:v>
      </x:c>
      <x:c r="E29" s="1">
        <x:v>1200</x:v>
      </x:c>
      <x:c r="F29" s="1">
        <x:v>60</x:v>
      </x:c>
      <x:c r="G29" s="36" t="s">
        <x:v>100</x:v>
      </x:c>
      <x:c r="H29" s="1">
        <x:v>100</x:v>
      </x:c>
      <x:c r="I29">
        <x:v>110</x:v>
      </x:c>
      <x:c r="J29" t="s">
        <x:v>101</x:v>
      </x:c>
      <x:c r="K29" t="s">
        <x:v>197</x:v>
      </x:c>
      <x:c r="L29" t="s">
        <x:v>126</x:v>
      </x:c>
    </x:row>
    <x:row r="30">
      <x:c r="A30"/>
      <x:c r="B30" s="1" t="str">
        <x:f t="shared" si="0"/>
        <x:v>maple_sugar</x:v>
      </x:c>
      <x:c r="C30" s="8" t="s">
        <x:v>128</x:v>
      </x:c>
      <x:c r="D30" s="1" t="s">
        <x:v>202</x:v>
      </x:c>
      <x:c r="E30" s="1">
        <x:v>1200</x:v>
      </x:c>
      <x:c r="F30" s="1">
        <x:v>60</x:v>
      </x:c>
      <x:c r="G30" s="36" t="s">
        <x:v>100</x:v>
      </x:c>
      <x:c r="H30" s="1">
        <x:v>100</x:v>
      </x:c>
      <x:c r="I30">
        <x:v>110</x:v>
      </x:c>
      <x:c r="J30" t="s">
        <x:v>101</x:v>
      </x:c>
      <x:c r="K30" t="s">
        <x:v>197</x:v>
      </x:c>
      <x:c r="L30" t="s">
        <x:v>129</x:v>
      </x:c>
    </x:row>
    <x:row r="31">
      <x:c r="A31"/>
      <x:c r="B31" s="1" t="str">
        <x:f t="shared" si="0"/>
        <x:v>taosu</x:v>
      </x:c>
      <x:c r="C31" s="8" t="s">
        <x:v>131</x:v>
      </x:c>
      <x:c r="D31" s="1" t="s">
        <x:v>202</x:v>
      </x:c>
      <x:c r="E31" s="1">
        <x:v>1200</x:v>
      </x:c>
      <x:c r="F31" s="1">
        <x:v>60</x:v>
      </x:c>
      <x:c r="G31" s="36" t="s">
        <x:v>100</x:v>
      </x:c>
      <x:c r="H31" s="1">
        <x:v>100</x:v>
      </x:c>
      <x:c r="I31">
        <x:v>110</x:v>
      </x:c>
      <x:c r="J31" t="s">
        <x:v>101</x:v>
      </x:c>
      <x:c r="K31" t="s">
        <x:v>197</x:v>
      </x:c>
      <x:c r="L31" t="s">
        <x:v>132</x:v>
      </x:c>
    </x:row>
    <x:row r="32">
      <x:c r="A32"/>
      <x:c r="B32" s="1" t="str">
        <x:f t="shared" si="0"/>
        <x:v>waffle</x:v>
      </x:c>
      <x:c r="C32" s="8" t="s">
        <x:v>134</x:v>
      </x:c>
      <x:c r="D32" s="1" t="s">
        <x:v>202</x:v>
      </x:c>
      <x:c r="E32" s="1">
        <x:v>1200</x:v>
      </x:c>
      <x:c r="F32" s="1">
        <x:v>60</x:v>
      </x:c>
      <x:c r="G32" s="36" t="s">
        <x:v>100</x:v>
      </x:c>
      <x:c r="H32" s="1">
        <x:v>100</x:v>
      </x:c>
      <x:c r="I32">
        <x:v>110</x:v>
      </x:c>
      <x:c r="J32" t="s">
        <x:v>101</x:v>
      </x:c>
      <x:c r="K32" t="s">
        <x:v>197</x:v>
      </x:c>
      <x:c r="L32" t="s">
        <x:v>135</x:v>
      </x:c>
    </x:row>
    <x:row r="33">
      <x:c r="A33"/>
      <x:c r="B33" s="1" t="str">
        <x:f t="shared" si="0"/>
        <x:v>cream_cake</x:v>
      </x:c>
      <x:c r="C33" s="8" t="s">
        <x:v>137</x:v>
      </x:c>
      <x:c r="D33" s="1" t="s">
        <x:v>202</x:v>
      </x:c>
      <x:c r="E33" s="1">
        <x:v>1200</x:v>
      </x:c>
      <x:c r="F33" s="1">
        <x:v>60</x:v>
      </x:c>
      <x:c r="G33" s="36" t="s">
        <x:v>100</x:v>
      </x:c>
      <x:c r="H33" s="1">
        <x:v>100</x:v>
      </x:c>
      <x:c r="I33">
        <x:v>110</x:v>
      </x:c>
      <x:c r="J33" t="s">
        <x:v>101</x:v>
      </x:c>
      <x:c r="K33" t="s">
        <x:v>197</x:v>
      </x:c>
      <x:c r="L33" t="s">
        <x:v>138</x:v>
      </x:c>
    </x:row>
    <x:row r="34">
      <x:c r="A34"/>
      <x:c r="B34" s="1" t="str">
        <x:f t="shared" si="0"/>
        <x:v>candycane</x:v>
      </x:c>
      <x:c r="C34" s="8" t="s">
        <x:v>140</x:v>
      </x:c>
      <x:c r="D34" s="1" t="s">
        <x:v>202</x:v>
      </x:c>
      <x:c r="E34" s="1">
        <x:v>1200</x:v>
      </x:c>
      <x:c r="F34" s="1">
        <x:v>60</x:v>
      </x:c>
      <x:c r="G34" s="36" t="s">
        <x:v>100</x:v>
      </x:c>
      <x:c r="H34" s="1">
        <x:v>100</x:v>
      </x:c>
      <x:c r="I34">
        <x:v>110</x:v>
      </x:c>
      <x:c r="J34" t="s">
        <x:v>101</x:v>
      </x:c>
      <x:c r="K34" t="s">
        <x:v>197</x:v>
      </x:c>
      <x:c r="L34" t="s">
        <x:v>141</x:v>
      </x:c>
    </x:row>
    <x:row r="35">
      <x:c r="A35"/>
      <x:c r="B35" s="1" t="str">
        <x:f t="shared" si="0"/>
        <x:v>black_forest_cake</x:v>
      </x:c>
      <x:c r="C35" s="8" t="s">
        <x:v>144</x:v>
      </x:c>
      <x:c r="D35" s="1" t="s">
        <x:v>202</x:v>
      </x:c>
      <x:c r="E35" s="1">
        <x:v>1200</x:v>
      </x:c>
      <x:c r="F35" s="1">
        <x:v>90</x:v>
      </x:c>
      <x:c r="G35" s="36" t="s">
        <x:v>105</x:v>
      </x:c>
      <x:c r="H35" s="1">
        <x:v>100</x:v>
      </x:c>
      <x:c r="I35">
        <x:v>160</x:v>
      </x:c>
      <x:c r="J35" t="s">
        <x:v>106</x:v>
      </x:c>
      <x:c r="K35" t="s">
        <x:v>197</x:v>
      </x:c>
      <x:c r="L35" t="s">
        <x:v>145</x:v>
      </x:c>
    </x:row>
    <x:row r="36">
      <x:c r="A36"/>
      <x:c r="B36" s="1" t="str">
        <x:f t="shared" si="0"/>
        <x:v>chocolate_sauce</x:v>
      </x:c>
      <x:c r="C36" s="8" t="s">
        <x:v>147</x:v>
      </x:c>
      <x:c r="D36" t="s">
        <x:v>202</x:v>
      </x:c>
      <x:c r="E36" s="1">
        <x:v>1200</x:v>
      </x:c>
      <x:c r="F36" s="1">
        <x:v>90</x:v>
      </x:c>
      <x:c r="G36" s="36" t="s">
        <x:v>105</x:v>
      </x:c>
      <x:c r="H36" s="1">
        <x:v>100</x:v>
      </x:c>
      <x:c r="I36">
        <x:v>160</x:v>
      </x:c>
      <x:c r="J36" t="s">
        <x:v>106</x:v>
      </x:c>
      <x:c r="K36" t="s">
        <x:v>197</x:v>
      </x:c>
      <x:c r="L36" t="s">
        <x:v>148</x:v>
      </x:c>
    </x:row>
    <x:row r="37">
      <x:c r="A37"/>
      <x:c r="B37" s="1" t="str">
        <x:f t="shared" si="0"/>
        <x:v>mango_sago</x:v>
      </x:c>
      <x:c r="C37" s="8" t="s">
        <x:v>150</x:v>
      </x:c>
      <x:c r="D37" s="1" t="s">
        <x:v>202</x:v>
      </x:c>
      <x:c r="E37" s="1">
        <x:v>1200</x:v>
      </x:c>
      <x:c r="F37" s="1">
        <x:v>90</x:v>
      </x:c>
      <x:c r="G37" s="36" t="s">
        <x:v>105</x:v>
      </x:c>
      <x:c r="H37" s="1">
        <x:v>100</x:v>
      </x:c>
      <x:c r="I37">
        <x:v>160</x:v>
      </x:c>
      <x:c r="J37" t="s">
        <x:v>106</x:v>
      </x:c>
      <x:c r="K37" t="s">
        <x:v>197</x:v>
      </x:c>
      <x:c r="L37" t="s">
        <x:v>151</x:v>
      </x:c>
    </x:row>
    <x:row r="38">
      <x:c r="A38"/>
      <x:c r="B38" s="1" t="str">
        <x:f t="shared" si="0"/>
        <x:v>fruit_cake</x:v>
      </x:c>
      <x:c r="C38" s="8" t="s">
        <x:v>153</x:v>
      </x:c>
      <x:c r="D38" s="1" t="s">
        <x:v>202</x:v>
      </x:c>
      <x:c r="E38" s="1">
        <x:v>1200</x:v>
      </x:c>
      <x:c r="F38" s="1">
        <x:v>90</x:v>
      </x:c>
      <x:c r="G38" s="36" t="s">
        <x:v>105</x:v>
      </x:c>
      <x:c r="H38" s="1">
        <x:v>100</x:v>
      </x:c>
      <x:c r="I38">
        <x:v>160</x:v>
      </x:c>
      <x:c r="J38" t="s">
        <x:v>106</x:v>
      </x:c>
      <x:c r="K38" t="s">
        <x:v>197</x:v>
      </x:c>
      <x:c r="L38" t="s">
        <x:v>154</x:v>
      </x:c>
    </x:row>
    <x:row r="39">
      <x:c r="A39"/>
      <x:c r="B39" s="1" t="str">
        <x:f t="shared" si="0"/>
        <x:v>parfait</x:v>
      </x:c>
      <x:c r="C39" s="8" t="s">
        <x:v>156</x:v>
      </x:c>
      <x:c r="D39" s="1" t="s">
        <x:v>202</x:v>
      </x:c>
      <x:c r="E39" s="1">
        <x:v>1200</x:v>
      </x:c>
      <x:c r="F39" s="1">
        <x:v>90</x:v>
      </x:c>
      <x:c r="G39" s="36" t="s">
        <x:v>105</x:v>
      </x:c>
      <x:c r="H39" s="1">
        <x:v>100</x:v>
      </x:c>
      <x:c r="I39">
        <x:v>160</x:v>
      </x:c>
      <x:c r="J39" t="s">
        <x:v>106</x:v>
      </x:c>
      <x:c r="K39" t="s">
        <x:v>197</x:v>
      </x:c>
      <x:c r="L39" t="s">
        <x:v>157</x:v>
      </x:c>
    </x:row>
    <x:row r="40">
      <x:c r="A40"/>
      <x:c r="B40" s="1" t="str">
        <x:f t="shared" si="0"/>
        <x:v>marshmallow</x:v>
      </x:c>
      <x:c r="C40" s="8" t="s">
        <x:v>159</x:v>
      </x:c>
      <x:c r="D40" s="1" t="s">
        <x:v>202</x:v>
      </x:c>
      <x:c r="E40" s="1">
        <x:v>1200</x:v>
      </x:c>
      <x:c r="F40" s="1">
        <x:v>90</x:v>
      </x:c>
      <x:c r="G40" s="36" t="s">
        <x:v>105</x:v>
      </x:c>
      <x:c r="H40" s="1">
        <x:v>100</x:v>
      </x:c>
      <x:c r="I40">
        <x:v>160</x:v>
      </x:c>
      <x:c r="J40" t="s">
        <x:v>106</x:v>
      </x:c>
      <x:c r="K40" t="s">
        <x:v>197</x:v>
      </x:c>
      <x:c r="L40" t="s">
        <x:v>160</x:v>
      </x:c>
    </x:row>
    <x:row r="41">
      <x:c r="A41"/>
      <x:c r="B41" s="1" t="str">
        <x:f t="shared" si="0"/>
        <x:v>big_lollipop</x:v>
      </x:c>
      <x:c r="C41" s="8" t="s">
        <x:v>162</x:v>
      </x:c>
      <x:c r="D41" s="1" t="s">
        <x:v>202</x:v>
      </x:c>
      <x:c r="E41" s="1">
        <x:v>1200</x:v>
      </x:c>
      <x:c r="F41" s="1">
        <x:v>135</x:v>
      </x:c>
      <x:c r="G41" s="36" t="s">
        <x:v>111</x:v>
      </x:c>
      <x:c r="H41" s="1">
        <x:v>100</x:v>
      </x:c>
      <x:c r="I41">
        <x:v>230</x:v>
      </x:c>
      <x:c r="J41" t="s">
        <x:v>112</x:v>
      </x:c>
      <x:c r="K41" t="s">
        <x:v>197</x:v>
      </x:c>
      <x:c r="L41" t="s">
        <x:v>163</x:v>
      </x:c>
    </x:row>
    <x:row r="42">
      <x:c r="A42"/>
      <x:c r="B42" s="1" t="str">
        <x:f t="shared" si="0"/>
        <x:v>apple_pie</x:v>
      </x:c>
      <x:c r="C42" s="8" t="s">
        <x:v>165</x:v>
      </x:c>
      <x:c r="D42" s="1" t="s">
        <x:v>202</x:v>
      </x:c>
      <x:c r="E42" s="1">
        <x:v>1200</x:v>
      </x:c>
      <x:c r="F42" s="1">
        <x:v>135</x:v>
      </x:c>
      <x:c r="G42" s="36" t="s">
        <x:v>111</x:v>
      </x:c>
      <x:c r="H42" s="1">
        <x:v>100</x:v>
      </x:c>
      <x:c r="I42">
        <x:v>230</x:v>
      </x:c>
      <x:c r="J42" t="s">
        <x:v>112</x:v>
      </x:c>
      <x:c r="K42" t="s">
        <x:v>197</x:v>
      </x:c>
      <x:c r="L42" t="s">
        <x:v>166</x:v>
      </x:c>
    </x:row>
    <x:row r="43">
      <x:c r="A43"/>
      <x:c r="B43" s="1" t="str">
        <x:f t="shared" si="0"/>
        <x:v>double_cake</x:v>
      </x:c>
      <x:c r="C43" s="8" t="s">
        <x:v>168</x:v>
      </x:c>
      <x:c r="D43" t="s">
        <x:v>202</x:v>
      </x:c>
      <x:c r="E43" s="1">
        <x:v>1200</x:v>
      </x:c>
      <x:c r="F43" s="1">
        <x:v>180</x:v>
      </x:c>
      <x:c r="G43" s="36" t="s">
        <x:v>111</x:v>
      </x:c>
      <x:c r="H43" s="1">
        <x:v>100</x:v>
      </x:c>
      <x:c r="I43">
        <x:v>290</x:v>
      </x:c>
      <x:c r="J43" t="s">
        <x:v>112</x:v>
      </x:c>
      <x:c r="K43" t="s">
        <x:v>197</x:v>
      </x:c>
      <x:c r="L43" t="s">
        <x:v>169</x:v>
      </x:c>
    </x:row>
    <x:row r="44">
      <x:c r="A44"/>
      <x:c r="C44" s="8"/>
      <x:c r="I44"/>
      <x:c r="J44"/>
    </x:row>
    <x:row r="45">
      <x:c r="A45"/>
      <x:c r="C45" s="8"/>
      <x:c r="I45"/>
      <x:c r="J45"/>
    </x:row>
    <x:row r="46">
      <x:c r="A46"/>
      <x:c r="C46" s="8"/>
      <x:c r="I46"/>
      <x:c r="J46"/>
    </x:row>
    <x:row r="47">
      <x:c r="A47"/>
      <x:c r="C47" s="8"/>
      <x:c r="I47"/>
      <x:c r="J47"/>
    </x:row>
    <x:row r="48">
      <x:c r="A48"/>
      <x:c r="C48" s="8"/>
      <x:c r="I48"/>
      <x:c r="J48"/>
    </x:row>
    <x:row r="49">
      <x:c r="A49"/>
      <x:c r="C49" s="8"/>
      <x:c r="I49"/>
      <x:c r="J49"/>
    </x:row>
    <x:row r="50">
      <x:c r="A50"/>
      <x:c r="C50" s="8"/>
      <x:c r="I50"/>
      <x:c r="J50"/>
    </x:row>
    <x:row r="51">
      <x:c r="A51"/>
      <x:c r="C51" s="8"/>
      <x:c r="I51"/>
      <x:c r="J51"/>
    </x:row>
    <x:row r="52">
      <x:c r="A52"/>
      <x:c r="C52" s="8"/>
      <x:c r="I52"/>
      <x:c r="J52"/>
    </x:row>
    <x:row r="53">
      <x:c r="A53"/>
      <x:c r="I53"/>
      <x:c r="J53"/>
    </x:row>
    <x:row r="54">
      <x:c r="A54"/>
      <x:c r="I54"/>
      <x:c r="J54"/>
    </x:row>
    <x:row r="55">
      <x:c r="A55"/>
      <x:c r="I55"/>
      <x:c r="J55"/>
    </x:row>
    <x:row r="56">
      <x:c r="A56"/>
      <x:c r="I56"/>
      <x:c r="J56"/>
    </x:row>
    <x:row r="57">
      <x:c r="A57"/>
      <x:c r="I57"/>
      <x:c r="J57"/>
    </x:row>
    <x:row r="58">
      <x:c r="A58"/>
      <x:c r="I58"/>
      <x:c r="J58"/>
    </x:row>
    <x:row r="59">
      <x:c r="A59"/>
      <x:c r="I59"/>
      <x:c r="J59"/>
    </x:row>
    <x:row r="60">
      <x:c r="A60"/>
      <x:c r="I60"/>
      <x:c r="J60"/>
    </x:row>
    <x:row r="61">
      <x:c r="A61"/>
      <x:c r="I61"/>
      <x:c r="J61"/>
    </x:row>
    <x:row r="62">
      <x:c r="A62"/>
      <x:c r="I62"/>
      <x:c r="J62"/>
    </x:row>
    <x:row r="63">
      <x:c r="A63"/>
      <x:c r="I63"/>
      <x:c r="J63"/>
    </x:row>
    <x:row r="64">
      <x:c r="A64"/>
      <x:c r="I64"/>
      <x:c r="J64"/>
    </x:row>
    <x:row r="65">
      <x:c r="A65"/>
      <x:c r="I65"/>
      <x:c r="J65"/>
    </x:row>
    <x:row r="66">
      <x:c r="A66"/>
      <x:c r="I66"/>
      <x:c r="J66"/>
    </x:row>
    <x:row r="67">
      <x:c r="A67"/>
      <x:c r="I67"/>
      <x:c r="J67"/>
    </x:row>
    <x:row r="68">
      <x:c r="A68"/>
      <x:c r="I68"/>
      <x:c r="J68"/>
    </x:row>
    <x:row r="69">
      <x:c r="A69"/>
      <x:c r="I69"/>
      <x:c r="J69"/>
    </x:row>
    <x:row r="70">
      <x:c r="A70"/>
      <x:c r="I70"/>
      <x:c r="J70"/>
    </x:row>
    <x:row r="71">
      <x:c r="A71"/>
      <x:c r="I71"/>
      <x:c r="J71"/>
    </x:row>
    <x:row r="72">
      <x:c r="A72"/>
      <x:c r="I72"/>
      <x:c r="J72"/>
    </x:row>
    <x:row r="73">
      <x:c r="A73"/>
      <x:c r="I73"/>
      <x:c r="J73"/>
    </x:row>
    <x:row r="74">
      <x:c r="A74"/>
      <x:c r="I74"/>
      <x:c r="J74"/>
    </x:row>
    <x:row r="75">
      <x:c r="A75"/>
      <x:c r="I75"/>
      <x:c r="J75"/>
    </x:row>
    <x:row r="76">
      <x:c r="A76"/>
      <x:c r="C76" s="8"/>
      <x:c r="I76"/>
      <x:c r="J76"/>
    </x:row>
    <x:row r="77">
      <x:c r="A77"/>
      <x:c r="C77" s="8"/>
      <x:c r="I77"/>
      <x:c r="J77"/>
    </x:row>
    <x:row r="78">
      <x:c r="A78"/>
      <x:c r="C78" s="8"/>
      <x:c r="I78"/>
      <x:c r="J78"/>
    </x:row>
    <x:row r="79">
      <x:c r="A79"/>
      <x:c r="C79" s="8"/>
      <x:c r="I79"/>
      <x:c r="J79"/>
    </x:row>
    <x:row r="80">
      <x:c r="A80"/>
      <x:c r="C80" s="8"/>
      <x:c r="I80"/>
      <x:c r="J80"/>
    </x:row>
    <x:row r="81">
      <x:c r="A81"/>
      <x:c r="C81" s="8"/>
      <x:c r="I81"/>
      <x:c r="J81"/>
    </x:row>
    <x:row r="82">
      <x:c r="A82"/>
      <x:c r="C82" s="8"/>
      <x:c r="I82"/>
      <x:c r="J82"/>
    </x:row>
    <x:row r="83">
      <x:c r="A83"/>
      <x:c r="C83" s="8"/>
      <x:c r="I83"/>
      <x:c r="J83"/>
    </x:row>
    <x:row r="84">
      <x:c r="A84"/>
      <x:c r="C84" s="8"/>
      <x:c r="I84"/>
      <x:c r="J84"/>
    </x:row>
    <x:row r="85">
      <x:c r="A85"/>
      <x:c r="C85" s="8"/>
      <x:c r="I85"/>
      <x:c r="J85"/>
    </x:row>
    <x:row r="86">
      <x:c r="A86"/>
      <x:c r="C86" s="8"/>
      <x:c r="I86"/>
      <x:c r="J86"/>
    </x:row>
    <x:row r="87">
      <x:c r="A87"/>
      <x:c r="C87" s="8"/>
      <x:c r="I87"/>
      <x:c r="J87"/>
    </x:row>
    <x:row r="88">
      <x:c r="A88"/>
      <x:c r="C88" s="8"/>
      <x:c r="I88"/>
      <x:c r="J88"/>
    </x:row>
    <x:row r="89">
      <x:c r="A89"/>
      <x:c r="C89" s="8"/>
      <x:c r="I89"/>
      <x:c r="J89"/>
    </x:row>
    <x:row r="90">
      <x:c r="A90"/>
      <x:c r="C90" s="8"/>
      <x:c r="I90"/>
      <x:c r="J90"/>
    </x:row>
    <x:row r="91">
      <x:c r="A91"/>
      <x:c r="C91" s="8"/>
      <x:c r="I91"/>
      <x:c r="J91"/>
    </x:row>
    <x:row r="92">
      <x:c r="A92"/>
      <x:c r="C92" s="8"/>
      <x:c r="I92"/>
      <x:c r="J92"/>
    </x:row>
    <x:row r="93">
      <x:c r="A93"/>
      <x:c r="C93" s="8"/>
      <x:c r="I93"/>
      <x:c r="J93"/>
    </x:row>
    <x:row r="94">
      <x:c r="A94"/>
      <x:c r="C94" s="8"/>
      <x:c r="I94"/>
      <x:c r="J94"/>
    </x:row>
    <x:row r="95">
      <x:c r="A95"/>
      <x:c r="C95" s="8"/>
      <x:c r="I95"/>
      <x:c r="J95"/>
    </x:row>
    <x:row r="96">
      <x:c r="A96"/>
      <x:c r="C96" s="8"/>
      <x:c r="I96"/>
      <x:c r="J96"/>
    </x:row>
    <x:row r="97">
      <x:c r="A97"/>
      <x:c r="C97" s="8"/>
      <x:c r="I97"/>
      <x:c r="J97"/>
    </x:row>
    <x:row r="98">
      <x:c r="A98"/>
      <x:c r="C98" s="8"/>
      <x:c r="I98"/>
      <x:c r="J98"/>
    </x:row>
    <x:row r="99">
      <x:c r="A99"/>
      <x:c r="C99" s="8"/>
      <x:c r="I99"/>
      <x:c r="J99"/>
    </x:row>
    <x:row r="100">
      <x:c r="A100"/>
      <x:c r="C100" s="8"/>
      <x:c r="I100"/>
      <x:c r="J100"/>
    </x:row>
    <x:row r="101">
      <x:c r="A101"/>
      <x:c r="I101"/>
      <x:c r="J101"/>
    </x:row>
    <x:row r="102">
      <x:c r="A102"/>
      <x:c r="I102"/>
      <x:c r="J102"/>
    </x:row>
    <x:row r="103">
      <x:c r="A103"/>
      <x:c r="I103"/>
      <x:c r="J103"/>
    </x:row>
    <x:row r="104">
      <x:c r="A104"/>
      <x:c r="I104"/>
      <x:c r="J104"/>
    </x:row>
    <x:row r="105">
      <x:c r="A105"/>
      <x:c r="I105"/>
      <x:c r="J105"/>
    </x:row>
    <x:row r="106">
      <x:c r="A106"/>
      <x:c r="I106"/>
      <x:c r="J106"/>
    </x:row>
    <x:row r="107">
      <x:c r="A107"/>
      <x:c r="I107"/>
      <x:c r="J107"/>
    </x:row>
    <x:row r="108">
      <x:c r="A108"/>
      <x:c r="I108"/>
      <x:c r="J108"/>
    </x:row>
    <x:row r="109">
      <x:c r="A109"/>
      <x:c r="I109"/>
      <x:c r="J109"/>
    </x:row>
    <x:row r="110">
      <x:c r="A110"/>
      <x:c r="I110"/>
      <x:c r="J110"/>
    </x:row>
    <x:row r="111">
      <x:c r="A111"/>
      <x:c r="I111"/>
      <x:c r="J111"/>
    </x:row>
    <x:row r="112">
      <x:c r="A112"/>
      <x:c r="I112"/>
      <x:c r="J112"/>
    </x:row>
    <x:row r="113">
      <x:c r="A113"/>
      <x:c r="I113"/>
      <x:c r="J113"/>
    </x:row>
    <x:row r="114">
      <x:c r="A114"/>
      <x:c r="I114"/>
      <x:c r="J114"/>
    </x:row>
    <x:row r="115">
      <x:c r="A115"/>
      <x:c r="I115"/>
      <x:c r="J115"/>
    </x:row>
    <x:row r="116">
      <x:c r="A116"/>
      <x:c r="I116"/>
      <x:c r="J116"/>
    </x:row>
    <x:row r="117">
      <x:c r="A117"/>
      <x:c r="I117"/>
      <x:c r="J117"/>
    </x:row>
    <x:row r="118">
      <x:c r="A118"/>
      <x:c r="I118"/>
      <x:c r="J118"/>
    </x:row>
    <x:row r="119">
      <x:c r="A119"/>
      <x:c r="I119"/>
      <x:c r="J119"/>
    </x:row>
    <x:row r="120">
      <x:c r="A120"/>
      <x:c r="I120"/>
      <x:c r="J120"/>
    </x:row>
    <x:row r="121">
      <x:c r="A121"/>
      <x:c r="I121"/>
      <x:c r="J121"/>
    </x:row>
    <x:row r="122">
      <x:c r="A122"/>
      <x:c r="I122"/>
      <x:c r="J122"/>
    </x:row>
    <x:row r="123">
      <x:c r="A123"/>
      <x:c r="I123"/>
      <x:c r="J123"/>
    </x:row>
    <x:row r="124">
      <x:c r="A124"/>
      <x:c r="C124" s="8"/>
      <x:c r="I124"/>
      <x:c r="J124"/>
    </x:row>
    <x:row r="125">
      <x:c r="A125"/>
      <x:c r="C125" s="8"/>
      <x:c r="I125"/>
      <x:c r="J125"/>
    </x:row>
    <x:row r="126">
      <x:c r="A126"/>
      <x:c r="C126" s="8"/>
      <x:c r="I126"/>
      <x:c r="J126"/>
    </x:row>
    <x:row r="127">
      <x:c r="A127"/>
      <x:c r="C127" s="8"/>
      <x:c r="I127"/>
      <x:c r="J127"/>
    </x:row>
    <x:row r="128">
      <x:c r="A128"/>
      <x:c r="C128" s="8"/>
      <x:c r="I128"/>
      <x:c r="J128"/>
    </x:row>
    <x:row r="129">
      <x:c r="A129"/>
      <x:c r="C129" s="8"/>
      <x:c r="I129"/>
      <x:c r="J129"/>
    </x:row>
    <x:row r="130">
      <x:c r="A130"/>
      <x:c r="C130" s="8"/>
      <x:c r="I130"/>
      <x:c r="J130"/>
    </x:row>
    <x:row r="131">
      <x:c r="A131"/>
      <x:c r="C131" s="8"/>
      <x:c r="I131"/>
      <x:c r="J131"/>
    </x:row>
    <x:row r="132">
      <x:c r="A132"/>
      <x:c r="C132" s="8"/>
      <x:c r="I132"/>
      <x:c r="J132"/>
    </x:row>
    <x:row r="133">
      <x:c r="A133"/>
      <x:c r="C133" s="8"/>
      <x:c r="I133"/>
      <x:c r="J133"/>
    </x:row>
    <x:row r="134">
      <x:c r="A134"/>
      <x:c r="C134" s="8"/>
      <x:c r="I134"/>
      <x:c r="J134"/>
    </x:row>
    <x:row r="135">
      <x:c r="A135"/>
      <x:c r="C135" s="8"/>
      <x:c r="I135"/>
      <x:c r="J135"/>
    </x:row>
    <x:row r="136">
      <x:c r="A136"/>
      <x:c r="C136" s="8"/>
      <x:c r="I136"/>
      <x:c r="J136"/>
    </x:row>
    <x:row r="137">
      <x:c r="A137"/>
      <x:c r="C137" s="8"/>
      <x:c r="I137"/>
      <x:c r="J137"/>
    </x:row>
    <x:row r="138">
      <x:c r="A138"/>
      <x:c r="C138" s="8"/>
      <x:c r="I138"/>
      <x:c r="J138"/>
    </x:row>
    <x:row r="139">
      <x:c r="A139"/>
      <x:c r="C139" s="8"/>
      <x:c r="I139"/>
      <x:c r="J139"/>
    </x:row>
    <x:row r="140">
      <x:c r="A140"/>
      <x:c r="C140" s="8"/>
      <x:c r="I140"/>
      <x:c r="J140"/>
    </x:row>
    <x:row r="141">
      <x:c r="A141"/>
      <x:c r="C141" s="8"/>
      <x:c r="I141"/>
      <x:c r="J141"/>
    </x:row>
    <x:row r="142">
      <x:c r="A142"/>
      <x:c r="C142" s="8"/>
      <x:c r="I142"/>
      <x:c r="J142"/>
    </x:row>
    <x:row r="143">
      <x:c r="A143"/>
      <x:c r="C143" s="8"/>
      <x:c r="I143"/>
      <x:c r="J143"/>
    </x:row>
    <x:row r="144">
      <x:c r="A144"/>
      <x:c r="C144" s="8"/>
      <x:c r="I144"/>
      <x:c r="J144"/>
    </x:row>
    <x:row r="145">
      <x:c r="A145"/>
      <x:c r="C145" s="8"/>
      <x:c r="I145"/>
      <x:c r="J145"/>
    </x:row>
    <x:row r="146">
      <x:c r="A146"/>
      <x:c r="C146" s="8"/>
      <x:c r="I146"/>
      <x:c r="J146"/>
    </x:row>
    <x:row r="147">
      <x:c r="A147"/>
      <x:c r="C147" s="8"/>
      <x:c r="I147"/>
      <x:c r="J147"/>
    </x:row>
    <x:row r="148">
      <x:c r="A148"/>
      <x:c r="C148" s="8"/>
      <x:c r="I148"/>
      <x:c r="J148"/>
    </x:row>
    <x:row r="149">
      <x:c r="A149"/>
      <x:c r="I149"/>
      <x:c r="J149"/>
    </x:row>
    <x:row r="150">
      <x:c r="A150"/>
      <x:c r="I150"/>
      <x:c r="J150"/>
    </x:row>
    <x:row r="151">
      <x:c r="A151"/>
      <x:c r="I151"/>
      <x:c r="J151"/>
    </x:row>
    <x:row r="152">
      <x:c r="A152"/>
      <x:c r="I152"/>
      <x:c r="J152"/>
    </x:row>
    <x:row r="153">
      <x:c r="A153"/>
      <x:c r="I153"/>
      <x:c r="J153"/>
    </x:row>
    <x:row r="154">
      <x:c r="A154"/>
      <x:c r="I154"/>
      <x:c r="J154"/>
    </x:row>
    <x:row r="155">
      <x:c r="A155"/>
      <x:c r="I155"/>
      <x:c r="J155"/>
    </x:row>
    <x:row r="156">
      <x:c r="A156"/>
      <x:c r="I156"/>
      <x:c r="J156"/>
    </x:row>
    <x:row r="157">
      <x:c r="A157"/>
      <x:c r="I157"/>
      <x:c r="J157"/>
    </x:row>
    <x:row r="158">
      <x:c r="A158"/>
      <x:c r="I158"/>
      <x:c r="J158"/>
    </x:row>
    <x:row r="159">
      <x:c r="A159"/>
      <x:c r="I159"/>
      <x:c r="J159"/>
    </x:row>
    <x:row r="160">
      <x:c r="A160"/>
      <x:c r="I160"/>
      <x:c r="J160"/>
    </x:row>
    <x:row r="161">
      <x:c r="A161"/>
      <x:c r="I161"/>
      <x:c r="J161"/>
    </x:row>
    <x:row r="162">
      <x:c r="A162"/>
      <x:c r="I162"/>
      <x:c r="J162"/>
    </x:row>
    <x:row r="163">
      <x:c r="A163"/>
      <x:c r="I163"/>
      <x:c r="J163"/>
    </x:row>
    <x:row r="164">
      <x:c r="A164"/>
      <x:c r="I164"/>
      <x:c r="J164"/>
    </x:row>
    <x:row r="165">
      <x:c r="A165"/>
      <x:c r="I165"/>
      <x:c r="J165"/>
    </x:row>
    <x:row r="166">
      <x:c r="A166"/>
      <x:c r="I166"/>
      <x:c r="J166"/>
    </x:row>
    <x:row r="167">
      <x:c r="A167"/>
      <x:c r="I167"/>
      <x:c r="J167"/>
    </x:row>
    <x:row r="168">
      <x:c r="A168"/>
      <x:c r="I168"/>
      <x:c r="J168"/>
    </x:row>
    <x:row r="169">
      <x:c r="A169"/>
      <x:c r="I169"/>
      <x:c r="J169"/>
    </x:row>
    <x:row r="170">
      <x:c r="A170"/>
      <x:c r="I170"/>
      <x:c r="J170"/>
    </x:row>
    <x:row r="171">
      <x:c r="A171"/>
      <x:c r="I171"/>
      <x:c r="J171"/>
    </x:row>
    <x:row r="172">
      <x:c r="A172"/>
      <x:c r="C172" s="8"/>
      <x:c r="I172"/>
      <x:c r="J172"/>
    </x:row>
    <x:row r="173">
      <x:c r="A173"/>
      <x:c r="C173" s="8"/>
      <x:c r="I173"/>
      <x:c r="J173"/>
    </x:row>
    <x:row r="174">
      <x:c r="A174"/>
      <x:c r="C174" s="8"/>
      <x:c r="I174"/>
      <x:c r="J174"/>
    </x:row>
    <x:row r="175">
      <x:c r="A175"/>
      <x:c r="C175" s="8"/>
      <x:c r="I175"/>
      <x:c r="J175"/>
    </x:row>
    <x:row r="176">
      <x:c r="A176"/>
      <x:c r="C176" s="8"/>
      <x:c r="I176"/>
      <x:c r="J176"/>
    </x:row>
    <x:row r="177">
      <x:c r="A177"/>
      <x:c r="C177" s="8"/>
      <x:c r="I177"/>
      <x:c r="J177"/>
    </x:row>
    <x:row r="178">
      <x:c r="A178"/>
      <x:c r="C178" s="8"/>
      <x:c r="I178"/>
      <x:c r="J178"/>
    </x:row>
    <x:row r="179">
      <x:c r="A179"/>
      <x:c r="C179" s="8"/>
      <x:c r="I179"/>
      <x:c r="J179"/>
    </x:row>
    <x:row r="180">
      <x:c r="A180"/>
      <x:c r="C180" s="8"/>
      <x:c r="I180"/>
      <x:c r="J180"/>
    </x:row>
    <x:row r="181">
      <x:c r="A181"/>
      <x:c r="C181" s="8"/>
      <x:c r="I181"/>
      <x:c r="J181"/>
    </x:row>
    <x:row r="182">
      <x:c r="A182"/>
      <x:c r="C182" s="8"/>
      <x:c r="I182"/>
      <x:c r="J182"/>
    </x:row>
    <x:row r="183">
      <x:c r="A183"/>
      <x:c r="C183" s="8"/>
      <x:c r="I183"/>
      <x:c r="J183"/>
    </x:row>
    <x:row r="184">
      <x:c r="A184"/>
      <x:c r="C184" s="8"/>
      <x:c r="I184"/>
      <x:c r="J184"/>
    </x:row>
    <x:row r="185">
      <x:c r="A185"/>
      <x:c r="C185" s="8"/>
      <x:c r="I185"/>
      <x:c r="J185"/>
    </x:row>
    <x:row r="186">
      <x:c r="A186"/>
      <x:c r="C186" s="8"/>
      <x:c r="I186"/>
      <x:c r="J186"/>
    </x:row>
    <x:row r="187">
      <x:c r="A187"/>
      <x:c r="C187" s="8"/>
      <x:c r="I187"/>
      <x:c r="J187"/>
    </x:row>
    <x:row r="188">
      <x:c r="A188"/>
      <x:c r="C188" s="8"/>
      <x:c r="I188"/>
      <x:c r="J188"/>
    </x:row>
    <x:row r="189">
      <x:c r="A189"/>
      <x:c r="C189" s="8"/>
      <x:c r="I189"/>
      <x:c r="J189"/>
    </x:row>
    <x:row r="190">
      <x:c r="A190"/>
      <x:c r="C190" s="8"/>
      <x:c r="I190"/>
      <x:c r="J190"/>
    </x:row>
    <x:row r="191">
      <x:c r="A191"/>
      <x:c r="C191" s="8"/>
      <x:c r="I191"/>
      <x:c r="J191"/>
    </x:row>
    <x:row r="192">
      <x:c r="A192"/>
      <x:c r="C192" s="8"/>
      <x:c r="I192"/>
      <x:c r="J192"/>
    </x:row>
    <x:row r="193">
      <x:c r="A193"/>
      <x:c r="C193" s="8"/>
      <x:c r="I193"/>
      <x:c r="J193"/>
    </x:row>
    <x:row r="194">
      <x:c r="A194"/>
      <x:c r="C194" s="8"/>
      <x:c r="I194"/>
      <x:c r="J194"/>
    </x:row>
    <x:row r="195">
      <x:c r="A195"/>
      <x:c r="C195" s="8"/>
      <x:c r="I195"/>
      <x:c r="J195"/>
    </x:row>
    <x:row r="196">
      <x:c r="A196"/>
      <x:c r="C196" s="8"/>
      <x:c r="I196"/>
      <x:c r="J196"/>
    </x:row>
    <x:row r="197">
      <x:c r="A197"/>
      <x:c r="I197"/>
      <x:c r="J197"/>
    </x:row>
    <x:row r="198">
      <x:c r="A198"/>
      <x:c r="I198"/>
      <x:c r="J198"/>
    </x:row>
    <x:row r="199">
      <x:c r="A199"/>
      <x:c r="I199"/>
      <x:c r="J199"/>
    </x:row>
    <x:row r="200">
      <x:c r="A200"/>
      <x:c r="I200"/>
      <x:c r="J200"/>
    </x:row>
    <x:row r="201">
      <x:c r="A201"/>
      <x:c r="I201"/>
      <x:c r="J201"/>
    </x:row>
    <x:row r="202">
      <x:c r="A202"/>
      <x:c r="I202"/>
      <x:c r="J202"/>
    </x:row>
    <x:row r="203">
      <x:c r="A203"/>
      <x:c r="I203"/>
      <x:c r="J203"/>
    </x:row>
    <x:row r="204">
      <x:c r="A204"/>
      <x:c r="I204"/>
      <x:c r="J204"/>
    </x:row>
    <x:row r="205">
      <x:c r="A205"/>
      <x:c r="I205"/>
      <x:c r="J205"/>
    </x:row>
    <x:row r="206">
      <x:c r="A206"/>
      <x:c r="I206"/>
      <x:c r="J206"/>
    </x:row>
    <x:row r="207">
      <x:c r="A207"/>
      <x:c r="I207"/>
      <x:c r="J207"/>
    </x:row>
    <x:row r="208">
      <x:c r="A208"/>
      <x:c r="I208"/>
      <x:c r="J208"/>
    </x:row>
    <x:row r="209">
      <x:c r="A209"/>
      <x:c r="I209"/>
      <x:c r="J209"/>
    </x:row>
    <x:row r="210">
      <x:c r="A210"/>
      <x:c r="I210"/>
      <x:c r="J210"/>
    </x:row>
    <x:row r="211">
      <x:c r="A211"/>
      <x:c r="I211"/>
      <x:c r="J211"/>
    </x:row>
    <x:row r="212">
      <x:c r="A212"/>
      <x:c r="I212"/>
      <x:c r="J212"/>
    </x:row>
    <x:row r="213">
      <x:c r="A213"/>
      <x:c r="I213"/>
      <x:c r="J213"/>
    </x:row>
    <x:row r="214">
      <x:c r="A214"/>
      <x:c r="I214"/>
      <x:c r="J214"/>
    </x:row>
    <x:row r="215">
      <x:c r="A215"/>
      <x:c r="I215"/>
      <x:c r="J215"/>
    </x:row>
    <x:row r="216">
      <x:c r="A216"/>
      <x:c r="I216"/>
      <x:c r="J216"/>
    </x:row>
    <x:row r="217">
      <x:c r="A217"/>
      <x:c r="I217"/>
      <x:c r="J217"/>
    </x:row>
    <x:row r="218">
      <x:c r="A218"/>
      <x:c r="I218"/>
    </x:row>
    <x:row r="219">
      <x:c r="A219"/>
      <x:c r="I219"/>
      <x:c r="J219"/>
    </x:row>
    <x:row r="220">
      <x:c r="A220"/>
      <x:c r="C220" s="8"/>
      <x:c r="I220"/>
      <x:c r="J220"/>
    </x:row>
    <x:row r="221">
      <x:c r="A221"/>
      <x:c r="C221" s="8"/>
      <x:c r="I221"/>
      <x:c r="J221"/>
    </x:row>
    <x:row r="222">
      <x:c r="A222"/>
      <x:c r="C222" s="8"/>
      <x:c r="I222"/>
      <x:c r="J222"/>
    </x:row>
    <x:row r="223">
      <x:c r="A223"/>
      <x:c r="C223" s="8"/>
      <x:c r="I223"/>
      <x:c r="J223"/>
    </x:row>
    <x:row r="224">
      <x:c r="A224"/>
      <x:c r="C224" s="8"/>
      <x:c r="I224"/>
      <x:c r="J224"/>
    </x:row>
    <x:row r="225">
      <x:c r="A225"/>
      <x:c r="C225" s="8"/>
      <x:c r="I225"/>
      <x:c r="J225"/>
    </x:row>
    <x:row r="226">
      <x:c r="A226"/>
      <x:c r="C226" s="8"/>
      <x:c r="I226"/>
      <x:c r="J226"/>
    </x:row>
    <x:row r="227">
      <x:c r="A227"/>
      <x:c r="C227" s="8"/>
      <x:c r="I227"/>
      <x:c r="J227"/>
    </x:row>
    <x:row r="228">
      <x:c r="A228"/>
      <x:c r="C228" s="8"/>
      <x:c r="I228"/>
      <x:c r="J228"/>
    </x:row>
    <x:row r="229">
      <x:c r="A229"/>
      <x:c r="C229" s="8"/>
      <x:c r="I229"/>
      <x:c r="J229"/>
    </x:row>
    <x:row r="230">
      <x:c r="A230"/>
      <x:c r="C230" s="8"/>
      <x:c r="I230"/>
      <x:c r="J230"/>
    </x:row>
    <x:row r="231">
      <x:c r="A231"/>
      <x:c r="C231" s="8"/>
      <x:c r="I231"/>
      <x:c r="J231"/>
    </x:row>
    <x:row r="232">
      <x:c r="A232"/>
      <x:c r="C232" s="8"/>
      <x:c r="I232"/>
      <x:c r="J232"/>
    </x:row>
    <x:row r="233">
      <x:c r="A233"/>
      <x:c r="C233" s="8"/>
      <x:c r="I233"/>
      <x:c r="J233"/>
    </x:row>
    <x:row r="234">
      <x:c r="A234"/>
      <x:c r="C234" s="8"/>
      <x:c r="I234"/>
      <x:c r="J234"/>
    </x:row>
    <x:row r="235">
      <x:c r="A235"/>
      <x:c r="C235" s="8"/>
      <x:c r="I235"/>
      <x:c r="J235"/>
    </x:row>
    <x:row r="236">
      <x:c r="A236"/>
      <x:c r="C236" s="8"/>
      <x:c r="I236"/>
      <x:c r="J236"/>
    </x:row>
    <x:row r="237">
      <x:c r="A237"/>
      <x:c r="C237" s="8"/>
      <x:c r="I237"/>
      <x:c r="J237"/>
    </x:row>
    <x:row r="238">
      <x:c r="A238"/>
      <x:c r="C238" s="8"/>
      <x:c r="I238"/>
      <x:c r="J238"/>
    </x:row>
    <x:row r="239">
      <x:c r="A239"/>
      <x:c r="C239" s="8"/>
      <x:c r="I239"/>
      <x:c r="J239"/>
    </x:row>
    <x:row r="240">
      <x:c r="A240"/>
      <x:c r="C240" s="8"/>
      <x:c r="I240"/>
      <x:c r="J240"/>
    </x:row>
    <x:row r="241">
      <x:c r="A241"/>
      <x:c r="C241" s="8"/>
      <x:c r="I241"/>
      <x:c r="J241"/>
    </x:row>
    <x:row r="242">
      <x:c r="A242"/>
      <x:c r="C242" s="8"/>
      <x:c r="I242"/>
      <x:c r="J242"/>
    </x:row>
    <x:row r="243">
      <x:c r="A243"/>
      <x:c r="C243" s="8"/>
      <x:c r="I243"/>
      <x:c r="J243"/>
    </x:row>
    <x:row r="244">
      <x:c r="A244"/>
      <x:c r="C244" s="8"/>
      <x:c r="I244"/>
      <x:c r="J244"/>
    </x:row>
    <x:row r="245">
      <x:c r="A245"/>
      <x:c r="I245"/>
      <x:c r="J245"/>
    </x:row>
    <x:row r="246">
      <x:c r="A246"/>
      <x:c r="I246"/>
      <x:c r="J246"/>
    </x:row>
    <x:row r="247">
      <x:c r="A247"/>
      <x:c r="I247"/>
      <x:c r="J247"/>
    </x:row>
    <x:row r="248">
      <x:c r="A248"/>
      <x:c r="I248"/>
      <x:c r="J248"/>
    </x:row>
    <x:row r="249">
      <x:c r="A249"/>
      <x:c r="I249"/>
      <x:c r="J249"/>
    </x:row>
    <x:row r="250">
      <x:c r="A250"/>
      <x:c r="I250"/>
      <x:c r="J250"/>
    </x:row>
    <x:row r="251">
      <x:c r="A251"/>
      <x:c r="I251"/>
      <x:c r="J251"/>
    </x:row>
    <x:row r="252">
      <x:c r="A252"/>
      <x:c r="I252"/>
      <x:c r="J252"/>
    </x:row>
    <x:row r="253">
      <x:c r="A253"/>
      <x:c r="I253"/>
      <x:c r="J253"/>
    </x:row>
    <x:row r="254">
      <x:c r="A254"/>
      <x:c r="I254"/>
      <x:c r="J254"/>
    </x:row>
    <x:row r="255">
      <x:c r="A255"/>
      <x:c r="I255"/>
      <x:c r="J255"/>
    </x:row>
    <x:row r="256">
      <x:c r="A256"/>
      <x:c r="I256"/>
      <x:c r="J256"/>
    </x:row>
    <x:row r="257">
      <x:c r="A257"/>
      <x:c r="I257"/>
      <x:c r="J257"/>
    </x:row>
    <x:row r="258">
      <x:c r="A258"/>
      <x:c r="I258"/>
      <x:c r="J258"/>
    </x:row>
    <x:row r="259">
      <x:c r="A259"/>
      <x:c r="I259"/>
      <x:c r="J259"/>
    </x:row>
    <x:row r="268">
      <x:c r="C268" s="8"/>
    </x:row>
    <x:row r="269">
      <x:c r="C269" s="8"/>
    </x:row>
    <x:row r="270">
      <x:c r="C270" s="8"/>
    </x:row>
    <x:row r="271">
      <x:c r="C271" s="8"/>
    </x:row>
    <x:row r="272">
      <x:c r="C272" s="8"/>
    </x:row>
    <x:row r="273">
      <x:c r="C273" s="8"/>
    </x:row>
    <x:row r="274">
      <x:c r="C274" s="8"/>
    </x:row>
    <x:row r="275">
      <x:c r="C275" s="8"/>
    </x:row>
    <x:row r="276">
      <x:c r="C276" s="8"/>
    </x:row>
    <x:row r="277">
      <x:c r="C277" s="8"/>
    </x:row>
    <x:row r="278">
      <x:c r="C278" s="8"/>
    </x:row>
    <x:row r="279">
      <x:c r="C279" s="8"/>
    </x:row>
    <x:row r="280">
      <x:c r="C280" s="8"/>
    </x:row>
    <x:row r="281">
      <x:c r="C281" s="8"/>
    </x:row>
    <x:row r="282">
      <x:c r="C282" s="8"/>
    </x:row>
    <x:row r="283">
      <x:c r="C283" s="8"/>
    </x:row>
    <x:row r="284">
      <x:c r="C284" s="8"/>
    </x:row>
    <x:row r="285">
      <x:c r="C285" s="8"/>
    </x:row>
    <x:row r="286">
      <x:c r="C286" s="8"/>
    </x:row>
    <x:row r="287">
      <x:c r="C287" s="8"/>
    </x:row>
    <x:row r="288">
      <x:c r="C288" s="8"/>
    </x:row>
    <x:row r="289">
      <x:c r="C289" s="8"/>
    </x:row>
    <x:row r="290">
      <x:c r="C290" s="8"/>
    </x:row>
    <x:row r="291">
      <x:c r="C291" s="8"/>
    </x:row>
    <x:row r="292">
      <x:c r="C292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203</x:v>
      </x:c>
    </x:row>
    <x:row r="2">
      <x:c r="A2" t="s">
        <x:v>10</x:v>
      </x:c>
      <x:c r="B2" t="s">
        <x:v>204</x:v>
      </x:c>
      <x:c r="C2" t="s">
        <x:v>205</x:v>
      </x:c>
    </x:row>
    <x:row r="3">
      <x:c r="A3" t="s">
        <x:v>20</x:v>
      </x:c>
      <x:c r="B3" t="s">
        <x:v>21</x:v>
      </x:c>
      <x:c r="C3" t="s">
        <x:v>21</x:v>
      </x:c>
    </x:row>
    <x:row r="4">
      <x:c r="B4" t="s">
        <x:v>28</x:v>
      </x:c>
      <x:c r="C4" t="s">
        <x:v>206</x:v>
      </x:c>
      <x:c r="G4" t="s">
        <x:v>206</x:v>
      </x:c>
      <x:c r="J4" t="s">
        <x:v>25</x:v>
      </x:c>
      <x:c r="K4" t="s">
        <x:v>198</x:v>
      </x:c>
    </x:row>
    <x:row r="5">
      <x:c r="B5" t="s">
        <x:v>32</x:v>
      </x:c>
      <x:c r="C5" t="s">
        <x:v>207</x:v>
      </x:c>
      <x:c r="G5" t="s">
        <x:v>207</x:v>
      </x:c>
      <x:c r="J5" t="s">
        <x:v>30</x:v>
      </x:c>
      <x:c r="K5" t="s">
        <x:v>199</x:v>
      </x:c>
    </x:row>
    <x:row r="6">
      <x:c r="B6" t="s">
        <x:v>35</x:v>
      </x:c>
      <x:c r="C6" t="s">
        <x:v>208</x:v>
      </x:c>
      <x:c r="G6" t="s">
        <x:v>208</x:v>
      </x:c>
      <x:c r="J6" t="s">
        <x:v>33</x:v>
      </x:c>
      <x:c r="K6" t="s">
        <x:v>200</x:v>
      </x:c>
    </x:row>
    <x:row r="7">
      <x:c r="B7" t="s">
        <x:v>39</x:v>
      </x:c>
      <x:c r="C7" t="s">
        <x:v>209</x:v>
      </x:c>
      <x:c r="G7" t="s">
        <x:v>209</x:v>
      </x:c>
      <x:c r="J7" t="s">
        <x:v>37</x:v>
      </x:c>
      <x:c r="K7" t="s">
        <x:v>201</x:v>
      </x:c>
    </x:row>
    <x:row r="8">
      <x:c r="B8" t="s">
        <x:v>42</x:v>
      </x:c>
      <x:c r="C8" t="s">
        <x:v>210</x:v>
      </x:c>
      <x:c r="G8" t="s">
        <x:v>210</x:v>
      </x:c>
      <x:c r="J8" t="s">
        <x:v>40</x:v>
      </x:c>
      <x:c r="K8" t="s">
        <x:v>41</x:v>
      </x:c>
    </x:row>
    <x:row r="9">
      <x:c r="B9" t="s">
        <x:v>45</x:v>
      </x:c>
      <x:c r="C9" t="s">
        <x:v>211</x:v>
      </x:c>
      <x:c r="G9" t="s">
        <x:v>211</x:v>
      </x:c>
      <x:c r="J9" t="s">
        <x:v>43</x:v>
      </x:c>
      <x:c r="K9" t="s">
        <x:v>44</x:v>
      </x:c>
    </x:row>
    <x:row r="10">
      <x:c r="B10" t="s">
        <x:v>49</x:v>
      </x:c>
      <x:c r="C10" t="s">
        <x:v>212</x:v>
      </x:c>
      <x:c r="G10" t="s">
        <x:v>212</x:v>
      </x:c>
      <x:c r="J10" t="s">
        <x:v>47</x:v>
      </x:c>
      <x:c r="K10" t="s">
        <x:v>48</x:v>
      </x:c>
    </x:row>
    <x:row r="11">
      <x:c r="B11" t="s">
        <x:v>52</x:v>
      </x:c>
      <x:c r="C11" t="s">
        <x:v>213</x:v>
      </x:c>
      <x:c r="G11" t="s">
        <x:v>214</x:v>
      </x:c>
      <x:c r="H11" t="s">
        <x:v>215</x:v>
      </x:c>
      <x:c r="J11" t="s">
        <x:v>50</x:v>
      </x:c>
      <x:c r="K11" t="s">
        <x:v>51</x:v>
      </x:c>
    </x:row>
    <x:row r="12">
      <x:c r="B12" t="s">
        <x:v>55</x:v>
      </x:c>
      <x:c r="C12" t="s">
        <x:v>216</x:v>
      </x:c>
      <x:c r="G12" t="s">
        <x:v>217</x:v>
      </x:c>
      <x:c r="H12" t="s">
        <x:v>218</x:v>
      </x:c>
      <x:c r="J12" t="s">
        <x:v>53</x:v>
      </x:c>
      <x:c r="K12" t="s">
        <x:v>54</x:v>
      </x:c>
    </x:row>
    <x:row r="13">
      <x:c r="B13" t="s">
        <x:v>59</x:v>
      </x:c>
      <x:c r="C13" t="s">
        <x:v>219</x:v>
      </x:c>
      <x:c r="G13" t="s">
        <x:v>219</x:v>
      </x:c>
      <x:c r="J13" t="s">
        <x:v>57</x:v>
      </x:c>
      <x:c r="K13" t="s">
        <x:v>58</x:v>
      </x:c>
    </x:row>
    <x:row r="14">
      <x:c r="B14" t="s">
        <x:v>63</x:v>
      </x:c>
      <x:c r="C14" t="s">
        <x:v>220</x:v>
      </x:c>
      <x:c r="G14" t="s">
        <x:v>221</x:v>
      </x:c>
      <x:c r="H14" t="s">
        <x:v>222</x:v>
      </x:c>
      <x:c r="J14" t="s">
        <x:v>61</x:v>
      </x:c>
      <x:c r="K14" t="s">
        <x:v>62</x:v>
      </x:c>
    </x:row>
    <x:row r="15">
      <x:c r="B15" t="s">
        <x:v>68</x:v>
      </x:c>
      <x:c r="C15" t="s">
        <x:v>223</x:v>
      </x:c>
      <x:c r="G15" t="s">
        <x:v>224</x:v>
      </x:c>
      <x:c r="H15" t="s">
        <x:v>225</x:v>
      </x:c>
      <x:c r="J15" t="s">
        <x:v>66</x:v>
      </x:c>
      <x:c r="K15" t="s">
        <x:v>67</x:v>
      </x:c>
    </x:row>
    <x:row r="16">
      <x:c r="B16" t="s">
        <x:v>72</x:v>
      </x:c>
      <x:c r="C16" t="s">
        <x:v>226</x:v>
      </x:c>
      <x:c r="G16" t="s">
        <x:v>226</x:v>
      </x:c>
      <x:c r="J16" t="s">
        <x:v>70</x:v>
      </x:c>
      <x:c r="K16" t="s">
        <x:v>71</x:v>
      </x:c>
    </x:row>
    <x:row r="17">
      <x:c r="B17" t="s">
        <x:v>75</x:v>
      </x:c>
      <x:c r="C17" t="s">
        <x:v>227</x:v>
      </x:c>
      <x:c r="G17" t="s">
        <x:v>228</x:v>
      </x:c>
      <x:c r="H17" t="s">
        <x:v>229</x:v>
      </x:c>
      <x:c r="J17" t="s">
        <x:v>73</x:v>
      </x:c>
      <x:c r="K17" t="s">
        <x:v>74</x:v>
      </x:c>
    </x:row>
    <x:row r="18">
      <x:c r="B18" t="s">
        <x:v>78</x:v>
      </x:c>
      <x:c r="C18" t="s">
        <x:v>230</x:v>
      </x:c>
      <x:c r="G18" t="s">
        <x:v>230</x:v>
      </x:c>
      <x:c r="J18" t="s">
        <x:v>76</x:v>
      </x:c>
      <x:c r="K18" t="s">
        <x:v>77</x:v>
      </x:c>
    </x:row>
    <x:row r="19">
      <x:c r="B19" t="s">
        <x:v>83</x:v>
      </x:c>
      <x:c r="C19" t="s">
        <x:v>231</x:v>
      </x:c>
      <x:c r="G19" t="s">
        <x:v>231</x:v>
      </x:c>
      <x:c r="J19" t="s">
        <x:v>81</x:v>
      </x:c>
      <x:c r="K19" t="s">
        <x:v>82</x:v>
      </x:c>
    </x:row>
    <x:row r="20">
      <x:c r="B20" t="s">
        <x:v>89</x:v>
      </x:c>
      <x:c r="C20" t="s">
        <x:v>232</x:v>
      </x:c>
      <x:c r="G20" t="s">
        <x:v>232</x:v>
      </x:c>
      <x:c r="J20" t="s">
        <x:v>87</x:v>
      </x:c>
      <x:c r="K20" t="s">
        <x:v>88</x:v>
      </x:c>
    </x:row>
    <x:row r="21">
      <x:c r="B21" t="s">
        <x:v>94</x:v>
      </x:c>
      <x:c r="C21" t="s">
        <x:v>233</x:v>
      </x:c>
      <x:c r="G21" t="s">
        <x:v>234</x:v>
      </x:c>
      <x:c r="H21" t="s">
        <x:v>235</x:v>
      </x:c>
      <x:c r="J21" t="s">
        <x:v>92</x:v>
      </x:c>
      <x:c r="K21" t="s">
        <x:v>93</x:v>
      </x:c>
    </x:row>
    <x:row r="22">
      <x:c r="B22" t="s">
        <x:v>99</x:v>
      </x:c>
      <x:c r="C22" t="s">
        <x:v>236</x:v>
      </x:c>
      <x:c r="G22" t="s">
        <x:v>237</x:v>
      </x:c>
      <x:c r="H22" t="s">
        <x:v>238</x:v>
      </x:c>
      <x:c r="J22" t="s">
        <x:v>97</x:v>
      </x:c>
      <x:c r="K22" t="s">
        <x:v>98</x:v>
      </x:c>
    </x:row>
    <x:row r="23">
      <x:c r="B23" t="s">
        <x:v>104</x:v>
      </x:c>
      <x:c r="C23" t="s">
        <x:v>239</x:v>
      </x:c>
      <x:c r="G23" t="s">
        <x:v>240</x:v>
      </x:c>
      <x:c r="H23" t="s">
        <x:v>241</x:v>
      </x:c>
      <x:c r="J23" t="s">
        <x:v>102</x:v>
      </x:c>
      <x:c r="K23" t="s">
        <x:v>103</x:v>
      </x:c>
    </x:row>
    <x:row r="24">
      <x:c r="B24" t="s">
        <x:v>109</x:v>
      </x:c>
      <x:c r="C24" t="s">
        <x:v>242</x:v>
      </x:c>
      <x:c r="G24" t="s">
        <x:v>242</x:v>
      </x:c>
      <x:c r="J24" t="s">
        <x:v>107</x:v>
      </x:c>
      <x:c r="K24" t="s">
        <x:v>108</x:v>
      </x:c>
    </x:row>
    <x:row r="25">
      <x:c r="B25" t="s">
        <x:v>115</x:v>
      </x:c>
      <x:c r="C25" t="s">
        <x:v>243</x:v>
      </x:c>
      <x:c r="G25" t="s">
        <x:v>243</x:v>
      </x:c>
      <x:c r="J25" t="s">
        <x:v>113</x:v>
      </x:c>
      <x:c r="K25" t="s">
        <x:v>114</x:v>
      </x:c>
    </x:row>
    <x:row r="26">
      <x:c r="B26" t="s">
        <x:v>118</x:v>
      </x:c>
      <x:c r="C26" t="s">
        <x:v>244</x:v>
      </x:c>
      <x:c r="G26" t="s">
        <x:v>245</x:v>
      </x:c>
      <x:c r="H26" t="s">
        <x:v>246</x:v>
      </x:c>
      <x:c r="J26" t="s">
        <x:v>116</x:v>
      </x:c>
      <x:c r="K26" t="s">
        <x:v>117</x:v>
      </x:c>
    </x:row>
    <x:row r="27">
      <x:c r="B27" t="s">
        <x:v>121</x:v>
      </x:c>
      <x:c r="C27" t="s">
        <x:v>247</x:v>
      </x:c>
      <x:c r="G27" t="s">
        <x:v>248</x:v>
      </x:c>
      <x:c r="H27" t="s">
        <x:v>249</x:v>
      </x:c>
      <x:c r="J27" t="s">
        <x:v>119</x:v>
      </x:c>
      <x:c r="K27" t="s">
        <x:v>120</x:v>
      </x:c>
    </x:row>
    <x:row r="28">
      <x:c r="B28" t="s">
        <x:v>124</x:v>
      </x:c>
      <x:c r="C28" t="s">
        <x:v>250</x:v>
      </x:c>
      <x:c r="G28" t="s">
        <x:v>250</x:v>
      </x:c>
      <x:c r="J28" t="s">
        <x:v>122</x:v>
      </x:c>
      <x:c r="K28" t="s">
        <x:v>123</x:v>
      </x:c>
    </x:row>
    <x:row r="29">
      <x:c r="B29" t="s">
        <x:v>127</x:v>
      </x:c>
      <x:c r="C29" t="s">
        <x:v>251</x:v>
      </x:c>
      <x:c r="G29" t="s">
        <x:v>251</x:v>
      </x:c>
      <x:c r="J29" t="s">
        <x:v>125</x:v>
      </x:c>
      <x:c r="K29" t="s">
        <x:v>126</x:v>
      </x:c>
    </x:row>
    <x:row r="30">
      <x:c r="B30" t="s">
        <x:v>130</x:v>
      </x:c>
      <x:c r="C30" t="s">
        <x:v>252</x:v>
      </x:c>
      <x:c r="G30" t="s">
        <x:v>252</x:v>
      </x:c>
      <x:c r="J30" t="s">
        <x:v>128</x:v>
      </x:c>
      <x:c r="K30" t="s">
        <x:v>129</x:v>
      </x:c>
    </x:row>
    <x:row r="31">
      <x:c r="B31" t="s">
        <x:v>133</x:v>
      </x:c>
      <x:c r="C31" t="s">
        <x:v>253</x:v>
      </x:c>
      <x:c r="G31" t="s">
        <x:v>253</x:v>
      </x:c>
      <x:c r="J31" t="s">
        <x:v>131</x:v>
      </x:c>
      <x:c r="K31" t="s">
        <x:v>132</x:v>
      </x:c>
    </x:row>
    <x:row r="32">
      <x:c r="B32" t="s">
        <x:v>136</x:v>
      </x:c>
      <x:c r="C32" t="s">
        <x:v>254</x:v>
      </x:c>
      <x:c r="G32" t="s">
        <x:v>254</x:v>
      </x:c>
      <x:c r="J32" t="s">
        <x:v>134</x:v>
      </x:c>
      <x:c r="K32" t="s">
        <x:v>135</x:v>
      </x:c>
    </x:row>
    <x:row r="33">
      <x:c r="B33" t="s">
        <x:v>139</x:v>
      </x:c>
      <x:c r="C33" t="s">
        <x:v>255</x:v>
      </x:c>
      <x:c r="G33" t="s">
        <x:v>256</x:v>
      </x:c>
      <x:c r="H33" t="s">
        <x:v>257</x:v>
      </x:c>
      <x:c r="J33" t="s">
        <x:v>137</x:v>
      </x:c>
      <x:c r="K33" t="s">
        <x:v>138</x:v>
      </x:c>
    </x:row>
    <x:row r="34">
      <x:c r="B34" t="s">
        <x:v>142</x:v>
      </x:c>
      <x:c r="C34" t="s">
        <x:v>258</x:v>
      </x:c>
      <x:c r="G34" t="s">
        <x:v>259</x:v>
      </x:c>
      <x:c r="H34" t="s">
        <x:v>260</x:v>
      </x:c>
      <x:c r="J34" t="s">
        <x:v>140</x:v>
      </x:c>
      <x:c r="K34" t="s">
        <x:v>141</x:v>
      </x:c>
    </x:row>
    <x:row r="35">
      <x:c r="B35" t="s">
        <x:v>146</x:v>
      </x:c>
      <x:c r="C35" t="s">
        <x:v>261</x:v>
      </x:c>
      <x:c r="G35" t="s">
        <x:v>262</x:v>
      </x:c>
      <x:c r="H35" t="s">
        <x:v>263</x:v>
      </x:c>
      <x:c r="J35" t="s">
        <x:v>144</x:v>
      </x:c>
      <x:c r="K35" t="s">
        <x:v>145</x:v>
      </x:c>
    </x:row>
    <x:row r="36">
      <x:c r="B36" t="s">
        <x:v>149</x:v>
      </x:c>
      <x:c r="C36" t="s">
        <x:v>264</x:v>
      </x:c>
      <x:c r="G36" t="s">
        <x:v>265</x:v>
      </x:c>
      <x:c r="H36" t="s">
        <x:v>266</x:v>
      </x:c>
      <x:c r="J36" t="s">
        <x:v>147</x:v>
      </x:c>
      <x:c r="K36" t="s">
        <x:v>148</x:v>
      </x:c>
    </x:row>
    <x:row r="37">
      <x:c r="B37" t="s">
        <x:v>152</x:v>
      </x:c>
      <x:c r="C37" t="s">
        <x:v>267</x:v>
      </x:c>
      <x:c r="G37" t="s">
        <x:v>267</x:v>
      </x:c>
      <x:c r="J37" t="s">
        <x:v>150</x:v>
      </x:c>
      <x:c r="K37" t="s">
        <x:v>151</x:v>
      </x:c>
    </x:row>
    <x:row r="38">
      <x:c r="B38" t="s">
        <x:v>155</x:v>
      </x:c>
      <x:c r="C38" t="s">
        <x:v>268</x:v>
      </x:c>
      <x:c r="G38" t="s">
        <x:v>269</x:v>
      </x:c>
      <x:c r="H38" t="s">
        <x:v>270</x:v>
      </x:c>
      <x:c r="J38" t="s">
        <x:v>153</x:v>
      </x:c>
      <x:c r="K38" t="s">
        <x:v>154</x:v>
      </x:c>
    </x:row>
    <x:row r="39">
      <x:c r="B39" t="s">
        <x:v>158</x:v>
      </x:c>
      <x:c r="C39" t="s">
        <x:v>271</x:v>
      </x:c>
      <x:c r="G39" t="s">
        <x:v>271</x:v>
      </x:c>
      <x:c r="J39" t="s">
        <x:v>156</x:v>
      </x:c>
      <x:c r="K39" t="s">
        <x:v>157</x:v>
      </x:c>
    </x:row>
    <x:row r="40">
      <x:c r="B40" t="s">
        <x:v>161</x:v>
      </x:c>
      <x:c r="C40" t="s">
        <x:v>272</x:v>
      </x:c>
      <x:c r="G40" t="s">
        <x:v>272</x:v>
      </x:c>
      <x:c r="J40" t="s">
        <x:v>159</x:v>
      </x:c>
      <x:c r="K40" t="s">
        <x:v>160</x:v>
      </x:c>
    </x:row>
    <x:row r="41">
      <x:c r="B41" t="s">
        <x:v>164</x:v>
      </x:c>
      <x:c r="C41" t="s">
        <x:v>273</x:v>
      </x:c>
      <x:c r="G41" t="s">
        <x:v>274</x:v>
      </x:c>
      <x:c r="H41" t="s">
        <x:v>275</x:v>
      </x:c>
      <x:c r="J41" t="s">
        <x:v>162</x:v>
      </x:c>
      <x:c r="K41" t="s">
        <x:v>163</x:v>
      </x:c>
    </x:row>
    <x:row r="42">
      <x:c r="B42" t="s">
        <x:v>167</x:v>
      </x:c>
      <x:c r="C42" t="s">
        <x:v>276</x:v>
      </x:c>
      <x:c r="G42" t="s">
        <x:v>276</x:v>
      </x:c>
      <x:c r="J42" t="s">
        <x:v>165</x:v>
      </x:c>
      <x:c r="K42" t="s">
        <x:v>166</x:v>
      </x:c>
    </x:row>
    <x:row r="43">
      <x:c r="B43" t="s">
        <x:v>170</x:v>
      </x:c>
      <x:c r="C43" t="s">
        <x:v>277</x:v>
      </x:c>
      <x:c r="G43" t="s">
        <x:v>277</x:v>
      </x:c>
      <x:c r="J43" t="s">
        <x:v>168</x:v>
      </x:c>
      <x:c r="K43" t="s">
        <x:v>169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278</x:v>
      </x:c>
      <x:c r="E1" s="1" t="s">
        <x:v>279</x:v>
      </x:c>
      <x:c r="F1" s="1" t="s">
        <x:v>280</x:v>
      </x:c>
      <x:c r="G1" s="1" t="s">
        <x:v>281</x:v>
      </x:c>
      <x:c r="H1" s="1" t="s">
        <x:v>282</x:v>
      </x:c>
      <x:c r="I1" t="s">
        <x:v>9</x:v>
      </x:c>
      <x:c r="J1"/>
    </x:row>
    <x:row r="2" ht="36" customHeight="1">
      <x:c r="A2" s="1" t="s">
        <x:v>10</x:v>
      </x:c>
      <x:c r="B2" s="1" t="s">
        <x:v>283</x:v>
      </x:c>
      <x:c r="C2" s="1" t="s">
        <x:v>284</x:v>
      </x:c>
      <x:c r="D2" s="1" t="s">
        <x:v>285</x:v>
      </x:c>
      <x:c r="E2" s="1" t="s">
        <x:v>286</x:v>
      </x:c>
      <x:c r="F2" s="1" t="s">
        <x:v>287</x:v>
      </x:c>
      <x:c r="G2" s="1" t="s">
        <x:v>288</x:v>
      </x:c>
      <x:c r="H2" s="1" t="s">
        <x:v>289</x:v>
      </x:c>
      <x:c r="I2" s="35" t="s">
        <x:v>290</x:v>
      </x:c>
      <x:c r="J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291</x:v>
      </x:c>
      <x:c r="F3" s="1" t="s">
        <x:v>24</x:v>
      </x:c>
      <x:c r="G3" s="1" t="s">
        <x:v>292</x:v>
      </x:c>
      <x:c r="H3" s="1" t="s">
        <x:v>21</x:v>
      </x:c>
      <x:c r="I3" t="s">
        <x:v>22</x:v>
      </x:c>
      <x:c r="J3"/>
    </x:row>
    <x:row r="4">
      <x:c r="B4" s="1" t="s">
        <x:v>293</x:v>
      </x:c>
      <x:c r="C4" s="1" t="s">
        <x:v>294</x:v>
      </x:c>
      <x:c r="D4" s="1" t="s">
        <x:v>295</x:v>
      </x:c>
      <x:c r="E4" s="1" t="s">
        <x:v>296</x:v>
      </x:c>
      <x:c r="G4" s="1" t="s">
        <x:v>297</x:v>
      </x:c>
      <x:c r="I4" s="1">
        <x:v>10</x:v>
      </x:c>
      <x:c r="J4" t="s">
        <x:v>298</x:v>
      </x:c>
    </x:row>
    <x:row r="5">
      <x:c r="B5" s="1" t="s">
        <x:v>299</x:v>
      </x:c>
      <x:c r="C5" s="1" t="s">
        <x:v>300</x:v>
      </x:c>
      <x:c r="D5" s="1" t="s">
        <x:v>301</x:v>
      </x:c>
      <x:c r="E5" s="1" t="s">
        <x:v>296</x:v>
      </x:c>
      <x:c r="G5" s="1" t="s">
        <x:v>302</x:v>
      </x:c>
      <x:c r="I5" s="1">
        <x:v>40</x:v>
      </x:c>
      <x:c r="J5" t="s">
        <x:v>303</x:v>
      </x:c>
    </x:row>
    <x:row r="6" ht="34">
      <x:c r="B6" s="1" t="s">
        <x:v>304</x:v>
      </x:c>
      <x:c r="C6" s="1" t="s">
        <x:v>305</x:v>
      </x:c>
      <x:c r="D6" s="19" t="s">
        <x:v>306</x:v>
      </x:c>
      <x:c r="E6" s="1" t="s">
        <x:v>307</x:v>
      </x:c>
      <x:c r="G6" s="1">
        <x:v>10</x:v>
      </x:c>
      <x:c r="I6" s="1">
        <x:v>60</x:v>
      </x:c>
      <x:c r="J6" t="s">
        <x:v>308</x:v>
      </x:c>
    </x:row>
    <x:row r="7">
      <x:c r="B7" s="1" t="s">
        <x:v>309</x:v>
      </x:c>
      <x:c r="C7" s="1" t="s">
        <x:v>310</x:v>
      </x:c>
      <x:c r="D7" s="1" t="s">
        <x:v>311</x:v>
      </x:c>
      <x:c r="E7" s="1" t="s">
        <x:v>312</x:v>
      </x:c>
      <x:c r="G7" s="1" t="s">
        <x:v>297</x:v>
      </x:c>
      <x:c r="I7" s="1">
        <x:v>50</x:v>
      </x:c>
      <x:c r="J7" t="s">
        <x:v>313</x:v>
      </x:c>
    </x:row>
    <x:row r="8" ht="34">
      <x:c r="B8" s="34" t="s">
        <x:v>314</x:v>
      </x:c>
      <x:c r="C8" s="34" t="s">
        <x:v>315</x:v>
      </x:c>
      <x:c r="D8" s="24" t="s">
        <x:v>316</x:v>
      </x:c>
      <x:c r="E8" s="34" t="s">
        <x:v>317</x:v>
      </x:c>
      <x:c r="F8" s="34"/>
      <x:c r="G8" s="34" t="s">
        <x:v>318</x:v>
      </x:c>
      <x:c r="H8" s="34"/>
      <x:c r="I8">
        <x:v>20</x:v>
      </x:c>
      <x:c r="J8"/>
    </x:row>
    <x:row r="9" ht="34">
      <x:c r="B9" s="34" t="s">
        <x:v>319</x:v>
      </x:c>
      <x:c r="C9" s="34" t="s">
        <x:v>320</x:v>
      </x:c>
      <x:c r="D9" s="24" t="s">
        <x:v>321</x:v>
      </x:c>
      <x:c r="E9" s="34" t="s">
        <x:v>322</x:v>
      </x:c>
      <x:c r="F9" s="34"/>
      <x:c r="G9" s="34">
        <x:v>20</x:v>
      </x:c>
      <x:c r="H9" s="34"/>
      <x:c r="I9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323</x:v>
      </x:c>
      <x:c r="D1" t="s">
        <x:v>324</x:v>
      </x:c>
      <x:c r="E1" t="s">
        <x:v>6</x:v>
      </x:c>
      <x:c r="F1" t="s">
        <x:v>279</x:v>
      </x:c>
      <x:c r="G1" t="s">
        <x:v>325</x:v>
      </x:c>
      <x:c r="H1" t="s">
        <x:v>278</x:v>
      </x:c>
    </x:row>
    <x:row r="2">
      <x:c r="A2" t="s">
        <x:v>10</x:v>
      </x:c>
      <x:c r="B2" t="s">
        <x:v>326</x:v>
      </x:c>
      <x:c r="C2" t="s">
        <x:v>327</x:v>
      </x:c>
      <x:c r="D2" t="s">
        <x:v>328</x:v>
      </x:c>
      <x:c r="E2" t="s">
        <x:v>329</x:v>
      </x:c>
      <x:c r="F2" t="s">
        <x:v>330</x:v>
      </x:c>
      <x:c r="G2" t="s">
        <x:v>331</x:v>
      </x:c>
      <x:c r="H2" t="s">
        <x:v>332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333</x:v>
      </x:c>
      <x:c r="G3" t="s">
        <x:v>193</x:v>
      </x:c>
      <x:c r="H3" t="s">
        <x:v>21</x:v>
      </x:c>
    </x:row>
    <x:row r="4">
      <x:c r="B4" t="s">
        <x:v>334</x:v>
      </x:c>
      <x:c r="C4">
        <x:v>0</x:v>
      </x:c>
      <x:c r="D4">
        <x:v>1</x:v>
      </x:c>
      <x:c r="E4" t="s">
        <x:v>46</x:v>
      </x:c>
      <x:c r="F4" t="s">
        <x:v>335</x:v>
      </x:c>
      <x:c r="G4">
        <x:v>3</x:v>
      </x:c>
      <x:c r="H4" t="s">
        <x:v>336</x:v>
      </x:c>
    </x:row>
    <x:row r="5">
      <x:c r="B5" t="s">
        <x:v>337</x:v>
      </x:c>
      <x:c r="C5">
        <x:v>1</x:v>
      </x:c>
      <x:c r="D5">
        <x:v>50</x:v>
      </x:c>
      <x:c r="E5" t="s">
        <x:v>46</x:v>
      </x:c>
      <x:c r="F5" t="s">
        <x:v>338</x:v>
      </x:c>
      <x:c r="G5">
        <x:v>0.05</x:v>
      </x:c>
      <x:c r="H5" t="s">
        <x:v>339</x:v>
      </x:c>
      <x:c r="L5">
        <x:v>8</x:v>
      </x:c>
      <x:c r="M5">
        <x:v>30</x:v>
      </x:c>
    </x:row>
    <x:row r="6">
      <x:c r="B6" t="s">
        <x:v>340</x:v>
      </x:c>
      <x:c r="C6">
        <x:v>2</x:v>
      </x:c>
      <x:c r="D6">
        <x:v>100</x:v>
      </x:c>
      <x:c r="E6" t="s">
        <x:v>46</x:v>
      </x:c>
      <x:c r="F6" t="s">
        <x:v>341</x:v>
      </x:c>
      <x:c r="G6">
        <x:v>0.02</x:v>
      </x:c>
      <x:c r="H6" t="s">
        <x:v>342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343</x:v>
      </x:c>
      <x:c r="D1" s="1" t="s">
        <x:v>344</x:v>
      </x:c>
      <x:c r="E1" s="1" t="s">
        <x:v>345</x:v>
      </x:c>
      <x:c r="F1" s="1" t="s">
        <x:v>346</x:v>
      </x:c>
      <x:c r="G1" s="1" t="s">
        <x:v>347</x:v>
      </x:c>
      <x:c r="H1" s="1" t="s">
        <x:v>348</x:v>
      </x:c>
      <x:c r="I1" s="1" t="s">
        <x:v>349</x:v>
      </x:c>
      <x:c r="J1" s="1" t="s">
        <x:v>350</x:v>
      </x:c>
      <x:c r="K1" s="1" t="s">
        <x:v>351</x:v>
      </x:c>
      <x:c r="L1" s="1" t="s">
        <x:v>352</x:v>
      </x:c>
      <x:c r="M1" s="1" t="s">
        <x:v>353</x:v>
      </x:c>
      <x:c r="N1" s="1" t="s">
        <x:v>354</x:v>
      </x:c>
      <x:c r="O1" s="1" t="s">
        <x:v>355</x:v>
      </x:c>
      <x:c r="P1" s="1" t="s">
        <x:v>282</x:v>
      </x:c>
      <x:c r="Q1" s="1"/>
      <x:c r="R1"/>
      <x:c r="S1"/>
      <x:c r="T1"/>
    </x:row>
    <x:row r="2">
      <x:c r="A2" s="1" t="s">
        <x:v>10</x:v>
      </x:c>
      <x:c r="B2" s="1" t="s">
        <x:v>356</x:v>
      </x:c>
      <x:c r="C2" s="1" t="s">
        <x:v>357</x:v>
      </x:c>
      <x:c r="D2" s="1" t="s">
        <x:v>358</x:v>
      </x:c>
      <x:c r="E2" s="1" t="s">
        <x:v>359</x:v>
      </x:c>
      <x:c r="F2" s="1" t="s">
        <x:v>360</x:v>
      </x:c>
      <x:c r="G2" s="1" t="s">
        <x:v>361</x:v>
      </x:c>
      <x:c r="H2" s="1" t="s">
        <x:v>362</x:v>
      </x:c>
      <x:c r="I2" s="1" t="s">
        <x:v>363</x:v>
      </x:c>
      <x:c r="J2" s="1" t="s">
        <x:v>364</x:v>
      </x:c>
      <x:c r="K2" s="1" t="s">
        <x:v>365</x:v>
      </x:c>
      <x:c r="L2" s="1" t="s">
        <x:v>366</x:v>
      </x:c>
      <x:c r="M2" s="1" t="s">
        <x:v>367</x:v>
      </x:c>
      <x:c r="N2" s="1" t="s">
        <x:v>368</x:v>
      </x:c>
      <x:c r="O2" s="1" t="s">
        <x:v>369</x:v>
      </x:c>
      <x:c r="P2" s="1" t="s">
        <x:v>370</x:v>
      </x:c>
      <x:c r="Q2" s="1"/>
      <x:c r="R2"/>
      <x:c r="S2"/>
      <x:c r="T2"/>
    </x:row>
    <x:row r="3">
      <x:c r="A3" s="1" t="s">
        <x:v>20</x:v>
      </x:c>
      <x:c r="B3" s="1" t="s">
        <x:v>21</x:v>
      </x:c>
      <x:c r="C3" s="1" t="s">
        <x:v>371</x:v>
      </x:c>
      <x:c r="D3" s="1" t="s">
        <x:v>372</x:v>
      </x:c>
      <x:c r="E3" s="1" t="s">
        <x:v>373</x:v>
      </x:c>
      <x:c r="F3" s="1" t="s">
        <x:v>374</x:v>
      </x:c>
      <x:c r="G3" s="1" t="s">
        <x:v>375</x:v>
      </x:c>
      <x:c r="H3" s="1" t="s">
        <x:v>21</x:v>
      </x:c>
      <x:c r="I3" s="1" t="s">
        <x:v>333</x:v>
      </x:c>
      <x:c r="J3" s="1" t="s">
        <x:v>373</x:v>
      </x:c>
      <x:c r="K3" s="1" t="s">
        <x:v>22</x:v>
      </x:c>
      <x:c r="L3" s="1" t="s">
        <x:v>292</x:v>
      </x:c>
      <x:c r="M3" s="1" t="s">
        <x:v>24</x:v>
      </x:c>
      <x:c r="N3" s="1" t="s">
        <x:v>23</x:v>
      </x:c>
      <x:c r="O3" s="1" t="s">
        <x:v>21</x:v>
      </x:c>
      <x:c r="P3" s="1" t="s">
        <x:v>21</x:v>
      </x:c>
      <x:c r="Q3" s="1"/>
      <x:c r="R3" t="s">
        <x:v>376</x:v>
      </x:c>
      <x:c r="S3" s="1" t="s">
        <x:v>376</x:v>
      </x:c>
      <x:c r="T3"/>
    </x:row>
    <x:row r="4" ht="34">
      <x:c r="A4"/>
      <x:c r="B4" s="1" t="s">
        <x:v>206</x:v>
      </x:c>
      <x:c r="C4" s="1" t="s">
        <x:v>377</x:v>
      </x:c>
      <x:c r="D4" s="1" t="s">
        <x:v>378</x:v>
      </x:c>
      <x:c r="E4" s="1" t="s">
        <x:v>379</x:v>
      </x:c>
      <x:c r="F4" s="1" t="s">
        <x:v>380</x:v>
      </x:c>
      <x:c r="G4" s="1" t="s">
        <x:v>381</x:v>
      </x:c>
      <x:c r="H4"/>
      <x:c r="I4" s="1" t="s">
        <x:v>335</x:v>
      </x:c>
      <x:c r="J4" s="1" t="s">
        <x:v>382</x:v>
      </x:c>
      <x:c r="K4" s="1">
        <x:v>0</x:v>
      </x:c>
      <x:c r="L4" s="1">
        <x:v>10</x:v>
      </x:c>
      <x:c r="M4"/>
      <x:c r="N4" s="1" t="s">
        <x:v>383</x:v>
      </x:c>
      <x:c r="O4" s="1" t="s">
        <x:v>384</x:v>
      </x:c>
      <x:c r="P4" s="19"/>
      <x:c r="Q4"/>
      <x:c r="R4" t="s">
        <x:v>198</x:v>
      </x:c>
      <x:c r="S4" s="33" t="s">
        <x:v>382</x:v>
      </x:c>
      <x:c r="T4"/>
    </x:row>
    <x:row r="5" ht="34">
      <x:c r="A5"/>
      <x:c r="B5" s="1" t="s">
        <x:v>207</x:v>
      </x:c>
      <x:c r="C5" s="1" t="s">
        <x:v>377</x:v>
      </x:c>
      <x:c r="D5" s="1" t="s">
        <x:v>378</x:v>
      </x:c>
      <x:c r="E5" s="1" t="s">
        <x:v>379</x:v>
      </x:c>
      <x:c r="F5" s="1" t="s">
        <x:v>380</x:v>
      </x:c>
      <x:c r="G5" s="1" t="s">
        <x:v>381</x:v>
      </x:c>
      <x:c r="H5"/>
      <x:c r="I5" s="1" t="s">
        <x:v>338</x:v>
      </x:c>
      <x:c r="J5" s="1" t="s">
        <x:v>385</x:v>
      </x:c>
      <x:c r="K5" s="1">
        <x:v>0</x:v>
      </x:c>
      <x:c r="L5" s="1">
        <x:v>0.5</x:v>
      </x:c>
      <x:c r="M5"/>
      <x:c r="N5" s="1" t="s">
        <x:v>383</x:v>
      </x:c>
      <x:c r="O5" s="1" t="s">
        <x:v>386</x:v>
      </x:c>
      <x:c r="P5" s="19"/>
      <x:c r="Q5"/>
      <x:c r="R5" t="s">
        <x:v>199</x:v>
      </x:c>
      <x:c r="S5" s="33" t="s">
        <x:v>385</x:v>
      </x:c>
      <x:c r="T5"/>
    </x:row>
    <x:row r="6" ht="34">
      <x:c r="A6"/>
      <x:c r="B6" s="1" t="s">
        <x:v>208</x:v>
      </x:c>
      <x:c r="C6" s="1" t="s">
        <x:v>377</x:v>
      </x:c>
      <x:c r="D6" s="1" t="s">
        <x:v>378</x:v>
      </x:c>
      <x:c r="E6" s="1" t="s">
        <x:v>379</x:v>
      </x:c>
      <x:c r="F6" s="1" t="s">
        <x:v>380</x:v>
      </x:c>
      <x:c r="G6" s="1" t="s">
        <x:v>381</x:v>
      </x:c>
      <x:c r="H6"/>
      <x:c r="I6" s="1" t="s">
        <x:v>335</x:v>
      </x:c>
      <x:c r="J6" s="1" t="s">
        <x:v>387</x:v>
      </x:c>
      <x:c r="K6" s="1">
        <x:v>0</x:v>
      </x:c>
      <x:c r="L6" s="1">
        <x:v>10</x:v>
      </x:c>
      <x:c r="M6"/>
      <x:c r="N6" s="1" t="s">
        <x:v>383</x:v>
      </x:c>
      <x:c r="O6" s="1" t="s">
        <x:v>384</x:v>
      </x:c>
      <x:c r="P6" s="19"/>
      <x:c r="Q6"/>
      <x:c r="R6" t="s">
        <x:v>200</x:v>
      </x:c>
      <x:c r="S6" s="33" t="s">
        <x:v>387</x:v>
      </x:c>
      <x:c r="T6"/>
    </x:row>
    <x:row r="7" ht="34">
      <x:c r="A7"/>
      <x:c r="B7" s="1" t="s">
        <x:v>209</x:v>
      </x:c>
      <x:c r="C7" s="1" t="s">
        <x:v>377</x:v>
      </x:c>
      <x:c r="D7" s="1" t="s">
        <x:v>378</x:v>
      </x:c>
      <x:c r="E7" s="1" t="s">
        <x:v>379</x:v>
      </x:c>
      <x:c r="F7" s="1" t="s">
        <x:v>380</x:v>
      </x:c>
      <x:c r="G7" s="1" t="s">
        <x:v>381</x:v>
      </x:c>
      <x:c r="H7"/>
      <x:c r="I7" s="1" t="s">
        <x:v>338</x:v>
      </x:c>
      <x:c r="J7" s="1" t="s">
        <x:v>388</x:v>
      </x:c>
      <x:c r="K7" s="1">
        <x:v>0</x:v>
      </x:c>
      <x:c r="L7" s="1">
        <x:v>0.5</x:v>
      </x:c>
      <x:c r="M7"/>
      <x:c r="N7" s="1" t="s">
        <x:v>383</x:v>
      </x:c>
      <x:c r="O7" s="1" t="s">
        <x:v>386</x:v>
      </x:c>
      <x:c r="P7" s="19"/>
      <x:c r="Q7"/>
      <x:c r="R7" t="s">
        <x:v>201</x:v>
      </x:c>
      <x:c r="S7" s="33" t="s">
        <x:v>388</x:v>
      </x:c>
      <x:c r="T7"/>
    </x:row>
    <x:row r="8" ht="34">
      <x:c r="A8"/>
      <x:c r="B8" s="1" t="s">
        <x:v>210</x:v>
      </x:c>
      <x:c r="C8" s="1" t="s">
        <x:v>377</x:v>
      </x:c>
      <x:c r="D8" s="1" t="s">
        <x:v>389</x:v>
      </x:c>
      <x:c r="E8" s="1" t="s">
        <x:v>390</x:v>
      </x:c>
      <x:c r="F8" s="1" t="s">
        <x:v>380</x:v>
      </x:c>
      <x:c r="G8" s="1" t="s">
        <x:v>381</x:v>
      </x:c>
      <x:c r="H8"/>
      <x:c r="I8" s="1" t="s">
        <x:v>338</x:v>
      </x:c>
      <x:c r="J8" s="1" t="s">
        <x:v>390</x:v>
      </x:c>
      <x:c r="K8" s="1">
        <x:v>0</x:v>
      </x:c>
      <x:c r="L8" s="1">
        <x:v>1.5</x:v>
      </x:c>
      <x:c r="M8"/>
      <x:c r="N8" s="1" t="s">
        <x:v>383</x:v>
      </x:c>
      <x:c r="O8" s="1" t="s">
        <x:v>391</x:v>
      </x:c>
      <x:c r="P8" s="19"/>
      <x:c r="Q8"/>
      <x:c r="R8" t="s">
        <x:v>41</x:v>
      </x:c>
      <x:c r="S8" s="33" t="s">
        <x:v>390</x:v>
      </x:c>
      <x:c r="T8"/>
    </x:row>
    <x:row r="9" ht="34">
      <x:c r="A9"/>
      <x:c r="B9" s="1" t="s">
        <x:v>211</x:v>
      </x:c>
      <x:c r="C9" s="1" t="s">
        <x:v>377</x:v>
      </x:c>
      <x:c r="D9" s="1" t="s">
        <x:v>392</x:v>
      </x:c>
      <x:c r="E9" s="1" t="s">
        <x:v>390</x:v>
      </x:c>
      <x:c r="F9" s="1" t="s">
        <x:v>380</x:v>
      </x:c>
      <x:c r="G9" s="1" t="s">
        <x:v>393</x:v>
      </x:c>
      <x:c r="H9"/>
      <x:c r="I9" s="1" t="s">
        <x:v>394</x:v>
      </x:c>
      <x:c r="J9" s="1" t="s">
        <x:v>395</x:v>
      </x:c>
      <x:c r="K9" s="1">
        <x:v>0</x:v>
      </x:c>
      <x:c r="L9" s="1">
        <x:v>2</x:v>
      </x:c>
      <x:c r="M9"/>
      <x:c r="N9" s="1" t="s">
        <x:v>383</x:v>
      </x:c>
      <x:c r="O9" s="1" t="s">
        <x:v>396</x:v>
      </x:c>
      <x:c r="P9" s="19" t="s">
        <x:v>397</x:v>
      </x:c>
      <x:c r="Q9"/>
      <x:c r="R9" t="s">
        <x:v>44</x:v>
      </x:c>
      <x:c r="S9" s="33" t="s">
        <x:v>398</x:v>
      </x:c>
      <x:c r="T9"/>
    </x:row>
    <x:row r="10" ht="34">
      <x:c r="A10"/>
      <x:c r="B10" s="1" t="s">
        <x:v>212</x:v>
      </x:c>
      <x:c r="C10" s="1" t="s">
        <x:v>377</x:v>
      </x:c>
      <x:c r="D10" s="1" t="s">
        <x:v>399</x:v>
      </x:c>
      <x:c r="E10" s="1" t="s">
        <x:v>385</x:v>
      </x:c>
      <x:c r="F10" s="1" t="s">
        <x:v>380</x:v>
      </x:c>
      <x:c r="G10" s="1" t="s">
        <x:v>393</x:v>
      </x:c>
      <x:c r="H10"/>
      <x:c r="I10" s="1" t="s">
        <x:v>338</x:v>
      </x:c>
      <x:c r="J10" s="1" t="s">
        <x:v>385</x:v>
      </x:c>
      <x:c r="K10" s="1">
        <x:v>0</x:v>
      </x:c>
      <x:c r="L10" s="1">
        <x:v>0.8</x:v>
      </x:c>
      <x:c r="M10"/>
      <x:c r="N10" s="1" t="s">
        <x:v>383</x:v>
      </x:c>
      <x:c r="O10" s="1" t="s">
        <x:v>400</x:v>
      </x:c>
      <x:c r="P10" s="19"/>
      <x:c r="Q10"/>
      <x:c r="R10" t="s">
        <x:v>48</x:v>
      </x:c>
      <x:c r="S10" s="33" t="s">
        <x:v>385</x:v>
      </x:c>
      <x:c r="T10"/>
    </x:row>
    <x:row r="11" ht="34">
      <x:c r="A11"/>
      <x:c r="B11" s="1" t="s">
        <x:v>214</x:v>
      </x:c>
      <x:c r="C11" s="1" t="s">
        <x:v>377</x:v>
      </x:c>
      <x:c r="D11" s="1" t="s">
        <x:v>392</x:v>
      </x:c>
      <x:c r="E11" s="1" t="s">
        <x:v>382</x:v>
      </x:c>
      <x:c r="F11" s="1" t="s">
        <x:v>380</x:v>
      </x:c>
      <x:c r="G11" s="1" t="s">
        <x:v>393</x:v>
      </x:c>
      <x:c r="H11"/>
      <x:c r="I11" s="1" t="s">
        <x:v>335</x:v>
      </x:c>
      <x:c r="J11" s="1" t="s">
        <x:v>382</x:v>
      </x:c>
      <x:c r="K11" s="1">
        <x:v>0</x:v>
      </x:c>
      <x:c r="L11" s="1">
        <x:v>6</x:v>
      </x:c>
      <x:c r="M11"/>
      <x:c r="N11" s="1" t="s">
        <x:v>383</x:v>
      </x:c>
      <x:c r="O11" s="1" t="s">
        <x:v>401</x:v>
      </x:c>
      <x:c r="P11" s="19"/>
      <x:c r="Q11"/>
      <x:c r="R11" t="s">
        <x:v>51</x:v>
      </x:c>
      <x:c r="S11" s="33" t="s">
        <x:v>382</x:v>
      </x:c>
      <x:c r="T11"/>
    </x:row>
    <x:row r="12" ht="17">
      <x:c r="A12"/>
      <x:c r="B12" s="1" t="s">
        <x:v>215</x:v>
      </x:c>
      <x:c r="C12" s="1" t="s">
        <x:v>377</x:v>
      </x:c>
      <x:c r="D12" s="1" t="s">
        <x:v>378</x:v>
      </x:c>
      <x:c r="E12" s="1" t="s">
        <x:v>402</x:v>
      </x:c>
      <x:c r="F12" s="1" t="s">
        <x:v>380</x:v>
      </x:c>
      <x:c r="G12" s="1" t="s">
        <x:v>381</x:v>
      </x:c>
      <x:c r="H12"/>
      <x:c r="I12" s="1" t="s">
        <x:v>403</x:v>
      </x:c>
      <x:c r="J12" s="1" t="s">
        <x:v>404</x:v>
      </x:c>
      <x:c r="K12" s="1">
        <x:v>1</x:v>
      </x:c>
      <x:c r="L12" s="1">
        <x:v>0</x:v>
      </x:c>
      <x:c r="M12"/>
      <x:c r="N12" s="1" t="s">
        <x:v>27</x:v>
      </x:c>
      <x:c r="O12" s="1" t="s">
        <x:v>405</x:v>
      </x:c>
      <x:c r="P12" s="19" t="s">
        <x:v>406</x:v>
      </x:c>
      <x:c r="Q12"/>
      <x:c r="R12" t="s">
        <x:v>51</x:v>
      </x:c>
      <x:c r="S12" s="33" t="s">
        <x:v>404</x:v>
      </x:c>
      <x:c r="T12"/>
    </x:row>
    <x:row r="13" ht="17">
      <x:c r="A13"/>
      <x:c r="B13" s="1" t="s">
        <x:v>217</x:v>
      </x:c>
      <x:c r="C13" s="1" t="s">
        <x:v>377</x:v>
      </x:c>
      <x:c r="D13" s="1" t="s">
        <x:v>378</x:v>
      </x:c>
      <x:c r="E13" s="1" t="s">
        <x:v>390</x:v>
      </x:c>
      <x:c r="F13" s="1" t="s">
        <x:v>380</x:v>
      </x:c>
      <x:c r="G13" s="1" t="s">
        <x:v>381</x:v>
      </x:c>
      <x:c r="H13"/>
      <x:c r="I13" s="1" t="s">
        <x:v>335</x:v>
      </x:c>
      <x:c r="J13" s="1" t="s">
        <x:v>390</x:v>
      </x:c>
      <x:c r="K13" s="1">
        <x:v>0</x:v>
      </x:c>
      <x:c r="L13" s="1">
        <x:v>10</x:v>
      </x:c>
      <x:c r="M13"/>
      <x:c r="N13" s="1" t="s">
        <x:v>383</x:v>
      </x:c>
      <x:c r="O13" s="1" t="s">
        <x:v>407</x:v>
      </x:c>
      <x:c r="P13" s="19"/>
      <x:c r="Q13"/>
      <x:c r="R13" t="s">
        <x:v>54</x:v>
      </x:c>
      <x:c r="S13" s="33" t="s">
        <x:v>390</x:v>
      </x:c>
      <x:c r="T13"/>
    </x:row>
    <x:row r="14">
      <x:c r="A14"/>
      <x:c r="B14" s="1" t="s">
        <x:v>218</x:v>
      </x:c>
      <x:c r="C14" s="1" t="s">
        <x:v>377</x:v>
      </x:c>
      <x:c r="D14" s="1" t="s">
        <x:v>378</x:v>
      </x:c>
      <x:c r="E14" s="1" t="s">
        <x:v>379</x:v>
      </x:c>
      <x:c r="F14" s="1" t="s">
        <x:v>380</x:v>
      </x:c>
      <x:c r="G14" s="1" t="s">
        <x:v>381</x:v>
      </x:c>
      <x:c r="H14"/>
      <x:c r="I14" s="1" t="s">
        <x:v>394</x:v>
      </x:c>
      <x:c r="J14" s="1" t="s">
        <x:v>395</x:v>
      </x:c>
      <x:c r="K14" s="1">
        <x:v>0</x:v>
      </x:c>
      <x:c r="L14" s="1">
        <x:v>6</x:v>
      </x:c>
      <x:c r="M14"/>
      <x:c r="N14" s="1" t="s">
        <x:v>383</x:v>
      </x:c>
      <x:c r="O14" s="1" t="s">
        <x:v>408</x:v>
      </x:c>
      <x:c r="P14" s="1" t="s">
        <x:v>397</x:v>
      </x:c>
      <x:c r="Q14"/>
      <x:c r="R14" t="s">
        <x:v>54</x:v>
      </x:c>
      <x:c r="S14" s="33" t="s">
        <x:v>398</x:v>
      </x:c>
      <x:c r="T14"/>
    </x:row>
    <x:row r="15" ht="34">
      <x:c r="A15"/>
      <x:c r="B15" s="1" t="s">
        <x:v>219</x:v>
      </x:c>
      <x:c r="C15" s="1" t="s">
        <x:v>377</x:v>
      </x:c>
      <x:c r="D15" s="1" t="s">
        <x:v>399</x:v>
      </x:c>
      <x:c r="E15" s="1" t="s">
        <x:v>385</x:v>
      </x:c>
      <x:c r="F15" s="1" t="s">
        <x:v>380</x:v>
      </x:c>
      <x:c r="G15" s="1" t="s">
        <x:v>393</x:v>
      </x:c>
      <x:c r="H15"/>
      <x:c r="I15" s="1" t="s">
        <x:v>394</x:v>
      </x:c>
      <x:c r="J15" s="1" t="s">
        <x:v>395</x:v>
      </x:c>
      <x:c r="K15" s="1">
        <x:v>0</x:v>
      </x:c>
      <x:c r="L15" s="1">
        <x:v>2</x:v>
      </x:c>
      <x:c r="M15"/>
      <x:c r="N15" s="1" t="s">
        <x:v>383</x:v>
      </x:c>
      <x:c r="O15" s="1" t="s">
        <x:v>409</x:v>
      </x:c>
      <x:c r="P15" s="19" t="s">
        <x:v>397</x:v>
      </x:c>
      <x:c r="Q15"/>
      <x:c r="R15" t="s">
        <x:v>58</x:v>
      </x:c>
      <x:c r="S15" s="33" t="s">
        <x:v>398</x:v>
      </x:c>
      <x:c r="T15"/>
    </x:row>
    <x:row r="16">
      <x:c r="A16"/>
      <x:c r="B16" s="1" t="s">
        <x:v>221</x:v>
      </x:c>
      <x:c r="C16" s="1" t="s">
        <x:v>377</x:v>
      </x:c>
      <x:c r="D16" s="1" t="s">
        <x:v>378</x:v>
      </x:c>
      <x:c r="E16" s="1" t="s">
        <x:v>379</x:v>
      </x:c>
      <x:c r="F16" s="1" t="s">
        <x:v>380</x:v>
      </x:c>
      <x:c r="G16" s="1" t="s">
        <x:v>381</x:v>
      </x:c>
      <x:c r="H16"/>
      <x:c r="I16" s="1" t="s">
        <x:v>338</x:v>
      </x:c>
      <x:c r="J16" s="1" t="s">
        <x:v>388</x:v>
      </x:c>
      <x:c r="K16" s="1">
        <x:v>0</x:v>
      </x:c>
      <x:c r="L16" s="1">
        <x:v>0.4</x:v>
      </x:c>
      <x:c r="M16"/>
      <x:c r="N16" s="1" t="s">
        <x:v>383</x:v>
      </x:c>
      <x:c r="O16" s="1" t="s">
        <x:v>410</x:v>
      </x:c>
      <x:c r="P16" s="1"/>
      <x:c r="Q16"/>
      <x:c r="R16" t="s">
        <x:v>62</x:v>
      </x:c>
      <x:c r="S16" s="33" t="s">
        <x:v>388</x:v>
      </x:c>
      <x:c r="T16"/>
    </x:row>
    <x:row r="17" ht="17">
      <x:c r="A17"/>
      <x:c r="B17" s="1" t="s">
        <x:v>222</x:v>
      </x:c>
      <x:c r="C17" s="1" t="s">
        <x:v>377</x:v>
      </x:c>
      <x:c r="D17" s="1" t="s">
        <x:v>378</x:v>
      </x:c>
      <x:c r="E17" s="1" t="s">
        <x:v>411</x:v>
      </x:c>
      <x:c r="F17" s="1" t="s">
        <x:v>380</x:v>
      </x:c>
      <x:c r="G17" s="1" t="s">
        <x:v>381</x:v>
      </x:c>
      <x:c r="H17"/>
      <x:c r="I17" s="1" t="s">
        <x:v>403</x:v>
      </x:c>
      <x:c r="J17" s="1" t="s">
        <x:v>404</x:v>
      </x:c>
      <x:c r="K17" s="1">
        <x:v>2</x:v>
      </x:c>
      <x:c r="L17" s="1">
        <x:v>0</x:v>
      </x:c>
      <x:c r="M17"/>
      <x:c r="N17" s="1" t="s">
        <x:v>27</x:v>
      </x:c>
      <x:c r="O17" s="1" t="s">
        <x:v>405</x:v>
      </x:c>
      <x:c r="P17" s="19" t="s">
        <x:v>406</x:v>
      </x:c>
      <x:c r="Q17"/>
      <x:c r="R17" t="s">
        <x:v>62</x:v>
      </x:c>
      <x:c r="S17" s="33" t="s">
        <x:v>404</x:v>
      </x:c>
      <x:c r="T17"/>
    </x:row>
    <x:row r="18" ht="34">
      <x:c r="A18"/>
      <x:c r="B18" s="1" t="s">
        <x:v>224</x:v>
      </x:c>
      <x:c r="C18" s="1" t="s">
        <x:v>377</x:v>
      </x:c>
      <x:c r="D18" s="1" t="s">
        <x:v>399</x:v>
      </x:c>
      <x:c r="E18" s="1" t="s">
        <x:v>390</x:v>
      </x:c>
      <x:c r="F18" s="1" t="s">
        <x:v>380</x:v>
      </x:c>
      <x:c r="G18" s="1" t="s">
        <x:v>393</x:v>
      </x:c>
      <x:c r="H18"/>
      <x:c r="I18" s="1" t="s">
        <x:v>335</x:v>
      </x:c>
      <x:c r="J18" s="1" t="s">
        <x:v>390</x:v>
      </x:c>
      <x:c r="K18" s="1">
        <x:v>0</x:v>
      </x:c>
      <x:c r="L18" s="1">
        <x:v>5</x:v>
      </x:c>
      <x:c r="M18"/>
      <x:c r="N18" s="1" t="s">
        <x:v>383</x:v>
      </x:c>
      <x:c r="O18" s="1" t="s">
        <x:v>412</x:v>
      </x:c>
      <x:c r="P18" s="19"/>
      <x:c r="Q18"/>
      <x:c r="R18" t="s">
        <x:v>67</x:v>
      </x:c>
      <x:c r="S18" s="33" t="s">
        <x:v>390</x:v>
      </x:c>
      <x:c r="T18"/>
    </x:row>
    <x:row r="19" ht="17">
      <x:c r="A19"/>
      <x:c r="B19" s="1" t="s">
        <x:v>225</x:v>
      </x:c>
      <x:c r="C19" s="1" t="s">
        <x:v>377</x:v>
      </x:c>
      <x:c r="D19" s="1" t="s">
        <x:v>378</x:v>
      </x:c>
      <x:c r="E19" s="1" t="s">
        <x:v>390</x:v>
      </x:c>
      <x:c r="F19" s="1" t="s">
        <x:v>380</x:v>
      </x:c>
      <x:c r="G19" s="1" t="s">
        <x:v>381</x:v>
      </x:c>
      <x:c r="H19"/>
      <x:c r="I19" s="1" t="s">
        <x:v>403</x:v>
      </x:c>
      <x:c r="J19" s="1" t="s">
        <x:v>404</x:v>
      </x:c>
      <x:c r="K19" s="1">
        <x:v>1</x:v>
      </x:c>
      <x:c r="L19" s="1">
        <x:v>0</x:v>
      </x:c>
      <x:c r="M19"/>
      <x:c r="N19" s="1" t="s">
        <x:v>27</x:v>
      </x:c>
      <x:c r="O19" s="1" t="s">
        <x:v>405</x:v>
      </x:c>
      <x:c r="P19" s="19" t="s">
        <x:v>406</x:v>
      </x:c>
      <x:c r="Q19"/>
      <x:c r="R19" t="s">
        <x:v>67</x:v>
      </x:c>
      <x:c r="S19" s="33" t="s">
        <x:v>404</x:v>
      </x:c>
      <x:c r="T19"/>
    </x:row>
    <x:row r="20" ht="34">
      <x:c r="A20"/>
      <x:c r="B20" s="1" t="s">
        <x:v>226</x:v>
      </x:c>
      <x:c r="C20" s="1" t="s">
        <x:v>377</x:v>
      </x:c>
      <x:c r="D20" s="1" t="s">
        <x:v>399</x:v>
      </x:c>
      <x:c r="E20" s="1" t="s">
        <x:v>387</x:v>
      </x:c>
      <x:c r="F20" s="1" t="s">
        <x:v>380</x:v>
      </x:c>
      <x:c r="G20" s="1" t="s">
        <x:v>393</x:v>
      </x:c>
      <x:c r="H20" t="s">
        <x:v>413</x:v>
      </x:c>
      <x:c r="I20" s="1" t="s">
        <x:v>338</x:v>
      </x:c>
      <x:c r="J20" s="1" t="s">
        <x:v>387</x:v>
      </x:c>
      <x:c r="K20" s="1">
        <x:v>0</x:v>
      </x:c>
      <x:c r="L20" s="1">
        <x:v>0.8</x:v>
      </x:c>
      <x:c r="M20"/>
      <x:c r="N20" s="1" t="s">
        <x:v>383</x:v>
      </x:c>
      <x:c r="O20" s="1" t="s">
        <x:v>414</x:v>
      </x:c>
      <x:c r="P20" s="19"/>
      <x:c r="Q20"/>
      <x:c r="R20" t="s">
        <x:v>71</x:v>
      </x:c>
      <x:c r="S20" s="33" t="s">
        <x:v>387</x:v>
      </x:c>
      <x:c r="T20"/>
    </x:row>
    <x:row r="21">
      <x:c r="A21"/>
      <x:c r="B21" s="1" t="s">
        <x:v>228</x:v>
      </x:c>
      <x:c r="C21" s="1" t="s">
        <x:v>377</x:v>
      </x:c>
      <x:c r="D21" s="1" t="s">
        <x:v>378</x:v>
      </x:c>
      <x:c r="E21" s="1" t="s">
        <x:v>415</x:v>
      </x:c>
      <x:c r="F21" s="1" t="s">
        <x:v>380</x:v>
      </x:c>
      <x:c r="G21" s="1" t="s">
        <x:v>381</x:v>
      </x:c>
      <x:c r="H21"/>
      <x:c r="I21" s="1" t="s">
        <x:v>338</x:v>
      </x:c>
      <x:c r="J21" s="1" t="s">
        <x:v>415</x:v>
      </x:c>
      <x:c r="K21" s="1">
        <x:v>0</x:v>
      </x:c>
      <x:c r="L21" s="1">
        <x:v>0.5</x:v>
      </x:c>
      <x:c r="M21"/>
      <x:c r="N21" s="1" t="s">
        <x:v>383</x:v>
      </x:c>
      <x:c r="O21" s="1" t="s">
        <x:v>410</x:v>
      </x:c>
      <x:c r="P21" s="1"/>
      <x:c r="Q21"/>
      <x:c r="R21" t="s">
        <x:v>74</x:v>
      </x:c>
      <x:c r="S21" s="33" t="s">
        <x:v>415</x:v>
      </x:c>
      <x:c r="T21"/>
    </x:row>
    <x:row r="22">
      <x:c r="A22"/>
      <x:c r="B22" s="1" t="s">
        <x:v>229</x:v>
      </x:c>
      <x:c r="C22" s="1" t="s">
        <x:v>377</x:v>
      </x:c>
      <x:c r="D22" s="1" t="s">
        <x:v>378</x:v>
      </x:c>
      <x:c r="E22" s="1" t="s">
        <x:v>379</x:v>
      </x:c>
      <x:c r="F22" s="1" t="s">
        <x:v>380</x:v>
      </x:c>
      <x:c r="G22" s="1" t="s">
        <x:v>381</x:v>
      </x:c>
      <x:c r="H22"/>
      <x:c r="I22" s="1" t="s">
        <x:v>394</x:v>
      </x:c>
      <x:c r="J22" s="1" t="s">
        <x:v>395</x:v>
      </x:c>
      <x:c r="K22" s="1">
        <x:v>0</x:v>
      </x:c>
      <x:c r="L22" s="1">
        <x:v>5</x:v>
      </x:c>
      <x:c r="M22"/>
      <x:c r="N22" s="1" t="s">
        <x:v>383</x:v>
      </x:c>
      <x:c r="O22" s="1" t="s">
        <x:v>408</x:v>
      </x:c>
      <x:c r="P22" s="1" t="s">
        <x:v>397</x:v>
      </x:c>
      <x:c r="Q22"/>
      <x:c r="R22" t="s">
        <x:v>74</x:v>
      </x:c>
      <x:c r="S22" s="33" t="s">
        <x:v>398</x:v>
      </x:c>
      <x:c r="T22"/>
    </x:row>
    <x:row r="23" ht="34">
      <x:c r="A23"/>
      <x:c r="B23" s="1" t="s">
        <x:v>230</x:v>
      </x:c>
      <x:c r="C23" s="1" t="s">
        <x:v>377</x:v>
      </x:c>
      <x:c r="D23" s="1" t="s">
        <x:v>389</x:v>
      </x:c>
      <x:c r="E23" s="1" t="s">
        <x:v>416</x:v>
      </x:c>
      <x:c r="F23" s="1" t="s">
        <x:v>380</x:v>
      </x:c>
      <x:c r="G23" s="1" t="s">
        <x:v>381</x:v>
      </x:c>
      <x:c r="H23"/>
      <x:c r="I23" s="1" t="s">
        <x:v>335</x:v>
      </x:c>
      <x:c r="J23" s="1" t="s">
        <x:v>416</x:v>
      </x:c>
      <x:c r="K23" s="1">
        <x:v>0</x:v>
      </x:c>
      <x:c r="L23" s="1">
        <x:v>10</x:v>
      </x:c>
      <x:c r="M23"/>
      <x:c r="N23" s="1" t="s">
        <x:v>383</x:v>
      </x:c>
      <x:c r="O23" s="1" t="s">
        <x:v>417</x:v>
      </x:c>
      <x:c r="P23" s="19"/>
      <x:c r="Q23"/>
      <x:c r="R23" t="s">
        <x:v>77</x:v>
      </x:c>
      <x:c r="S23" s="33" t="s">
        <x:v>416</x:v>
      </x:c>
      <x:c r="T23"/>
    </x:row>
    <x:row r="24" ht="34">
      <x:c r="A24"/>
      <x:c r="B24" s="1" t="s">
        <x:v>231</x:v>
      </x:c>
      <x:c r="C24" s="1" t="s">
        <x:v>377</x:v>
      </x:c>
      <x:c r="D24" s="1" t="s">
        <x:v>399</x:v>
      </x:c>
      <x:c r="E24" s="1" t="s">
        <x:v>418</x:v>
      </x:c>
      <x:c r="F24" s="1" t="s">
        <x:v>380</x:v>
      </x:c>
      <x:c r="G24" s="1" t="s">
        <x:v>393</x:v>
      </x:c>
      <x:c r="H24"/>
      <x:c r="I24" s="1" t="s">
        <x:v>335</x:v>
      </x:c>
      <x:c r="J24" s="1" t="s">
        <x:v>418</x:v>
      </x:c>
      <x:c r="K24" s="1">
        <x:v>0</x:v>
      </x:c>
      <x:c r="L24" s="1">
        <x:v>10</x:v>
      </x:c>
      <x:c r="M24"/>
      <x:c r="N24" s="1" t="s">
        <x:v>383</x:v>
      </x:c>
      <x:c r="O24" s="1" t="s">
        <x:v>412</x:v>
      </x:c>
      <x:c r="P24" s="19"/>
      <x:c r="Q24"/>
      <x:c r="R24" t="s">
        <x:v>82</x:v>
      </x:c>
      <x:c r="S24" s="33" t="s">
        <x:v>418</x:v>
      </x:c>
      <x:c r="T24"/>
    </x:row>
    <x:row r="25" ht="17">
      <x:c r="A25"/>
      <x:c r="B25" s="1" t="s">
        <x:v>232</x:v>
      </x:c>
      <x:c r="C25" s="1" t="s">
        <x:v>377</x:v>
      </x:c>
      <x:c r="D25" s="1" t="s">
        <x:v>378</x:v>
      </x:c>
      <x:c r="E25" s="1" t="s">
        <x:v>390</x:v>
      </x:c>
      <x:c r="F25" s="1" t="s">
        <x:v>380</x:v>
      </x:c>
      <x:c r="G25" s="1" t="s">
        <x:v>381</x:v>
      </x:c>
      <x:c r="H25"/>
      <x:c r="I25" s="1" t="s">
        <x:v>419</x:v>
      </x:c>
      <x:c r="J25" s="1" t="s">
        <x:v>390</x:v>
      </x:c>
      <x:c r="K25" s="1">
        <x:v>0</x:v>
      </x:c>
      <x:c r="L25" s="1">
        <x:v>3</x:v>
      </x:c>
      <x:c r="M25"/>
      <x:c r="N25" s="1" t="s">
        <x:v>383</x:v>
      </x:c>
      <x:c r="O25" s="1" t="s">
        <x:v>420</x:v>
      </x:c>
      <x:c r="P25" s="19"/>
      <x:c r="Q25"/>
      <x:c r="R25" t="s">
        <x:v>88</x:v>
      </x:c>
      <x:c r="S25" s="33" t="s">
        <x:v>390</x:v>
      </x:c>
      <x:c r="T25"/>
    </x:row>
    <x:row r="26">
      <x:c r="A26"/>
      <x:c r="B26" s="1" t="s">
        <x:v>234</x:v>
      </x:c>
      <x:c r="C26" s="1" t="s">
        <x:v>377</x:v>
      </x:c>
      <x:c r="D26" s="1" t="s">
        <x:v>378</x:v>
      </x:c>
      <x:c r="E26" s="1" t="s">
        <x:v>379</x:v>
      </x:c>
      <x:c r="F26" s="1" t="s">
        <x:v>380</x:v>
      </x:c>
      <x:c r="G26" s="1" t="s">
        <x:v>381</x:v>
      </x:c>
      <x:c r="H26"/>
      <x:c r="I26" s="1" t="s">
        <x:v>338</x:v>
      </x:c>
      <x:c r="J26" s="1" t="s">
        <x:v>382</x:v>
      </x:c>
      <x:c r="K26" s="1">
        <x:v>0</x:v>
      </x:c>
      <x:c r="L26" s="1">
        <x:v>2</x:v>
      </x:c>
      <x:c r="M26"/>
      <x:c r="N26" s="1" t="s">
        <x:v>383</x:v>
      </x:c>
      <x:c r="O26" s="1" t="s">
        <x:v>410</x:v>
      </x:c>
      <x:c r="P26" s="1"/>
      <x:c r="Q26"/>
      <x:c r="R26" t="s">
        <x:v>93</x:v>
      </x:c>
      <x:c r="S26" s="33" t="s">
        <x:v>382</x:v>
      </x:c>
      <x:c r="T26"/>
    </x:row>
    <x:row r="27" ht="17">
      <x:c r="A27"/>
      <x:c r="B27" s="1" t="s">
        <x:v>235</x:v>
      </x:c>
      <x:c r="C27" s="1" t="s">
        <x:v>377</x:v>
      </x:c>
      <x:c r="D27" s="1" t="s">
        <x:v>378</x:v>
      </x:c>
      <x:c r="E27" s="1" t="s">
        <x:v>402</x:v>
      </x:c>
      <x:c r="F27" s="1" t="s">
        <x:v>380</x:v>
      </x:c>
      <x:c r="G27" s="1" t="s">
        <x:v>381</x:v>
      </x:c>
      <x:c r="H27"/>
      <x:c r="I27" s="1" t="s">
        <x:v>403</x:v>
      </x:c>
      <x:c r="J27" s="1" t="s">
        <x:v>404</x:v>
      </x:c>
      <x:c r="K27" s="1">
        <x:v>1</x:v>
      </x:c>
      <x:c r="L27" s="1">
        <x:v>0</x:v>
      </x:c>
      <x:c r="M27"/>
      <x:c r="N27" s="1" t="s">
        <x:v>27</x:v>
      </x:c>
      <x:c r="O27" s="1" t="s">
        <x:v>405</x:v>
      </x:c>
      <x:c r="P27" s="19" t="s">
        <x:v>406</x:v>
      </x:c>
      <x:c r="Q27"/>
      <x:c r="R27" t="s">
        <x:v>93</x:v>
      </x:c>
      <x:c r="S27" s="33" t="s">
        <x:v>404</x:v>
      </x:c>
      <x:c r="T27"/>
    </x:row>
    <x:row r="28">
      <x:c r="A28"/>
      <x:c r="B28" s="1" t="s">
        <x:v>237</x:v>
      </x:c>
      <x:c r="C28" s="1" t="s">
        <x:v>377</x:v>
      </x:c>
      <x:c r="D28" s="1" t="s">
        <x:v>378</x:v>
      </x:c>
      <x:c r="E28" s="1" t="s">
        <x:v>421</x:v>
      </x:c>
      <x:c r="F28" s="1" t="s">
        <x:v>380</x:v>
      </x:c>
      <x:c r="G28" s="1" t="s">
        <x:v>381</x:v>
      </x:c>
      <x:c r="H28"/>
      <x:c r="I28" s="1" t="s">
        <x:v>338</x:v>
      </x:c>
      <x:c r="J28" s="1" t="s">
        <x:v>421</x:v>
      </x:c>
      <x:c r="K28" s="1">
        <x:v>0</x:v>
      </x:c>
      <x:c r="L28" s="1">
        <x:v>1.5</x:v>
      </x:c>
      <x:c r="M28" t="s">
        <x:v>422</x:v>
      </x:c>
      <x:c r="N28" s="1" t="s">
        <x:v>383</x:v>
      </x:c>
      <x:c r="O28" s="1" t="s">
        <x:v>423</x:v>
      </x:c>
      <x:c r="P28" s="1"/>
      <x:c r="Q28"/>
      <x:c r="R28" t="s">
        <x:v>98</x:v>
      </x:c>
      <x:c r="S28" s="33" t="s">
        <x:v>421</x:v>
      </x:c>
      <x:c r="T28"/>
    </x:row>
    <x:row r="29">
      <x:c r="A29"/>
      <x:c r="B29" s="1" t="s">
        <x:v>238</x:v>
      </x:c>
      <x:c r="C29" s="1" t="s">
        <x:v>377</x:v>
      </x:c>
      <x:c r="D29" s="1" t="s">
        <x:v>378</x:v>
      </x:c>
      <x:c r="E29" s="1" t="s">
        <x:v>418</x:v>
      </x:c>
      <x:c r="F29" s="1" t="s">
        <x:v>380</x:v>
      </x:c>
      <x:c r="G29" s="1" t="s">
        <x:v>381</x:v>
      </x:c>
      <x:c r="H29"/>
      <x:c r="I29" s="1" t="s">
        <x:v>335</x:v>
      </x:c>
      <x:c r="J29" s="1" t="s">
        <x:v>418</x:v>
      </x:c>
      <x:c r="K29" s="1">
        <x:v>0</x:v>
      </x:c>
      <x:c r="L29" s="1">
        <x:v>30</x:v>
      </x:c>
      <x:c r="M29"/>
      <x:c r="N29" s="1" t="s">
        <x:v>383</x:v>
      </x:c>
      <x:c r="O29" s="1" t="s">
        <x:v>407</x:v>
      </x:c>
      <x:c r="P29" s="1"/>
      <x:c r="Q29"/>
      <x:c r="R29" t="s">
        <x:v>98</x:v>
      </x:c>
      <x:c r="S29" s="33" t="s">
        <x:v>418</x:v>
      </x:c>
      <x:c r="T29"/>
    </x:row>
    <x:row r="30">
      <x:c r="A30"/>
      <x:c r="B30" s="1" t="s">
        <x:v>240</x:v>
      </x:c>
      <x:c r="C30" s="1" t="s">
        <x:v>377</x:v>
      </x:c>
      <x:c r="D30" s="1" t="s">
        <x:v>378</x:v>
      </x:c>
      <x:c r="E30" s="1" t="s">
        <x:v>390</x:v>
      </x:c>
      <x:c r="F30" s="1" t="s">
        <x:v>380</x:v>
      </x:c>
      <x:c r="G30" s="1" t="s">
        <x:v>381</x:v>
      </x:c>
      <x:c r="H30"/>
      <x:c r="I30" s="1" t="s">
        <x:v>338</x:v>
      </x:c>
      <x:c r="J30" s="1" t="s">
        <x:v>390</x:v>
      </x:c>
      <x:c r="K30" s="1">
        <x:v>0</x:v>
      </x:c>
      <x:c r="L30" s="1">
        <x:v>1</x:v>
      </x:c>
      <x:c r="M30"/>
      <x:c r="N30" s="1" t="s">
        <x:v>383</x:v>
      </x:c>
      <x:c r="O30" s="1" t="s">
        <x:v>410</x:v>
      </x:c>
      <x:c r="P30" s="1"/>
      <x:c r="Q30"/>
      <x:c r="R30" t="s">
        <x:v>103</x:v>
      </x:c>
      <x:c r="S30" s="33" t="s">
        <x:v>390</x:v>
      </x:c>
      <x:c r="T30"/>
    </x:row>
    <x:row r="31" ht="17">
      <x:c r="A31"/>
      <x:c r="B31" s="1" t="s">
        <x:v>241</x:v>
      </x:c>
      <x:c r="C31" s="1" t="s">
        <x:v>377</x:v>
      </x:c>
      <x:c r="D31" s="1" t="s">
        <x:v>378</x:v>
      </x:c>
      <x:c r="E31" s="1" t="s">
        <x:v>379</x:v>
      </x:c>
      <x:c r="F31" s="1" t="s">
        <x:v>380</x:v>
      </x:c>
      <x:c r="G31" s="1" t="s">
        <x:v>381</x:v>
      </x:c>
      <x:c r="H31"/>
      <x:c r="I31" s="1" t="s">
        <x:v>394</x:v>
      </x:c>
      <x:c r="J31" s="1" t="s">
        <x:v>395</x:v>
      </x:c>
      <x:c r="K31" s="1">
        <x:v>0</x:v>
      </x:c>
      <x:c r="L31" s="1">
        <x:v>15</x:v>
      </x:c>
      <x:c r="M31"/>
      <x:c r="N31" s="1" t="s">
        <x:v>383</x:v>
      </x:c>
      <x:c r="O31" s="1" t="s">
        <x:v>408</x:v>
      </x:c>
      <x:c r="P31" s="19" t="s">
        <x:v>397</x:v>
      </x:c>
      <x:c r="Q31"/>
      <x:c r="R31" t="s">
        <x:v>103</x:v>
      </x:c>
      <x:c r="S31" s="33" t="s">
        <x:v>398</x:v>
      </x:c>
      <x:c r="T31"/>
    </x:row>
    <x:row r="32" ht="34">
      <x:c r="A32"/>
      <x:c r="B32" s="1" t="s">
        <x:v>242</x:v>
      </x:c>
      <x:c r="C32" s="1" t="s">
        <x:v>377</x:v>
      </x:c>
      <x:c r="D32" s="1" t="s">
        <x:v>399</x:v>
      </x:c>
      <x:c r="E32" s="1" t="s">
        <x:v>415</x:v>
      </x:c>
      <x:c r="F32" s="1" t="s">
        <x:v>380</x:v>
      </x:c>
      <x:c r="G32" s="1" t="s">
        <x:v>424</x:v>
      </x:c>
      <x:c r="H32" t="s">
        <x:v>425</x:v>
      </x:c>
      <x:c r="I32" s="1" t="s">
        <x:v>338</x:v>
      </x:c>
      <x:c r="J32" s="1" t="s">
        <x:v>415</x:v>
      </x:c>
      <x:c r="K32" s="1">
        <x:v>0</x:v>
      </x:c>
      <x:c r="L32" s="1">
        <x:v>0</x:v>
      </x:c>
      <x:c r="M32" t="s">
        <x:v>426</x:v>
      </x:c>
      <x:c r="N32" s="1" t="s">
        <x:v>383</x:v>
      </x:c>
      <x:c r="O32" s="1" t="s">
        <x:v>427</x:v>
      </x:c>
      <x:c r="P32" s="19"/>
      <x:c r="Q32"/>
      <x:c r="R32" t="s">
        <x:v>108</x:v>
      </x:c>
      <x:c r="S32" s="33" t="s">
        <x:v>415</x:v>
      </x:c>
      <x:c r="T32"/>
    </x:row>
    <x:row r="33" s="32" customFormat="1" ht="34">
      <x:c r="A33" s="8"/>
      <x:c r="B33" s="8" t="s">
        <x:v>243</x:v>
      </x:c>
      <x:c r="C33" s="1" t="s">
        <x:v>377</x:v>
      </x:c>
      <x:c r="D33" s="1" t="s">
        <x:v>378</x:v>
      </x:c>
      <x:c r="E33" s="1" t="s">
        <x:v>415</x:v>
      </x:c>
      <x:c r="F33" s="1" t="s">
        <x:v>380</x:v>
      </x:c>
      <x:c r="G33" s="1" t="s">
        <x:v>381</x:v>
      </x:c>
      <x:c r="H33" s="1"/>
      <x:c r="I33" s="1" t="s">
        <x:v>341</x:v>
      </x:c>
      <x:c r="J33" s="1" t="s">
        <x:v>415</x:v>
      </x:c>
      <x:c r="K33" s="1">
        <x:v>0</x:v>
      </x:c>
      <x:c r="L33" s="1">
        <x:v>1.3</x:v>
      </x:c>
      <x:c r="M33" s="1" t="s">
        <x:v>428</x:v>
      </x:c>
      <x:c r="N33" s="1" t="s">
        <x:v>27</x:v>
      </x:c>
      <x:c r="O33" s="1" t="s">
        <x:v>429</x:v>
      </x:c>
      <x:c r="P33" s="19"/>
      <x:c r="Q33"/>
      <x:c r="R33" t="s">
        <x:v>114</x:v>
      </x:c>
      <x:c r="S33" s="33" t="s">
        <x:v>415</x:v>
      </x:c>
      <x:c r="T33"/>
    </x:row>
    <x:row r="34">
      <x:c r="A34"/>
      <x:c r="B34" s="1" t="s">
        <x:v>245</x:v>
      </x:c>
      <x:c r="C34" s="1" t="s">
        <x:v>377</x:v>
      </x:c>
      <x:c r="D34" s="1" t="s">
        <x:v>378</x:v>
      </x:c>
      <x:c r="E34" s="1" t="s">
        <x:v>390</x:v>
      </x:c>
      <x:c r="F34" s="1" t="s">
        <x:v>380</x:v>
      </x:c>
      <x:c r="G34" s="1" t="s">
        <x:v>381</x:v>
      </x:c>
      <x:c r="H34"/>
      <x:c r="I34" s="1" t="s">
        <x:v>430</x:v>
      </x:c>
      <x:c r="J34" s="1" t="s">
        <x:v>390</x:v>
      </x:c>
      <x:c r="K34" s="1">
        <x:v>0</x:v>
      </x:c>
      <x:c r="L34" s="1">
        <x:v>10</x:v>
      </x:c>
      <x:c r="M34"/>
      <x:c r="N34" s="1" t="s">
        <x:v>383</x:v>
      </x:c>
      <x:c r="O34" s="1" t="s">
        <x:v>431</x:v>
      </x:c>
      <x:c r="P34" s="1"/>
      <x:c r="Q34"/>
      <x:c r="R34" t="s">
        <x:v>117</x:v>
      </x:c>
      <x:c r="S34" s="33" t="s">
        <x:v>390</x:v>
      </x:c>
      <x:c r="T34"/>
    </x:row>
    <x:row r="35" ht="17">
      <x:c r="A35"/>
      <x:c r="B35" s="1" t="s">
        <x:v>246</x:v>
      </x:c>
      <x:c r="C35" s="1" t="s">
        <x:v>377</x:v>
      </x:c>
      <x:c r="D35" s="1" t="s">
        <x:v>378</x:v>
      </x:c>
      <x:c r="E35" s="1" t="s">
        <x:v>390</x:v>
      </x:c>
      <x:c r="F35" s="1" t="s">
        <x:v>380</x:v>
      </x:c>
      <x:c r="G35" s="1" t="s">
        <x:v>381</x:v>
      </x:c>
      <x:c r="H35"/>
      <x:c r="I35" s="1" t="s">
        <x:v>403</x:v>
      </x:c>
      <x:c r="J35" s="1" t="s">
        <x:v>404</x:v>
      </x:c>
      <x:c r="K35" s="1">
        <x:v>1</x:v>
      </x:c>
      <x:c r="L35" s="1">
        <x:v>0</x:v>
      </x:c>
      <x:c r="M35"/>
      <x:c r="N35" s="1" t="s">
        <x:v>27</x:v>
      </x:c>
      <x:c r="O35" s="1" t="s">
        <x:v>405</x:v>
      </x:c>
      <x:c r="P35" s="19" t="s">
        <x:v>406</x:v>
      </x:c>
      <x:c r="Q35"/>
      <x:c r="R35" t="s">
        <x:v>117</x:v>
      </x:c>
      <x:c r="S35" s="33" t="s">
        <x:v>404</x:v>
      </x:c>
      <x:c r="T35"/>
    </x:row>
    <x:row r="36">
      <x:c r="A36"/>
      <x:c r="B36" s="1" t="s">
        <x:v>248</x:v>
      </x:c>
      <x:c r="C36" s="1" t="s">
        <x:v>377</x:v>
      </x:c>
      <x:c r="D36" s="1" t="s">
        <x:v>378</x:v>
      </x:c>
      <x:c r="E36" s="1" t="s">
        <x:v>379</x:v>
      </x:c>
      <x:c r="F36" s="1" t="s">
        <x:v>380</x:v>
      </x:c>
      <x:c r="G36" s="1" t="s">
        <x:v>381</x:v>
      </x:c>
      <x:c r="H36"/>
      <x:c r="I36" s="1" t="s">
        <x:v>394</x:v>
      </x:c>
      <x:c r="J36" s="1" t="s">
        <x:v>395</x:v>
      </x:c>
      <x:c r="K36" s="1">
        <x:v>0</x:v>
      </x:c>
      <x:c r="L36" s="1">
        <x:v>10</x:v>
      </x:c>
      <x:c r="M36"/>
      <x:c r="N36" s="1" t="s">
        <x:v>383</x:v>
      </x:c>
      <x:c r="O36" s="1" t="s">
        <x:v>408</x:v>
      </x:c>
      <x:c r="P36" s="1" t="s">
        <x:v>397</x:v>
      </x:c>
      <x:c r="Q36"/>
      <x:c r="R36" t="s">
        <x:v>120</x:v>
      </x:c>
      <x:c r="S36" s="33" t="s">
        <x:v>398</x:v>
      </x:c>
      <x:c r="T36"/>
    </x:row>
    <x:row r="37">
      <x:c r="A37"/>
      <x:c r="B37" s="1" t="s">
        <x:v>249</x:v>
      </x:c>
      <x:c r="C37" s="1" t="s">
        <x:v>377</x:v>
      </x:c>
      <x:c r="D37" s="1" t="s">
        <x:v>378</x:v>
      </x:c>
      <x:c r="E37" s="1" t="s">
        <x:v>421</x:v>
      </x:c>
      <x:c r="F37" s="1" t="s">
        <x:v>380</x:v>
      </x:c>
      <x:c r="G37" s="1" t="s">
        <x:v>381</x:v>
      </x:c>
      <x:c r="H37"/>
      <x:c r="I37" s="1" t="s">
        <x:v>432</x:v>
      </x:c>
      <x:c r="J37" s="1" t="s">
        <x:v>421</x:v>
      </x:c>
      <x:c r="K37" s="1">
        <x:v>0</x:v>
      </x:c>
      <x:c r="L37" s="1">
        <x:v>1</x:v>
      </x:c>
      <x:c r="M37" t="s">
        <x:v>422</x:v>
      </x:c>
      <x:c r="N37" s="1" t="s">
        <x:v>27</x:v>
      </x:c>
      <x:c r="O37" s="1" t="s">
        <x:v>433</x:v>
      </x:c>
      <x:c r="P37" s="1"/>
      <x:c r="Q37"/>
      <x:c r="R37" t="s">
        <x:v>120</x:v>
      </x:c>
      <x:c r="S37" s="33" t="s">
        <x:v>421</x:v>
      </x:c>
      <x:c r="T37"/>
    </x:row>
    <x:row r="38">
      <x:c r="A38"/>
      <x:c r="B38" s="1" t="s">
        <x:v>250</x:v>
      </x:c>
      <x:c r="C38" s="1" t="s">
        <x:v>377</x:v>
      </x:c>
      <x:c r="D38" s="1" t="s">
        <x:v>378</x:v>
      </x:c>
      <x:c r="E38" s="1" t="s">
        <x:v>379</x:v>
      </x:c>
      <x:c r="F38" s="1" t="s">
        <x:v>380</x:v>
      </x:c>
      <x:c r="G38" s="1" t="s">
        <x:v>381</x:v>
      </x:c>
      <x:c r="H38"/>
      <x:c r="I38" s="1" t="s">
        <x:v>341</x:v>
      </x:c>
      <x:c r="J38" s="1" t="s">
        <x:v>385</x:v>
      </x:c>
      <x:c r="K38" s="1">
        <x:v>0</x:v>
      </x:c>
      <x:c r="L38" s="1">
        <x:v>2</x:v>
      </x:c>
      <x:c r="M38"/>
      <x:c r="N38" s="1" t="s">
        <x:v>27</x:v>
      </x:c>
      <x:c r="O38" s="1" t="s">
        <x:v>434</x:v>
      </x:c>
      <x:c r="P38" s="1"/>
      <x:c r="Q38"/>
      <x:c r="R38" t="s">
        <x:v>123</x:v>
      </x:c>
      <x:c r="S38" s="33" t="s">
        <x:v>385</x:v>
      </x:c>
      <x:c r="T38"/>
    </x:row>
    <x:row r="39">
      <x:c r="A39"/>
      <x:c r="B39" s="1" t="s">
        <x:v>251</x:v>
      </x:c>
      <x:c r="C39" s="1" t="s">
        <x:v>377</x:v>
      </x:c>
      <x:c r="D39" s="1" t="s">
        <x:v>378</x:v>
      </x:c>
      <x:c r="E39" s="1" t="s">
        <x:v>379</x:v>
      </x:c>
      <x:c r="F39" s="1" t="s">
        <x:v>380</x:v>
      </x:c>
      <x:c r="G39" s="1" t="s">
        <x:v>381</x:v>
      </x:c>
      <x:c r="H39"/>
      <x:c r="I39" s="1" t="s">
        <x:v>394</x:v>
      </x:c>
      <x:c r="J39" s="1" t="s">
        <x:v>395</x:v>
      </x:c>
      <x:c r="K39" s="1">
        <x:v>0</x:v>
      </x:c>
      <x:c r="L39" s="1">
        <x:v>1.5</x:v>
      </x:c>
      <x:c r="M39" t="s">
        <x:v>435</x:v>
      </x:c>
      <x:c r="N39" s="1" t="s">
        <x:v>27</x:v>
      </x:c>
      <x:c r="O39" s="1" t="s">
        <x:v>436</x:v>
      </x:c>
      <x:c r="P39" s="1" t="s">
        <x:v>397</x:v>
      </x:c>
      <x:c r="Q39"/>
      <x:c r="R39" t="s">
        <x:v>126</x:v>
      </x:c>
      <x:c r="S39" s="33" t="s">
        <x:v>398</x:v>
      </x:c>
      <x:c r="T39"/>
    </x:row>
    <x:row r="40" ht="34">
      <x:c r="A40"/>
      <x:c r="B40" s="1" t="s">
        <x:v>252</x:v>
      </x:c>
      <x:c r="C40" s="1" t="s">
        <x:v>377</x:v>
      </x:c>
      <x:c r="D40" s="1" t="s">
        <x:v>378</x:v>
      </x:c>
      <x:c r="E40" s="1" t="s">
        <x:v>416</x:v>
      </x:c>
      <x:c r="F40" s="1" t="s">
        <x:v>380</x:v>
      </x:c>
      <x:c r="G40" s="1" t="s">
        <x:v>381</x:v>
      </x:c>
      <x:c r="H40"/>
      <x:c r="I40" s="1" t="s">
        <x:v>437</x:v>
      </x:c>
      <x:c r="J40" s="1" t="s">
        <x:v>416</x:v>
      </x:c>
      <x:c r="K40" s="1">
        <x:v>3</x:v>
      </x:c>
      <x:c r="L40" s="1">
        <x:v>0</x:v>
      </x:c>
      <x:c r="M40" t="s">
        <x:v>438</x:v>
      </x:c>
      <x:c r="N40" s="1" t="s">
        <x:v>27</x:v>
      </x:c>
      <x:c r="O40" s="1" t="s">
        <x:v>439</x:v>
      </x:c>
      <x:c r="P40" s="19" t="s">
        <x:v>406</x:v>
      </x:c>
      <x:c r="Q40"/>
      <x:c r="R40" t="s">
        <x:v>129</x:v>
      </x:c>
      <x:c r="S40" s="33" t="s">
        <x:v>416</x:v>
      </x:c>
      <x:c r="T40"/>
    </x:row>
    <x:row r="41" ht="34">
      <x:c r="A41"/>
      <x:c r="B41" s="1" t="s">
        <x:v>253</x:v>
      </x:c>
      <x:c r="C41" s="1" t="s">
        <x:v>377</x:v>
      </x:c>
      <x:c r="D41" s="1" t="s">
        <x:v>399</x:v>
      </x:c>
      <x:c r="E41" s="1" t="s">
        <x:v>418</x:v>
      </x:c>
      <x:c r="F41" s="1" t="s">
        <x:v>380</x:v>
      </x:c>
      <x:c r="G41" s="1" t="s">
        <x:v>424</x:v>
      </x:c>
      <x:c r="H41" t="s">
        <x:v>440</x:v>
      </x:c>
      <x:c r="I41" s="1" t="s">
        <x:v>341</x:v>
      </x:c>
      <x:c r="J41" s="1" t="s">
        <x:v>418</x:v>
      </x:c>
      <x:c r="K41" s="1">
        <x:v>0</x:v>
      </x:c>
      <x:c r="L41" s="1">
        <x:v>0</x:v>
      </x:c>
      <x:c r="M41" t="s">
        <x:v>441</x:v>
      </x:c>
      <x:c r="N41" s="1" t="s">
        <x:v>27</x:v>
      </x:c>
      <x:c r="O41" s="1" t="s">
        <x:v>442</x:v>
      </x:c>
      <x:c r="P41" s="19"/>
      <x:c r="Q41"/>
      <x:c r="R41" t="s">
        <x:v>132</x:v>
      </x:c>
      <x:c r="S41" s="33" t="s">
        <x:v>418</x:v>
      </x:c>
      <x:c r="T41"/>
    </x:row>
    <x:row r="42">
      <x:c r="A42"/>
      <x:c r="B42" s="1" t="s">
        <x:v>254</x:v>
      </x:c>
      <x:c r="C42" s="1" t="s">
        <x:v>377</x:v>
      </x:c>
      <x:c r="D42" s="1" t="s">
        <x:v>399</x:v>
      </x:c>
      <x:c r="E42" s="1" t="s">
        <x:v>415</x:v>
      </x:c>
      <x:c r="F42" s="1" t="s">
        <x:v>380</x:v>
      </x:c>
      <x:c r="G42" s="1" t="s">
        <x:v>393</x:v>
      </x:c>
      <x:c r="H42"/>
      <x:c r="I42" s="1" t="s">
        <x:v>338</x:v>
      </x:c>
      <x:c r="J42" s="1" t="s">
        <x:v>415</x:v>
      </x:c>
      <x:c r="K42" s="1">
        <x:v>0</x:v>
      </x:c>
      <x:c r="L42" s="1">
        <x:v>0.3</x:v>
      </x:c>
      <x:c r="M42"/>
      <x:c r="N42" s="1" t="s">
        <x:v>383</x:v>
      </x:c>
      <x:c r="O42" s="1" t="s">
        <x:v>443</x:v>
      </x:c>
      <x:c r="P42" s="1"/>
      <x:c r="Q42"/>
      <x:c r="R42" t="s">
        <x:v>135</x:v>
      </x:c>
      <x:c r="S42" s="33" t="s">
        <x:v>415</x:v>
      </x:c>
      <x:c r="T42"/>
    </x:row>
    <x:row r="43" ht="17">
      <x:c r="A43"/>
      <x:c r="B43" s="1" t="s">
        <x:v>256</x:v>
      </x:c>
      <x:c r="C43" s="1" t="s">
        <x:v>377</x:v>
      </x:c>
      <x:c r="D43" s="1" t="s">
        <x:v>378</x:v>
      </x:c>
      <x:c r="E43" s="1" t="s">
        <x:v>379</x:v>
      </x:c>
      <x:c r="F43" s="1" t="s">
        <x:v>380</x:v>
      </x:c>
      <x:c r="G43" s="1" t="s">
        <x:v>381</x:v>
      </x:c>
      <x:c r="H43"/>
      <x:c r="I43" s="1" t="s">
        <x:v>394</x:v>
      </x:c>
      <x:c r="J43" s="1" t="s">
        <x:v>395</x:v>
      </x:c>
      <x:c r="K43" s="1">
        <x:v>0</x:v>
      </x:c>
      <x:c r="L43" s="1">
        <x:v>25</x:v>
      </x:c>
      <x:c r="M43"/>
      <x:c r="N43" s="1" t="s">
        <x:v>383</x:v>
      </x:c>
      <x:c r="O43" s="1" t="s">
        <x:v>408</x:v>
      </x:c>
      <x:c r="P43" s="19" t="s">
        <x:v>397</x:v>
      </x:c>
      <x:c r="Q43"/>
      <x:c r="R43" t="s">
        <x:v>138</x:v>
      </x:c>
      <x:c r="S43" s="33" t="s">
        <x:v>398</x:v>
      </x:c>
      <x:c r="T43"/>
    </x:row>
    <x:row r="44">
      <x:c r="A44"/>
      <x:c r="B44" s="1" t="s">
        <x:v>257</x:v>
      </x:c>
      <x:c r="C44" s="1" t="s">
        <x:v>377</x:v>
      </x:c>
      <x:c r="D44" s="1" t="s">
        <x:v>378</x:v>
      </x:c>
      <x:c r="E44" s="1" t="s">
        <x:v>415</x:v>
      </x:c>
      <x:c r="F44" s="1" t="s">
        <x:v>380</x:v>
      </x:c>
      <x:c r="G44" s="1" t="s">
        <x:v>381</x:v>
      </x:c>
      <x:c r="H44"/>
      <x:c r="I44" s="1" t="s">
        <x:v>335</x:v>
      </x:c>
      <x:c r="J44" s="1" t="s">
        <x:v>415</x:v>
      </x:c>
      <x:c r="K44" s="1">
        <x:v>0</x:v>
      </x:c>
      <x:c r="L44" s="1">
        <x:v>30</x:v>
      </x:c>
      <x:c r="M44" t="s">
        <x:v>422</x:v>
      </x:c>
      <x:c r="N44" s="1" t="s">
        <x:v>383</x:v>
      </x:c>
      <x:c r="O44" s="1" t="s">
        <x:v>444</x:v>
      </x:c>
      <x:c r="P44" s="1"/>
      <x:c r="Q44"/>
      <x:c r="R44" t="s">
        <x:v>138</x:v>
      </x:c>
      <x:c r="S44" s="33" t="s">
        <x:v>415</x:v>
      </x:c>
      <x:c r="T44"/>
    </x:row>
    <x:row r="45" ht="34">
      <x:c r="A45"/>
      <x:c r="B45" s="1" t="s">
        <x:v>259</x:v>
      </x:c>
      <x:c r="C45" s="1" t="s">
        <x:v>377</x:v>
      </x:c>
      <x:c r="D45" s="1" t="s">
        <x:v>392</x:v>
      </x:c>
      <x:c r="E45" s="1" t="s">
        <x:v>379</x:v>
      </x:c>
      <x:c r="F45" s="1" t="s">
        <x:v>380</x:v>
      </x:c>
      <x:c r="G45" s="1" t="s">
        <x:v>393</x:v>
      </x:c>
      <x:c r="I45" s="1" t="s">
        <x:v>338</x:v>
      </x:c>
      <x:c r="J45" s="1" t="s">
        <x:v>379</x:v>
      </x:c>
      <x:c r="K45" s="1">
        <x:v>0</x:v>
      </x:c>
      <x:c r="L45" s="1">
        <x:v>3</x:v>
      </x:c>
      <x:c r="N45" s="1" t="s">
        <x:v>383</x:v>
      </x:c>
      <x:c r="O45" s="1" t="s">
        <x:v>445</x:v>
      </x:c>
      <x:c r="P45" s="19"/>
      <x:c r="Q45"/>
      <x:c r="R45" t="s">
        <x:v>141</x:v>
      </x:c>
      <x:c r="S45" s="33" t="s">
        <x:v>141</x:v>
      </x:c>
      <x:c r="T45"/>
    </x:row>
    <x:row r="46">
      <x:c r="A46"/>
      <x:c r="B46" s="1" t="s">
        <x:v>260</x:v>
      </x:c>
      <x:c r="C46" s="1" t="s">
        <x:v>377</x:v>
      </x:c>
      <x:c r="D46" s="1" t="s">
        <x:v>378</x:v>
      </x:c>
      <x:c r="E46" s="1" t="s">
        <x:v>446</x:v>
      </x:c>
      <x:c r="F46" s="1" t="s">
        <x:v>380</x:v>
      </x:c>
      <x:c r="G46" s="1" t="s">
        <x:v>381</x:v>
      </x:c>
      <x:c r="H46"/>
      <x:c r="I46" s="1" t="s">
        <x:v>403</x:v>
      </x:c>
      <x:c r="J46" s="1" t="s">
        <x:v>404</x:v>
      </x:c>
      <x:c r="K46" s="1">
        <x:v>3</x:v>
      </x:c>
      <x:c r="L46" s="1">
        <x:v>0</x:v>
      </x:c>
      <x:c r="M46"/>
      <x:c r="N46" s="1" t="s">
        <x:v>27</x:v>
      </x:c>
      <x:c r="O46" s="1" t="s">
        <x:v>405</x:v>
      </x:c>
      <x:c r="P46" s="1" t="s">
        <x:v>406</x:v>
      </x:c>
      <x:c r="Q46"/>
      <x:c r="R46" t="s">
        <x:v>141</x:v>
      </x:c>
      <x:c r="S46" s="33" t="s">
        <x:v>404</x:v>
      </x:c>
      <x:c r="T46"/>
    </x:row>
    <x:row r="47">
      <x:c r="A47"/>
      <x:c r="B47" s="1" t="s">
        <x:v>262</x:v>
      </x:c>
      <x:c r="C47" s="1" t="s">
        <x:v>377</x:v>
      </x:c>
      <x:c r="D47" s="1" t="s">
        <x:v>378</x:v>
      </x:c>
      <x:c r="E47" s="1" t="s">
        <x:v>418</x:v>
      </x:c>
      <x:c r="F47" s="1" t="s">
        <x:v>380</x:v>
      </x:c>
      <x:c r="G47" s="1" t="s">
        <x:v>381</x:v>
      </x:c>
      <x:c r="H47"/>
      <x:c r="I47" s="1" t="s">
        <x:v>341</x:v>
      </x:c>
      <x:c r="J47" s="1" t="s">
        <x:v>418</x:v>
      </x:c>
      <x:c r="K47" s="1">
        <x:v>0</x:v>
      </x:c>
      <x:c r="L47" s="1">
        <x:v>2</x:v>
      </x:c>
      <x:c r="M47" t="s">
        <x:v>422</x:v>
      </x:c>
      <x:c r="N47" s="1" t="s">
        <x:v>27</x:v>
      </x:c>
      <x:c r="O47" s="1" t="s">
        <x:v>447</x:v>
      </x:c>
      <x:c r="P47" s="1"/>
      <x:c r="Q47"/>
      <x:c r="R47" t="s">
        <x:v>145</x:v>
      </x:c>
      <x:c r="S47" s="33" t="s">
        <x:v>418</x:v>
      </x:c>
      <x:c r="T47"/>
    </x:row>
    <x:row r="48" ht="34">
      <x:c r="A48"/>
      <x:c r="B48" s="1" t="s">
        <x:v>263</x:v>
      </x:c>
      <x:c r="C48" s="1" t="s">
        <x:v>377</x:v>
      </x:c>
      <x:c r="D48" s="1" t="s">
        <x:v>448</x:v>
      </x:c>
      <x:c r="E48" s="1" t="s">
        <x:v>416</x:v>
      </x:c>
      <x:c r="F48" s="1" t="s">
        <x:v>380</x:v>
      </x:c>
      <x:c r="G48" s="1" t="s">
        <x:v>424</x:v>
      </x:c>
      <x:c r="H48" t="s">
        <x:v>449</x:v>
      </x:c>
      <x:c r="I48" s="1" t="s">
        <x:v>394</x:v>
      </x:c>
      <x:c r="J48" s="1" t="s">
        <x:v>395</x:v>
      </x:c>
      <x:c r="K48" s="1">
        <x:v>0</x:v>
      </x:c>
      <x:c r="L48" s="1">
        <x:v>0</x:v>
      </x:c>
      <x:c r="M48" t="s">
        <x:v>450</x:v>
      </x:c>
      <x:c r="N48" s="1" t="s">
        <x:v>383</x:v>
      </x:c>
      <x:c r="O48" s="1" t="s">
        <x:v>451</x:v>
      </x:c>
      <x:c r="P48" s="19" t="s">
        <x:v>397</x:v>
      </x:c>
      <x:c r="Q48"/>
      <x:c r="R48" t="s">
        <x:v>145</x:v>
      </x:c>
      <x:c r="S48" s="33" t="s">
        <x:v>398</x:v>
      </x:c>
      <x:c r="T48"/>
    </x:row>
    <x:row r="49" ht="17">
      <x:c r="A49"/>
      <x:c r="B49" s="1" t="s">
        <x:v>265</x:v>
      </x:c>
      <x:c r="C49" s="1" t="s">
        <x:v>377</x:v>
      </x:c>
      <x:c r="D49" s="1" t="s">
        <x:v>378</x:v>
      </x:c>
      <x:c r="E49" s="1" t="s">
        <x:v>379</x:v>
      </x:c>
      <x:c r="F49" s="1" t="s">
        <x:v>380</x:v>
      </x:c>
      <x:c r="G49" s="1" t="s">
        <x:v>381</x:v>
      </x:c>
      <x:c r="H49"/>
      <x:c r="I49" s="1" t="s">
        <x:v>341</x:v>
      </x:c>
      <x:c r="J49" s="1" t="s">
        <x:v>382</x:v>
      </x:c>
      <x:c r="K49" s="1">
        <x:v>0</x:v>
      </x:c>
      <x:c r="L49" s="1">
        <x:v>2.5</x:v>
      </x:c>
      <x:c r="M49"/>
      <x:c r="N49" s="1" t="s">
        <x:v>27</x:v>
      </x:c>
      <x:c r="O49" s="1" t="s">
        <x:v>434</x:v>
      </x:c>
      <x:c r="P49" s="19"/>
      <x:c r="Q49"/>
      <x:c r="R49" t="s">
        <x:v>148</x:v>
      </x:c>
      <x:c r="S49" s="33" t="s">
        <x:v>382</x:v>
      </x:c>
      <x:c r="T49"/>
    </x:row>
    <x:row r="50" ht="17">
      <x:c r="A50"/>
      <x:c r="B50" s="1" t="s">
        <x:v>266</x:v>
      </x:c>
      <x:c r="C50" s="1" t="s">
        <x:v>377</x:v>
      </x:c>
      <x:c r="D50" s="1" t="s">
        <x:v>378</x:v>
      </x:c>
      <x:c r="E50" s="1" t="s">
        <x:v>402</x:v>
      </x:c>
      <x:c r="F50" s="1" t="s">
        <x:v>380</x:v>
      </x:c>
      <x:c r="G50" s="1" t="s">
        <x:v>381</x:v>
      </x:c>
      <x:c r="H50"/>
      <x:c r="I50" s="1" t="s">
        <x:v>403</x:v>
      </x:c>
      <x:c r="J50" s="1" t="s">
        <x:v>404</x:v>
      </x:c>
      <x:c r="K50" s="1">
        <x:v>1</x:v>
      </x:c>
      <x:c r="L50" s="1">
        <x:v>0</x:v>
      </x:c>
      <x:c r="M50"/>
      <x:c r="N50" s="1" t="s">
        <x:v>27</x:v>
      </x:c>
      <x:c r="O50" s="1" t="s">
        <x:v>405</x:v>
      </x:c>
      <x:c r="P50" s="19" t="s">
        <x:v>406</x:v>
      </x:c>
      <x:c r="Q50"/>
      <x:c r="R50" t="s">
        <x:v>148</x:v>
      </x:c>
      <x:c r="S50" s="33" t="s">
        <x:v>404</x:v>
      </x:c>
      <x:c r="T50"/>
    </x:row>
    <x:row r="51" ht="34">
      <x:c r="A51"/>
      <x:c r="B51" s="1" t="s">
        <x:v>267</x:v>
      </x:c>
      <x:c r="C51" s="1" t="s">
        <x:v>377</x:v>
      </x:c>
      <x:c r="D51" s="1" t="s">
        <x:v>399</x:v>
      </x:c>
      <x:c r="E51" s="1" t="s">
        <x:v>390</x:v>
      </x:c>
      <x:c r="F51" s="1" t="s">
        <x:v>380</x:v>
      </x:c>
      <x:c r="G51" s="1" t="s">
        <x:v>393</x:v>
      </x:c>
      <x:c r="H51"/>
      <x:c r="I51" s="1" t="s">
        <x:v>341</x:v>
      </x:c>
      <x:c r="J51" s="1" t="s">
        <x:v>390</x:v>
      </x:c>
      <x:c r="K51" s="1">
        <x:v>0</x:v>
      </x:c>
      <x:c r="L51" s="1">
        <x:v>1.1</x:v>
      </x:c>
      <x:c r="M51"/>
      <x:c r="N51" s="1" t="s">
        <x:v>27</x:v>
      </x:c>
      <x:c r="O51" s="1" t="s">
        <x:v>452</x:v>
      </x:c>
      <x:c r="P51" s="19"/>
      <x:c r="Q51"/>
      <x:c r="R51" t="s">
        <x:v>151</x:v>
      </x:c>
      <x:c r="S51" s="33" t="s">
        <x:v>390</x:v>
      </x:c>
      <x:c r="T51"/>
    </x:row>
    <x:row r="52" ht="17">
      <x:c r="A52"/>
      <x:c r="B52" s="1" t="s">
        <x:v>269</x:v>
      </x:c>
      <x:c r="C52" s="1" t="s">
        <x:v>377</x:v>
      </x:c>
      <x:c r="D52" s="1" t="s">
        <x:v>378</x:v>
      </x:c>
      <x:c r="E52" s="1" t="s">
        <x:v>418</x:v>
      </x:c>
      <x:c r="F52" s="1" t="s">
        <x:v>380</x:v>
      </x:c>
      <x:c r="G52" s="1" t="s">
        <x:v>381</x:v>
      </x:c>
      <x:c r="H52"/>
      <x:c r="I52" s="1" t="s">
        <x:v>341</x:v>
      </x:c>
      <x:c r="J52" s="1" t="s">
        <x:v>418</x:v>
      </x:c>
      <x:c r="K52" s="1">
        <x:v>0</x:v>
      </x:c>
      <x:c r="L52" s="1">
        <x:v>2</x:v>
      </x:c>
      <x:c r="M52" t="s">
        <x:v>422</x:v>
      </x:c>
      <x:c r="N52" s="1" t="s">
        <x:v>27</x:v>
      </x:c>
      <x:c r="O52" s="1" t="s">
        <x:v>447</x:v>
      </x:c>
      <x:c r="P52" s="19"/>
      <x:c r="Q52"/>
      <x:c r="R52" t="s">
        <x:v>154</x:v>
      </x:c>
      <x:c r="S52" s="33" t="s">
        <x:v>418</x:v>
      </x:c>
      <x:c r="T52"/>
    </x:row>
    <x:row r="53" ht="34">
      <x:c r="A53"/>
      <x:c r="B53" s="1" t="s">
        <x:v>270</x:v>
      </x:c>
      <x:c r="C53" s="1" t="s">
        <x:v>377</x:v>
      </x:c>
      <x:c r="D53" s="1" t="s">
        <x:v>453</x:v>
      </x:c>
      <x:c r="E53" s="1" t="s">
        <x:v>416</x:v>
      </x:c>
      <x:c r="F53" s="1" t="s">
        <x:v>380</x:v>
      </x:c>
      <x:c r="G53" s="1" t="s">
        <x:v>393</x:v>
      </x:c>
      <x:c r="H53" t="s">
        <x:v>454</x:v>
      </x:c>
      <x:c r="I53" s="1" t="s">
        <x:v>394</x:v>
      </x:c>
      <x:c r="J53" s="1" t="s">
        <x:v>395</x:v>
      </x:c>
      <x:c r="K53" s="1">
        <x:v>0</x:v>
      </x:c>
      <x:c r="L53" s="1">
        <x:v>1</x:v>
      </x:c>
      <x:c r="N53" s="1" t="s">
        <x:v>383</x:v>
      </x:c>
      <x:c r="O53" s="1" t="s">
        <x:v>455</x:v>
      </x:c>
      <x:c r="P53" s="19" t="s">
        <x:v>397</x:v>
      </x:c>
      <x:c r="Q53"/>
      <x:c r="R53" t="s">
        <x:v>154</x:v>
      </x:c>
      <x:c r="S53" s="33" t="s">
        <x:v>398</x:v>
      </x:c>
      <x:c r="T53"/>
    </x:row>
    <x:row r="54" ht="34">
      <x:c r="A54"/>
      <x:c r="B54" s="1" t="s">
        <x:v>271</x:v>
      </x:c>
      <x:c r="C54" s="1" t="s">
        <x:v>377</x:v>
      </x:c>
      <x:c r="D54" s="1" t="s">
        <x:v>378</x:v>
      </x:c>
      <x:c r="E54" s="1" t="s">
        <x:v>379</x:v>
      </x:c>
      <x:c r="F54" s="1" t="s">
        <x:v>380</x:v>
      </x:c>
      <x:c r="G54" s="1" t="s">
        <x:v>381</x:v>
      </x:c>
      <x:c r="H54"/>
      <x:c r="I54" s="1" t="s">
        <x:v>419</x:v>
      </x:c>
      <x:c r="J54" s="1" t="s">
        <x:v>416</x:v>
      </x:c>
      <x:c r="K54" s="1">
        <x:v>0</x:v>
      </x:c>
      <x:c r="L54" s="1">
        <x:v>1</x:v>
      </x:c>
      <x:c r="M54" t="s">
        <x:v>456</x:v>
      </x:c>
      <x:c r="N54" s="1" t="s">
        <x:v>383</x:v>
      </x:c>
      <x:c r="O54" s="1" t="s">
        <x:v>457</x:v>
      </x:c>
      <x:c r="P54" s="19"/>
      <x:c r="Q54"/>
      <x:c r="R54" t="s">
        <x:v>157</x:v>
      </x:c>
      <x:c r="S54" s="33" t="s">
        <x:v>416</x:v>
      </x:c>
      <x:c r="T54"/>
    </x:row>
    <x:row r="55" ht="34">
      <x:c r="A55"/>
      <x:c r="B55" s="1" t="s">
        <x:v>272</x:v>
      </x:c>
      <x:c r="C55" s="1" t="s">
        <x:v>377</x:v>
      </x:c>
      <x:c r="D55" s="1" t="s">
        <x:v>378</x:v>
      </x:c>
      <x:c r="E55" s="1" t="s">
        <x:v>458</x:v>
      </x:c>
      <x:c r="F55" s="1" t="s">
        <x:v>380</x:v>
      </x:c>
      <x:c r="G55" s="1" t="s">
        <x:v>381</x:v>
      </x:c>
      <x:c r="H55"/>
      <x:c r="I55" s="1" t="s">
        <x:v>437</x:v>
      </x:c>
      <x:c r="J55" s="1" t="s">
        <x:v>458</x:v>
      </x:c>
      <x:c r="K55" s="1">
        <x:v>0</x:v>
      </x:c>
      <x:c r="L55" s="1">
        <x:v>2</x:v>
      </x:c>
      <x:c r="M55" t="s">
        <x:v>459</x:v>
      </x:c>
      <x:c r="N55" s="1" t="s">
        <x:v>27</x:v>
      </x:c>
      <x:c r="O55" s="1" t="s">
        <x:v>460</x:v>
      </x:c>
      <x:c r="P55" s="19" t="s">
        <x:v>406</x:v>
      </x:c>
      <x:c r="Q55"/>
      <x:c r="R55" t="s">
        <x:v>160</x:v>
      </x:c>
      <x:c r="S55" s="33" t="s">
        <x:v>458</x:v>
      </x:c>
      <x:c r="T55"/>
    </x:row>
    <x:row r="56" ht="34">
      <x:c r="A56"/>
      <x:c r="B56" s="1" t="s">
        <x:v>274</x:v>
      </x:c>
      <x:c r="C56" s="1" t="s">
        <x:v>377</x:v>
      </x:c>
      <x:c r="D56" s="1" t="s">
        <x:v>392</x:v>
      </x:c>
      <x:c r="E56" s="1" t="s">
        <x:v>379</x:v>
      </x:c>
      <x:c r="F56" s="1" t="s">
        <x:v>380</x:v>
      </x:c>
      <x:c r="G56" s="1" t="s">
        <x:v>393</x:v>
      </x:c>
      <x:c r="H56"/>
      <x:c r="I56" s="1" t="s">
        <x:v>341</x:v>
      </x:c>
      <x:c r="J56" s="1" t="s">
        <x:v>379</x:v>
      </x:c>
      <x:c r="K56" s="1">
        <x:v>0</x:v>
      </x:c>
      <x:c r="L56" s="1">
        <x:v>2</x:v>
      </x:c>
      <x:c r="M56"/>
      <x:c r="N56" s="1" t="s">
        <x:v>27</x:v>
      </x:c>
      <x:c r="O56" s="1" t="s">
        <x:v>461</x:v>
      </x:c>
      <x:c r="P56" s="19"/>
      <x:c r="Q56"/>
      <x:c r="R56" t="s">
        <x:v>163</x:v>
      </x:c>
      <x:c r="S56" s="33" t="s">
        <x:v>163</x:v>
      </x:c>
      <x:c r="T56"/>
    </x:row>
    <x:row r="57" ht="17">
      <x:c r="A57"/>
      <x:c r="B57" s="1" t="s">
        <x:v>275</x:v>
      </x:c>
      <x:c r="C57" s="1" t="s">
        <x:v>377</x:v>
      </x:c>
      <x:c r="D57" s="1" t="s">
        <x:v>378</x:v>
      </x:c>
      <x:c r="E57" s="1" t="s">
        <x:v>416</x:v>
      </x:c>
      <x:c r="F57" s="1" t="s">
        <x:v>380</x:v>
      </x:c>
      <x:c r="G57" s="1" t="s">
        <x:v>381</x:v>
      </x:c>
      <x:c r="H57"/>
      <x:c r="I57" s="1" t="s">
        <x:v>437</x:v>
      </x:c>
      <x:c r="J57" s="1" t="s">
        <x:v>416</x:v>
      </x:c>
      <x:c r="K57" s="1">
        <x:v>0</x:v>
      </x:c>
      <x:c r="L57" s="1">
        <x:v>0</x:v>
      </x:c>
      <x:c r="M57" t="s">
        <x:v>462</x:v>
      </x:c>
      <x:c r="N57" s="1" t="s">
        <x:v>27</x:v>
      </x:c>
      <x:c r="O57" s="1" t="s">
        <x:v>463</x:v>
      </x:c>
      <x:c r="P57" s="19" t="s">
        <x:v>406</x:v>
      </x:c>
      <x:c r="Q57"/>
      <x:c r="R57" t="s">
        <x:v>163</x:v>
      </x:c>
      <x:c r="S57" s="33" t="s">
        <x:v>416</x:v>
      </x:c>
      <x:c r="T57"/>
    </x:row>
    <x:row r="58">
      <x:c r="A58"/>
      <x:c r="B58" s="1" t="s">
        <x:v>276</x:v>
      </x:c>
      <x:c r="C58" s="1" t="s">
        <x:v>377</x:v>
      </x:c>
      <x:c r="D58" s="1" t="s">
        <x:v>399</x:v>
      </x:c>
      <x:c r="E58" s="1" t="s">
        <x:v>416</x:v>
      </x:c>
      <x:c r="F58" s="1" t="s">
        <x:v>380</x:v>
      </x:c>
      <x:c r="G58" s="1" t="s">
        <x:v>393</x:v>
      </x:c>
      <x:c r="H58"/>
      <x:c r="I58" s="1" t="s">
        <x:v>338</x:v>
      </x:c>
      <x:c r="J58" s="1" t="s">
        <x:v>416</x:v>
      </x:c>
      <x:c r="K58" s="1">
        <x:v>0</x:v>
      </x:c>
      <x:c r="L58" s="1">
        <x:v>1</x:v>
      </x:c>
      <x:c r="M58"/>
      <x:c r="N58" s="1" t="s">
        <x:v>383</x:v>
      </x:c>
      <x:c r="O58" s="1" t="s">
        <x:v>464</x:v>
      </x:c>
      <x:c r="P58" s="1"/>
      <x:c r="Q58"/>
      <x:c r="R58" t="s">
        <x:v>166</x:v>
      </x:c>
      <x:c r="S58" s="33" t="s">
        <x:v>416</x:v>
      </x:c>
      <x:c r="T58"/>
    </x:row>
    <x:row r="59">
      <x:c r="A59"/>
      <x:c r="B59" s="1" t="s">
        <x:v>277</x:v>
      </x:c>
      <x:c r="C59" s="1" t="s">
        <x:v>377</x:v>
      </x:c>
      <x:c r="D59" s="1" t="s">
        <x:v>378</x:v>
      </x:c>
      <x:c r="E59" s="1" t="s">
        <x:v>379</x:v>
      </x:c>
      <x:c r="F59" s="1" t="s">
        <x:v>380</x:v>
      </x:c>
      <x:c r="G59" s="1" t="s">
        <x:v>381</x:v>
      </x:c>
      <x:c r="H59"/>
      <x:c r="I59" s="1" t="s">
        <x:v>465</x:v>
      </x:c>
      <x:c r="J59" s="1" t="s">
        <x:v>379</x:v>
      </x:c>
      <x:c r="K59" s="1">
        <x:v>0</x:v>
      </x:c>
      <x:c r="L59" s="1">
        <x:v>3</x:v>
      </x:c>
      <x:c r="M59" t="s">
        <x:v>422</x:v>
      </x:c>
      <x:c r="N59" s="1" t="s">
        <x:v>27</x:v>
      </x:c>
      <x:c r="O59" s="1" t="s">
        <x:v>466</x:v>
      </x:c>
      <x:c r="P59" s="1"/>
      <x:c r="Q59"/>
      <x:c r="R59" t="s">
        <x:v>169</x:v>
      </x:c>
      <x:c r="S59" s="33" t="s">
        <x:v>169</x:v>
      </x:c>
      <x:c r="T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467</x:v>
      </x:c>
      <x:c r="E4" s="10" t="s">
        <x:v>468</x:v>
      </x:c>
      <x:c r="F4" s="10" t="s">
        <x:v>469</x:v>
      </x:c>
      <x:c r="G4" s="10" t="s">
        <x:v>470</x:v>
      </x:c>
      <x:c r="P4" t="s">
        <x:v>471</x:v>
      </x:c>
      <x:c r="Q4" t="s">
        <x:v>472</x:v>
      </x:c>
      <x:c r="R4" t="s">
        <x:v>473</x:v>
      </x:c>
      <x:c r="S4" t="s">
        <x:v>474</x:v>
      </x:c>
      <x:c r="T4" t="s">
        <x:v>475</x:v>
      </x:c>
    </x:row>
    <x:row r="5" ht="34">
      <x:c r="C5" s="23" t="s">
        <x:v>476</x:v>
      </x:c>
      <x:c r="D5" s="18" t="s">
        <x:v>198</x:v>
      </x:c>
      <x:c r="E5" s="18" t="s">
        <x:v>29</x:v>
      </x:c>
      <x:c r="F5" s="18">
        <x:v>20</x:v>
      </x:c>
      <x:c r="G5" s="18" t="s">
        <x:v>477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199</x:v>
      </x:c>
      <x:c r="E6" s="8" t="s">
        <x:v>29</x:v>
      </x:c>
      <x:c r="F6" s="8">
        <x:v>20</x:v>
      </x:c>
      <x:c r="G6" s="20" t="s">
        <x:v>478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200</x:v>
      </x:c>
      <x:c r="E7" s="20" t="s">
        <x:v>36</x:v>
      </x:c>
      <x:c r="F7" s="20">
        <x:v>20</x:v>
      </x:c>
      <x:c r="G7" s="20" t="s">
        <x:v>479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36</x:v>
      </x:c>
      <x:c r="F8" s="20"/>
      <x:c r="G8" s="20"/>
    </x:row>
    <x:row r="9" ht="34">
      <x:c r="C9" s="23"/>
      <x:c r="D9" s="18" t="s">
        <x:v>201</x:v>
      </x:c>
      <x:c r="E9" s="20" t="s">
        <x:v>36</x:v>
      </x:c>
      <x:c r="F9" s="20">
        <x:v>20</x:v>
      </x:c>
      <x:c r="G9" s="20" t="s">
        <x:v>480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36</x:v>
      </x:c>
      <x:c r="G10" s="20"/>
      <x:c r="I10" t="s">
        <x:v>481</x:v>
      </x:c>
      <x:c r="J10" t="s">
        <x:v>482</x:v>
      </x:c>
      <x:c r="K10" t="s">
        <x:v>483</x:v>
      </x:c>
    </x:row>
    <x:row r="11" ht="34">
      <x:c r="C11" s="24" t="s">
        <x:v>484</x:v>
      </x:c>
      <x:c r="D11" s="10" t="s">
        <x:v>41</x:v>
      </x:c>
      <x:c r="E11" s="8" t="s">
        <x:v>29</x:v>
      </x:c>
      <x:c r="F11" s="8">
        <x:v>20</x:v>
      </x:c>
      <x:c r="G11" s="17" t="s">
        <x:v>485</x:v>
      </x:c>
      <x:c r="H11">
        <x:v>1</x:v>
      </x:c>
      <x:c r="I11" t="s">
        <x:v>486</x:v>
      </x:c>
      <x:c r="J11" t="s">
        <x:v>473</x:v>
      </x:c>
      <x:c r="K11" t="s">
        <x:v>487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44</x:v>
      </x:c>
      <x:c r="E12" s="8" t="s">
        <x:v>29</x:v>
      </x:c>
      <x:c r="F12" s="20">
        <x:v>20</x:v>
      </x:c>
      <x:c r="G12" s="20" t="s">
        <x:v>488</x:v>
      </x:c>
      <x:c r="I12" t="s">
        <x:v>489</x:v>
      </x:c>
      <x:c r="J12" t="s">
        <x:v>490</x:v>
      </x:c>
      <x:c r="P12">
        <x:v>2</x:v>
      </x:c>
      <x:c r="T12">
        <x:v>5</x:v>
      </x:c>
    </x:row>
    <x:row r="13" ht="34">
      <x:c r="C13" s="24"/>
      <x:c r="D13" s="8" t="s">
        <x:v>48</x:v>
      </x:c>
      <x:c r="E13" s="8" t="s">
        <x:v>29</x:v>
      </x:c>
      <x:c r="F13" s="8">
        <x:v>20</x:v>
      </x:c>
      <x:c r="G13" s="20" t="s">
        <x:v>491</x:v>
      </x:c>
      <x:c r="H13">
        <x:v>1</x:v>
      </x:c>
      <x:c r="I13" t="s">
        <x:v>492</x:v>
      </x:c>
      <x:c r="J13" t="s">
        <x:v>473</x:v>
      </x:c>
      <x:c r="K13" t="s">
        <x:v>493</x:v>
      </x:c>
      <x:c r="P13">
        <x:v>2</x:v>
      </x:c>
      <x:c r="R13">
        <x:v>5</x:v>
      </x:c>
    </x:row>
    <x:row r="14" ht="51">
      <x:c r="C14" s="24"/>
      <x:c r="D14" s="8" t="s">
        <x:v>51</x:v>
      </x:c>
      <x:c r="E14" s="8" t="s">
        <x:v>29</x:v>
      </x:c>
      <x:c r="F14" s="20">
        <x:v>20</x:v>
      </x:c>
      <x:c r="G14" s="20" t="s">
        <x:v>494</x:v>
      </x:c>
      <x:c r="I14" t="s">
        <x:v>495</x:v>
      </x:c>
      <x:c r="J14" t="s">
        <x:v>496</x:v>
      </x:c>
      <x:c r="K14" t="s">
        <x:v>497</x:v>
      </x:c>
      <x:c r="P14">
        <x:v>2</x:v>
      </x:c>
    </x:row>
    <x:row r="15" ht="34">
      <x:c r="C15" s="24"/>
      <x:c r="D15" s="8" t="s">
        <x:v>54</x:v>
      </x:c>
      <x:c r="E15" s="8" t="s">
        <x:v>29</x:v>
      </x:c>
      <x:c r="F15" s="8">
        <x:v>20</x:v>
      </x:c>
      <x:c r="G15" s="20" t="s">
        <x:v>498</x:v>
      </x:c>
      <x:c r="I15" t="s">
        <x:v>499</x:v>
      </x:c>
      <x:c r="J15" t="s">
        <x:v>500</x:v>
      </x:c>
      <x:c r="K15" t="s">
        <x:v>487</x:v>
      </x:c>
      <x:c r="P15">
        <x:v>2</x:v>
      </x:c>
      <x:c r="Q15">
        <x:v>3</x:v>
      </x:c>
      <x:c r="T15">
        <x:v>3</x:v>
      </x:c>
    </x:row>
    <x:row r="16" ht="51">
      <x:c r="C16" s="24"/>
      <x:c r="D16" s="8" t="s">
        <x:v>58</x:v>
      </x:c>
      <x:c r="E16" s="8" t="s">
        <x:v>29</x:v>
      </x:c>
      <x:c r="F16" s="20">
        <x:v>20</x:v>
      </x:c>
      <x:c r="G16" s="20" t="s">
        <x:v>501</x:v>
      </x:c>
      <x:c r="I16" t="s">
        <x:v>502</x:v>
      </x:c>
      <x:c r="J16" t="s">
        <x:v>490</x:v>
      </x:c>
      <x:c r="K16" t="s">
        <x:v>493</x:v>
      </x:c>
      <x:c r="P16">
        <x:v>2</x:v>
      </x:c>
    </x:row>
    <x:row r="17" ht="34">
      <x:c r="C17" s="24"/>
      <x:c r="D17" s="8" t="s">
        <x:v>62</x:v>
      </x:c>
      <x:c r="E17" s="20" t="s">
        <x:v>36</x:v>
      </x:c>
      <x:c r="F17" s="8">
        <x:v>20</x:v>
      </x:c>
      <x:c r="G17" s="20" t="s">
        <x:v>503</x:v>
      </x:c>
      <x:c r="I17" t="s">
        <x:v>495</x:v>
      </x:c>
      <x:c r="J17" t="s">
        <x:v>473</x:v>
      </x:c>
      <x:c r="K17" t="s">
        <x:v>504</x:v>
      </x:c>
      <x:c r="P17">
        <x:v>2</x:v>
      </x:c>
      <x:c r="R17">
        <x:v>5</x:v>
      </x:c>
    </x:row>
    <x:row r="18" ht="17">
      <x:c r="C18" s="24"/>
      <x:c r="E18" s="20" t="s">
        <x:v>36</x:v>
      </x:c>
      <x:c r="F18" s="20"/>
      <x:c r="G18" s="20"/>
    </x:row>
    <x:row r="19" ht="51">
      <x:c r="C19" s="24"/>
      <x:c r="D19" s="8" t="s">
        <x:v>67</x:v>
      </x:c>
      <x:c r="E19" s="20" t="s">
        <x:v>36</x:v>
      </x:c>
      <x:c r="F19" s="8">
        <x:v>20</x:v>
      </x:c>
      <x:c r="G19" s="20" t="s">
        <x:v>505</x:v>
      </x:c>
      <x:c r="I19" t="s">
        <x:v>506</x:v>
      </x:c>
      <x:c r="J19" t="s">
        <x:v>496</x:v>
      </x:c>
      <x:c r="K19" t="s">
        <x:v>487</x:v>
      </x:c>
      <x:c r="P19">
        <x:v>2</x:v>
      </x:c>
    </x:row>
    <x:row r="20" ht="17">
      <x:c r="C20" s="24"/>
      <x:c r="E20" s="20" t="s">
        <x:v>36</x:v>
      </x:c>
      <x:c r="F20" s="20"/>
      <x:c r="G20" s="20"/>
      <x:c r="V20" s="8"/>
      <x:c r="W20" s="8"/>
    </x:row>
    <x:row r="21" ht="51">
      <x:c r="C21" s="24"/>
      <x:c r="D21" s="8" t="s">
        <x:v>71</x:v>
      </x:c>
      <x:c r="E21" s="20" t="s">
        <x:v>36</x:v>
      </x:c>
      <x:c r="F21" s="8">
        <x:v>20</x:v>
      </x:c>
      <x:c r="G21" s="20" t="s">
        <x:v>507</x:v>
      </x:c>
      <x:c r="I21" t="s">
        <x:v>492</x:v>
      </x:c>
      <x:c r="J21" t="s">
        <x:v>473</x:v>
      </x:c>
      <x:c r="K21" t="s">
        <x:v>508</x:v>
      </x:c>
      <x:c r="P21">
        <x:v>2</x:v>
      </x:c>
      <x:c r="V21" s="20"/>
      <x:c r="W21" s="20"/>
    </x:row>
    <x:row r="22" ht="17">
      <x:c r="C22" s="24"/>
      <x:c r="E22" s="20" t="s">
        <x:v>36</x:v>
      </x:c>
      <x:c r="F22" s="20"/>
      <x:c r="V22" s="8"/>
      <x:c r="W22" s="20"/>
    </x:row>
    <x:row r="23" ht="34">
      <x:c r="C23" s="24"/>
      <x:c r="D23" s="8" t="s">
        <x:v>74</x:v>
      </x:c>
      <x:c r="E23" s="20" t="s">
        <x:v>36</x:v>
      </x:c>
      <x:c r="F23" s="8">
        <x:v>20</x:v>
      </x:c>
      <x:c r="G23" s="20" t="s">
        <x:v>509</x:v>
      </x:c>
      <x:c r="I23" t="s">
        <x:v>499</x:v>
      </x:c>
      <x:c r="J23" t="s">
        <x:v>473</x:v>
      </x:c>
      <x:c r="K23" t="s">
        <x:v>510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36</x:v>
      </x:c>
      <x:c r="F24" s="20"/>
      <x:c r="G24" s="20"/>
      <x:c r="V24" s="8"/>
      <x:c r="W24" s="19"/>
    </x:row>
    <x:row r="25" ht="34">
      <x:c r="C25" s="24"/>
      <x:c r="D25" s="8" t="s">
        <x:v>77</x:v>
      </x:c>
      <x:c r="E25" s="20" t="s">
        <x:v>36</x:v>
      </x:c>
      <x:c r="F25" s="8">
        <x:v>20</x:v>
      </x:c>
      <x:c r="G25" s="20" t="s">
        <x:v>511</x:v>
      </x:c>
      <x:c r="I25" t="s">
        <x:v>486</x:v>
      </x:c>
      <x:c r="J25" t="s">
        <x:v>496</x:v>
      </x:c>
      <x:c r="K25" t="s">
        <x:v>512</x:v>
      </x:c>
      <x:c r="P25">
        <x:v>2</x:v>
      </x:c>
      <x:c r="V25" s="8"/>
      <x:c r="W25" s="8"/>
    </x:row>
    <x:row r="26" ht="17">
      <x:c r="C26" s="24"/>
      <x:c r="E26" s="20" t="s">
        <x:v>36</x:v>
      </x:c>
      <x:c r="F26" s="20"/>
      <x:c r="G26" s="20"/>
      <x:c r="V26" s="20"/>
      <x:c r="W26" s="20"/>
    </x:row>
    <x:row r="27" ht="51">
      <x:c r="C27" s="27" t="s">
        <x:v>513</x:v>
      </x:c>
      <x:c r="D27" s="8" t="s">
        <x:v>82</x:v>
      </x:c>
      <x:c r="E27" s="20" t="s">
        <x:v>84</x:v>
      </x:c>
      <x:c r="G27" s="20" t="s">
        <x:v>514</x:v>
      </x:c>
      <x:c r="I27" t="s">
        <x:v>492</x:v>
      </x:c>
      <x:c r="J27" t="s">
        <x:v>496</x:v>
      </x:c>
      <x:c r="K27" t="s">
        <x:v>515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88</x:v>
      </x:c>
      <x:c r="E28" s="20" t="s">
        <x:v>84</x:v>
      </x:c>
      <x:c r="F28" s="20"/>
      <x:c r="G28" s="20" t="s">
        <x:v>516</x:v>
      </x:c>
      <x:c r="I28" t="s">
        <x:v>492</x:v>
      </x:c>
      <x:c r="K28" t="s">
        <x:v>487</x:v>
      </x:c>
      <x:c r="V28" s="8"/>
      <x:c r="W28" s="20"/>
    </x:row>
    <x:row r="29" ht="51">
      <x:c r="C29" s="28"/>
      <x:c r="D29" s="8" t="s">
        <x:v>93</x:v>
      </x:c>
      <x:c r="E29" s="8" t="s">
        <x:v>84</x:v>
      </x:c>
      <x:c r="G29" s="20" t="s">
        <x:v>517</x:v>
      </x:c>
      <x:c r="I29" t="s">
        <x:v>495</x:v>
      </x:c>
      <x:c r="J29" t="s">
        <x:v>473</x:v>
      </x:c>
      <x:c r="K29" t="s">
        <x:v>497</x:v>
      </x:c>
      <x:c r="V29" s="8"/>
      <x:c r="W29" s="20"/>
    </x:row>
    <x:row r="30" ht="34">
      <x:c r="C30" s="28"/>
      <x:c r="D30" s="8" t="s">
        <x:v>98</x:v>
      </x:c>
      <x:c r="E30" s="8" t="s">
        <x:v>84</x:v>
      </x:c>
      <x:c r="F30" s="20"/>
      <x:c r="G30" s="20" t="s">
        <x:v>518</x:v>
      </x:c>
      <x:c r="I30" t="s">
        <x:v>499</x:v>
      </x:c>
      <x:c r="J30" t="s">
        <x:v>496</x:v>
      </x:c>
      <x:c r="K30" t="s">
        <x:v>515</x:v>
      </x:c>
      <x:c r="V30" s="20"/>
      <x:c r="W30" s="8"/>
    </x:row>
    <x:row r="31" ht="51">
      <x:c r="C31" s="28"/>
      <x:c r="D31" s="8" t="s">
        <x:v>103</x:v>
      </x:c>
      <x:c r="E31" s="8" t="s">
        <x:v>84</x:v>
      </x:c>
      <x:c r="F31" s="20"/>
      <x:c r="G31" s="20" t="s">
        <x:v>519</x:v>
      </x:c>
      <x:c r="I31" t="s">
        <x:v>499</x:v>
      </x:c>
      <x:c r="J31" t="s">
        <x:v>473</x:v>
      </x:c>
      <x:c r="K31" t="s">
        <x:v>487</x:v>
      </x:c>
      <x:c r="V31" s="20"/>
      <x:c r="W31" s="19"/>
    </x:row>
    <x:row r="32" ht="51">
      <x:c r="C32" s="28"/>
      <x:c r="D32" s="8" t="s">
        <x:v>108</x:v>
      </x:c>
      <x:c r="E32" s="8" t="s">
        <x:v>36</x:v>
      </x:c>
      <x:c r="G32" s="20" t="s">
        <x:v>520</x:v>
      </x:c>
      <x:c r="I32" t="s">
        <x:v>492</x:v>
      </x:c>
      <x:c r="J32" t="s">
        <x:v>473</x:v>
      </x:c>
      <x:c r="K32" t="s">
        <x:v>510</x:v>
      </x:c>
    </x:row>
    <x:row r="33">
      <x:c r="C33" s="28"/>
      <x:c r="E33" s="8" t="s">
        <x:v>36</x:v>
      </x:c>
    </x:row>
    <x:row r="34">
      <x:c r="C34" s="28"/>
      <x:c r="E34" s="8" t="s">
        <x:v>36</x:v>
      </x:c>
      <x:c r="F34" s="20"/>
      <x:c r="G34" s="20"/>
    </x:row>
    <x:row r="35" ht="34">
      <x:c r="C35" s="28"/>
      <x:c r="D35" s="8" t="s">
        <x:v>114</x:v>
      </x:c>
      <x:c r="E35" s="8" t="s">
        <x:v>36</x:v>
      </x:c>
      <x:c r="G35" s="20" t="s">
        <x:v>521</x:v>
      </x:c>
      <x:c r="I35" t="s">
        <x:v>495</x:v>
      </x:c>
      <x:c r="J35" t="s">
        <x:v>474</x:v>
      </x:c>
      <x:c r="K35" t="s">
        <x:v>510</x:v>
      </x:c>
    </x:row>
    <x:row r="36">
      <x:c r="C36" s="28"/>
      <x:c r="E36" s="8" t="s">
        <x:v>36</x:v>
      </x:c>
    </x:row>
    <x:row r="37">
      <x:c r="C37" s="28"/>
      <x:c r="E37" s="8" t="s">
        <x:v>36</x:v>
      </x:c>
      <x:c r="F37" s="20"/>
      <x:c r="G37" s="20"/>
    </x:row>
    <x:row r="38" ht="51">
      <x:c r="C38" s="28"/>
      <x:c r="D38" s="8" t="s">
        <x:v>117</x:v>
      </x:c>
      <x:c r="E38" s="8" t="s">
        <x:v>36</x:v>
      </x:c>
      <x:c r="G38" s="20" t="s">
        <x:v>522</x:v>
      </x:c>
      <x:c r="I38" t="s">
        <x:v>495</x:v>
      </x:c>
      <x:c r="J38" t="s">
        <x:v>496</x:v>
      </x:c>
      <x:c r="K38" t="s">
        <x:v>487</x:v>
      </x:c>
    </x:row>
    <x:row r="39">
      <x:c r="C39" s="28"/>
      <x:c r="E39" s="8" t="s">
        <x:v>36</x:v>
      </x:c>
      <x:c r="F39" s="20"/>
      <x:c r="G39" s="20"/>
    </x:row>
    <x:row r="40" ht="17">
      <x:c r="C40" s="28"/>
      <x:c r="D40" s="20"/>
      <x:c r="E40" s="20" t="s">
        <x:v>36</x:v>
      </x:c>
    </x:row>
    <x:row r="41" ht="34">
      <x:c r="C41" s="28"/>
      <x:c r="D41" s="20" t="s">
        <x:v>120</x:v>
      </x:c>
      <x:c r="E41" s="20" t="s">
        <x:v>36</x:v>
      </x:c>
      <x:c r="F41" s="20"/>
      <x:c r="G41" s="20" t="s">
        <x:v>523</x:v>
      </x:c>
      <x:c r="I41" t="s">
        <x:v>499</x:v>
      </x:c>
      <x:c r="J41" t="s">
        <x:v>490</x:v>
      </x:c>
    </x:row>
    <x:row r="42">
      <x:c r="C42" s="28"/>
      <x:c r="E42" s="8" t="s">
        <x:v>36</x:v>
      </x:c>
    </x:row>
    <x:row r="43" ht="17">
      <x:c r="C43" s="28"/>
      <x:c r="D43" s="20"/>
      <x:c r="E43" s="20" t="s">
        <x:v>36</x:v>
      </x:c>
      <x:c r="F43" s="20"/>
      <x:c r="G43" s="20"/>
    </x:row>
    <x:row r="44" ht="34">
      <x:c r="C44" s="28"/>
      <x:c r="D44" s="8" t="s">
        <x:v>123</x:v>
      </x:c>
      <x:c r="E44" s="1" t="s">
        <x:v>143</x:v>
      </x:c>
      <x:c r="G44" s="20" t="s">
        <x:v>524</x:v>
      </x:c>
      <x:c r="I44" t="s">
        <x:v>486</x:v>
      </x:c>
      <x:c r="J44" t="s">
        <x:v>474</x:v>
      </x:c>
      <x:c r="K44" t="s">
        <x:v>493</x:v>
      </x:c>
    </x:row>
    <x:row r="45">
      <x:c r="C45" s="28"/>
      <x:c r="D45" s="20"/>
      <x:c r="E45" s="1" t="s">
        <x:v>29</x:v>
      </x:c>
      <x:c r="F45" s="20"/>
      <x:c r="G45" s="20"/>
    </x:row>
    <x:row r="46" ht="34">
      <x:c r="C46" s="29" t="s">
        <x:v>525</x:v>
      </x:c>
      <x:c r="D46" s="15" t="s">
        <x:v>126</x:v>
      </x:c>
      <x:c r="E46" s="8" t="s">
        <x:v>29</x:v>
      </x:c>
      <x:c r="F46" s="8">
        <x:v>40</x:v>
      </x:c>
      <x:c r="G46" s="20" t="s">
        <x:v>526</x:v>
      </x:c>
      <x:c r="I46" t="s">
        <x:v>499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29</x:v>
      </x:c>
    </x:row>
    <x:row r="48" ht="34">
      <x:c r="C48" s="29"/>
      <x:c r="D48" s="15" t="s">
        <x:v>129</x:v>
      </x:c>
      <x:c r="E48" s="8" t="s">
        <x:v>29</x:v>
      </x:c>
      <x:c r="F48" s="8">
        <x:v>40</x:v>
      </x:c>
      <x:c r="G48" s="20" t="s">
        <x:v>527</x:v>
      </x:c>
      <x:c r="I48" t="s">
        <x:v>495</x:v>
      </x:c>
    </x:row>
    <x:row r="49">
      <x:c r="C49" s="29"/>
      <x:c r="E49" s="8" t="s">
        <x:v>29</x:v>
      </x:c>
    </x:row>
    <x:row r="50" ht="68">
      <x:c r="C50" s="29"/>
      <x:c r="D50" s="15" t="s">
        <x:v>132</x:v>
      </x:c>
      <x:c r="E50" s="8" t="s">
        <x:v>29</x:v>
      </x:c>
      <x:c r="F50" s="8">
        <x:v>40</x:v>
      </x:c>
      <x:c r="G50" s="20" t="s">
        <x:v>528</x:v>
      </x:c>
      <x:c r="I50" t="s">
        <x:v>492</x:v>
      </x:c>
      <x:c r="J50" t="s">
        <x:v>474</x:v>
      </x:c>
      <x:c r="K50" t="s">
        <x:v>515</x:v>
      </x:c>
    </x:row>
    <x:row r="51">
      <x:c r="C51" s="29"/>
      <x:c r="E51" s="8" t="s">
        <x:v>29</x:v>
      </x:c>
    </x:row>
    <x:row r="52" ht="51">
      <x:c r="C52" s="29"/>
      <x:c r="D52" s="15" t="s">
        <x:v>135</x:v>
      </x:c>
      <x:c r="E52" s="8" t="s">
        <x:v>29</x:v>
      </x:c>
      <x:c r="F52" s="8">
        <x:v>40</x:v>
      </x:c>
      <x:c r="G52" s="20" t="s">
        <x:v>529</x:v>
      </x:c>
      <x:c r="I52" t="s">
        <x:v>492</x:v>
      </x:c>
      <x:c r="J52" t="s">
        <x:v>473</x:v>
      </x:c>
      <x:c r="K52" t="s">
        <x:v>510</x:v>
      </x:c>
    </x:row>
    <x:row r="53" ht="17.600000381469727">
      <x:c r="C53" s="29"/>
      <x:c r="D53" s="15"/>
      <x:c r="E53" s="8" t="s">
        <x:v>29</x:v>
      </x:c>
      <x:c r="G53" s="20"/>
    </x:row>
    <x:row r="54" ht="51">
      <x:c r="C54" s="29"/>
      <x:c r="D54" s="15" t="s">
        <x:v>138</x:v>
      </x:c>
      <x:c r="E54" s="8" t="s">
        <x:v>29</x:v>
      </x:c>
      <x:c r="F54" s="8">
        <x:v>40</x:v>
      </x:c>
      <x:c r="G54" s="20" t="s">
        <x:v>530</x:v>
      </x:c>
      <x:c r="I54" t="s">
        <x:v>499</x:v>
      </x:c>
      <x:c r="J54" t="s">
        <x:v>496</x:v>
      </x:c>
      <x:c r="K54" t="s">
        <x:v>504</x:v>
      </x:c>
    </x:row>
    <x:row r="55">
      <x:c r="C55" s="29"/>
      <x:c r="E55" s="8" t="s">
        <x:v>29</x:v>
      </x:c>
    </x:row>
    <x:row r="56" ht="51">
      <x:c r="C56" s="29"/>
      <x:c r="D56" s="30" t="s">
        <x:v>141</x:v>
      </x:c>
      <x:c r="E56" s="8" t="s">
        <x:v>29</x:v>
      </x:c>
      <x:c r="F56" s="8">
        <x:v>40</x:v>
      </x:c>
      <x:c r="G56" s="20" t="s">
        <x:v>531</x:v>
      </x:c>
      <x:c r="I56" t="s">
        <x:v>495</x:v>
      </x:c>
    </x:row>
    <x:row r="57">
      <x:c r="C57" s="29"/>
      <x:c r="E57" s="8" t="s">
        <x:v>143</x:v>
      </x:c>
    </x:row>
    <x:row r="58">
      <x:c r="C58" s="29"/>
      <x:c r="E58" s="8" t="s">
        <x:v>143</x:v>
      </x:c>
    </x:row>
    <x:row r="59" ht="68">
      <x:c r="C59" s="31" t="s">
        <x:v>532</x:v>
      </x:c>
      <x:c r="D59" s="10" t="s">
        <x:v>145</x:v>
      </x:c>
      <x:c r="E59" s="1" t="s">
        <x:v>84</x:v>
      </x:c>
      <x:c r="F59" s="8">
        <x:v>60</x:v>
      </x:c>
      <x:c r="G59" s="19" t="s">
        <x:v>533</x:v>
      </x:c>
      <x:c r="I59" t="s">
        <x:v>499</x:v>
      </x:c>
      <x:c r="J59" t="s">
        <x:v>474</x:v>
      </x:c>
      <x:c r="K59" t="s">
        <x:v>515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84</x:v>
      </x:c>
    </x:row>
    <x:row r="61" ht="51">
      <x:c r="C61" s="31"/>
      <x:c r="D61" s="30" t="s">
        <x:v>148</x:v>
      </x:c>
      <x:c r="E61" s="1" t="s">
        <x:v>84</x:v>
      </x:c>
      <x:c r="F61" s="8">
        <x:v>60</x:v>
      </x:c>
      <x:c r="G61" s="20" t="s">
        <x:v>534</x:v>
      </x:c>
      <x:c r="I61" t="s">
        <x:v>495</x:v>
      </x:c>
      <x:c r="J61" t="s">
        <x:v>474</x:v>
      </x:c>
      <x:c r="K61" t="s">
        <x:v>510</x:v>
      </x:c>
    </x:row>
    <x:row r="62">
      <x:c r="C62" s="31"/>
      <x:c r="E62" s="1" t="s">
        <x:v>84</x:v>
      </x:c>
    </x:row>
    <x:row r="63" ht="51">
      <x:c r="C63" s="31"/>
      <x:c r="D63" s="15" t="s">
        <x:v>151</x:v>
      </x:c>
      <x:c r="E63" s="1" t="s">
        <x:v>84</x:v>
      </x:c>
      <x:c r="G63" s="19" t="s">
        <x:v>535</x:v>
      </x:c>
      <x:c r="I63" t="s">
        <x:v>492</x:v>
      </x:c>
      <x:c r="J63" t="s">
        <x:v>474</x:v>
      </x:c>
      <x:c r="K63" t="s">
        <x:v>487</x:v>
      </x:c>
    </x:row>
    <x:row r="64">
      <x:c r="C64" s="31"/>
      <x:c r="E64" s="1" t="s">
        <x:v>84</x:v>
      </x:c>
      <x:c r="F64" s="20"/>
      <x:c r="G64" s="1"/>
    </x:row>
    <x:row r="65" ht="68">
      <x:c r="C65" s="31"/>
      <x:c r="D65" s="15" t="s">
        <x:v>154</x:v>
      </x:c>
      <x:c r="E65" s="1" t="s">
        <x:v>29</x:v>
      </x:c>
      <x:c r="G65" s="19" t="s">
        <x:v>536</x:v>
      </x:c>
      <x:c r="I65" t="s">
        <x:v>499</x:v>
      </x:c>
      <x:c r="J65" t="s">
        <x:v>474</x:v>
      </x:c>
      <x:c r="K65" t="s">
        <x:v>487</x:v>
      </x:c>
    </x:row>
    <x:row r="66">
      <x:c r="C66" s="31"/>
      <x:c r="E66" s="1" t="s">
        <x:v>29</x:v>
      </x:c>
      <x:c r="G66" s="1"/>
      <x:c r="K66" s="19"/>
    </x:row>
    <x:row r="67">
      <x:c r="C67" s="31"/>
      <x:c r="E67" s="1" t="s">
        <x:v>29</x:v>
      </x:c>
      <x:c r="F67" s="20"/>
      <x:c r="G67" s="1"/>
      <x:c r="K67" s="1"/>
    </x:row>
    <x:row r="68" ht="34">
      <x:c r="C68" s="31"/>
      <x:c r="D68" s="15" t="s">
        <x:v>157</x:v>
      </x:c>
      <x:c r="E68" s="1" t="s">
        <x:v>29</x:v>
      </x:c>
      <x:c r="G68" s="19" t="s">
        <x:v>537</x:v>
      </x:c>
      <x:c r="I68" t="s">
        <x:v>492</x:v>
      </x:c>
      <x:c r="K68" s="19"/>
    </x:row>
    <x:row r="69">
      <x:c r="C69" s="31"/>
      <x:c r="D69" s="1"/>
      <x:c r="E69" s="1" t="s">
        <x:v>29</x:v>
      </x:c>
      <x:c r="G69" s="1"/>
    </x:row>
    <x:row r="70">
      <x:c r="C70" s="31"/>
      <x:c r="D70" s="1"/>
      <x:c r="E70" s="1" t="s">
        <x:v>29</x:v>
      </x:c>
      <x:c r="F70" s="20"/>
      <x:c r="G70" s="19"/>
    </x:row>
    <x:row r="71" ht="34">
      <x:c r="C71" s="31"/>
      <x:c r="D71" s="8" t="s">
        <x:v>160</x:v>
      </x:c>
      <x:c r="E71" s="1" t="s">
        <x:v>29</x:v>
      </x:c>
      <x:c r="G71" s="19" t="s">
        <x:v>538</x:v>
      </x:c>
      <x:c r="I71" t="s">
        <x:v>495</x:v>
      </x:c>
    </x:row>
    <x:row r="72">
      <x:c r="C72" s="31"/>
      <x:c r="D72" s="1"/>
      <x:c r="E72" s="1" t="s">
        <x:v>29</x:v>
      </x:c>
      <x:c r="F72" s="20"/>
      <x:c r="G72" s="19"/>
    </x:row>
    <x:row r="73">
      <x:c r="C73" s="31"/>
      <x:c r="E73" s="1" t="s">
        <x:v>29</x:v>
      </x:c>
      <x:c r="G73" s="1"/>
    </x:row>
    <x:row r="74" ht="34">
      <x:c r="C74" s="20" t="s">
        <x:v>539</x:v>
      </x:c>
      <x:c r="D74" s="15" t="s">
        <x:v>163</x:v>
      </x:c>
      <x:c r="E74" s="1" t="s">
        <x:v>84</x:v>
      </x:c>
      <x:c r="F74" s="1">
        <x:v>110</x:v>
      </x:c>
      <x:c r="G74" s="19" t="s">
        <x:v>540</x:v>
      </x:c>
    </x:row>
    <x:row r="75">
      <x:c r="C75" s="20"/>
      <x:c r="E75" s="1" t="s">
        <x:v>84</x:v>
      </x:c>
      <x:c r="F75" s="1"/>
      <x:c r="G75" s="19"/>
    </x:row>
    <x:row r="76">
      <x:c r="C76" s="20"/>
      <x:c r="E76" s="1" t="s">
        <x:v>84</x:v>
      </x:c>
      <x:c r="F76" s="1"/>
      <x:c r="G76" s="1"/>
    </x:row>
    <x:row r="77" ht="34">
      <x:c r="C77" s="20"/>
      <x:c r="D77" s="15" t="s">
        <x:v>166</x:v>
      </x:c>
      <x:c r="E77" s="1" t="s">
        <x:v>84</x:v>
      </x:c>
      <x:c r="F77" s="1">
        <x:v>90</x:v>
      </x:c>
      <x:c r="G77" s="20" t="s">
        <x:v>541</x:v>
      </x:c>
    </x:row>
    <x:row r="78">
      <x:c r="C78" s="20"/>
      <x:c r="E78" s="1" t="s">
        <x:v>84</x:v>
      </x:c>
      <x:c r="F78" s="1"/>
      <x:c r="G78" s="1"/>
    </x:row>
    <x:row r="79">
      <x:c r="C79" s="20"/>
      <x:c r="E79" s="1" t="s">
        <x:v>84</x:v>
      </x:c>
      <x:c r="F79" s="1"/>
      <x:c r="G79" s="1"/>
    </x:row>
    <x:row r="80" ht="17.600000381469727">
      <x:c r="C80" s="20"/>
      <x:c r="D80" s="15" t="s">
        <x:v>169</x:v>
      </x:c>
      <x:c r="E80" s="1" t="s">
        <x:v>84</x:v>
      </x:c>
      <x:c r="F80" s="1">
        <x:v>120</x:v>
      </x:c>
      <x:c r="G80" s="1" t="s">
        <x:v>542</x:v>
      </x:c>
    </x:row>
    <x:row r="81">
      <x:c r="D81" s="1"/>
      <x:c r="E81" s="1" t="s">
        <x:v>84</x:v>
      </x:c>
      <x:c r="F81" s="1"/>
      <x:c r="G81" s="1"/>
    </x:row>
    <x:row r="82">
      <x:c r="C82" s="20"/>
      <x:c r="D82" s="1"/>
      <x:c r="E82" s="1" t="s">
        <x:v>84</x:v>
      </x:c>
      <x:c r="F82" s="1"/>
      <x:c r="G82" s="1"/>
    </x:row>
    <x:row r="83">
      <x:c r="D83" s="1"/>
      <x:c r="E83" s="1" t="s">
        <x:v>84</x:v>
      </x:c>
      <x:c r="F83" s="1"/>
      <x:c r="G83" s="1"/>
    </x:row>
    <x:row r="88" ht="51">
      <x:c r="G88" s="19" t="s">
        <x:v>543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467</x:v>
      </x:c>
      <x:c r="E4" s="10" t="s">
        <x:v>468</x:v>
      </x:c>
      <x:c r="F4" s="10" t="s">
        <x:v>469</x:v>
      </x:c>
      <x:c r="G4" s="10" t="s">
        <x:v>470</x:v>
      </x:c>
      <x:c r="H4" s="15"/>
      <x:c r="I4" s="15"/>
      <x:c r="J4" s="1" t="s">
        <x:v>1</x:v>
      </x:c>
      <x:c r="K4" s="1"/>
      <x:c r="L4" s="10" t="s">
        <x:v>467</x:v>
      </x:c>
      <x:c r="M4" s="10" t="s">
        <x:v>468</x:v>
      </x:c>
      <x:c r="N4" s="10" t="s">
        <x:v>469</x:v>
      </x:c>
      <x:c r="O4" s="10" t="s">
        <x:v>470</x:v>
      </x:c>
      <x:c r="P4" s="15"/>
      <x:c r="Q4" s="10" t="s">
        <x:v>544</x:v>
      </x:c>
      <x:c r="R4" s="10" t="s">
        <x:v>545</x:v>
      </x:c>
      <x:c r="S4" s="10" t="s">
        <x:v>546</x:v>
      </x:c>
      <x:c r="T4" s="10" t="s">
        <x:v>547</x:v>
      </x:c>
      <x:c r="U4" s="10" t="s">
        <x:v>548</x:v>
      </x:c>
      <x:c r="V4" s="1" t="s">
        <x:v>549</x:v>
      </x:c>
    </x:row>
    <x:row r="5" ht="34">
      <x:c r="C5" s="1">
        <x:v>1</x:v>
      </x:c>
      <x:c r="D5" s="10" t="s">
        <x:v>550</x:v>
      </x:c>
      <x:c r="E5" s="1" t="s">
        <x:v>36</x:v>
      </x:c>
      <x:c r="F5" s="1">
        <x:v>10</x:v>
      </x:c>
      <x:c r="G5" s="17" t="s">
        <x:v>551</x:v>
      </x:c>
      <x:c r="H5" s="18"/>
      <x:c r="I5" s="18"/>
      <x:c r="J5" s="18"/>
      <x:c r="K5" s="23" t="s">
        <x:v>476</x:v>
      </x:c>
      <x:c r="L5" s="18" t="s">
        <x:v>198</x:v>
      </x:c>
      <x:c r="M5" s="18" t="s">
        <x:v>29</x:v>
      </x:c>
      <x:c r="N5" s="18">
        <x:v>20</x:v>
      </x:c>
      <x:c r="O5" s="18" t="s">
        <x:v>477</x:v>
      </x:c>
      <x:c r="P5" s="18"/>
      <x:c r="Q5" s="1" t="s">
        <x:v>473</x:v>
      </x:c>
      <x:c r="R5" s="1" t="s">
        <x:v>552</x:v>
      </x:c>
      <x:c r="S5" s="1" t="s">
        <x:v>553</x:v>
      </x:c>
      <x:c r="T5" s="1" t="s">
        <x:v>554</x:v>
      </x:c>
      <x:c r="U5" s="1" t="s">
        <x:v>555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556</x:v>
      </x:c>
      <x:c r="E6" s="1" t="s">
        <x:v>36</x:v>
      </x:c>
      <x:c r="F6" s="1">
        <x:v>10</x:v>
      </x:c>
      <x:c r="G6" s="19" t="s">
        <x:v>557</x:v>
      </x:c>
      <x:c r="H6" s="20"/>
      <x:c r="I6" s="20"/>
      <x:c r="J6" s="20"/>
      <x:c r="K6" s="23"/>
      <x:c r="L6" s="18" t="s">
        <x:v>199</x:v>
      </x:c>
      <x:c r="M6" s="8" t="s">
        <x:v>29</x:v>
      </x:c>
      <x:c r="N6" s="8">
        <x:v>20</x:v>
      </x:c>
      <x:c r="O6" s="20" t="s">
        <x:v>478</x:v>
      </x:c>
      <x:c r="P6" s="20"/>
      <x:c r="Q6" s="1" t="s">
        <x:v>496</x:v>
      </x:c>
      <x:c r="R6" s="1" t="s">
        <x:v>552</x:v>
      </x:c>
      <x:c r="S6" s="1" t="s">
        <x:v>495</x:v>
      </x:c>
      <x:c r="T6" s="1" t="s">
        <x:v>558</x:v>
      </x:c>
      <x:c r="U6" s="1" t="s">
        <x:v>559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560</x:v>
      </x:c>
      <x:c r="E7" s="1" t="s">
        <x:v>36</x:v>
      </x:c>
      <x:c r="F7" s="1">
        <x:v>40</x:v>
      </x:c>
      <x:c r="G7" s="19" t="s">
        <x:v>561</x:v>
      </x:c>
      <x:c r="H7" s="20"/>
      <x:c r="I7" s="20"/>
      <x:c r="J7" s="20"/>
      <x:c r="K7" s="23"/>
      <x:c r="L7" s="18" t="s">
        <x:v>200</x:v>
      </x:c>
      <x:c r="M7" s="20" t="s">
        <x:v>36</x:v>
      </x:c>
      <x:c r="N7" s="20">
        <x:v>20</x:v>
      </x:c>
      <x:c r="O7" s="20" t="s">
        <x:v>479</x:v>
      </x:c>
      <x:c r="P7" s="20"/>
      <x:c r="Q7" s="1" t="s">
        <x:v>496</x:v>
      </x:c>
      <x:c r="R7" s="1" t="s">
        <x:v>552</x:v>
      </x:c>
      <x:c r="S7" s="1" t="s">
        <x:v>553</x:v>
      </x:c>
      <x:c r="T7" s="1" t="s">
        <x:v>554</x:v>
      </x:c>
      <x:c r="U7" s="1" t="s">
        <x:v>562</x:v>
      </x:c>
      <x:c r="W7" s="1">
        <x:v>30</x:v>
      </x:c>
    </x:row>
    <x:row r="8" ht="34">
      <x:c r="C8" s="1">
        <x:v>4</x:v>
      </x:c>
      <x:c r="D8" s="12" t="s">
        <x:v>563</x:v>
      </x:c>
      <x:c r="E8" s="1" t="s">
        <x:v>36</x:v>
      </x:c>
      <x:c r="F8" s="1">
        <x:v>10</x:v>
      </x:c>
      <x:c r="G8" s="19" t="s">
        <x:v>564</x:v>
      </x:c>
      <x:c r="H8" s="20"/>
      <x:c r="I8" s="20"/>
      <x:c r="J8" s="20"/>
      <x:c r="K8" s="23"/>
      <x:c r="M8" s="20" t="s">
        <x:v>36</x:v>
      </x:c>
      <x:c r="N8" s="20"/>
      <x:c r="O8" s="20"/>
      <x:c r="P8" s="20"/>
      <x:c r="Q8" s="1" t="s">
        <x:v>490</x:v>
      </x:c>
      <x:c r="R8" s="1" t="s">
        <x:v>565</x:v>
      </x:c>
      <x:c r="S8" s="1" t="s">
        <x:v>566</x:v>
      </x:c>
      <x:c r="T8" s="1" t="s">
        <x:v>490</x:v>
      </x:c>
      <x:c r="U8" s="1" t="s">
        <x:v>567</x:v>
      </x:c>
      <x:c r="V8" s="1">
        <x:v>2</x:v>
      </x:c>
    </x:row>
    <x:row r="9" ht="34">
      <x:c r="C9" s="1">
        <x:v>5</x:v>
      </x:c>
      <x:c r="D9" s="10" t="s">
        <x:v>48</x:v>
      </x:c>
      <x:c r="E9" s="1" t="s">
        <x:v>36</x:v>
      </x:c>
      <x:c r="F9" s="1">
        <x:v>10</x:v>
      </x:c>
      <x:c r="G9" s="19" t="s">
        <x:v>568</x:v>
      </x:c>
      <x:c r="H9" s="20"/>
      <x:c r="I9" s="20"/>
      <x:c r="J9" s="20"/>
      <x:c r="K9" s="23"/>
      <x:c r="L9" s="18" t="s">
        <x:v>201</x:v>
      </x:c>
      <x:c r="M9" s="20" t="s">
        <x:v>36</x:v>
      </x:c>
      <x:c r="N9" s="20">
        <x:v>20</x:v>
      </x:c>
      <x:c r="O9" s="20" t="s">
        <x:v>480</x:v>
      </x:c>
      <x:c r="P9" s="20"/>
      <x:c r="Q9" s="1" t="s">
        <x:v>496</x:v>
      </x:c>
      <x:c r="R9" s="1" t="s">
        <x:v>552</x:v>
      </x:c>
      <x:c r="S9" s="1" t="s">
        <x:v>553</x:v>
      </x:c>
      <x:c r="T9" s="1" t="s">
        <x:v>554</x:v>
      </x:c>
      <x:c r="U9" s="1" t="s">
        <x:v>569</x:v>
      </x:c>
      <x:c r="V9" s="1">
        <x:v>8</x:v>
      </x:c>
      <x:c r="W9" s="1">
        <x:v>8</x:v>
      </x:c>
      <x:c r="X9" s="1" t="s">
        <x:v>570</x:v>
      </x:c>
    </x:row>
    <x:row r="10" ht="34">
      <x:c r="C10" s="1">
        <x:v>6</x:v>
      </x:c>
      <x:c r="D10" s="10" t="s">
        <x:v>71</x:v>
      </x:c>
      <x:c r="E10" s="1" t="s">
        <x:v>36</x:v>
      </x:c>
      <x:c r="F10" s="1">
        <x:v>10</x:v>
      </x:c>
      <x:c r="G10" s="19" t="s">
        <x:v>571</x:v>
      </x:c>
      <x:c r="H10" s="20"/>
      <x:c r="I10" s="20"/>
      <x:c r="J10" s="20"/>
      <x:c r="K10" s="23"/>
      <x:c r="M10" s="8" t="s">
        <x:v>36</x:v>
      </x:c>
      <x:c r="O10" s="20"/>
      <x:c r="P10" s="20"/>
      <x:c r="Q10" s="1" t="s">
        <x:v>473</x:v>
      </x:c>
      <x:c r="R10" s="1" t="s">
        <x:v>572</x:v>
      </x:c>
      <x:c r="S10" s="1" t="s">
        <x:v>553</x:v>
      </x:c>
      <x:c r="T10" s="1" t="s">
        <x:v>554</x:v>
      </x:c>
      <x:c r="U10" s="1" t="s">
        <x:v>573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574</x:v>
      </x:c>
      <x:c r="E11" s="1" t="s">
        <x:v>36</x:v>
      </x:c>
      <x:c r="F11" s="1">
        <x:v>10</x:v>
      </x:c>
      <x:c r="G11" s="19" t="s">
        <x:v>575</x:v>
      </x:c>
      <x:c r="H11" s="20"/>
      <x:c r="I11" s="20"/>
      <x:c r="J11" s="20"/>
      <x:c r="K11" s="24" t="s">
        <x:v>484</x:v>
      </x:c>
      <x:c r="L11" s="10" t="s">
        <x:v>41</x:v>
      </x:c>
      <x:c r="M11" s="8" t="s">
        <x:v>29</x:v>
      </x:c>
      <x:c r="N11" s="8">
        <x:v>20</x:v>
      </x:c>
      <x:c r="O11" s="17" t="s">
        <x:v>576</x:v>
      </x:c>
      <x:c r="P11" s="20"/>
      <x:c r="Q11" s="1" t="s">
        <x:v>496</x:v>
      </x:c>
      <x:c r="R11" s="1" t="s">
        <x:v>565</x:v>
      </x:c>
      <x:c r="S11" s="1" t="s">
        <x:v>553</x:v>
      </x:c>
      <x:c r="T11" s="1" t="s">
        <x:v>554</x:v>
      </x:c>
      <x:c r="U11" s="1" t="s">
        <x:v>577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578</x:v>
      </x:c>
      <x:c r="E12" s="1" t="s">
        <x:v>36</x:v>
      </x:c>
      <x:c r="F12" s="1">
        <x:v>10</x:v>
      </x:c>
      <x:c r="G12" s="19" t="s">
        <x:v>579</x:v>
      </x:c>
      <x:c r="H12" s="20"/>
      <x:c r="K12" s="24"/>
      <x:c r="L12" s="8" t="s">
        <x:v>44</x:v>
      </x:c>
      <x:c r="M12" s="8" t="s">
        <x:v>29</x:v>
      </x:c>
      <x:c r="N12" s="20">
        <x:v>20</x:v>
      </x:c>
      <x:c r="O12" s="20" t="s">
        <x:v>580</x:v>
      </x:c>
      <x:c r="P12" s="20"/>
      <x:c r="Q12" s="1" t="s">
        <x:v>581</x:v>
      </x:c>
      <x:c r="R12" s="1" t="s">
        <x:v>572</x:v>
      </x:c>
      <x:c r="S12" s="1" t="s">
        <x:v>495</x:v>
      </x:c>
      <x:c r="T12" s="1" t="s">
        <x:v>554</x:v>
      </x:c>
      <x:c r="U12" s="1" t="s">
        <x:v>582</x:v>
      </x:c>
      <x:c r="V12" s="1">
        <x:v>5</x:v>
      </x:c>
      <x:c r="W12" s="1">
        <x:v>5</x:v>
      </x:c>
      <x:c r="AD12" s="1" t="s">
        <x:v>583</x:v>
      </x:c>
    </x:row>
    <x:row r="13" ht="51">
      <x:c r="C13" s="1">
        <x:v>9</x:v>
      </x:c>
      <x:c r="D13" s="10" t="s">
        <x:v>41</x:v>
      </x:c>
      <x:c r="E13" s="1" t="s">
        <x:v>36</x:v>
      </x:c>
      <x:c r="F13" s="1">
        <x:v>10</x:v>
      </x:c>
      <x:c r="G13" s="19" t="s">
        <x:v>584</x:v>
      </x:c>
      <x:c r="I13" s="8">
        <x:v>4</x:v>
      </x:c>
      <x:c r="J13" s="8">
        <x:v>2</x:v>
      </x:c>
      <x:c r="K13" s="24"/>
      <x:c r="L13" s="8" t="s">
        <x:v>48</x:v>
      </x:c>
      <x:c r="M13" s="8" t="s">
        <x:v>29</x:v>
      </x:c>
      <x:c r="N13" s="8">
        <x:v>20</x:v>
      </x:c>
      <x:c r="O13" s="20" t="s">
        <x:v>585</x:v>
      </x:c>
      <x:c r="P13" s="20"/>
      <x:c r="Q13" s="1" t="s">
        <x:v>473</x:v>
      </x:c>
      <x:c r="R13" s="1" t="s">
        <x:v>552</x:v>
      </x:c>
      <x:c r="S13" s="1" t="s">
        <x:v>553</x:v>
      </x:c>
      <x:c r="T13" s="1" t="s">
        <x:v>586</x:v>
      </x:c>
      <x:c r="U13" s="1" t="s">
        <x:v>587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588</x:v>
      </x:c>
      <x:c r="E14" s="1" t="s">
        <x:v>36</x:v>
      </x:c>
      <x:c r="F14" s="1">
        <x:v>10</x:v>
      </x:c>
      <x:c r="G14" s="1" t="s">
        <x:v>589</x:v>
      </x:c>
      <x:c r="I14" s="8">
        <x:v>2</x:v>
      </x:c>
      <x:c r="J14" s="8">
        <x:v>2</x:v>
      </x:c>
      <x:c r="K14" s="24"/>
      <x:c r="L14" s="8" t="s">
        <x:v>51</x:v>
      </x:c>
      <x:c r="M14" s="8" t="s">
        <x:v>29</x:v>
      </x:c>
      <x:c r="N14" s="20">
        <x:v>20</x:v>
      </x:c>
      <x:c r="O14" s="20" t="s">
        <x:v>590</x:v>
      </x:c>
      <x:c r="Q14" s="1" t="s">
        <x:v>490</x:v>
      </x:c>
      <x:c r="R14" s="1" t="s">
        <x:v>552</x:v>
      </x:c>
      <x:c r="S14" s="1" t="s">
        <x:v>591</x:v>
      </x:c>
      <x:c r="T14" s="1" t="s">
        <x:v>490</x:v>
      </x:c>
      <x:c r="U14" s="1" t="s">
        <x:v>592</x:v>
      </x:c>
      <x:c r="V14" s="1">
        <x:v>8</x:v>
      </x:c>
      <x:c r="AC14" s="1" t="s">
        <x:v>593</x:v>
      </x:c>
      <x:c r="AD14" s="1" t="s">
        <x:v>594</x:v>
      </x:c>
      <x:c r="AE14" s="1" t="s">
        <x:v>595</x:v>
      </x:c>
    </x:row>
    <x:row r="15" ht="51">
      <x:c r="C15" s="1">
        <x:v>11</x:v>
      </x:c>
      <x:c r="D15" s="11" t="s">
        <x:v>51</x:v>
      </x:c>
      <x:c r="E15" s="1" t="s">
        <x:v>36</x:v>
      </x:c>
      <x:c r="F15" s="1">
        <x:v>10</x:v>
      </x:c>
      <x:c r="G15" s="21" t="s">
        <x:v>596</x:v>
      </x:c>
      <x:c r="H15" s="20"/>
      <x:c r="I15" s="20">
        <x:v>1</x:v>
      </x:c>
      <x:c r="J15" s="20">
        <x:v>3</x:v>
      </x:c>
      <x:c r="K15" s="24"/>
      <x:c r="L15" s="8" t="s">
        <x:v>98</x:v>
      </x:c>
      <x:c r="M15" s="8" t="s">
        <x:v>29</x:v>
      </x:c>
      <x:c r="N15" s="8">
        <x:v>20</x:v>
      </x:c>
      <x:c r="O15" s="20" t="s">
        <x:v>597</x:v>
      </x:c>
      <x:c r="P15" s="20"/>
      <x:c r="Q15" s="1" t="s">
        <x:v>473</x:v>
      </x:c>
      <x:c r="R15" s="1" t="s">
        <x:v>565</x:v>
      </x:c>
      <x:c r="S15" s="1" t="s">
        <x:v>495</x:v>
      </x:c>
      <x:c r="T15" s="1" t="s">
        <x:v>558</x:v>
      </x:c>
      <x:c r="U15" s="1" t="s">
        <x:v>598</x:v>
      </x:c>
      <x:c r="V15" s="1">
        <x:v>0.2</x:v>
      </x:c>
      <x:c r="W15" s="1" t="n">
        <x:f>2*5*0.2</x:f>
        <x:v>2</x:v>
      </x:c>
      <x:c r="AC15" s="1" t="s">
        <x:v>599</x:v>
      </x:c>
      <x:c r="AD15" s="1" t="s">
        <x:v>600</x:v>
      </x:c>
      <x:c r="AE15" s="1" t="s">
        <x:v>601</x:v>
      </x:c>
    </x:row>
    <x:row r="16" ht="34">
      <x:c r="C16" s="1">
        <x:v>12</x:v>
      </x:c>
      <x:c r="D16" s="1" t="s">
        <x:v>602</x:v>
      </x:c>
      <x:c r="E16" s="1" t="s">
        <x:v>36</x:v>
      </x:c>
      <x:c r="F16" s="1">
        <x:v>10</x:v>
      </x:c>
      <x:c r="G16" s="19" t="s">
        <x:v>603</x:v>
      </x:c>
      <x:c r="H16" s="20"/>
      <x:c r="I16" s="20"/>
      <x:c r="J16" s="20"/>
      <x:c r="K16" s="24"/>
      <x:c r="L16" s="8" t="s">
        <x:v>58</x:v>
      </x:c>
      <x:c r="M16" s="8" t="s">
        <x:v>29</x:v>
      </x:c>
      <x:c r="N16" s="20">
        <x:v>20</x:v>
      </x:c>
      <x:c r="O16" s="20" t="s">
        <x:v>604</x:v>
      </x:c>
      <x:c r="P16" s="20"/>
      <x:c r="Q16" s="1" t="s">
        <x:v>605</x:v>
      </x:c>
      <x:c r="R16" s="1" t="s">
        <x:v>572</x:v>
      </x:c>
      <x:c r="S16" s="1" t="s">
        <x:v>486</x:v>
      </x:c>
      <x:c r="T16" s="1" t="s">
        <x:v>605</x:v>
      </x:c>
      <x:c r="U16" s="1" t="s">
        <x:v>606</x:v>
      </x:c>
      <x:c r="Y16" s="1" t="s">
        <x:v>496</x:v>
      </x:c>
      <x:c r="Z16" s="1" t="s">
        <x:v>473</x:v>
      </x:c>
      <x:c r="AA16" s="1" t="s">
        <x:v>474</x:v>
      </x:c>
      <x:c r="AD16" s="1" t="s">
        <x:v>607</x:v>
      </x:c>
      <x:c r="AE16" s="1" t="s">
        <x:v>608</x:v>
      </x:c>
    </x:row>
    <x:row r="17" ht="51">
      <x:c r="C17" s="1">
        <x:v>13</x:v>
      </x:c>
      <x:c r="D17" s="13" t="s">
        <x:v>609</x:v>
      </x:c>
      <x:c r="E17" s="1" t="s">
        <x:v>36</x:v>
      </x:c>
      <x:c r="F17" s="1">
        <x:v>10</x:v>
      </x:c>
      <x:c r="G17" s="19" t="s">
        <x:v>610</x:v>
      </x:c>
      <x:c r="H17" s="20"/>
      <x:c r="I17" s="20"/>
      <x:c r="J17" s="20"/>
      <x:c r="K17" s="24"/>
      <x:c r="L17" s="8" t="s">
        <x:v>62</x:v>
      </x:c>
      <x:c r="M17" s="20" t="s">
        <x:v>36</x:v>
      </x:c>
      <x:c r="N17" s="8">
        <x:v>20</x:v>
      </x:c>
      <x:c r="O17" s="20" t="s">
        <x:v>611</x:v>
      </x:c>
      <x:c r="P17" s="20"/>
      <x:c r="Q17" s="1" t="s">
        <x:v>490</x:v>
      </x:c>
      <x:c r="R17" s="1" t="s">
        <x:v>572</x:v>
      </x:c>
      <x:c r="S17" s="1" t="s">
        <x:v>591</x:v>
      </x:c>
      <x:c r="T17" s="1" t="s">
        <x:v>490</x:v>
      </x:c>
      <x:c r="U17" s="1" t="s">
        <x:v>612</x:v>
      </x:c>
      <x:c r="X17" s="1" t="s">
        <x:v>613</x:v>
      </x:c>
      <x:c r="Y17" s="1">
        <x:v>30</x:v>
      </x:c>
      <x:c r="Z17" s="1">
        <x:v>2</x:v>
      </x:c>
      <x:c r="AD17" s="1" t="s">
        <x:v>614</x:v>
      </x:c>
      <x:c r="AE17" s="1" t="s">
        <x:v>615</x:v>
      </x:c>
    </x:row>
    <x:row r="18" ht="51">
      <x:c r="C18" s="1">
        <x:v>14</x:v>
      </x:c>
      <x:c r="D18" s="10" t="s">
        <x:v>616</x:v>
      </x:c>
      <x:c r="E18" s="1" t="s">
        <x:v>29</x:v>
      </x:c>
      <x:c r="F18" s="1">
        <x:v>20</x:v>
      </x:c>
      <x:c r="G18" s="19" t="s">
        <x:v>617</x:v>
      </x:c>
      <x:c r="H18" s="20"/>
      <x:c r="I18" s="20"/>
      <x:c r="J18" s="20"/>
      <x:c r="K18" s="24"/>
      <x:c r="M18" s="20" t="s">
        <x:v>36</x:v>
      </x:c>
      <x:c r="N18" s="20"/>
      <x:c r="O18" s="20"/>
      <x:c r="P18" s="20"/>
      <x:c r="Q18" s="1" t="s">
        <x:v>473</x:v>
      </x:c>
      <x:c r="R18" s="1" t="s">
        <x:v>618</x:v>
      </x:c>
      <x:c r="S18" s="1" t="s">
        <x:v>553</x:v>
      </x:c>
      <x:c r="T18" s="1" t="s">
        <x:v>554</x:v>
      </x:c>
      <x:c r="U18" s="1" t="s">
        <x:v>619</x:v>
      </x:c>
      <x:c r="V18" s="1">
        <x:v>1</x:v>
      </x:c>
      <x:c r="W18" s="1" t="n">
        <x:f>6*V18</x:f>
        <x:v>6</x:v>
      </x:c>
      <x:c r="X18" s="1" t="s">
        <x:v>620</x:v>
      </x:c>
      <x:c r="Y18" s="1">
        <x:v>90</x:v>
      </x:c>
      <x:c r="Z18" s="1">
        <x:v>6</x:v>
      </x:c>
      <x:c r="AA18" s="1">
        <x:v>2</x:v>
      </x:c>
      <x:c r="AC18" s="1" t="s">
        <x:v>621</x:v>
      </x:c>
      <x:c r="AD18" s="1" t="s">
        <x:v>622</x:v>
      </x:c>
      <x:c r="AE18" s="1" t="s">
        <x:v>623</x:v>
      </x:c>
    </x:row>
    <x:row r="19" ht="51">
      <x:c r="C19" s="1">
        <x:v>15</x:v>
      </x:c>
      <x:c r="D19" s="12" t="s">
        <x:v>624</x:v>
      </x:c>
      <x:c r="E19" s="1" t="s">
        <x:v>36</x:v>
      </x:c>
      <x:c r="F19" s="1">
        <x:v>20</x:v>
      </x:c>
      <x:c r="G19" s="22" t="s">
        <x:v>625</x:v>
      </x:c>
      <x:c r="H19" s="20"/>
      <x:c r="I19" s="20"/>
      <x:c r="J19" s="20"/>
      <x:c r="K19" s="24"/>
      <x:c r="L19" s="8" t="s">
        <x:v>67</x:v>
      </x:c>
      <x:c r="M19" s="20" t="s">
        <x:v>36</x:v>
      </x:c>
      <x:c r="N19" s="8">
        <x:v>20</x:v>
      </x:c>
      <x:c r="O19" s="20" t="s">
        <x:v>626</x:v>
      </x:c>
      <x:c r="P19" s="20"/>
      <x:c r="Q19" s="1" t="s">
        <x:v>490</x:v>
      </x:c>
      <x:c r="R19" s="1" t="s">
        <x:v>618</x:v>
      </x:c>
      <x:c r="S19" s="1" t="s">
        <x:v>566</x:v>
      </x:c>
      <x:c r="T19" s="1" t="s">
        <x:v>490</x:v>
      </x:c>
      <x:c r="U19" s="1" t="s">
        <x:v>627</x:v>
      </x:c>
      <x:c r="X19" s="1" t="s">
        <x:v>628</x:v>
      </x:c>
      <x:c r="Y19" s="1">
        <x:v>150</x:v>
      </x:c>
      <x:c r="Z19" s="1">
        <x:v>12</x:v>
      </x:c>
      <x:c r="AA19" s="1">
        <x:v>4</x:v>
      </x:c>
      <x:c r="AD19" s="1" t="s">
        <x:v>629</x:v>
      </x:c>
      <x:c r="AE19" s="1" t="s">
        <x:v>630</x:v>
      </x:c>
    </x:row>
    <x:row r="20" ht="17">
      <x:c r="E20" s="1" t="s">
        <x:v>36</x:v>
      </x:c>
      <x:c r="K20" s="24"/>
      <x:c r="M20" s="20" t="s">
        <x:v>36</x:v>
      </x:c>
      <x:c r="N20" s="20"/>
      <x:c r="O20" s="20"/>
      <x:c r="X20" s="1" t="s">
        <x:v>631</x:v>
      </x:c>
      <x:c r="Y20" s="1">
        <x:v>240</x:v>
      </x:c>
      <x:c r="Z20" s="1">
        <x:v>18</x:v>
      </x:c>
      <x:c r="AA20" s="1">
        <x:v>7</x:v>
      </x:c>
      <x:c r="AD20" s="1" t="s">
        <x:v>632</x:v>
      </x:c>
      <x:c r="AE20" s="1" t="s">
        <x:v>633</x:v>
      </x:c>
    </x:row>
    <x:row r="21" ht="51">
      <x:c r="C21" s="1">
        <x:v>16</x:v>
      </x:c>
      <x:c r="D21" s="11" t="s">
        <x:v>634</x:v>
      </x:c>
      <x:c r="E21" s="1" t="s">
        <x:v>29</x:v>
      </x:c>
      <x:c r="F21" s="1">
        <x:v>20</x:v>
      </x:c>
      <x:c r="G21" s="19" t="s">
        <x:v>635</x:v>
      </x:c>
      <x:c r="H21" s="20"/>
      <x:c r="I21" s="20"/>
      <x:c r="J21" s="20"/>
      <x:c r="K21" s="24"/>
      <x:c r="L21" s="8" t="s">
        <x:v>71</x:v>
      </x:c>
      <x:c r="M21" s="20" t="s">
        <x:v>36</x:v>
      </x:c>
      <x:c r="N21" s="8">
        <x:v>20</x:v>
      </x:c>
      <x:c r="O21" s="20" t="s">
        <x:v>636</x:v>
      </x:c>
      <x:c r="P21" s="20"/>
      <x:c r="Q21" s="1" t="s">
        <x:v>474</x:v>
      </x:c>
      <x:c r="R21" s="1" t="s">
        <x:v>618</x:v>
      </x:c>
      <x:c r="S21" s="1" t="s">
        <x:v>637</x:v>
      </x:c>
      <x:c r="T21" s="1" t="s">
        <x:v>638</x:v>
      </x:c>
      <x:c r="U21" s="1" t="s">
        <x:v>639</x:v>
      </x:c>
      <x:c r="V21" s="1">
        <x:v>1.5</x:v>
      </x:c>
      <x:c r="W21" s="1" t="n">
        <x:f>3*V21*0.6</x:f>
        <x:v>2.6999999999999997</x:v>
      </x:c>
      <x:c r="AD21" s="1" t="s">
        <x:v>640</x:v>
      </x:c>
      <x:c r="AE21" s="1" t="s">
        <x:v>641</x:v>
      </x:c>
    </x:row>
    <x:row r="22" ht="34">
      <x:c r="C22" s="1">
        <x:v>17</x:v>
      </x:c>
      <x:c r="D22" s="11" t="s">
        <x:v>114</x:v>
      </x:c>
      <x:c r="E22" s="1" t="s">
        <x:v>29</x:v>
      </x:c>
      <x:c r="F22" s="1">
        <x:v>20</x:v>
      </x:c>
      <x:c r="G22" s="20" t="s">
        <x:v>642</x:v>
      </x:c>
      <x:c r="H22" s="20"/>
      <x:c r="I22" s="20"/>
      <x:c r="J22" s="20"/>
      <x:c r="K22" s="24"/>
      <x:c r="M22" s="20" t="s">
        <x:v>36</x:v>
      </x:c>
      <x:c r="N22" s="20"/>
      <x:c r="P22" s="20"/>
      <x:c r="Q22" s="1" t="s">
        <x:v>643</x:v>
      </x:c>
      <x:c r="R22" s="1" t="s">
        <x:v>644</x:v>
      </x:c>
      <x:c r="S22" s="1" t="s">
        <x:v>495</x:v>
      </x:c>
      <x:c r="T22" s="1" t="s">
        <x:v>645</x:v>
      </x:c>
      <x:c r="V22" s="1">
        <x:v>10</x:v>
      </x:c>
      <x:c r="W22" s="1" t="n">
        <x:f>V22*2*5</x:f>
        <x:v>100</x:v>
      </x:c>
      <x:c r="AC22" s="1" t="s">
        <x:v>646</x:v>
      </x:c>
      <x:c r="AD22" s="1" t="s">
        <x:v>647</x:v>
      </x:c>
      <x:c r="AE22" s="1" t="s">
        <x:v>648</x:v>
      </x:c>
    </x:row>
    <x:row r="23" ht="51">
      <x:c r="C23" s="1">
        <x:v>18</x:v>
      </x:c>
      <x:c r="D23" s="14" t="s">
        <x:v>44</x:v>
      </x:c>
      <x:c r="E23" s="1" t="s">
        <x:v>29</x:v>
      </x:c>
      <x:c r="F23" s="1">
        <x:v>20</x:v>
      </x:c>
      <x:c r="G23" s="20" t="s">
        <x:v>649</x:v>
      </x:c>
      <x:c r="H23" s="20"/>
      <x:c r="I23" s="20"/>
      <x:c r="J23" s="20"/>
      <x:c r="K23" s="24"/>
      <x:c r="L23" s="8" t="s">
        <x:v>74</x:v>
      </x:c>
      <x:c r="M23" s="20" t="s">
        <x:v>36</x:v>
      </x:c>
      <x:c r="N23" s="8">
        <x:v>20</x:v>
      </x:c>
      <x:c r="O23" s="20" t="s">
        <x:v>509</x:v>
      </x:c>
      <x:c r="P23" s="20"/>
      <x:c r="Q23" s="1" t="s">
        <x:v>650</x:v>
      </x:c>
      <x:c r="R23" s="1" t="s">
        <x:v>644</x:v>
      </x:c>
      <x:c r="S23" s="1" t="s">
        <x:v>591</x:v>
      </x:c>
      <x:c r="T23" s="1" t="s">
        <x:v>490</x:v>
      </x:c>
      <x:c r="U23" s="1" t="s">
        <x:v>651</x:v>
      </x:c>
      <x:c r="AD23" s="1" t="s">
        <x:v>652</x:v>
      </x:c>
      <x:c r="AE23" s="1" t="s">
        <x:v>653</x:v>
      </x:c>
    </x:row>
    <x:row r="24" ht="51">
      <x:c r="C24" s="1">
        <x:v>19</x:v>
      </x:c>
      <x:c r="D24" s="12" t="s">
        <x:v>58</x:v>
      </x:c>
      <x:c r="E24" s="1" t="s">
        <x:v>36</x:v>
      </x:c>
      <x:c r="F24" s="1">
        <x:v>20</x:v>
      </x:c>
      <x:c r="G24" s="20" t="s">
        <x:v>654</x:v>
      </x:c>
      <x:c r="H24" s="20"/>
      <x:c r="I24" s="20"/>
      <x:c r="J24" s="20"/>
      <x:c r="K24" s="24"/>
      <x:c r="M24" s="20" t="s">
        <x:v>36</x:v>
      </x:c>
      <x:c r="N24" s="20"/>
      <x:c r="O24" s="20"/>
      <x:c r="P24" s="20"/>
      <x:c r="Q24" s="1" t="s">
        <x:v>474</x:v>
      </x:c>
      <x:c r="R24" s="1" t="s">
        <x:v>644</x:v>
      </x:c>
      <x:c r="S24" s="1" t="s">
        <x:v>591</x:v>
      </x:c>
      <x:c r="T24" s="1" t="s">
        <x:v>499</x:v>
      </x:c>
      <x:c r="U24" s="1" t="s">
        <x:v>655</x:v>
      </x:c>
      <x:c r="V24" s="1">
        <x:v>1.2</x:v>
      </x:c>
      <x:c r="W24" s="1" t="n">
        <x:f>V24*3*30*0.2</x:f>
        <x:v>21.599999999999998</x:v>
      </x:c>
      <x:c r="AD24" s="1" t="s">
        <x:v>656</x:v>
      </x:c>
      <x:c r="AE24" s="1" t="s">
        <x:v>657</x:v>
      </x:c>
    </x:row>
    <x:row r="25" ht="34">
      <x:c r="E25" s="1" t="s">
        <x:v>36</x:v>
      </x:c>
      <x:c r="G25" s="8"/>
      <x:c r="K25" s="24"/>
      <x:c r="L25" s="8" t="s">
        <x:v>77</x:v>
      </x:c>
      <x:c r="M25" s="20" t="s">
        <x:v>36</x:v>
      </x:c>
      <x:c r="N25" s="8">
        <x:v>20</x:v>
      </x:c>
      <x:c r="O25" s="20" t="s">
        <x:v>658</x:v>
      </x:c>
      <x:c r="AC25" s="1" t="s">
        <x:v>659</x:v>
      </x:c>
      <x:c r="AD25" s="1" t="s">
        <x:v>660</x:v>
      </x:c>
      <x:c r="AE25" s="1" t="s">
        <x:v>661</x:v>
      </x:c>
    </x:row>
    <x:row r="26" ht="34">
      <x:c r="C26" s="1">
        <x:v>20</x:v>
      </x:c>
      <x:c r="D26" s="11" t="s">
        <x:v>662</x:v>
      </x:c>
      <x:c r="E26" s="1" t="s">
        <x:v>36</x:v>
      </x:c>
      <x:c r="F26" s="1">
        <x:v>20</x:v>
      </x:c>
      <x:c r="G26" s="20" t="s">
        <x:v>663</x:v>
      </x:c>
      <x:c r="H26" s="20"/>
      <x:c r="I26" s="20"/>
      <x:c r="J26" s="20"/>
      <x:c r="K26" s="24"/>
      <x:c r="M26" s="20" t="s">
        <x:v>36</x:v>
      </x:c>
      <x:c r="N26" s="20"/>
      <x:c r="O26" s="20"/>
      <x:c r="P26" s="20"/>
      <x:c r="Q26" s="1" t="s">
        <x:v>581</x:v>
      </x:c>
      <x:c r="R26" s="1" t="s">
        <x:v>618</x:v>
      </x:c>
      <x:c r="S26" s="1" t="s">
        <x:v>495</x:v>
      </x:c>
      <x:c r="T26" s="1" t="s">
        <x:v>638</x:v>
      </x:c>
      <x:c r="U26" s="1" t="s">
        <x:v>664</x:v>
      </x:c>
      <x:c r="V26" s="1">
        <x:v>10</x:v>
      </x:c>
      <x:c r="W26" s="1" t="n">
        <x:f>V26*3</x:f>
        <x:v>30</x:v>
      </x:c>
      <x:c r="AC26" s="1" t="s">
        <x:v>468</x:v>
      </x:c>
      <x:c r="AD26" s="1" t="s">
        <x:v>665</x:v>
      </x:c>
      <x:c r="AE26" s="1" t="s">
        <x:v>666</x:v>
      </x:c>
    </x:row>
    <x:row r="27">
      <x:c r="E27" s="1" t="s">
        <x:v>36</x:v>
      </x:c>
      <x:c r="G27" s="8"/>
      <x:c r="M27" s="20"/>
      <x:c r="AD27" s="1" t="s">
        <x:v>665</x:v>
      </x:c>
      <x:c r="AE27" s="1" t="s">
        <x:v>667</x:v>
      </x:c>
    </x:row>
    <x:row r="28" ht="34">
      <x:c r="C28" s="1">
        <x:v>21</x:v>
      </x:c>
      <x:c r="D28" s="11" t="s">
        <x:v>668</x:v>
      </x:c>
      <x:c r="E28" s="1" t="s">
        <x:v>36</x:v>
      </x:c>
      <x:c r="F28" s="1">
        <x:v>20</x:v>
      </x:c>
      <x:c r="G28" s="20" t="s">
        <x:v>669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670</x:v>
      </x:c>
      <x:c r="R28" s="1" t="s">
        <x:v>618</x:v>
      </x:c>
      <x:c r="S28" s="1" t="s">
        <x:v>495</x:v>
      </x:c>
      <x:c r="T28" s="1" t="s">
        <x:v>586</x:v>
      </x:c>
      <x:c r="U28" s="1" t="s">
        <x:v>671</x:v>
      </x:c>
      <x:c r="V28" s="1">
        <x:v>10</x:v>
      </x:c>
      <x:c r="W28" s="1" t="n">
        <x:f>V28*5*3</x:f>
        <x:v>150</x:v>
      </x:c>
      <x:c r="AC28" s="1" t="s">
        <x:v>672</x:v>
      </x:c>
      <x:c r="AD28" s="1" t="s">
        <x:v>673</x:v>
      </x:c>
      <x:c r="AE28" s="1" t="s">
        <x:v>674</x:v>
      </x:c>
    </x:row>
    <x:row r="29">
      <x:c r="E29" s="1" t="s">
        <x:v>36</x:v>
      </x:c>
      <x:c r="G29" s="8"/>
      <x:c r="L29" s="8">
        <x:v>1</x:v>
      </x:c>
      <x:c r="M29" s="8" t="s">
        <x:v>84</x:v>
      </x:c>
      <x:c r="AD29" s="1" t="s">
        <x:v>675</x:v>
      </x:c>
      <x:c r="AE29" s="1" t="s">
        <x:v>676</x:v>
      </x:c>
    </x:row>
    <x:row r="30" ht="52" customHeight="1">
      <x:c r="C30" s="1">
        <x:v>22</x:v>
      </x:c>
      <x:c r="D30" s="10" t="s">
        <x:v>82</x:v>
      </x:c>
      <x:c r="E30" s="1" t="s">
        <x:v>84</x:v>
      </x:c>
      <x:c r="F30" s="1">
        <x:v>30</x:v>
      </x:c>
      <x:c r="G30" s="20" t="s">
        <x:v>677</x:v>
      </x:c>
      <x:c r="H30" s="20"/>
      <x:c r="I30" s="20">
        <x:v>1</x:v>
      </x:c>
      <x:c r="J30" s="20"/>
      <x:c r="K30" s="20"/>
      <x:c r="L30" s="20">
        <x:v>2</x:v>
      </x:c>
      <x:c r="M30" s="20" t="s">
        <x:v>36</x:v>
      </x:c>
      <x:c r="N30" s="20"/>
      <x:c r="O30" s="20"/>
      <x:c r="P30" s="20"/>
      <x:c r="Q30" s="1" t="s">
        <x:v>473</x:v>
      </x:c>
      <x:c r="R30" s="1" t="s">
        <x:v>618</x:v>
      </x:c>
      <x:c r="S30" s="1" t="s">
        <x:v>553</x:v>
      </x:c>
      <x:c r="T30" s="1" t="s">
        <x:v>554</x:v>
      </x:c>
      <x:c r="U30" s="1" t="s">
        <x:v>678</x:v>
      </x:c>
      <x:c r="V30" s="1">
        <x:v>0.2</x:v>
      </x:c>
      <x:c r="W30" s="1" t="n">
        <x:f>V30*F30</x:f>
        <x:v>6</x:v>
      </x:c>
      <x:c r="AC30" s="1" t="s">
        <x:v>679</x:v>
      </x:c>
      <x:c r="AD30" s="1" t="s">
        <x:v>680</x:v>
      </x:c>
      <x:c r="AE30" s="1" t="s">
        <x:v>681</x:v>
      </x:c>
    </x:row>
    <x:row r="31" ht="34">
      <x:c r="C31" s="1">
        <x:v>23</x:v>
      </x:c>
      <x:c r="D31" s="11" t="s">
        <x:v>67</x:v>
      </x:c>
      <x:c r="E31" s="1" t="s">
        <x:v>84</x:v>
      </x:c>
      <x:c r="F31" s="1">
        <x:v>30</x:v>
      </x:c>
      <x:c r="G31" s="20" t="s">
        <x:v>682</x:v>
      </x:c>
      <x:c r="H31" s="20"/>
      <x:c r="I31" s="20"/>
      <x:c r="J31" s="20"/>
      <x:c r="K31" s="20"/>
      <x:c r="M31" s="20" t="s">
        <x:v>36</x:v>
      </x:c>
      <x:c r="N31" s="20"/>
      <x:c r="O31" s="20"/>
      <x:c r="P31" s="20"/>
      <x:c r="Q31" s="1" t="s">
        <x:v>683</x:v>
      </x:c>
      <x:c r="R31" s="1" t="s">
        <x:v>618</x:v>
      </x:c>
      <x:c r="S31" s="1" t="s">
        <x:v>495</x:v>
      </x:c>
      <x:c r="T31" s="1" t="s">
        <x:v>586</x:v>
      </x:c>
      <x:c r="U31" s="1" t="s">
        <x:v>684</x:v>
      </x:c>
      <x:c r="V31" s="1">
        <x:v>1.5</x:v>
      </x:c>
      <x:c r="W31" s="1" t="n">
        <x:f>V31*2*4</x:f>
        <x:v>12</x:v>
      </x:c>
      <x:c r="AD31" s="1" t="s">
        <x:v>685</x:v>
      </x:c>
      <x:c r="AE31" s="1" t="s">
        <x:v>686</x:v>
      </x:c>
    </x:row>
    <x:row r="32" ht="51">
      <x:c r="C32" s="1">
        <x:v>24</x:v>
      </x:c>
      <x:c r="D32" s="12" t="s">
        <x:v>108</x:v>
      </x:c>
      <x:c r="E32" s="1" t="s">
        <x:v>36</x:v>
      </x:c>
      <x:c r="F32" s="1">
        <x:v>30</x:v>
      </x:c>
      <x:c r="G32" s="20" t="s">
        <x:v>687</x:v>
      </x:c>
      <x:c r="H32" s="20"/>
      <x:c r="I32" s="20"/>
      <x:c r="J32" s="20"/>
      <x:c r="K32" s="20"/>
      <x:c r="L32" s="20"/>
      <x:c r="M32" s="20" t="s">
        <x:v>36</x:v>
      </x:c>
      <x:c r="N32" s="20"/>
      <x:c r="O32" s="20"/>
      <x:c r="P32" s="20"/>
      <x:c r="Q32" s="1" t="s">
        <x:v>670</x:v>
      </x:c>
      <x:c r="R32" s="1" t="s">
        <x:v>618</x:v>
      </x:c>
      <x:c r="S32" s="1" t="s">
        <x:v>591</x:v>
      </x:c>
      <x:c r="T32" s="1" t="s">
        <x:v>645</x:v>
      </x:c>
      <x:c r="U32" s="1" t="s">
        <x:v>688</x:v>
      </x:c>
      <x:c r="V32" s="1">
        <x:v>0.8</x:v>
      </x:c>
      <x:c r="W32" s="1" t="n">
        <x:f>V32*5*5</x:f>
        <x:v>20</x:v>
      </x:c>
      <x:c r="AC32" s="1" t="s">
        <x:v>495</x:v>
      </x:c>
      <x:c r="AD32" s="1" t="s">
        <x:v>689</x:v>
      </x:c>
      <x:c r="AE32" s="1" t="s">
        <x:v>690</x:v>
      </x:c>
    </x:row>
    <x:row r="33" ht="17">
      <x:c r="E33" s="1" t="s">
        <x:v>36</x:v>
      </x:c>
      <x:c r="G33" s="8"/>
      <x:c r="L33" s="8">
        <x:v>1</x:v>
      </x:c>
      <x:c r="M33" s="19" t="s">
        <x:v>29</x:v>
      </x:c>
      <x:c r="AD33" s="1" t="s">
        <x:v>689</x:v>
      </x:c>
      <x:c r="AE33" s="1" t="s">
        <x:v>691</x:v>
      </x:c>
    </x:row>
    <x:row r="34">
      <x:c r="E34" s="1" t="s">
        <x:v>36</x:v>
      </x:c>
      <x:c r="G34" s="8"/>
      <x:c r="M34" s="8" t="s">
        <x:v>143</x:v>
      </x:c>
      <x:c r="AD34" s="1" t="s">
        <x:v>692</x:v>
      </x:c>
      <x:c r="AE34" s="25" t="s">
        <x:v>693</x:v>
      </x:c>
    </x:row>
    <x:row r="35" ht="51">
      <x:c r="C35" s="1">
        <x:v>25</x:v>
      </x:c>
      <x:c r="D35" s="11" t="s">
        <x:v>93</x:v>
      </x:c>
      <x:c r="E35" s="1" t="s">
        <x:v>36</x:v>
      </x:c>
      <x:c r="F35" s="1">
        <x:v>30</x:v>
      </x:c>
      <x:c r="G35" s="20" t="s">
        <x:v>694</x:v>
      </x:c>
      <x:c r="H35" s="20"/>
      <x:c r="I35" s="20"/>
      <x:c r="J35" s="20"/>
      <x:c r="K35" s="20"/>
      <x:c r="L35" s="20">
        <x:v>2</x:v>
      </x:c>
      <x:c r="M35" s="20" t="s">
        <x:v>29</x:v>
      </x:c>
      <x:c r="N35" s="20"/>
      <x:c r="O35" s="20"/>
      <x:c r="P35" s="20"/>
      <x:c r="Q35" s="1" t="s">
        <x:v>473</x:v>
      </x:c>
      <x:c r="R35" s="1" t="s">
        <x:v>618</x:v>
      </x:c>
      <x:c r="S35" s="1" t="s">
        <x:v>495</x:v>
      </x:c>
      <x:c r="T35" s="1" t="s">
        <x:v>695</x:v>
      </x:c>
      <x:c r="U35" s="1" t="s">
        <x:v>696</x:v>
      </x:c>
      <x:c r="V35" s="1">
        <x:v>1</x:v>
      </x:c>
      <x:c r="W35" s="1" t="n">
        <x:f>V35*4*3</x:f>
        <x:v>12</x:v>
      </x:c>
      <x:c r="AC35" s="1" t="s">
        <x:v>499</x:v>
      </x:c>
      <x:c r="AD35" s="1" t="s">
        <x:v>697</x:v>
      </x:c>
      <x:c r="AE35" s="25" t="s">
        <x:v>698</x:v>
      </x:c>
    </x:row>
    <x:row r="36" ht="17">
      <x:c r="E36" s="1" t="s">
        <x:v>36</x:v>
      </x:c>
      <x:c r="G36" s="8"/>
      <x:c r="L36" s="20"/>
      <x:c r="M36" s="20" t="s">
        <x:v>699</x:v>
      </x:c>
      <x:c r="AC36" s="1" t="s">
        <x:v>700</x:v>
      </x:c>
      <x:c r="AD36" s="1" t="s">
        <x:v>701</x:v>
      </x:c>
      <x:c r="AE36" s="25" t="s">
        <x:v>702</x:v>
      </x:c>
    </x:row>
    <x:row r="37" ht="17">
      <x:c r="E37" s="1" t="s">
        <x:v>36</x:v>
      </x:c>
      <x:c r="G37" s="8"/>
      <x:c r="L37" s="8">
        <x:v>3</x:v>
      </x:c>
      <x:c r="M37" s="20" t="s">
        <x:v>699</x:v>
      </x:c>
    </x:row>
    <x:row r="38" ht="34">
      <x:c r="C38" s="1">
        <x:v>26</x:v>
      </x:c>
      <x:c r="D38" s="12" t="s">
        <x:v>703</x:v>
      </x:c>
      <x:c r="E38" s="1" t="s">
        <x:v>29</x:v>
      </x:c>
      <x:c r="F38" s="1">
        <x:v>40</x:v>
      </x:c>
      <x:c r="G38" s="20" t="s">
        <x:v>704</x:v>
      </x:c>
      <x:c r="H38" s="20"/>
      <x:c r="I38" s="20"/>
      <x:c r="J38" s="20"/>
      <x:c r="K38" s="20"/>
      <x:c r="M38" s="20" t="s">
        <x:v>29</x:v>
      </x:c>
      <x:c r="N38" s="20"/>
      <x:c r="O38" s="20"/>
      <x:c r="P38" s="20"/>
      <x:c r="Q38" s="1" t="s">
        <x:v>490</x:v>
      </x:c>
      <x:c r="R38" s="1" t="s">
        <x:v>618</x:v>
      </x:c>
      <x:c r="S38" s="1" t="s">
        <x:v>591</x:v>
      </x:c>
      <x:c r="T38" s="1" t="s">
        <x:v>490</x:v>
      </x:c>
      <x:c r="U38" s="1" t="s">
        <x:v>490</x:v>
      </x:c>
    </x:row>
    <x:row r="39">
      <x:c r="E39" s="1" t="s">
        <x:v>29</x:v>
      </x:c>
      <x:c r="G39" s="8"/>
      <x:c r="L39" s="20">
        <x:v>4</x:v>
      </x:c>
      <x:c r="M39" s="8" t="s">
        <x:v>143</x:v>
      </x:c>
      <x:c r="AD39" s="1" t="s">
        <x:v>593</x:v>
      </x:c>
      <x:c r="AE39" s="1" t="s">
        <x:v>595</x:v>
      </x:c>
    </x:row>
    <x:row r="40" ht="34">
      <x:c r="C40" s="1">
        <x:v>27</x:v>
      </x:c>
      <x:c r="D40" s="15" t="s">
        <x:v>129</x:v>
      </x:c>
      <x:c r="E40" s="1" t="s">
        <x:v>29</x:v>
      </x:c>
      <x:c r="F40" s="1">
        <x:v>40</x:v>
      </x:c>
      <x:c r="G40" s="20" t="s">
        <x:v>705</x:v>
      </x:c>
      <x:c r="H40" s="20"/>
      <x:c r="I40" s="20"/>
      <x:c r="J40" s="20"/>
      <x:c r="K40" s="20"/>
      <x:c r="L40" s="20"/>
      <x:c r="M40" s="19" t="s">
        <x:v>29</x:v>
      </x:c>
      <x:c r="N40" s="20"/>
      <x:c r="O40" s="20"/>
      <x:c r="P40" s="20"/>
      <x:c r="Q40" s="1" t="s">
        <x:v>474</x:v>
      </x:c>
      <x:c r="R40" s="1" t="s">
        <x:v>644</x:v>
      </x:c>
      <x:c r="S40" s="1" t="s">
        <x:v>553</x:v>
      </x:c>
      <x:c r="T40" s="1" t="s">
        <x:v>645</x:v>
      </x:c>
      <x:c r="U40" s="1" t="s">
        <x:v>706</x:v>
      </x:c>
      <x:c r="W40" s="1" t="n">
        <x:f>4</x:f>
        <x:v>4</x:v>
      </x:c>
      <x:c r="AD40" s="1" t="s">
        <x:v>707</x:v>
      </x:c>
      <x:c r="AE40" s="1" t="s">
        <x:v>708</x:v>
      </x:c>
    </x:row>
    <x:row r="41">
      <x:c r="E41" s="1" t="s">
        <x:v>29</x:v>
      </x:c>
      <x:c r="G41" s="8"/>
      <x:c r="L41" s="20"/>
      <x:c r="M41" s="20"/>
      <x:c r="AD41" s="1" t="s">
        <x:v>709</x:v>
      </x:c>
      <x:c r="AE41" s="1" t="s">
        <x:v>710</x:v>
      </x:c>
    </x:row>
    <x:row r="42" ht="51">
      <x:c r="C42" s="1">
        <x:v>27</x:v>
      </x:c>
      <x:c r="D42" s="10" t="s">
        <x:v>132</x:v>
      </x:c>
      <x:c r="E42" s="1" t="s">
        <x:v>29</x:v>
      </x:c>
      <x:c r="F42" s="1">
        <x:v>40</x:v>
      </x:c>
      <x:c r="G42" s="20" t="s">
        <x:v>711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474</x:v>
      </x:c>
      <x:c r="R42" s="1" t="s">
        <x:v>644</x:v>
      </x:c>
      <x:c r="S42" s="1" t="s">
        <x:v>553</x:v>
      </x:c>
      <x:c r="T42" s="1" t="s">
        <x:v>586</x:v>
      </x:c>
      <x:c r="U42" s="1" t="s">
        <x:v>712</x:v>
      </x:c>
      <x:c r="W42" s="1" t="n">
        <x:f>2*5</x:f>
        <x:v>10</x:v>
      </x:c>
      <x:c r="AD42" s="1" t="s">
        <x:v>713</x:v>
      </x:c>
      <x:c r="AE42" s="1" t="s">
        <x:v>714</x:v>
      </x:c>
    </x:row>
    <x:row r="43" ht="17.600000381469727" customHeight="1">
      <x:c r="E43" s="1" t="s">
        <x:v>29</x:v>
      </x:c>
      <x:c r="G43" s="8"/>
      <x:c r="AD43" s="1" t="s">
        <x:v>715</x:v>
      </x:c>
      <x:c r="AE43" s="1" t="s">
        <x:v>716</x:v>
      </x:c>
    </x:row>
    <x:row r="44" ht="34">
      <x:c r="C44" s="1">
        <x:v>28</x:v>
      </x:c>
      <x:c r="D44" s="10" t="s">
        <x:v>717</x:v>
      </x:c>
      <x:c r="E44" s="1" t="s">
        <x:v>29</x:v>
      </x:c>
      <x:c r="F44" s="1">
        <x:v>40</x:v>
      </x:c>
      <x:c r="G44" s="20" t="s">
        <x:v>718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473</x:v>
      </x:c>
      <x:c r="R44" s="1" t="s">
        <x:v>644</x:v>
      </x:c>
      <x:c r="S44" s="1" t="s">
        <x:v>553</x:v>
      </x:c>
      <x:c r="T44" s="1" t="s">
        <x:v>586</x:v>
      </x:c>
      <x:c r="U44" s="1" t="s">
        <x:v>719</x:v>
      </x:c>
    </x:row>
    <x:row r="45">
      <x:c r="E45" s="1" t="s">
        <x:v>29</x:v>
      </x:c>
      <x:c r="G45" s="8"/>
      <x:c r="AD45" s="1" t="s">
        <x:v>720</x:v>
      </x:c>
      <x:c r="AE45" s="1" t="s">
        <x:v>721</x:v>
      </x:c>
    </x:row>
    <x:row r="46" ht="51">
      <x:c r="C46" s="1">
        <x:v>29</x:v>
      </x:c>
      <x:c r="D46" s="10" t="s">
        <x:v>135</x:v>
      </x:c>
      <x:c r="E46" s="1" t="s">
        <x:v>29</x:v>
      </x:c>
      <x:c r="F46" s="1">
        <x:v>40</x:v>
      </x:c>
      <x:c r="G46" s="20" t="s">
        <x:v>722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643</x:v>
      </x:c>
      <x:c r="R46" s="1" t="s">
        <x:v>644</x:v>
      </x:c>
      <x:c r="S46" s="1" t="s">
        <x:v>553</x:v>
      </x:c>
      <x:c r="T46" s="1" t="s">
        <x:v>695</x:v>
      </x:c>
      <x:c r="AD46" s="1" t="s">
        <x:v>723</x:v>
      </x:c>
      <x:c r="AE46" s="1" t="s">
        <x:v>724</x:v>
      </x:c>
    </x:row>
    <x:row r="47">
      <x:c r="E47" s="1" t="s">
        <x:v>29</x:v>
      </x:c>
      <x:c r="AD47" s="1" t="s">
        <x:v>725</x:v>
      </x:c>
      <x:c r="AE47" s="1" t="s">
        <x:v>726</x:v>
      </x:c>
    </x:row>
    <x:row r="48" ht="51">
      <x:c r="C48" s="1">
        <x:v>30</x:v>
      </x:c>
      <x:c r="D48" s="10" t="s">
        <x:v>727</x:v>
      </x:c>
      <x:c r="E48" s="1" t="s">
        <x:v>29</x:v>
      </x:c>
      <x:c r="F48" s="1">
        <x:v>40</x:v>
      </x:c>
      <x:c r="G48" s="19" t="s">
        <x:v>728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643</x:v>
      </x:c>
      <x:c r="R48" s="1" t="s">
        <x:v>644</x:v>
      </x:c>
      <x:c r="S48" s="1" t="s">
        <x:v>591</x:v>
      </x:c>
      <x:c r="T48" s="1" t="s">
        <x:v>499</x:v>
      </x:c>
      <x:c r="AD48" s="1" t="s">
        <x:v>729</x:v>
      </x:c>
      <x:c r="AE48" s="1" t="s">
        <x:v>730</x:v>
      </x:c>
    </x:row>
    <x:row r="49">
      <x:c r="E49" s="1" t="s">
        <x:v>29</x:v>
      </x:c>
      <x:c r="AD49" s="1" t="s">
        <x:v>731</x:v>
      </x:c>
      <x:c r="AE49" s="1" t="s">
        <x:v>732</x:v>
      </x:c>
    </x:row>
    <x:row r="50" ht="34">
      <x:c r="C50" s="1">
        <x:v>31</x:v>
      </x:c>
      <x:c r="D50" s="12" t="s">
        <x:v>138</x:v>
      </x:c>
      <x:c r="E50" s="1" t="s">
        <x:v>29</x:v>
      </x:c>
      <x:c r="F50" s="1">
        <x:v>40</x:v>
      </x:c>
      <x:c r="G50" s="19" t="s">
        <x:v>733</x:v>
      </x:c>
      <x:c r="Q50" s="1" t="s">
        <x:v>490</x:v>
      </x:c>
      <x:c r="R50" s="1" t="s">
        <x:v>644</x:v>
      </x:c>
      <x:c r="S50" s="1" t="s">
        <x:v>591</x:v>
      </x:c>
      <x:c r="T50" s="1" t="s">
        <x:v>499</x:v>
      </x:c>
      <x:c r="AD50" s="1" t="s">
        <x:v>734</x:v>
      </x:c>
      <x:c r="AE50" s="1" t="s">
        <x:v>735</x:v>
      </x:c>
    </x:row>
    <x:row r="51">
      <x:c r="E51" s="1" t="s">
        <x:v>29</x:v>
      </x:c>
      <x:c r="AD51" s="1" t="s">
        <x:v>736</x:v>
      </x:c>
      <x:c r="AE51" s="1" t="s">
        <x:v>737</x:v>
      </x:c>
    </x:row>
    <x:row r="52" ht="17.600000381469727">
      <x:c r="C52" s="1">
        <x:v>32</x:v>
      </x:c>
      <x:c r="D52" s="12" t="s">
        <x:v>738</x:v>
      </x:c>
      <x:c r="E52" s="1" t="s">
        <x:v>29</x:v>
      </x:c>
      <x:c r="F52" s="1">
        <x:v>40</x:v>
      </x:c>
      <x:c r="G52" s="1" t="s">
        <x:v>739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473</x:v>
      </x:c>
      <x:c r="R52" s="1" t="s">
        <x:v>618</x:v>
      </x:c>
      <x:c r="S52" s="1" t="s">
        <x:v>495</x:v>
      </x:c>
      <x:c r="T52" s="1" t="s">
        <x:v>740</x:v>
      </x:c>
      <x:c r="W52" s="1" t="n">
        <x:f>4*6</x:f>
        <x:v>24</x:v>
      </x:c>
      <x:c r="AD52" s="1" t="s">
        <x:v>741</x:v>
      </x:c>
      <x:c r="AE52" s="1" t="s">
        <x:v>742</x:v>
      </x:c>
    </x:row>
    <x:row r="53">
      <x:c r="E53" s="1" t="s">
        <x:v>29</x:v>
      </x:c>
      <x:c r="AD53" s="1" t="s">
        <x:v>743</x:v>
      </x:c>
      <x:c r="AE53" s="1" t="s">
        <x:v>744</x:v>
      </x:c>
    </x:row>
    <x:row r="54" ht="51">
      <x:c r="C54" s="1">
        <x:v>33</x:v>
      </x:c>
      <x:c r="D54" s="16" t="s">
        <x:v>745</x:v>
      </x:c>
      <x:c r="E54" s="1" t="s">
        <x:v>29</x:v>
      </x:c>
      <x:c r="F54" s="1">
        <x:v>40</x:v>
      </x:c>
      <x:c r="G54" s="19" t="s">
        <x:v>746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474</x:v>
      </x:c>
      <x:c r="R54" s="1" t="s">
        <x:v>747</x:v>
      </x:c>
      <x:c r="S54" s="1" t="s">
        <x:v>553</x:v>
      </x:c>
      <x:c r="AD54" s="1" t="s">
        <x:v>748</x:v>
      </x:c>
      <x:c r="AE54" s="1" t="s">
        <x:v>749</x:v>
      </x:c>
    </x:row>
    <x:row r="55">
      <x:c r="E55" s="1" t="s">
        <x:v>29</x:v>
      </x:c>
      <x:c r="AD55" s="1" t="s">
        <x:v>750</x:v>
      </x:c>
      <x:c r="AE55" s="1" t="s">
        <x:v>751</x:v>
      </x:c>
    </x:row>
    <x:row r="56" ht="51">
      <x:c r="C56" s="1">
        <x:v>34</x:v>
      </x:c>
      <x:c r="D56" s="10" t="s">
        <x:v>157</x:v>
      </x:c>
      <x:c r="E56" s="1" t="s">
        <x:v>84</x:v>
      </x:c>
      <x:c r="F56" s="1">
        <x:v>60</x:v>
      </x:c>
      <x:c r="G56" s="19" t="s">
        <x:v>752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474</x:v>
      </x:c>
      <x:c r="R56" s="1" t="s">
        <x:v>747</x:v>
      </x:c>
      <x:c r="S56" s="1" t="s">
        <x:v>553</x:v>
      </x:c>
    </x:row>
    <x:row r="57">
      <x:c r="E57" s="1" t="s">
        <x:v>84</x:v>
      </x:c>
    </x:row>
    <x:row r="58" ht="51">
      <x:c r="C58" s="1">
        <x:v>35</x:v>
      </x:c>
      <x:c r="D58" s="10" t="s">
        <x:v>753</x:v>
      </x:c>
      <x:c r="E58" s="1" t="s">
        <x:v>29</x:v>
      </x:c>
      <x:c r="F58" s="1">
        <x:v>60</x:v>
      </x:c>
      <x:c r="G58" s="19" t="s">
        <x:v>754</x:v>
      </x:c>
    </x:row>
    <x:row r="59">
      <x:c r="E59" s="1" t="s">
        <x:v>29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473</x:v>
      </x:c>
      <x:c r="R59" s="1" t="s">
        <x:v>618</x:v>
      </x:c>
      <x:c r="S59" s="1" t="s">
        <x:v>591</x:v>
      </x:c>
    </x:row>
    <x:row r="60">
      <x:c r="E60" s="1" t="s">
        <x:v>29</x:v>
      </x:c>
    </x:row>
    <x:row r="61" ht="34">
      <x:c r="C61" s="1">
        <x:v>36</x:v>
      </x:c>
      <x:c r="D61" s="12" t="s">
        <x:v>755</x:v>
      </x:c>
      <x:c r="E61" s="1" t="s">
        <x:v>29</x:v>
      </x:c>
      <x:c r="F61" s="1">
        <x:v>60</x:v>
      </x:c>
      <x:c r="G61" s="19" t="s">
        <x:v>756</x:v>
      </x:c>
    </x:row>
    <x:row r="62">
      <x:c r="E62" s="1" t="s">
        <x:v>29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470</x:v>
      </x:c>
      <x:c r="R62" s="1" t="s">
        <x:v>644</x:v>
      </x:c>
      <x:c r="S62" s="1" t="s">
        <x:v>553</x:v>
      </x:c>
    </x:row>
    <x:row r="63">
      <x:c r="E63" s="1" t="s">
        <x:v>29</x:v>
      </x:c>
    </x:row>
    <x:row r="64" ht="51">
      <x:c r="C64" s="1">
        <x:v>37</x:v>
      </x:c>
      <x:c r="D64" s="10" t="s">
        <x:v>151</x:v>
      </x:c>
      <x:c r="E64" s="1" t="s">
        <x:v>84</x:v>
      </x:c>
      <x:c r="F64" s="1">
        <x:v>60</x:v>
      </x:c>
      <x:c r="G64" s="19" t="s">
        <x:v>757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473</x:v>
      </x:c>
      <x:c r="R64" s="1" t="s">
        <x:v>644</x:v>
      </x:c>
      <x:c r="S64" s="1" t="s">
        <x:v>591</x:v>
      </x:c>
    </x:row>
    <x:row r="65">
      <x:c r="E65" s="1" t="s">
        <x:v>84</x:v>
      </x:c>
    </x:row>
    <x:row r="66" ht="34">
      <x:c r="C66" s="1">
        <x:v>38</x:v>
      </x:c>
      <x:c r="D66" s="12" t="s">
        <x:v>126</x:v>
      </x:c>
      <x:c r="E66" s="1" t="s">
        <x:v>84</x:v>
      </x:c>
      <x:c r="F66" s="1">
        <x:v>60</x:v>
      </x:c>
      <x:c r="G66" s="19" t="s">
        <x:v>758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473</x:v>
      </x:c>
      <x:c r="R66" s="1" t="s">
        <x:v>618</x:v>
      </x:c>
      <x:c r="S66" s="1" t="s">
        <x:v>553</x:v>
      </x:c>
    </x:row>
    <x:row r="67">
      <x:c r="E67" s="1" t="s">
        <x:v>84</x:v>
      </x:c>
    </x:row>
    <x:row r="68" ht="34">
      <x:c r="C68" s="1">
        <x:v>39</x:v>
      </x:c>
      <x:c r="D68" s="10" t="s">
        <x:v>166</x:v>
      </x:c>
      <x:c r="E68" s="1" t="s">
        <x:v>29</x:v>
      </x:c>
      <x:c r="F68" s="1">
        <x:v>60</x:v>
      </x:c>
      <x:c r="G68" s="19" t="s">
        <x:v>759</x:v>
      </x:c>
    </x:row>
    <x:row r="69">
      <x:c r="E69" s="1" t="s">
        <x:v>29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490</x:v>
      </x:c>
      <x:c r="R69" s="1" t="s">
        <x:v>618</x:v>
      </x:c>
      <x:c r="S69" s="1" t="s">
        <x:v>591</x:v>
      </x:c>
    </x:row>
    <x:row r="70">
      <x:c r="E70" s="1" t="s">
        <x:v>29</x:v>
      </x:c>
    </x:row>
    <x:row r="71" ht="51">
      <x:c r="C71" s="1">
        <x:v>40</x:v>
      </x:c>
      <x:c r="D71" s="12" t="s">
        <x:v>154</x:v>
      </x:c>
      <x:c r="E71" s="1" t="s">
        <x:v>29</x:v>
      </x:c>
      <x:c r="F71" s="1">
        <x:v>60</x:v>
      </x:c>
      <x:c r="G71" s="19" t="s">
        <x:v>760</x:v>
      </x:c>
    </x:row>
    <x:row r="72">
      <x:c r="E72" s="1" t="s">
        <x:v>29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474</x:v>
      </x:c>
      <x:c r="R72" s="1" t="s">
        <x:v>644</x:v>
      </x:c>
      <x:c r="S72" s="1" t="s">
        <x:v>495</x:v>
      </x:c>
    </x:row>
    <x:row r="73">
      <x:c r="E73" s="1" t="s">
        <x:v>29</x:v>
      </x:c>
    </x:row>
    <x:row r="74" ht="34">
      <x:c r="C74" s="1">
        <x:v>41</x:v>
      </x:c>
      <x:c r="D74" s="16" t="s">
        <x:v>761</x:v>
      </x:c>
      <x:c r="E74" s="1" t="s">
        <x:v>84</x:v>
      </x:c>
      <x:c r="F74" s="1">
        <x:v>60</x:v>
      </x:c>
      <x:c r="G74" s="19" t="s">
        <x:v>762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490</x:v>
      </x:c>
      <x:c r="R74" s="1" t="s">
        <x:v>618</x:v>
      </x:c>
      <x:c r="S74" s="1" t="s">
        <x:v>591</x:v>
      </x:c>
    </x:row>
    <x:row r="75">
      <x:c r="E75" s="1" t="s">
        <x:v>84</x:v>
      </x:c>
    </x:row>
    <x:row r="76" ht="34">
      <x:c r="C76" s="1">
        <x:v>42</x:v>
      </x:c>
      <x:c r="D76" s="12" t="s">
        <x:v>763</x:v>
      </x:c>
      <x:c r="E76" s="1" t="s">
        <x:v>29</x:v>
      </x:c>
      <x:c r="F76" s="1">
        <x:v>30</x:v>
      </x:c>
      <x:c r="G76" s="19" t="s">
        <x:v>764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474</x:v>
      </x:c>
      <x:c r="R76" s="1" t="s">
        <x:v>618</x:v>
      </x:c>
      <x:c r="S76" s="1" t="s">
        <x:v>553</x:v>
      </x:c>
    </x:row>
    <x:row r="77">
      <x:c r="E77" s="1" t="s">
        <x:v>699</x:v>
      </x:c>
    </x:row>
    <x:row r="78" ht="68">
      <x:c r="C78" s="1">
        <x:v>43</x:v>
      </x:c>
      <x:c r="D78" s="10" t="s">
        <x:v>123</x:v>
      </x:c>
      <x:c r="E78" s="1" t="s">
        <x:v>143</x:v>
      </x:c>
      <x:c r="F78" s="1">
        <x:v>30</x:v>
      </x:c>
      <x:c r="G78" s="21" t="s">
        <x:v>765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474</x:v>
      </x:c>
      <x:c r="R78" s="1" t="s">
        <x:v>644</x:v>
      </x:c>
      <x:c r="S78" s="1" t="s">
        <x:v>495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29</x:v>
      </x:c>
      <x:c r="V79" s="26"/>
    </x:row>
    <x:row r="80" ht="34">
      <x:c r="C80" s="1">
        <x:v>44</x:v>
      </x:c>
      <x:c r="D80" s="11" t="s">
        <x:v>141</x:v>
      </x:c>
      <x:c r="E80" s="1" t="s">
        <x:v>29</x:v>
      </x:c>
      <x:c r="F80" s="1">
        <x:v>40</x:v>
      </x:c>
      <x:c r="G80" s="19" t="s">
        <x:v>766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699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470</x:v>
      </x:c>
      <x:c r="R81" s="1" t="s">
        <x:v>747</x:v>
      </x:c>
      <x:c r="S81" s="1" t="s">
        <x:v>495</x:v>
      </x:c>
    </x:row>
    <x:row r="82">
      <x:c r="E82" s="1" t="s">
        <x:v>699</x:v>
      </x:c>
    </x:row>
    <x:row r="83" ht="34">
      <x:c r="C83" s="1">
        <x:v>45</x:v>
      </x:c>
      <x:c r="D83" s="11" t="s">
        <x:v>163</x:v>
      </x:c>
      <x:c r="E83" s="1" t="s">
        <x:v>84</x:v>
      </x:c>
      <x:c r="F83" s="1">
        <x:v>110</x:v>
      </x:c>
      <x:c r="G83" s="19" t="s">
        <x:v>540</x:v>
      </x:c>
      <x:c r="V83" s="26"/>
    </x:row>
    <x:row r="84" ht="17.600000381469727" customHeight="1">
      <x:c r="E84" s="1" t="s">
        <x:v>84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84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767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474</x:v>
      </x:c>
      <x:c r="R86" s="1" t="s">
        <x:v>747</x:v>
      </x:c>
      <x:c r="S86" s="1" t="s">
        <x:v>553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767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160</x:v>
      </x:c>
      <x:c r="E88" s="1" t="s">
        <x:v>84</x:v>
      </x:c>
      <x:c r="F88" s="1">
        <x:v>90</x:v>
      </x:c>
      <x:c r="G88" s="19" t="s">
        <x:v>543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84</x:v>
      </x:c>
      <x:c r="Q89" s="1" t="s">
        <x:v>470</x:v>
      </x:c>
      <x:c r="R89" s="1" t="s">
        <x:v>747</x:v>
      </x:c>
      <x:c r="S89" s="1" t="s">
        <x:v>591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84</x:v>
      </x:c>
    </x:row>
    <x:row r="91" ht="30" customHeight="1">
      <x:c r="C91" s="1">
        <x:v>47</x:v>
      </x:c>
      <x:c r="D91" s="12" t="s">
        <x:v>169</x:v>
      </x:c>
      <x:c r="E91" s="1" t="s">
        <x:v>768</x:v>
      </x:c>
      <x:c r="F91" s="1">
        <x:v>160</x:v>
      </x:c>
      <x:c r="G91" s="1" t="s">
        <x:v>769</x:v>
      </x:c>
    </x:row>
    <x:row r="92">
      <x:c r="E92" s="1" t="s">
        <x:v>768</x:v>
      </x:c>
    </x:row>
    <x:row r="93">
      <x:c r="E93" s="1" t="s">
        <x:v>770</x:v>
      </x:c>
    </x:row>
    <x:row r="94">
      <x:c r="E94" s="1" t="s">
        <x:v>770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771</x:v>
      </x:c>
      <x:c r="N4" s="3" t="s">
        <x:v>771</x:v>
      </x:c>
      <x:c r="O4" s="3" t="s">
        <x:v>771</x:v>
      </x:c>
      <x:c r="P4" s="3" t="s">
        <x:v>771</x:v>
      </x:c>
      <x:c r="Q4" s="3"/>
      <x:c r="R4" s="3"/>
      <x:c r="V4" s="2"/>
      <x:c r="W4" s="2"/>
      <x:c r="X4" s="3"/>
      <x:c r="Y4" s="3"/>
      <x:c r="Z4" s="3"/>
      <x:c r="AA4" s="3" t="s">
        <x:v>772</x:v>
      </x:c>
      <x:c r="AB4" s="3" t="s">
        <x:v>772</x:v>
      </x:c>
      <x:c r="AC4" s="3" t="s">
        <x:v>772</x:v>
      </x:c>
      <x:c r="AD4" s="3" t="s">
        <x:v>772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771</x:v>
      </x:c>
      <x:c r="N5" s="3" t="s">
        <x:v>771</x:v>
      </x:c>
      <x:c r="O5" s="3" t="s">
        <x:v>771</x:v>
      </x:c>
      <x:c r="P5" s="3" t="s">
        <x:v>773</x:v>
      </x:c>
      <x:c r="Q5" s="3"/>
      <x:c r="R5" s="3"/>
      <x:c r="V5" s="2"/>
      <x:c r="W5" s="2"/>
      <x:c r="X5" s="3"/>
      <x:c r="Y5" s="3"/>
      <x:c r="Z5" s="3"/>
      <x:c r="AA5" s="3" t="s">
        <x:v>772</x:v>
      </x:c>
      <x:c r="AB5" s="3" t="s">
        <x:v>772</x:v>
      </x:c>
      <x:c r="AC5" s="3" t="s">
        <x:v>772</x:v>
      </x:c>
      <x:c r="AD5" s="3" t="s">
        <x:v>772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774</x:v>
      </x:c>
      <x:c r="K6" s="3" t="s">
        <x:v>774</x:v>
      </x:c>
      <x:c r="L6" s="3" t="s">
        <x:v>774</x:v>
      </x:c>
      <x:c r="M6" s="4" t="s">
        <x:v>775</x:v>
      </x:c>
      <x:c r="N6" s="5"/>
      <x:c r="O6" s="5"/>
      <x:c r="P6" s="5"/>
      <x:c r="Q6" s="3" t="s">
        <x:v>776</x:v>
      </x:c>
      <x:c r="R6" s="3" t="s">
        <x:v>774</x:v>
      </x:c>
      <x:c r="V6" s="2"/>
      <x:c r="W6" s="2"/>
      <x:c r="X6" s="3" t="s">
        <x:v>777</x:v>
      </x:c>
      <x:c r="Y6" s="3" t="s">
        <x:v>777</x:v>
      </x:c>
      <x:c r="Z6" s="3" t="s">
        <x:v>777</x:v>
      </x:c>
      <x:c r="AA6" s="3" t="s">
        <x:v>778</x:v>
      </x:c>
      <x:c r="AB6" s="3" t="s">
        <x:v>778</x:v>
      </x:c>
      <x:c r="AC6" s="3" t="s">
        <x:v>778</x:v>
      </x:c>
      <x:c r="AD6" s="5"/>
      <x:c r="AE6" s="3" t="s">
        <x:v>779</x:v>
      </x:c>
      <x:c r="AF6" s="3" t="s">
        <x:v>779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774</x:v>
      </x:c>
      <x:c r="K7" s="3" t="s">
        <x:v>774</x:v>
      </x:c>
      <x:c r="L7" s="3" t="s">
        <x:v>774</x:v>
      </x:c>
      <x:c r="M7" s="4" t="s">
        <x:v>780</x:v>
      </x:c>
      <x:c r="N7" s="5"/>
      <x:c r="O7" s="4" t="s">
        <x:v>780</x:v>
      </x:c>
      <x:c r="P7" s="5"/>
      <x:c r="Q7" s="3" t="s">
        <x:v>776</x:v>
      </x:c>
      <x:c r="R7" s="3" t="s">
        <x:v>774</x:v>
      </x:c>
      <x:c r="V7" s="2"/>
      <x:c r="W7" s="2"/>
      <x:c r="X7" s="3" t="s">
        <x:v>777</x:v>
      </x:c>
      <x:c r="Y7" s="3" t="s">
        <x:v>777</x:v>
      </x:c>
      <x:c r="Z7" s="3" t="s">
        <x:v>777</x:v>
      </x:c>
      <x:c r="AA7" s="3" t="s">
        <x:v>778</x:v>
      </x:c>
      <x:c r="AB7" s="5"/>
      <x:c r="AC7" s="3" t="s">
        <x:v>772</x:v>
      </x:c>
      <x:c r="AD7" s="5"/>
      <x:c r="AE7" s="3" t="s">
        <x:v>779</x:v>
      </x:c>
      <x:c r="AF7" s="3" t="s">
        <x:v>779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774</x:v>
      </x:c>
      <x:c r="I8" s="3" t="s">
        <x:v>774</x:v>
      </x:c>
      <x:c r="J8" s="3" t="s">
        <x:v>774</x:v>
      </x:c>
      <x:c r="K8" s="3" t="s">
        <x:v>774</x:v>
      </x:c>
      <x:c r="L8" s="3" t="s">
        <x:v>776</x:v>
      </x:c>
      <x:c r="M8" s="5"/>
      <x:c r="N8" s="5"/>
      <x:c r="O8" s="5"/>
      <x:c r="P8" s="5"/>
      <x:c r="Q8" s="3" t="s">
        <x:v>776</x:v>
      </x:c>
      <x:c r="R8" s="3" t="s">
        <x:v>774</x:v>
      </x:c>
      <x:c r="V8" s="3" t="s">
        <x:v>777</x:v>
      </x:c>
      <x:c r="W8" s="3" t="s">
        <x:v>777</x:v>
      </x:c>
      <x:c r="X8" s="3" t="s">
        <x:v>777</x:v>
      </x:c>
      <x:c r="Y8" s="3" t="s">
        <x:v>777</x:v>
      </x:c>
      <x:c r="Z8" s="3" t="s">
        <x:v>777</x:v>
      </x:c>
      <x:c r="AA8" s="5"/>
      <x:c r="AB8" s="5"/>
      <x:c r="AC8" s="5"/>
      <x:c r="AD8" s="5"/>
      <x:c r="AE8" s="3" t="s">
        <x:v>779</x:v>
      </x:c>
      <x:c r="AF8" s="3" t="s">
        <x:v>779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773</x:v>
      </x:c>
      <x:c r="N9" s="3" t="s">
        <x:v>773</x:v>
      </x:c>
      <x:c r="O9" s="3" t="s">
        <x:v>773</x:v>
      </x:c>
      <x:c r="P9" s="3" t="s">
        <x:v>773</x:v>
      </x:c>
      <x:c r="Q9" s="3"/>
      <x:c r="R9" s="3"/>
      <x:c r="V9" s="3"/>
      <x:c r="W9" s="3"/>
      <x:c r="X9" s="3"/>
      <x:c r="Y9" s="3"/>
      <x:c r="Z9" s="3"/>
      <x:c r="AA9" s="3" t="s">
        <x:v>781</x:v>
      </x:c>
      <x:c r="AB9" s="3" t="s">
        <x:v>781</x:v>
      </x:c>
      <x:c r="AC9" s="3" t="s">
        <x:v>781</x:v>
      </x:c>
      <x:c r="AD9" s="3" t="s">
        <x:v>781</x:v>
      </x:c>
      <x:c r="AE9" s="3"/>
      <x:c r="AF9" s="3"/>
      <x:c r="AG9" s="6"/>
      <x:c r="AH9" s="6"/>
      <x:c r="AI9" s="6"/>
      <x:c r="AJ9" s="2" t="s">
        <x:v>782</x:v>
      </x:c>
      <x:c r="AK9" s="2" t="s">
        <x:v>782</x:v>
      </x:c>
      <x:c r="AL9" s="2" t="s">
        <x:v>782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771</x:v>
      </x:c>
      <x:c r="N10" s="3" t="s">
        <x:v>771</x:v>
      </x:c>
      <x:c r="O10" s="3" t="s">
        <x:v>771</x:v>
      </x:c>
      <x:c r="P10" s="3" t="s">
        <x:v>771</x:v>
      </x:c>
      <x:c r="Q10" s="3"/>
      <x:c r="R10" s="3"/>
      <x:c r="V10" s="3"/>
      <x:c r="W10" s="3"/>
      <x:c r="X10" s="3"/>
      <x:c r="Y10" s="3"/>
      <x:c r="Z10" s="3"/>
      <x:c r="AA10" s="3" t="s">
        <x:v>781</x:v>
      </x:c>
      <x:c r="AB10" s="3" t="s">
        <x:v>781</x:v>
      </x:c>
      <x:c r="AC10" s="3" t="s">
        <x:v>781</x:v>
      </x:c>
      <x:c r="AD10" s="3" t="s">
        <x:v>781</x:v>
      </x:c>
      <x:c r="AE10" s="3"/>
      <x:c r="AF10" s="3"/>
      <x:c r="AG10" s="6"/>
      <x:c r="AH10" s="6"/>
      <x:c r="AI10" s="6"/>
      <x:c r="AJ10" s="2" t="s">
        <x:v>783</x:v>
      </x:c>
      <x:c r="AK10" s="2" t="s">
        <x:v>783</x:v>
      </x:c>
      <x:c r="AL10" s="2" t="s">
        <x:v>783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771</x:v>
      </x:c>
      <x:c r="N11" s="3" t="s">
        <x:v>771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781</x:v>
      </x:c>
      <x:c r="AB11" s="3" t="s">
        <x:v>781</x:v>
      </x:c>
      <x:c r="AC11" s="2"/>
      <x:c r="AD11" s="2"/>
      <x:c r="AE11" s="2"/>
      <x:c r="AF11" s="2"/>
      <x:c r="AG11" s="6"/>
      <x:c r="AH11" s="6"/>
      <x:c r="AI11" s="6"/>
      <x:c r="AJ11" s="2" t="s">
        <x:v>783</x:v>
      </x:c>
      <x:c r="AK11" s="2" t="s">
        <x:v>783</x:v>
      </x:c>
      <x:c r="AL11" s="2" t="s">
        <x:v>783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771</x:v>
      </x:c>
      <x:c r="N12" s="3" t="s">
        <x:v>771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781</x:v>
      </x:c>
      <x:c r="AB12" s="3" t="s">
        <x:v>781</x:v>
      </x:c>
      <x:c r="AC12" s="2"/>
      <x:c r="AD12" s="2"/>
      <x:c r="AE12" s="2"/>
      <x:c r="AF12" s="2"/>
    </x:row>
    <x:row r="14">
      <x:c r="M14" s="1" t="s">
        <x:v>784</x:v>
      </x:c>
    </x:row>
  </x:sheetData>
  <x:pageMargins left="0.7" right="0.7" top="0.75" bottom="0.75" header="0.3" footer="0.3"/>
</x:worksheet>
</file>