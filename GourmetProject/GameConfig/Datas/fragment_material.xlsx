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1"/>
  </bookViews>
  <sheets>
    <sheet name="table_fragment" sheetId="1" r:id="rId1"/>
    <sheet name="material" sheetId="2" r:id="rId2"/>
  </sheets>
  <calcPr calcId="144525"/>
</workbook>
</file>

<file path=xl/sharedStrings.xml><?xml version="1.0" encoding="utf-8"?>
<sst xmlns="http://schemas.openxmlformats.org/spreadsheetml/2006/main" count="914" uniqueCount="131">
  <si>
    <t>##var</t>
  </si>
  <si>
    <t>id</t>
  </si>
  <si>
    <t>baseWeight</t>
  </si>
  <si>
    <t>hiddenRange</t>
  </si>
  <si>
    <t>*shapeRows</t>
  </si>
  <si>
    <t>materialIds</t>
  </si>
  <si>
    <t>##comment</t>
  </si>
  <si>
    <t>餐桌格ID</t>
  </si>
  <si>
    <t>随机基础权重</t>
  </si>
  <si>
    <t>出现隐藏分区间</t>
  </si>
  <si>
    <t>碎片形状行列表</t>
  </si>
  <si>
    <t>可随机分布的材质ID列表</t>
  </si>
  <si>
    <t>##type</t>
  </si>
  <si>
    <t>string</t>
  </si>
  <si>
    <t>float</t>
  </si>
  <si>
    <t>HiddenRange</t>
  </si>
  <si>
    <t>list,string</t>
  </si>
  <si>
    <t>gut_4x4</t>
  </si>
  <si>
    <t>0,0</t>
  </si>
  <si>
    <t>XXXX</t>
  </si>
  <si>
    <t>frag_1x1</t>
  </si>
  <si>
    <t>10,100</t>
  </si>
  <si>
    <t>X</t>
  </si>
  <si>
    <t>frag_2_1</t>
  </si>
  <si>
    <t>XX</t>
  </si>
  <si>
    <t>frag_3_1</t>
  </si>
  <si>
    <t>XXX</t>
  </si>
  <si>
    <t>frag_3_2</t>
  </si>
  <si>
    <t>.X</t>
  </si>
  <si>
    <t>frag_3_3</t>
  </si>
  <si>
    <t>X.</t>
  </si>
  <si>
    <t>frag_4_1</t>
  </si>
  <si>
    <t>24,100</t>
  </si>
  <si>
    <t>frag_4_2</t>
  </si>
  <si>
    <t>核心</t>
  </si>
  <si>
    <t>frag_4_3</t>
  </si>
  <si>
    <t>0 周</t>
  </si>
  <si>
    <t>1 周</t>
  </si>
  <si>
    <t>frag_4_4</t>
  </si>
  <si>
    <t>2 周</t>
  </si>
  <si>
    <t>3 周</t>
  </si>
  <si>
    <t>4 周</t>
  </si>
  <si>
    <t>frag_4_5</t>
  </si>
  <si>
    <t>金币</t>
  </si>
  <si>
    <t>强化类消耗品</t>
  </si>
  <si>
    <t>recipe</t>
  </si>
  <si>
    <t>调整类消耗品</t>
  </si>
  <si>
    <t>frag_4_6</t>
  </si>
  <si>
    <t>装饰品</t>
  </si>
  <si>
    <t>事件</t>
  </si>
  <si>
    <t>奖励</t>
  </si>
  <si>
    <t>商店</t>
  </si>
  <si>
    <t>frag_5_1</t>
  </si>
  <si>
    <t>40,100</t>
  </si>
  <si>
    <t>利息</t>
  </si>
  <si>
    <t>X...</t>
  </si>
  <si>
    <t>4～9</t>
  </si>
  <si>
    <t>boss</t>
  </si>
  <si>
    <t>frag_5_2</t>
  </si>
  <si>
    <t>...X</t>
  </si>
  <si>
    <t>frag_5_3</t>
  </si>
  <si>
    <t>XX.</t>
  </si>
  <si>
    <t>frag_5_4</t>
  </si>
  <si>
    <t>❤️❤️❤️</t>
  </si>
  <si>
    <t>.XX</t>
  </si>
  <si>
    <t>普通事件</t>
  </si>
  <si>
    <t>frag_6_1</t>
  </si>
  <si>
    <t>50,100</t>
  </si>
  <si>
    <t>强化类消耗品n选1</t>
  </si>
  <si>
    <t>调整类消耗品n选1</t>
  </si>
  <si>
    <t>frag_6_2</t>
  </si>
  <si>
    <t>事件（有好有坏）</t>
  </si>
  <si>
    <t>..X</t>
  </si>
  <si>
    <t>frag_6_3</t>
  </si>
  <si>
    <t>节点行动</t>
  </si>
  <si>
    <t>奖励（好事件）</t>
  </si>
  <si>
    <t>厄运（坏事件）</t>
  </si>
  <si>
    <t>X..</t>
  </si>
  <si>
    <t>利息事件</t>
  </si>
  <si>
    <t>frag_8_1</t>
  </si>
  <si>
    <t>60,100</t>
  </si>
  <si>
    <t>Boss</t>
  </si>
  <si>
    <t>恢复红心</t>
  </si>
  <si>
    <t>frag_9_1</t>
  </si>
  <si>
    <t>抽奖机</t>
  </si>
  <si>
    <t>m_cherry</t>
  </si>
  <si>
    <t>70,100</t>
  </si>
  <si>
    <t>m_walnut</t>
  </si>
  <si>
    <t>m_marble</t>
  </si>
  <si>
    <t>m_obsidian</t>
  </si>
  <si>
    <t>m_emerald</t>
  </si>
  <si>
    <t>m_gold</t>
  </si>
  <si>
    <t>m_silver</t>
  </si>
  <si>
    <t>name</t>
  </si>
  <si>
    <t>desc</t>
  </si>
  <si>
    <t>effectType</t>
  </si>
  <si>
    <t>effectParam</t>
  </si>
  <si>
    <t>effectValue</t>
  </si>
  <si>
    <t>termId</t>
  </si>
  <si>
    <t>材质ID</t>
  </si>
  <si>
    <t>材质名称</t>
  </si>
  <si>
    <t>材质描述</t>
  </si>
  <si>
    <t>效果类型</t>
  </si>
  <si>
    <t>效果参数</t>
  </si>
  <si>
    <t>效果数值</t>
  </si>
  <si>
    <t>关联术语ID</t>
  </si>
  <si>
    <t>MaterialEffectType</t>
  </si>
  <si>
    <t>list,float</t>
  </si>
  <si>
    <t>樱桃木</t>
  </si>
  <si>
    <t>[strong]分数[/strong][score]+80[/score]</t>
  </si>
  <si>
    <t>AddFlat</t>
  </si>
  <si>
    <t>胡桃木</t>
  </si>
  <si>
    <t>[strong]分数[/strong]永久[score]+20[/score]</t>
  </si>
  <si>
    <t>PermanentAddFlat</t>
  </si>
  <si>
    <t>大理石</t>
  </si>
  <si>
    <t>[strong]倍率[/strong][multadd]+2[/multadd]</t>
  </si>
  <si>
    <t>AddMultFlat</t>
  </si>
  <si>
    <t>黑曜石</t>
  </si>
  <si>
    <t>[strong]倍率[/strong][multmul]×1.5[/multmul]</t>
  </si>
  <si>
    <t>AddMult</t>
  </si>
  <si>
    <t>1.5</t>
  </si>
  <si>
    <t>翡翠</t>
  </si>
  <si>
    <t>每占1格翡翠
[strong]倍率[/strong][multadd]+1[/multadd]</t>
  </si>
  <si>
    <t>AddMultFlatPerCell</t>
  </si>
  <si>
    <t>金</t>
  </si>
  <si>
    <t>[gold]金币+6[/gold]</t>
  </si>
  <si>
    <t>GrantGoldIfCellCount</t>
  </si>
  <si>
    <t>1</t>
  </si>
  <si>
    <t>银</t>
  </si>
  <si>
    <t>1/5概率获得[term]消耗品[/term]</t>
  </si>
  <si>
    <t>GrantItemRollIfCellCount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</si>
</sst>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19"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4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5" borderId="4">
      <alignment vertical="center"/>
    </xf>
    <xf numFmtId="0" fontId="10" fillId="6" borderId="5">
      <alignment vertical="center"/>
    </xf>
    <xf numFmtId="0" fontId="11" fillId="6" borderId="4">
      <alignment vertical="center"/>
    </xf>
    <xf numFmtId="0" fontId="12" fillId="7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8" borderId="0">
      <alignment vertical="center"/>
    </xf>
    <xf numFmtId="0" fontId="16" fillId="9" borderId="0">
      <alignment vertical="center"/>
    </xf>
    <xf numFmtId="0" fontId="17" fillId="10" borderId="0">
      <alignment vertical="center"/>
    </xf>
    <xf numFmtId="0" fontId="18" fillId="11" borderId="0">
      <alignment vertical="center"/>
    </xf>
    <xf numFmtId="0" fontId="0" fillId="12" borderId="0">
      <alignment vertical="center"/>
    </xf>
    <xf numFmtId="0" fontId="0" fillId="13" borderId="0">
      <alignment vertical="center"/>
    </xf>
    <xf numFmtId="0" fontId="18" fillId="14" borderId="0">
      <alignment vertical="center"/>
    </xf>
    <xf numFmtId="0" fontId="18" fillId="15" borderId="0">
      <alignment vertical="center"/>
    </xf>
    <xf numFmtId="0" fontId="0" fillId="16" borderId="0">
      <alignment vertical="center"/>
    </xf>
    <xf numFmtId="0" fontId="0" fillId="17" borderId="0">
      <alignment vertical="center"/>
    </xf>
    <xf numFmtId="0" fontId="18" fillId="18" borderId="0">
      <alignment vertical="center"/>
    </xf>
    <xf numFmtId="0" fontId="18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18" fillId="22" borderId="0">
      <alignment vertical="center"/>
    </xf>
    <xf numFmtId="0" fontId="18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18" fillId="26" borderId="0">
      <alignment vertical="center"/>
    </xf>
    <xf numFmtId="0" fontId="18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18" fillId="30" borderId="0">
      <alignment vertical="center"/>
    </xf>
    <xf numFmtId="0" fontId="18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18" fillId="34" borderId="0">
      <alignment vertical="center"/>
    </xf>
  </cellStyleXfs>
  <cellXfs count="8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8"/>
  <sheetViews>
    <sheetView workbookViewId="0">
      <selection activeCell="A1" sqref="A1"/>
    </sheetView>
  </sheetViews>
  <sheetFormatPr defaultColWidth="9" defaultRowHeight="16.8"/>
  <cols>
    <col min="1" max="1" width="13.0769230769231" style="3" customWidth="1"/>
    <col min="2" max="2" width="19.7692307692308" style="3" customWidth="1"/>
    <col min="3" max="3" width="17.6153846153846" style="3" customWidth="1"/>
    <col min="4" max="4" width="17.6153846153846" style="4" customWidth="1"/>
    <col min="5" max="5" width="17.6153846153846" style="3" customWidth="1"/>
    <col min="6" max="6" width="27.6153846153846" style="3" customWidth="1"/>
    <col min="7" max="7" width="9" style="3" customWidth="1"/>
    <col min="8" max="12" width="9" style="3"/>
    <col min="13" max="13" width="12.9230769230769" style="3"/>
    <col min="14" max="20" width="9" style="3"/>
    <col min="21" max="21" width="23.6923076923077" style="3" customWidth="1"/>
    <col min="22" max="22" width="9" style="3"/>
    <col min="23" max="23" width="43.3846153846154" style="3" customWidth="1"/>
    <col min="24" max="16384" width="9" style="3"/>
  </cols>
  <sheetData>
    <row r="1" spans="1:6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</row>
    <row r="2" spans="1:6">
      <c r="A2" s="3" t="s">
        <v>6</v>
      </c>
      <c r="B2" s="3" t="s">
        <v>7</v>
      </c>
      <c r="C2" s="3" t="s">
        <v>8</v>
      </c>
      <c r="D2" s="4" t="s">
        <v>9</v>
      </c>
      <c r="E2" s="3" t="s">
        <v>10</v>
      </c>
      <c r="F2" s="3" t="s">
        <v>11</v>
      </c>
    </row>
    <row r="3" spans="1:6">
      <c r="A3" s="3" t="s">
        <v>12</v>
      </c>
      <c r="B3" s="3" t="s">
        <v>13</v>
      </c>
      <c r="C3" s="3" t="s">
        <v>14</v>
      </c>
      <c r="D3" s="4" t="s">
        <v>15</v>
      </c>
      <c r="E3" s="3" t="s">
        <v>16</v>
      </c>
      <c r="F3" s="3" t="s">
        <v>16</v>
      </c>
    </row>
    <row r="4" spans="2:5">
      <c r="B4" s="3" t="s">
        <v>17</v>
      </c>
      <c r="C4" s="3">
        <v>0</v>
      </c>
      <c r="D4" s="4" t="s">
        <v>18</v>
      </c>
      <c r="E4" s="3" t="s">
        <v>19</v>
      </c>
    </row>
    <row r="5" spans="5:5">
      <c r="E5" s="3" t="s">
        <v>19</v>
      </c>
    </row>
    <row r="6" spans="5:5">
      <c r="E6" s="3" t="s">
        <v>19</v>
      </c>
    </row>
    <row r="7" spans="5:5">
      <c r="E7" s="3" t="s">
        <v>19</v>
      </c>
    </row>
    <row r="8" spans="2:5">
      <c r="B8" s="3" t="s">
        <v>20</v>
      </c>
      <c r="C8" s="3">
        <v>7</v>
      </c>
      <c r="D8" s="4" t="s">
        <v>21</v>
      </c>
      <c r="E8" s="3" t="s">
        <v>22</v>
      </c>
    </row>
    <row r="9" spans="2:5">
      <c r="B9" s="3" t="s">
        <v>23</v>
      </c>
      <c r="C9" s="3">
        <v>1400</v>
      </c>
      <c r="D9" s="4" t="s">
        <v>21</v>
      </c>
      <c r="E9" s="3" t="s">
        <v>24</v>
      </c>
    </row>
    <row r="10" spans="2:5">
      <c r="B10" s="3" t="s">
        <v>25</v>
      </c>
      <c r="C10" s="3">
        <v>1400</v>
      </c>
      <c r="D10" s="4" t="s">
        <v>21</v>
      </c>
      <c r="E10" s="3" t="s">
        <v>26</v>
      </c>
    </row>
    <row r="11" spans="2:5">
      <c r="B11" s="3" t="s">
        <v>27</v>
      </c>
      <c r="C11" s="3">
        <v>1400</v>
      </c>
      <c r="D11" s="4" t="s">
        <v>21</v>
      </c>
      <c r="E11" s="3" t="s">
        <v>24</v>
      </c>
    </row>
    <row r="12" spans="5:5">
      <c r="E12" s="3" t="s">
        <v>28</v>
      </c>
    </row>
    <row r="13" spans="2:5">
      <c r="B13" s="3" t="s">
        <v>29</v>
      </c>
      <c r="C13" s="3">
        <v>1400</v>
      </c>
      <c r="D13" s="4" t="s">
        <v>21</v>
      </c>
      <c r="E13" s="3" t="s">
        <v>24</v>
      </c>
    </row>
    <row r="14" spans="5:5">
      <c r="E14" s="3" t="s">
        <v>30</v>
      </c>
    </row>
    <row r="15" spans="2:5">
      <c r="B15" s="3" t="s">
        <v>31</v>
      </c>
      <c r="C15" s="3">
        <v>1400</v>
      </c>
      <c r="D15" s="5" t="s">
        <v>32</v>
      </c>
      <c r="E15" s="3" t="s">
        <v>24</v>
      </c>
    </row>
    <row r="16" spans="4:5">
      <c r="D16" s="5"/>
      <c r="E16" s="3" t="s">
        <v>24</v>
      </c>
    </row>
    <row r="17" spans="2:23">
      <c r="B17" s="3" t="s">
        <v>33</v>
      </c>
      <c r="C17" s="3">
        <v>1400</v>
      </c>
      <c r="D17" s="5" t="s">
        <v>32</v>
      </c>
      <c r="E17" s="3" t="s">
        <v>24</v>
      </c>
      <c r="W17" s="3" t="s">
        <v>34</v>
      </c>
    </row>
    <row r="18" spans="4:5">
      <c r="D18" s="5"/>
      <c r="E18" s="3" t="s">
        <v>28</v>
      </c>
    </row>
    <row r="19" spans="4:5">
      <c r="D19" s="5"/>
      <c r="E19" s="3" t="s">
        <v>28</v>
      </c>
    </row>
    <row r="20" spans="2:5">
      <c r="B20" s="3" t="s">
        <v>35</v>
      </c>
      <c r="C20" s="3">
        <v>1400</v>
      </c>
      <c r="D20" s="5" t="s">
        <v>32</v>
      </c>
      <c r="E20" s="3" t="s">
        <v>24</v>
      </c>
    </row>
    <row r="21" spans="4:19">
      <c r="D21" s="5"/>
      <c r="E21" s="3" t="s">
        <v>30</v>
      </c>
      <c r="K21" s="3" t="s">
        <v>36</v>
      </c>
      <c r="L21" s="3">
        <v>10</v>
      </c>
      <c r="M21" s="3">
        <v>11</v>
      </c>
      <c r="N21" s="3">
        <v>12</v>
      </c>
      <c r="O21" s="3">
        <v>13</v>
      </c>
      <c r="P21" s="3">
        <v>14</v>
      </c>
      <c r="Q21" s="3">
        <v>15</v>
      </c>
      <c r="R21" s="3">
        <v>16</v>
      </c>
      <c r="S21" s="3">
        <v>17</v>
      </c>
    </row>
    <row r="22" spans="4:19">
      <c r="D22" s="5"/>
      <c r="E22" s="3" t="s">
        <v>30</v>
      </c>
      <c r="K22" s="3" t="s">
        <v>37</v>
      </c>
      <c r="L22" s="3">
        <v>20</v>
      </c>
      <c r="M22" s="3">
        <v>21</v>
      </c>
      <c r="N22" s="3">
        <v>22</v>
      </c>
      <c r="O22" s="3">
        <v>23</v>
      </c>
      <c r="P22" s="3">
        <v>24</v>
      </c>
      <c r="Q22" s="3">
        <v>25</v>
      </c>
      <c r="R22" s="3">
        <v>26</v>
      </c>
      <c r="S22" s="3">
        <v>27</v>
      </c>
    </row>
    <row r="23" spans="2:19">
      <c r="B23" s="3" t="s">
        <v>38</v>
      </c>
      <c r="C23" s="3">
        <v>1400</v>
      </c>
      <c r="D23" s="5" t="s">
        <v>32</v>
      </c>
      <c r="E23" s="3" t="s">
        <v>30</v>
      </c>
      <c r="K23" s="3" t="s">
        <v>39</v>
      </c>
      <c r="L23" s="3">
        <v>30</v>
      </c>
      <c r="M23" s="3">
        <v>31</v>
      </c>
      <c r="N23" s="3">
        <v>32</v>
      </c>
      <c r="O23" s="3">
        <v>33</v>
      </c>
      <c r="P23" s="3">
        <v>34</v>
      </c>
      <c r="Q23" s="3">
        <v>35</v>
      </c>
      <c r="R23" s="3">
        <v>36</v>
      </c>
      <c r="S23" s="3">
        <v>37</v>
      </c>
    </row>
    <row r="24" spans="4:19">
      <c r="D24" s="5"/>
      <c r="E24" s="3" t="s">
        <v>24</v>
      </c>
      <c r="K24" s="3" t="s">
        <v>40</v>
      </c>
      <c r="L24" s="3">
        <v>40</v>
      </c>
      <c r="M24" s="3">
        <v>41</v>
      </c>
      <c r="N24" s="3">
        <v>42</v>
      </c>
      <c r="O24" s="3">
        <v>43</v>
      </c>
      <c r="P24" s="3">
        <v>44</v>
      </c>
      <c r="Q24" s="3">
        <v>45</v>
      </c>
      <c r="R24" s="3">
        <v>46</v>
      </c>
      <c r="S24" s="3">
        <v>47</v>
      </c>
    </row>
    <row r="25" spans="4:19">
      <c r="D25" s="5"/>
      <c r="E25" s="3" t="s">
        <v>28</v>
      </c>
      <c r="K25" s="3" t="s">
        <v>41</v>
      </c>
      <c r="L25" s="3">
        <v>50</v>
      </c>
      <c r="M25" s="3">
        <v>51</v>
      </c>
      <c r="N25" s="3">
        <v>52</v>
      </c>
      <c r="O25" s="3">
        <v>53</v>
      </c>
      <c r="P25" s="3">
        <v>54</v>
      </c>
      <c r="Q25" s="3">
        <v>55</v>
      </c>
      <c r="R25" s="3">
        <v>56</v>
      </c>
      <c r="S25" s="3">
        <v>57</v>
      </c>
    </row>
    <row r="26" spans="2:21">
      <c r="B26" s="3" t="s">
        <v>42</v>
      </c>
      <c r="C26" s="3">
        <v>1400</v>
      </c>
      <c r="D26" s="5" t="s">
        <v>32</v>
      </c>
      <c r="E26" s="3" t="s">
        <v>28</v>
      </c>
      <c r="U26" s="3" t="s">
        <v>43</v>
      </c>
    </row>
    <row r="27" spans="4:23">
      <c r="D27" s="5"/>
      <c r="E27" s="3" t="s">
        <v>24</v>
      </c>
      <c r="U27" s="3" t="s">
        <v>44</v>
      </c>
      <c r="W27" s="3" t="s">
        <v>45</v>
      </c>
    </row>
    <row r="28" spans="4:21">
      <c r="D28" s="5"/>
      <c r="E28" s="3" t="s">
        <v>30</v>
      </c>
      <c r="U28" s="3" t="s">
        <v>46</v>
      </c>
    </row>
    <row r="29" spans="2:21">
      <c r="B29" s="3" t="s">
        <v>47</v>
      </c>
      <c r="C29" s="3">
        <v>1400</v>
      </c>
      <c r="D29" s="5" t="s">
        <v>32</v>
      </c>
      <c r="E29" s="3" t="s">
        <v>22</v>
      </c>
      <c r="U29" s="3" t="s">
        <v>48</v>
      </c>
    </row>
    <row r="30" spans="4:21">
      <c r="D30" s="5"/>
      <c r="E30" s="3" t="s">
        <v>22</v>
      </c>
      <c r="K30" s="3" t="s">
        <v>24</v>
      </c>
      <c r="U30" s="3" t="s">
        <v>49</v>
      </c>
    </row>
    <row r="31" spans="4:21">
      <c r="D31" s="5"/>
      <c r="E31" s="3" t="s">
        <v>22</v>
      </c>
      <c r="K31" s="3" t="s">
        <v>24</v>
      </c>
      <c r="U31" s="3" t="s">
        <v>50</v>
      </c>
    </row>
    <row r="32" spans="4:21">
      <c r="D32" s="5"/>
      <c r="E32" s="3" t="s">
        <v>22</v>
      </c>
      <c r="K32" s="3" t="s">
        <v>22</v>
      </c>
      <c r="U32" s="3" t="s">
        <v>51</v>
      </c>
    </row>
    <row r="33" spans="2:21">
      <c r="B33" s="3" t="s">
        <v>52</v>
      </c>
      <c r="C33" s="3">
        <v>1400</v>
      </c>
      <c r="D33" s="4" t="s">
        <v>53</v>
      </c>
      <c r="E33" s="3" t="s">
        <v>19</v>
      </c>
      <c r="U33" s="3" t="s">
        <v>54</v>
      </c>
    </row>
    <row r="34" spans="5:21">
      <c r="E34" s="3" t="s">
        <v>55</v>
      </c>
      <c r="K34" s="3" t="s">
        <v>56</v>
      </c>
      <c r="U34" s="3" t="s">
        <v>57</v>
      </c>
    </row>
    <row r="35" spans="2:14">
      <c r="B35" s="3" t="s">
        <v>58</v>
      </c>
      <c r="C35" s="3">
        <v>1400</v>
      </c>
      <c r="D35" s="4" t="s">
        <v>53</v>
      </c>
      <c r="E35" s="3" t="s">
        <v>19</v>
      </c>
      <c r="N35" s="3">
        <f>12*12</f>
        <v>144</v>
      </c>
    </row>
    <row r="36" spans="5:5">
      <c r="E36" s="3" t="s">
        <v>59</v>
      </c>
    </row>
    <row r="37" spans="2:5">
      <c r="B37" s="3" t="s">
        <v>60</v>
      </c>
      <c r="C37" s="3">
        <v>1400</v>
      </c>
      <c r="D37" s="4" t="s">
        <v>53</v>
      </c>
      <c r="E37" s="3" t="s">
        <v>26</v>
      </c>
    </row>
    <row r="38" spans="5:5">
      <c r="E38" s="3" t="s">
        <v>61</v>
      </c>
    </row>
    <row r="39" spans="2:23">
      <c r="B39" s="3" t="s">
        <v>62</v>
      </c>
      <c r="C39" s="3">
        <v>1400</v>
      </c>
      <c r="D39" s="4" t="s">
        <v>53</v>
      </c>
      <c r="E39" s="3" t="s">
        <v>26</v>
      </c>
      <c r="W39" s="3" t="s">
        <v>63</v>
      </c>
    </row>
    <row r="40" spans="5:21">
      <c r="E40" s="3" t="s">
        <v>64</v>
      </c>
      <c r="T40" s="6" t="s">
        <v>65</v>
      </c>
      <c r="U40" s="3" t="s">
        <v>43</v>
      </c>
    </row>
    <row r="41" spans="2:21">
      <c r="B41" s="3" t="s">
        <v>66</v>
      </c>
      <c r="C41" s="3">
        <v>1400</v>
      </c>
      <c r="D41" s="4" t="s">
        <v>67</v>
      </c>
      <c r="E41" s="3" t="s">
        <v>26</v>
      </c>
      <c r="T41" s="6"/>
      <c r="U41" s="3" t="s">
        <v>68</v>
      </c>
    </row>
    <row r="42" spans="5:21">
      <c r="E42" s="3" t="s">
        <v>26</v>
      </c>
      <c r="T42" s="6"/>
      <c r="U42" s="3" t="s">
        <v>69</v>
      </c>
    </row>
    <row r="43" spans="2:21">
      <c r="B43" s="3" t="s">
        <v>70</v>
      </c>
      <c r="C43" s="3">
        <v>1400</v>
      </c>
      <c r="D43" s="4" t="s">
        <v>67</v>
      </c>
      <c r="E43" s="3" t="s">
        <v>26</v>
      </c>
      <c r="T43" s="6"/>
      <c r="U43" s="3" t="s">
        <v>48</v>
      </c>
    </row>
    <row r="44" spans="5:21">
      <c r="E44" s="3" t="s">
        <v>64</v>
      </c>
      <c r="T44" s="6"/>
      <c r="U44" s="3" t="s">
        <v>71</v>
      </c>
    </row>
    <row r="45" spans="5:5">
      <c r="E45" s="3" t="s">
        <v>72</v>
      </c>
    </row>
    <row r="46" spans="2:21">
      <c r="B46" s="3" t="s">
        <v>73</v>
      </c>
      <c r="C46" s="3">
        <v>1400</v>
      </c>
      <c r="D46" s="4" t="s">
        <v>67</v>
      </c>
      <c r="E46" s="3" t="s">
        <v>26</v>
      </c>
      <c r="T46" s="7" t="s">
        <v>74</v>
      </c>
      <c r="U46" s="3" t="s">
        <v>75</v>
      </c>
    </row>
    <row r="47" spans="5:21">
      <c r="E47" s="3" t="s">
        <v>61</v>
      </c>
      <c r="T47" s="7"/>
      <c r="U47" s="3" t="s">
        <v>76</v>
      </c>
    </row>
    <row r="48" spans="5:21">
      <c r="E48" s="3" t="s">
        <v>77</v>
      </c>
      <c r="T48" s="7"/>
      <c r="U48" s="3" t="s">
        <v>78</v>
      </c>
    </row>
    <row r="49" spans="2:23">
      <c r="B49" s="3" t="s">
        <v>79</v>
      </c>
      <c r="C49" s="3">
        <v>1400</v>
      </c>
      <c r="D49" s="4" t="s">
        <v>80</v>
      </c>
      <c r="E49" s="3" t="s">
        <v>19</v>
      </c>
      <c r="T49" s="7"/>
      <c r="U49" s="3" t="s">
        <v>81</v>
      </c>
      <c r="W49" s="3" t="s">
        <v>82</v>
      </c>
    </row>
    <row r="50" spans="5:21">
      <c r="E50" s="3" t="s">
        <v>19</v>
      </c>
      <c r="T50" s="7"/>
      <c r="U50" s="3" t="s">
        <v>51</v>
      </c>
    </row>
    <row r="51" spans="2:21">
      <c r="B51" s="3" t="s">
        <v>83</v>
      </c>
      <c r="C51" s="3">
        <v>1400</v>
      </c>
      <c r="D51" s="4" t="s">
        <v>80</v>
      </c>
      <c r="E51" s="3" t="s">
        <v>26</v>
      </c>
      <c r="T51" s="7"/>
      <c r="U51" s="3" t="s">
        <v>84</v>
      </c>
    </row>
    <row r="52" spans="5:5">
      <c r="E52" s="3" t="s">
        <v>26</v>
      </c>
    </row>
    <row r="53" spans="5:5">
      <c r="E53" s="3" t="s">
        <v>26</v>
      </c>
    </row>
    <row r="54" spans="2:8">
      <c r="B54" s="3" t="str">
        <f>H54&amp;"_"&amp;F54</f>
        <v>frag_2_1_m_cherry</v>
      </c>
      <c r="C54" s="3">
        <f>IF(B54="","",50)</f>
        <v>50</v>
      </c>
      <c r="D54" s="4" t="s">
        <v>53</v>
      </c>
      <c r="E54" s="3" t="s">
        <v>24</v>
      </c>
      <c r="F54" s="3" t="s">
        <v>85</v>
      </c>
      <c r="H54" s="3" t="s">
        <v>23</v>
      </c>
    </row>
    <row r="55" spans="2:8">
      <c r="B55" s="3" t="str">
        <f>H55&amp;"_"&amp;F55</f>
        <v>frag_3_1_m_cherry</v>
      </c>
      <c r="C55" s="3">
        <f t="shared" ref="C55:C97" si="0">IF(B55="","",50)</f>
        <v>50</v>
      </c>
      <c r="D55" s="4" t="s">
        <v>53</v>
      </c>
      <c r="E55" s="3" t="s">
        <v>26</v>
      </c>
      <c r="F55" s="3" t="s">
        <v>85</v>
      </c>
      <c r="H55" s="3" t="s">
        <v>25</v>
      </c>
    </row>
    <row r="56" spans="2:8">
      <c r="B56" s="3" t="str">
        <f>H56&amp;"_"&amp;F56</f>
        <v>frag_3_2_m_cherry</v>
      </c>
      <c r="C56" s="3">
        <f t="shared" si="0"/>
        <v>50</v>
      </c>
      <c r="D56" s="4" t="s">
        <v>53</v>
      </c>
      <c r="E56" s="3" t="s">
        <v>24</v>
      </c>
      <c r="F56" s="3" t="s">
        <v>85</v>
      </c>
      <c r="H56" s="3" t="s">
        <v>27</v>
      </c>
    </row>
    <row r="57" spans="3:5">
      <c r="C57" s="3" t="str">
        <f t="shared" si="0"/>
        <v/>
      </c>
      <c r="E57" s="3" t="s">
        <v>28</v>
      </c>
    </row>
    <row r="58" spans="2:8">
      <c r="B58" s="3" t="str">
        <f>H58&amp;"_"&amp;F58</f>
        <v>frag_3_3_m_cherry</v>
      </c>
      <c r="C58" s="3">
        <f t="shared" si="0"/>
        <v>50</v>
      </c>
      <c r="D58" s="4" t="s">
        <v>53</v>
      </c>
      <c r="E58" s="3" t="s">
        <v>24</v>
      </c>
      <c r="F58" s="3" t="s">
        <v>85</v>
      </c>
      <c r="H58" s="3" t="s">
        <v>29</v>
      </c>
    </row>
    <row r="59" spans="3:5">
      <c r="C59" s="3" t="str">
        <f t="shared" si="0"/>
        <v/>
      </c>
      <c r="E59" s="3" t="s">
        <v>30</v>
      </c>
    </row>
    <row r="60" spans="2:8">
      <c r="B60" s="3" t="str">
        <f>H60&amp;"_"&amp;F60</f>
        <v>frag_4_1_m_cherry</v>
      </c>
      <c r="C60" s="3">
        <f t="shared" si="0"/>
        <v>50</v>
      </c>
      <c r="D60" s="5" t="s">
        <v>67</v>
      </c>
      <c r="E60" s="3" t="s">
        <v>24</v>
      </c>
      <c r="F60" s="3" t="s">
        <v>85</v>
      </c>
      <c r="H60" s="3" t="s">
        <v>31</v>
      </c>
    </row>
    <row r="61" spans="3:5">
      <c r="C61" s="3" t="str">
        <f t="shared" si="0"/>
        <v/>
      </c>
      <c r="D61" s="5"/>
      <c r="E61" s="3" t="s">
        <v>24</v>
      </c>
    </row>
    <row r="62" spans="2:8">
      <c r="B62" s="3" t="str">
        <f>H62&amp;"_"&amp;F62</f>
        <v>frag_4_2_m_cherry</v>
      </c>
      <c r="C62" s="3">
        <f t="shared" si="0"/>
        <v>50</v>
      </c>
      <c r="D62" s="5" t="s">
        <v>67</v>
      </c>
      <c r="E62" s="3" t="s">
        <v>24</v>
      </c>
      <c r="F62" s="3" t="s">
        <v>85</v>
      </c>
      <c r="H62" s="3" t="s">
        <v>33</v>
      </c>
    </row>
    <row r="63" spans="3:5">
      <c r="C63" s="3" t="str">
        <f t="shared" si="0"/>
        <v/>
      </c>
      <c r="D63" s="5"/>
      <c r="E63" s="3" t="s">
        <v>28</v>
      </c>
    </row>
    <row r="64" spans="3:5">
      <c r="C64" s="3" t="str">
        <f t="shared" si="0"/>
        <v/>
      </c>
      <c r="D64" s="5"/>
      <c r="E64" s="3" t="s">
        <v>28</v>
      </c>
    </row>
    <row r="65" spans="2:8">
      <c r="B65" s="3" t="str">
        <f>H65&amp;"_"&amp;F65</f>
        <v>frag_4_3_m_cherry</v>
      </c>
      <c r="C65" s="3">
        <f t="shared" si="0"/>
        <v>50</v>
      </c>
      <c r="D65" s="5" t="s">
        <v>67</v>
      </c>
      <c r="E65" s="3" t="s">
        <v>24</v>
      </c>
      <c r="F65" s="3" t="s">
        <v>85</v>
      </c>
      <c r="H65" s="3" t="s">
        <v>35</v>
      </c>
    </row>
    <row r="66" spans="3:5">
      <c r="C66" s="3" t="str">
        <f t="shared" si="0"/>
        <v/>
      </c>
      <c r="D66" s="5"/>
      <c r="E66" s="3" t="s">
        <v>30</v>
      </c>
    </row>
    <row r="67" spans="3:5">
      <c r="C67" s="3" t="str">
        <f t="shared" si="0"/>
        <v/>
      </c>
      <c r="D67" s="5"/>
      <c r="E67" s="3" t="s">
        <v>30</v>
      </c>
    </row>
    <row r="68" spans="2:8">
      <c r="B68" s="3" t="str">
        <f>H68&amp;"_"&amp;F68</f>
        <v>frag_4_4_m_cherry</v>
      </c>
      <c r="C68" s="3">
        <f t="shared" si="0"/>
        <v>50</v>
      </c>
      <c r="D68" s="5" t="s">
        <v>67</v>
      </c>
      <c r="E68" s="3" t="s">
        <v>30</v>
      </c>
      <c r="F68" s="3" t="s">
        <v>85</v>
      </c>
      <c r="H68" s="3" t="s">
        <v>38</v>
      </c>
    </row>
    <row r="69" spans="3:5">
      <c r="C69" s="3" t="str">
        <f t="shared" si="0"/>
        <v/>
      </c>
      <c r="D69" s="5"/>
      <c r="E69" s="3" t="s">
        <v>24</v>
      </c>
    </row>
    <row r="70" spans="3:5">
      <c r="C70" s="3" t="str">
        <f t="shared" si="0"/>
        <v/>
      </c>
      <c r="D70" s="5"/>
      <c r="E70" s="3" t="s">
        <v>28</v>
      </c>
    </row>
    <row r="71" spans="2:8">
      <c r="B71" s="3" t="str">
        <f>H71&amp;"_"&amp;F71</f>
        <v>frag_4_5_m_cherry</v>
      </c>
      <c r="C71" s="3">
        <f t="shared" si="0"/>
        <v>50</v>
      </c>
      <c r="D71" s="5" t="s">
        <v>67</v>
      </c>
      <c r="E71" s="3" t="s">
        <v>28</v>
      </c>
      <c r="F71" s="3" t="s">
        <v>85</v>
      </c>
      <c r="H71" s="3" t="s">
        <v>42</v>
      </c>
    </row>
    <row r="72" spans="3:5">
      <c r="C72" s="3" t="str">
        <f t="shared" si="0"/>
        <v/>
      </c>
      <c r="D72" s="5"/>
      <c r="E72" s="3" t="s">
        <v>24</v>
      </c>
    </row>
    <row r="73" spans="3:5">
      <c r="C73" s="3" t="str">
        <f t="shared" si="0"/>
        <v/>
      </c>
      <c r="D73" s="5"/>
      <c r="E73" s="3" t="s">
        <v>30</v>
      </c>
    </row>
    <row r="74" spans="2:8">
      <c r="B74" s="3" t="str">
        <f>H74&amp;"_"&amp;F74</f>
        <v>frag_4_6_m_cherry</v>
      </c>
      <c r="C74" s="3">
        <f t="shared" si="0"/>
        <v>50</v>
      </c>
      <c r="D74" s="5" t="s">
        <v>67</v>
      </c>
      <c r="E74" s="3" t="s">
        <v>22</v>
      </c>
      <c r="F74" s="3" t="s">
        <v>85</v>
      </c>
      <c r="H74" s="3" t="s">
        <v>47</v>
      </c>
    </row>
    <row r="75" spans="3:5">
      <c r="C75" s="3" t="str">
        <f t="shared" si="0"/>
        <v/>
      </c>
      <c r="D75" s="5"/>
      <c r="E75" s="3" t="s">
        <v>22</v>
      </c>
    </row>
    <row r="76" spans="3:5">
      <c r="C76" s="3" t="str">
        <f t="shared" si="0"/>
        <v/>
      </c>
      <c r="D76" s="5"/>
      <c r="E76" s="3" t="s">
        <v>22</v>
      </c>
    </row>
    <row r="77" spans="3:5">
      <c r="C77" s="3" t="str">
        <f t="shared" si="0"/>
        <v/>
      </c>
      <c r="D77" s="5"/>
      <c r="E77" s="3" t="s">
        <v>22</v>
      </c>
    </row>
    <row r="78" spans="2:8">
      <c r="B78" s="3" t="str">
        <f>H78&amp;"_"&amp;F78</f>
        <v>frag_5_1_m_cherry</v>
      </c>
      <c r="C78" s="3">
        <f t="shared" si="0"/>
        <v>50</v>
      </c>
      <c r="D78" s="4" t="s">
        <v>80</v>
      </c>
      <c r="E78" s="3" t="s">
        <v>19</v>
      </c>
      <c r="F78" s="3" t="s">
        <v>85</v>
      </c>
      <c r="H78" s="3" t="s">
        <v>52</v>
      </c>
    </row>
    <row r="79" spans="3:5">
      <c r="C79" s="3" t="str">
        <f t="shared" si="0"/>
        <v/>
      </c>
      <c r="E79" s="3" t="s">
        <v>55</v>
      </c>
    </row>
    <row r="80" spans="2:8">
      <c r="B80" s="3" t="str">
        <f>H80&amp;"_"&amp;F80</f>
        <v>frag_5_2_m_cherry</v>
      </c>
      <c r="C80" s="3">
        <f t="shared" si="0"/>
        <v>50</v>
      </c>
      <c r="D80" s="4" t="s">
        <v>80</v>
      </c>
      <c r="E80" s="3" t="s">
        <v>19</v>
      </c>
      <c r="F80" s="3" t="s">
        <v>85</v>
      </c>
      <c r="H80" s="3" t="s">
        <v>58</v>
      </c>
    </row>
    <row r="81" spans="3:5">
      <c r="C81" s="3" t="str">
        <f t="shared" si="0"/>
        <v/>
      </c>
      <c r="E81" s="3" t="s">
        <v>59</v>
      </c>
    </row>
    <row r="82" spans="2:8">
      <c r="B82" s="3" t="str">
        <f>H82&amp;"_"&amp;F82</f>
        <v>frag_5_3_m_cherry</v>
      </c>
      <c r="C82" s="3">
        <f t="shared" si="0"/>
        <v>50</v>
      </c>
      <c r="D82" s="4" t="s">
        <v>80</v>
      </c>
      <c r="E82" s="3" t="s">
        <v>26</v>
      </c>
      <c r="F82" s="3" t="s">
        <v>85</v>
      </c>
      <c r="H82" s="3" t="s">
        <v>60</v>
      </c>
    </row>
    <row r="83" spans="3:5">
      <c r="C83" s="3" t="str">
        <f t="shared" si="0"/>
        <v/>
      </c>
      <c r="E83" s="3" t="s">
        <v>61</v>
      </c>
    </row>
    <row r="84" spans="2:8">
      <c r="B84" s="3" t="str">
        <f>H84&amp;"_"&amp;F84</f>
        <v>frag_5_4_m_cherry</v>
      </c>
      <c r="C84" s="3">
        <f t="shared" si="0"/>
        <v>50</v>
      </c>
      <c r="D84" s="4" t="s">
        <v>80</v>
      </c>
      <c r="E84" s="3" t="s">
        <v>26</v>
      </c>
      <c r="F84" s="3" t="s">
        <v>85</v>
      </c>
      <c r="H84" s="3" t="s">
        <v>62</v>
      </c>
    </row>
    <row r="85" spans="3:5">
      <c r="C85" s="3" t="str">
        <f t="shared" si="0"/>
        <v/>
      </c>
      <c r="E85" s="3" t="s">
        <v>64</v>
      </c>
    </row>
    <row r="86" spans="2:8">
      <c r="B86" s="3" t="str">
        <f>H86&amp;"_"&amp;F86</f>
        <v>frag_6_1_m_cherry</v>
      </c>
      <c r="C86" s="3">
        <f t="shared" si="0"/>
        <v>50</v>
      </c>
      <c r="D86" s="4" t="s">
        <v>86</v>
      </c>
      <c r="E86" s="3" t="s">
        <v>26</v>
      </c>
      <c r="F86" s="3" t="s">
        <v>85</v>
      </c>
      <c r="H86" s="3" t="s">
        <v>66</v>
      </c>
    </row>
    <row r="87" spans="3:5">
      <c r="C87" s="3" t="str">
        <f t="shared" si="0"/>
        <v/>
      </c>
      <c r="E87" s="3" t="s">
        <v>26</v>
      </c>
    </row>
    <row r="88" spans="2:8">
      <c r="B88" s="3" t="str">
        <f>H88&amp;"_"&amp;F88</f>
        <v>frag_6_2_m_cherry</v>
      </c>
      <c r="C88" s="3">
        <f t="shared" si="0"/>
        <v>50</v>
      </c>
      <c r="D88" s="4" t="s">
        <v>86</v>
      </c>
      <c r="E88" s="3" t="s">
        <v>26</v>
      </c>
      <c r="F88" s="3" t="s">
        <v>85</v>
      </c>
      <c r="H88" s="3" t="s">
        <v>70</v>
      </c>
    </row>
    <row r="89" spans="3:7">
      <c r="C89" s="3" t="str">
        <f t="shared" si="0"/>
        <v/>
      </c>
      <c r="E89" s="3" t="s">
        <v>64</v>
      </c>
      <c r="G89" s="3" t="str">
        <f>IF(B89="","",B89&amp;"_cherry")</f>
        <v/>
      </c>
    </row>
    <row r="90" spans="3:5">
      <c r="C90" s="3" t="str">
        <f t="shared" si="0"/>
        <v/>
      </c>
      <c r="E90" s="3" t="s">
        <v>72</v>
      </c>
    </row>
    <row r="91" spans="2:8">
      <c r="B91" s="3" t="str">
        <f>H91&amp;"_"&amp;F91</f>
        <v>frag_6_3_m_cherry</v>
      </c>
      <c r="C91" s="3">
        <f t="shared" si="0"/>
        <v>50</v>
      </c>
      <c r="D91" s="4" t="s">
        <v>86</v>
      </c>
      <c r="E91" s="3" t="s">
        <v>26</v>
      </c>
      <c r="F91" s="3" t="s">
        <v>85</v>
      </c>
      <c r="H91" s="3" t="s">
        <v>73</v>
      </c>
    </row>
    <row r="92" spans="3:5">
      <c r="C92" s="3" t="str">
        <f t="shared" si="0"/>
        <v/>
      </c>
      <c r="E92" s="3" t="s">
        <v>61</v>
      </c>
    </row>
    <row r="93" spans="3:5">
      <c r="C93" s="3" t="str">
        <f t="shared" si="0"/>
        <v/>
      </c>
      <c r="E93" s="3" t="s">
        <v>77</v>
      </c>
    </row>
    <row r="94" spans="2:8">
      <c r="B94" s="3" t="str">
        <f t="shared" ref="B94:B101" si="1">H94&amp;"_"&amp;F94</f>
        <v>frag_8_1_m_cherry</v>
      </c>
      <c r="C94" s="3">
        <f t="shared" si="0"/>
        <v>50</v>
      </c>
      <c r="D94" s="4" t="s">
        <v>86</v>
      </c>
      <c r="E94" s="3" t="s">
        <v>19</v>
      </c>
      <c r="F94" s="3" t="s">
        <v>85</v>
      </c>
      <c r="H94" s="3" t="s">
        <v>79</v>
      </c>
    </row>
    <row r="95" spans="3:5">
      <c r="C95" s="3" t="str">
        <f t="shared" si="0"/>
        <v/>
      </c>
      <c r="E95" s="3" t="s">
        <v>19</v>
      </c>
    </row>
    <row r="96" spans="2:8">
      <c r="B96" s="3" t="str">
        <f t="shared" si="1"/>
        <v>frag_9_1_m_cherry</v>
      </c>
      <c r="C96" s="3">
        <f t="shared" si="0"/>
        <v>50</v>
      </c>
      <c r="D96" s="4" t="s">
        <v>86</v>
      </c>
      <c r="E96" s="3" t="s">
        <v>26</v>
      </c>
      <c r="F96" s="3" t="s">
        <v>85</v>
      </c>
      <c r="H96" s="3" t="s">
        <v>83</v>
      </c>
    </row>
    <row r="97" spans="3:5">
      <c r="C97" s="3" t="str">
        <f t="shared" si="0"/>
        <v/>
      </c>
      <c r="E97" s="3" t="s">
        <v>26</v>
      </c>
    </row>
    <row r="98" spans="4:5">
      <c r="D98" s="5"/>
      <c r="E98" s="3" t="s">
        <v>26</v>
      </c>
    </row>
    <row r="99" spans="2:8">
      <c r="B99" s="3" t="str">
        <f t="shared" si="1"/>
        <v>frag_2_1_m_walnut</v>
      </c>
      <c r="C99" s="3">
        <f t="shared" ref="C99:C142" si="2">IF(B99="","",50)</f>
        <v>50</v>
      </c>
      <c r="D99" s="4" t="s">
        <v>53</v>
      </c>
      <c r="E99" s="3" t="s">
        <v>24</v>
      </c>
      <c r="F99" s="3" t="s">
        <v>87</v>
      </c>
      <c r="H99" s="3" t="s">
        <v>23</v>
      </c>
    </row>
    <row r="100" spans="2:8">
      <c r="B100" s="3" t="str">
        <f t="shared" si="1"/>
        <v>frag_3_1_m_walnut</v>
      </c>
      <c r="C100" s="3">
        <f t="shared" si="2"/>
        <v>50</v>
      </c>
      <c r="D100" s="4" t="s">
        <v>53</v>
      </c>
      <c r="E100" s="3" t="s">
        <v>26</v>
      </c>
      <c r="F100" s="3" t="s">
        <v>87</v>
      </c>
      <c r="H100" s="3" t="s">
        <v>25</v>
      </c>
    </row>
    <row r="101" spans="2:8">
      <c r="B101" s="3" t="str">
        <f t="shared" si="1"/>
        <v>frag_3_2_m_walnut</v>
      </c>
      <c r="C101" s="3">
        <f t="shared" si="2"/>
        <v>50</v>
      </c>
      <c r="D101" s="4" t="s">
        <v>53</v>
      </c>
      <c r="E101" s="3" t="s">
        <v>24</v>
      </c>
      <c r="F101" s="3" t="s">
        <v>87</v>
      </c>
      <c r="H101" s="3" t="s">
        <v>27</v>
      </c>
    </row>
    <row r="102" spans="3:5">
      <c r="C102" s="3" t="str">
        <f t="shared" si="2"/>
        <v/>
      </c>
      <c r="E102" s="3" t="s">
        <v>28</v>
      </c>
    </row>
    <row r="103" spans="2:8">
      <c r="B103" s="3" t="str">
        <f t="shared" ref="B103:B107" si="3">H103&amp;"_"&amp;F103</f>
        <v>frag_3_3_m_walnut</v>
      </c>
      <c r="C103" s="3">
        <f t="shared" si="2"/>
        <v>50</v>
      </c>
      <c r="D103" s="4" t="s">
        <v>53</v>
      </c>
      <c r="E103" s="3" t="s">
        <v>24</v>
      </c>
      <c r="F103" s="3" t="s">
        <v>87</v>
      </c>
      <c r="H103" s="3" t="s">
        <v>29</v>
      </c>
    </row>
    <row r="104" spans="3:5">
      <c r="C104" s="3" t="str">
        <f t="shared" si="2"/>
        <v/>
      </c>
      <c r="E104" s="3" t="s">
        <v>30</v>
      </c>
    </row>
    <row r="105" spans="2:8">
      <c r="B105" s="3" t="str">
        <f t="shared" si="3"/>
        <v>frag_4_1_m_walnut</v>
      </c>
      <c r="C105" s="3">
        <f t="shared" si="2"/>
        <v>50</v>
      </c>
      <c r="D105" s="5" t="s">
        <v>67</v>
      </c>
      <c r="E105" s="3" t="s">
        <v>24</v>
      </c>
      <c r="F105" s="3" t="s">
        <v>87</v>
      </c>
      <c r="H105" s="3" t="s">
        <v>31</v>
      </c>
    </row>
    <row r="106" spans="3:5">
      <c r="C106" s="3" t="str">
        <f t="shared" si="2"/>
        <v/>
      </c>
      <c r="D106" s="5"/>
      <c r="E106" s="3" t="s">
        <v>24</v>
      </c>
    </row>
    <row r="107" spans="2:8">
      <c r="B107" s="3" t="str">
        <f t="shared" si="3"/>
        <v>frag_4_2_m_walnut</v>
      </c>
      <c r="C107" s="3">
        <f t="shared" si="2"/>
        <v>50</v>
      </c>
      <c r="D107" s="5" t="s">
        <v>67</v>
      </c>
      <c r="E107" s="3" t="s">
        <v>24</v>
      </c>
      <c r="F107" s="3" t="s">
        <v>87</v>
      </c>
      <c r="H107" s="3" t="s">
        <v>33</v>
      </c>
    </row>
    <row r="108" spans="3:5">
      <c r="C108" s="3" t="str">
        <f t="shared" si="2"/>
        <v/>
      </c>
      <c r="D108" s="5"/>
      <c r="E108" s="3" t="s">
        <v>28</v>
      </c>
    </row>
    <row r="109" spans="3:5">
      <c r="C109" s="3" t="str">
        <f t="shared" si="2"/>
        <v/>
      </c>
      <c r="D109" s="5"/>
      <c r="E109" s="3" t="s">
        <v>28</v>
      </c>
    </row>
    <row r="110" spans="2:8">
      <c r="B110" s="3" t="str">
        <f>H110&amp;"_"&amp;F110</f>
        <v>frag_4_3_m_walnut</v>
      </c>
      <c r="C110" s="3">
        <f t="shared" si="2"/>
        <v>50</v>
      </c>
      <c r="D110" s="5" t="s">
        <v>67</v>
      </c>
      <c r="E110" s="3" t="s">
        <v>24</v>
      </c>
      <c r="F110" s="3" t="s">
        <v>87</v>
      </c>
      <c r="H110" s="3" t="s">
        <v>35</v>
      </c>
    </row>
    <row r="111" spans="3:5">
      <c r="C111" s="3" t="str">
        <f t="shared" si="2"/>
        <v/>
      </c>
      <c r="D111" s="5"/>
      <c r="E111" s="3" t="s">
        <v>30</v>
      </c>
    </row>
    <row r="112" spans="3:5">
      <c r="C112" s="3" t="str">
        <f t="shared" si="2"/>
        <v/>
      </c>
      <c r="D112" s="5"/>
      <c r="E112" s="3" t="s">
        <v>30</v>
      </c>
    </row>
    <row r="113" spans="2:8">
      <c r="B113" s="3" t="str">
        <f>H113&amp;"_"&amp;F113</f>
        <v>frag_4_4_m_walnut</v>
      </c>
      <c r="C113" s="3">
        <f t="shared" si="2"/>
        <v>50</v>
      </c>
      <c r="D113" s="5" t="s">
        <v>67</v>
      </c>
      <c r="E113" s="3" t="s">
        <v>30</v>
      </c>
      <c r="F113" s="3" t="s">
        <v>87</v>
      </c>
      <c r="H113" s="3" t="s">
        <v>38</v>
      </c>
    </row>
    <row r="114" spans="3:5">
      <c r="C114" s="3" t="str">
        <f t="shared" si="2"/>
        <v/>
      </c>
      <c r="D114" s="5"/>
      <c r="E114" s="3" t="s">
        <v>24</v>
      </c>
    </row>
    <row r="115" spans="3:5">
      <c r="C115" s="3" t="str">
        <f t="shared" si="2"/>
        <v/>
      </c>
      <c r="D115" s="5"/>
      <c r="E115" s="3" t="s">
        <v>28</v>
      </c>
    </row>
    <row r="116" spans="2:8">
      <c r="B116" s="3" t="str">
        <f>H116&amp;"_"&amp;F116</f>
        <v>frag_4_5_m_walnut</v>
      </c>
      <c r="C116" s="3">
        <f t="shared" si="2"/>
        <v>50</v>
      </c>
      <c r="D116" s="5" t="s">
        <v>67</v>
      </c>
      <c r="E116" s="3" t="s">
        <v>28</v>
      </c>
      <c r="F116" s="3" t="s">
        <v>87</v>
      </c>
      <c r="H116" s="3" t="s">
        <v>42</v>
      </c>
    </row>
    <row r="117" spans="3:5">
      <c r="C117" s="3" t="str">
        <f t="shared" si="2"/>
        <v/>
      </c>
      <c r="D117" s="5"/>
      <c r="E117" s="3" t="s">
        <v>24</v>
      </c>
    </row>
    <row r="118" spans="3:5">
      <c r="C118" s="3" t="str">
        <f t="shared" si="2"/>
        <v/>
      </c>
      <c r="D118" s="5"/>
      <c r="E118" s="3" t="s">
        <v>30</v>
      </c>
    </row>
    <row r="119" spans="2:8">
      <c r="B119" s="3" t="str">
        <f>H119&amp;"_"&amp;F119</f>
        <v>frag_4_6_m_walnut</v>
      </c>
      <c r="C119" s="3">
        <f t="shared" si="2"/>
        <v>50</v>
      </c>
      <c r="D119" s="5" t="s">
        <v>67</v>
      </c>
      <c r="E119" s="3" t="s">
        <v>22</v>
      </c>
      <c r="F119" s="3" t="s">
        <v>87</v>
      </c>
      <c r="H119" s="3" t="s">
        <v>47</v>
      </c>
    </row>
    <row r="120" spans="3:5">
      <c r="C120" s="3" t="str">
        <f t="shared" si="2"/>
        <v/>
      </c>
      <c r="D120" s="5"/>
      <c r="E120" s="3" t="s">
        <v>22</v>
      </c>
    </row>
    <row r="121" spans="3:5">
      <c r="C121" s="3" t="str">
        <f t="shared" si="2"/>
        <v/>
      </c>
      <c r="D121" s="5"/>
      <c r="E121" s="3" t="s">
        <v>22</v>
      </c>
    </row>
    <row r="122" spans="3:5">
      <c r="C122" s="3" t="str">
        <f t="shared" si="2"/>
        <v/>
      </c>
      <c r="D122" s="5"/>
      <c r="E122" s="3" t="s">
        <v>22</v>
      </c>
    </row>
    <row r="123" spans="2:8">
      <c r="B123" s="3" t="str">
        <f t="shared" ref="B123:B127" si="4">H123&amp;"_"&amp;F123</f>
        <v>frag_5_1_m_walnut</v>
      </c>
      <c r="C123" s="3">
        <f t="shared" si="2"/>
        <v>50</v>
      </c>
      <c r="D123" s="4" t="s">
        <v>80</v>
      </c>
      <c r="E123" s="3" t="s">
        <v>19</v>
      </c>
      <c r="F123" s="3" t="s">
        <v>87</v>
      </c>
      <c r="H123" s="3" t="s">
        <v>52</v>
      </c>
    </row>
    <row r="124" spans="3:5">
      <c r="C124" s="3" t="str">
        <f t="shared" si="2"/>
        <v/>
      </c>
      <c r="E124" s="3" t="s">
        <v>55</v>
      </c>
    </row>
    <row r="125" spans="2:8">
      <c r="B125" s="3" t="str">
        <f t="shared" si="4"/>
        <v>frag_5_2_m_walnut</v>
      </c>
      <c r="C125" s="3">
        <f t="shared" si="2"/>
        <v>50</v>
      </c>
      <c r="D125" s="4" t="s">
        <v>80</v>
      </c>
      <c r="E125" s="3" t="s">
        <v>19</v>
      </c>
      <c r="F125" s="3" t="s">
        <v>87</v>
      </c>
      <c r="H125" s="3" t="s">
        <v>58</v>
      </c>
    </row>
    <row r="126" spans="3:5">
      <c r="C126" s="3" t="str">
        <f t="shared" si="2"/>
        <v/>
      </c>
      <c r="E126" s="3" t="s">
        <v>59</v>
      </c>
    </row>
    <row r="127" spans="2:8">
      <c r="B127" s="3" t="str">
        <f t="shared" si="4"/>
        <v>frag_5_3_m_walnut</v>
      </c>
      <c r="C127" s="3">
        <f t="shared" si="2"/>
        <v>50</v>
      </c>
      <c r="D127" s="4" t="s">
        <v>80</v>
      </c>
      <c r="E127" s="3" t="s">
        <v>26</v>
      </c>
      <c r="F127" s="3" t="s">
        <v>87</v>
      </c>
      <c r="H127" s="3" t="s">
        <v>60</v>
      </c>
    </row>
    <row r="128" spans="3:5">
      <c r="C128" s="3" t="str">
        <f t="shared" si="2"/>
        <v/>
      </c>
      <c r="E128" s="3" t="s">
        <v>61</v>
      </c>
    </row>
    <row r="129" spans="2:8">
      <c r="B129" s="3" t="str">
        <f t="shared" ref="B129:B133" si="5">H129&amp;"_"&amp;F129</f>
        <v>frag_5_4_m_walnut</v>
      </c>
      <c r="C129" s="3">
        <f t="shared" si="2"/>
        <v>50</v>
      </c>
      <c r="D129" s="4" t="s">
        <v>80</v>
      </c>
      <c r="E129" s="3" t="s">
        <v>26</v>
      </c>
      <c r="F129" s="3" t="s">
        <v>87</v>
      </c>
      <c r="H129" s="3" t="s">
        <v>62</v>
      </c>
    </row>
    <row r="130" spans="3:5">
      <c r="C130" s="3" t="str">
        <f t="shared" si="2"/>
        <v/>
      </c>
      <c r="E130" s="3" t="s">
        <v>64</v>
      </c>
    </row>
    <row r="131" spans="2:8">
      <c r="B131" s="3" t="str">
        <f t="shared" si="5"/>
        <v>frag_6_1_m_walnut</v>
      </c>
      <c r="C131" s="3">
        <f t="shared" si="2"/>
        <v>50</v>
      </c>
      <c r="D131" s="4" t="s">
        <v>86</v>
      </c>
      <c r="E131" s="3" t="s">
        <v>26</v>
      </c>
      <c r="F131" s="3" t="s">
        <v>87</v>
      </c>
      <c r="H131" s="3" t="s">
        <v>66</v>
      </c>
    </row>
    <row r="132" spans="3:5">
      <c r="C132" s="3" t="str">
        <f t="shared" si="2"/>
        <v/>
      </c>
      <c r="E132" s="3" t="s">
        <v>26</v>
      </c>
    </row>
    <row r="133" spans="2:8">
      <c r="B133" s="3" t="str">
        <f t="shared" si="5"/>
        <v>frag_6_2_m_walnut</v>
      </c>
      <c r="C133" s="3">
        <f t="shared" si="2"/>
        <v>50</v>
      </c>
      <c r="D133" s="4" t="s">
        <v>86</v>
      </c>
      <c r="E133" s="3" t="s">
        <v>26</v>
      </c>
      <c r="F133" s="3" t="s">
        <v>87</v>
      </c>
      <c r="H133" s="3" t="s">
        <v>70</v>
      </c>
    </row>
    <row r="134" spans="3:7">
      <c r="C134" s="3" t="str">
        <f t="shared" si="2"/>
        <v/>
      </c>
      <c r="E134" s="3" t="s">
        <v>64</v>
      </c>
      <c r="G134" s="3" t="str">
        <f>IF(B134="","",B134&amp;"_cherry")</f>
        <v/>
      </c>
    </row>
    <row r="135" spans="3:5">
      <c r="C135" s="3" t="str">
        <f t="shared" si="2"/>
        <v/>
      </c>
      <c r="E135" s="3" t="s">
        <v>72</v>
      </c>
    </row>
    <row r="136" spans="2:8">
      <c r="B136" s="3" t="str">
        <f t="shared" ref="B136:B141" si="6">H136&amp;"_"&amp;F136</f>
        <v>frag_6_3_m_walnut</v>
      </c>
      <c r="C136" s="3">
        <f t="shared" si="2"/>
        <v>50</v>
      </c>
      <c r="D136" s="4" t="s">
        <v>86</v>
      </c>
      <c r="E136" s="3" t="s">
        <v>26</v>
      </c>
      <c r="F136" s="3" t="s">
        <v>87</v>
      </c>
      <c r="H136" s="3" t="s">
        <v>73</v>
      </c>
    </row>
    <row r="137" spans="3:5">
      <c r="C137" s="3" t="str">
        <f t="shared" si="2"/>
        <v/>
      </c>
      <c r="E137" s="3" t="s">
        <v>61</v>
      </c>
    </row>
    <row r="138" spans="3:5">
      <c r="C138" s="3" t="str">
        <f t="shared" si="2"/>
        <v/>
      </c>
      <c r="E138" s="3" t="s">
        <v>77</v>
      </c>
    </row>
    <row r="139" spans="2:8">
      <c r="B139" s="3" t="str">
        <f t="shared" si="6"/>
        <v>frag_8_1_m_walnut</v>
      </c>
      <c r="C139" s="3">
        <f t="shared" si="2"/>
        <v>50</v>
      </c>
      <c r="D139" s="4" t="s">
        <v>86</v>
      </c>
      <c r="E139" s="3" t="s">
        <v>19</v>
      </c>
      <c r="F139" s="3" t="s">
        <v>87</v>
      </c>
      <c r="H139" s="3" t="s">
        <v>79</v>
      </c>
    </row>
    <row r="140" spans="3:5">
      <c r="C140" s="3" t="str">
        <f t="shared" si="2"/>
        <v/>
      </c>
      <c r="E140" s="3" t="s">
        <v>19</v>
      </c>
    </row>
    <row r="141" spans="2:8">
      <c r="B141" s="3" t="str">
        <f t="shared" si="6"/>
        <v>frag_9_1_m_walnut</v>
      </c>
      <c r="C141" s="3">
        <f t="shared" si="2"/>
        <v>50</v>
      </c>
      <c r="D141" s="4" t="s">
        <v>86</v>
      </c>
      <c r="E141" s="3" t="s">
        <v>26</v>
      </c>
      <c r="F141" s="3" t="s">
        <v>87</v>
      </c>
      <c r="H141" s="3" t="s">
        <v>83</v>
      </c>
    </row>
    <row r="142" spans="3:5">
      <c r="C142" s="3" t="str">
        <f t="shared" si="2"/>
        <v/>
      </c>
      <c r="E142" s="3" t="s">
        <v>26</v>
      </c>
    </row>
    <row r="143" spans="4:5">
      <c r="D143" s="5"/>
      <c r="E143" s="3" t="s">
        <v>26</v>
      </c>
    </row>
    <row r="144" spans="2:8">
      <c r="B144" s="3" t="str">
        <f t="shared" ref="B144:B146" si="7">H144&amp;"_"&amp;F144</f>
        <v>frag_2_1_m_marble</v>
      </c>
      <c r="C144" s="3">
        <f t="shared" ref="C144:C187" si="8">IF(B144="","",50)</f>
        <v>50</v>
      </c>
      <c r="D144" s="4" t="s">
        <v>53</v>
      </c>
      <c r="E144" s="3" t="s">
        <v>24</v>
      </c>
      <c r="F144" s="3" t="s">
        <v>88</v>
      </c>
      <c r="H144" s="3" t="s">
        <v>23</v>
      </c>
    </row>
    <row r="145" spans="2:8">
      <c r="B145" s="3" t="str">
        <f t="shared" si="7"/>
        <v>frag_3_1_m_marble</v>
      </c>
      <c r="C145" s="3">
        <f t="shared" si="8"/>
        <v>50</v>
      </c>
      <c r="D145" s="4" t="s">
        <v>53</v>
      </c>
      <c r="E145" s="3" t="s">
        <v>26</v>
      </c>
      <c r="F145" s="3" t="s">
        <v>88</v>
      </c>
      <c r="H145" s="3" t="s">
        <v>25</v>
      </c>
    </row>
    <row r="146" spans="2:8">
      <c r="B146" s="3" t="str">
        <f t="shared" si="7"/>
        <v>frag_3_2_m_marble</v>
      </c>
      <c r="C146" s="3">
        <f t="shared" si="8"/>
        <v>50</v>
      </c>
      <c r="D146" s="4" t="s">
        <v>53</v>
      </c>
      <c r="E146" s="3" t="s">
        <v>24</v>
      </c>
      <c r="F146" s="3" t="s">
        <v>88</v>
      </c>
      <c r="H146" s="3" t="s">
        <v>27</v>
      </c>
    </row>
    <row r="147" spans="3:5">
      <c r="C147" s="3" t="str">
        <f t="shared" si="8"/>
        <v/>
      </c>
      <c r="E147" s="3" t="s">
        <v>28</v>
      </c>
    </row>
    <row r="148" spans="2:8">
      <c r="B148" s="3" t="str">
        <f t="shared" ref="B148:B152" si="9">H148&amp;"_"&amp;F148</f>
        <v>frag_3_3_m_marble</v>
      </c>
      <c r="C148" s="3">
        <f t="shared" si="8"/>
        <v>50</v>
      </c>
      <c r="D148" s="4" t="s">
        <v>53</v>
      </c>
      <c r="E148" s="3" t="s">
        <v>24</v>
      </c>
      <c r="F148" s="3" t="s">
        <v>88</v>
      </c>
      <c r="H148" s="3" t="s">
        <v>29</v>
      </c>
    </row>
    <row r="149" spans="3:5">
      <c r="C149" s="3" t="str">
        <f t="shared" si="8"/>
        <v/>
      </c>
      <c r="E149" s="3" t="s">
        <v>30</v>
      </c>
    </row>
    <row r="150" spans="2:8">
      <c r="B150" s="3" t="str">
        <f t="shared" si="9"/>
        <v>frag_4_1_m_marble</v>
      </c>
      <c r="C150" s="3">
        <f t="shared" si="8"/>
        <v>50</v>
      </c>
      <c r="D150" s="5" t="s">
        <v>67</v>
      </c>
      <c r="E150" s="3" t="s">
        <v>24</v>
      </c>
      <c r="F150" s="3" t="s">
        <v>88</v>
      </c>
      <c r="H150" s="3" t="s">
        <v>31</v>
      </c>
    </row>
    <row r="151" spans="3:5">
      <c r="C151" s="3" t="str">
        <f t="shared" si="8"/>
        <v/>
      </c>
      <c r="D151" s="5"/>
      <c r="E151" s="3" t="s">
        <v>24</v>
      </c>
    </row>
    <row r="152" spans="2:8">
      <c r="B152" s="3" t="str">
        <f t="shared" si="9"/>
        <v>frag_4_2_m_marble</v>
      </c>
      <c r="C152" s="3">
        <f t="shared" si="8"/>
        <v>50</v>
      </c>
      <c r="D152" s="5" t="s">
        <v>67</v>
      </c>
      <c r="E152" s="3" t="s">
        <v>24</v>
      </c>
      <c r="F152" s="3" t="s">
        <v>88</v>
      </c>
      <c r="H152" s="3" t="s">
        <v>33</v>
      </c>
    </row>
    <row r="153" spans="3:5">
      <c r="C153" s="3" t="str">
        <f t="shared" si="8"/>
        <v/>
      </c>
      <c r="D153" s="5"/>
      <c r="E153" s="3" t="s">
        <v>28</v>
      </c>
    </row>
    <row r="154" spans="3:5">
      <c r="C154" s="3" t="str">
        <f t="shared" si="8"/>
        <v/>
      </c>
      <c r="D154" s="5"/>
      <c r="E154" s="3" t="s">
        <v>28</v>
      </c>
    </row>
    <row r="155" spans="2:8">
      <c r="B155" s="3" t="str">
        <f>H155&amp;"_"&amp;F155</f>
        <v>frag_4_3_m_marble</v>
      </c>
      <c r="C155" s="3">
        <f t="shared" si="8"/>
        <v>50</v>
      </c>
      <c r="D155" s="5" t="s">
        <v>67</v>
      </c>
      <c r="E155" s="3" t="s">
        <v>24</v>
      </c>
      <c r="F155" s="3" t="s">
        <v>88</v>
      </c>
      <c r="H155" s="3" t="s">
        <v>35</v>
      </c>
    </row>
    <row r="156" spans="3:5">
      <c r="C156" s="3" t="str">
        <f t="shared" si="8"/>
        <v/>
      </c>
      <c r="D156" s="5"/>
      <c r="E156" s="3" t="s">
        <v>30</v>
      </c>
    </row>
    <row r="157" spans="3:5">
      <c r="C157" s="3" t="str">
        <f t="shared" si="8"/>
        <v/>
      </c>
      <c r="D157" s="5"/>
      <c r="E157" s="3" t="s">
        <v>30</v>
      </c>
    </row>
    <row r="158" spans="2:8">
      <c r="B158" s="3" t="str">
        <f>H158&amp;"_"&amp;F158</f>
        <v>frag_4_4_m_marble</v>
      </c>
      <c r="C158" s="3">
        <f t="shared" si="8"/>
        <v>50</v>
      </c>
      <c r="D158" s="5" t="s">
        <v>67</v>
      </c>
      <c r="E158" s="3" t="s">
        <v>30</v>
      </c>
      <c r="F158" s="3" t="s">
        <v>88</v>
      </c>
      <c r="H158" s="3" t="s">
        <v>38</v>
      </c>
    </row>
    <row r="159" spans="3:5">
      <c r="C159" s="3" t="str">
        <f t="shared" si="8"/>
        <v/>
      </c>
      <c r="D159" s="5"/>
      <c r="E159" s="3" t="s">
        <v>24</v>
      </c>
    </row>
    <row r="160" spans="3:5">
      <c r="C160" s="3" t="str">
        <f t="shared" si="8"/>
        <v/>
      </c>
      <c r="D160" s="5"/>
      <c r="E160" s="3" t="s">
        <v>28</v>
      </c>
    </row>
    <row r="161" spans="2:8">
      <c r="B161" s="3" t="str">
        <f>H161&amp;"_"&amp;F161</f>
        <v>frag_4_5_m_marble</v>
      </c>
      <c r="C161" s="3">
        <f t="shared" si="8"/>
        <v>50</v>
      </c>
      <c r="D161" s="5" t="s">
        <v>67</v>
      </c>
      <c r="E161" s="3" t="s">
        <v>28</v>
      </c>
      <c r="F161" s="3" t="s">
        <v>88</v>
      </c>
      <c r="H161" s="3" t="s">
        <v>42</v>
      </c>
    </row>
    <row r="162" spans="3:5">
      <c r="C162" s="3" t="str">
        <f t="shared" si="8"/>
        <v/>
      </c>
      <c r="D162" s="5"/>
      <c r="E162" s="3" t="s">
        <v>24</v>
      </c>
    </row>
    <row r="163" spans="3:5">
      <c r="C163" s="3" t="str">
        <f t="shared" si="8"/>
        <v/>
      </c>
      <c r="D163" s="5"/>
      <c r="E163" s="3" t="s">
        <v>30</v>
      </c>
    </row>
    <row r="164" spans="2:8">
      <c r="B164" s="3" t="str">
        <f>H164&amp;"_"&amp;F164</f>
        <v>frag_4_6_m_marble</v>
      </c>
      <c r="C164" s="3">
        <f t="shared" si="8"/>
        <v>50</v>
      </c>
      <c r="D164" s="5" t="s">
        <v>67</v>
      </c>
      <c r="E164" s="3" t="s">
        <v>22</v>
      </c>
      <c r="F164" s="3" t="s">
        <v>88</v>
      </c>
      <c r="H164" s="3" t="s">
        <v>47</v>
      </c>
    </row>
    <row r="165" spans="3:5">
      <c r="C165" s="3" t="str">
        <f t="shared" si="8"/>
        <v/>
      </c>
      <c r="D165" s="5"/>
      <c r="E165" s="3" t="s">
        <v>22</v>
      </c>
    </row>
    <row r="166" spans="3:5">
      <c r="C166" s="3" t="str">
        <f t="shared" si="8"/>
        <v/>
      </c>
      <c r="D166" s="5"/>
      <c r="E166" s="3" t="s">
        <v>22</v>
      </c>
    </row>
    <row r="167" spans="3:5">
      <c r="C167" s="3" t="str">
        <f t="shared" si="8"/>
        <v/>
      </c>
      <c r="D167" s="5"/>
      <c r="E167" s="3" t="s">
        <v>22</v>
      </c>
    </row>
    <row r="168" spans="2:8">
      <c r="B168" s="3" t="str">
        <f t="shared" ref="B168:B172" si="10">H168&amp;"_"&amp;F168</f>
        <v>frag_5_1_m_marble</v>
      </c>
      <c r="C168" s="3">
        <f t="shared" si="8"/>
        <v>50</v>
      </c>
      <c r="D168" s="4" t="s">
        <v>80</v>
      </c>
      <c r="E168" s="3" t="s">
        <v>19</v>
      </c>
      <c r="F168" s="3" t="s">
        <v>88</v>
      </c>
      <c r="H168" s="3" t="s">
        <v>52</v>
      </c>
    </row>
    <row r="169" spans="3:5">
      <c r="C169" s="3" t="str">
        <f t="shared" si="8"/>
        <v/>
      </c>
      <c r="E169" s="3" t="s">
        <v>55</v>
      </c>
    </row>
    <row r="170" spans="2:8">
      <c r="B170" s="3" t="str">
        <f t="shared" si="10"/>
        <v>frag_5_2_m_marble</v>
      </c>
      <c r="C170" s="3">
        <f t="shared" si="8"/>
        <v>50</v>
      </c>
      <c r="D170" s="4" t="s">
        <v>80</v>
      </c>
      <c r="E170" s="3" t="s">
        <v>19</v>
      </c>
      <c r="F170" s="3" t="s">
        <v>88</v>
      </c>
      <c r="H170" s="3" t="s">
        <v>58</v>
      </c>
    </row>
    <row r="171" spans="3:5">
      <c r="C171" s="3" t="str">
        <f t="shared" si="8"/>
        <v/>
      </c>
      <c r="E171" s="3" t="s">
        <v>59</v>
      </c>
    </row>
    <row r="172" spans="2:8">
      <c r="B172" s="3" t="str">
        <f t="shared" si="10"/>
        <v>frag_5_3_m_marble</v>
      </c>
      <c r="C172" s="3">
        <f t="shared" si="8"/>
        <v>50</v>
      </c>
      <c r="D172" s="4" t="s">
        <v>80</v>
      </c>
      <c r="E172" s="3" t="s">
        <v>26</v>
      </c>
      <c r="F172" s="3" t="s">
        <v>88</v>
      </c>
      <c r="H172" s="3" t="s">
        <v>60</v>
      </c>
    </row>
    <row r="173" spans="3:5">
      <c r="C173" s="3" t="str">
        <f t="shared" si="8"/>
        <v/>
      </c>
      <c r="E173" s="3" t="s">
        <v>61</v>
      </c>
    </row>
    <row r="174" spans="2:8">
      <c r="B174" s="3" t="str">
        <f t="shared" ref="B174:B178" si="11">H174&amp;"_"&amp;F174</f>
        <v>frag_5_4_m_marble</v>
      </c>
      <c r="C174" s="3">
        <f t="shared" si="8"/>
        <v>50</v>
      </c>
      <c r="D174" s="4" t="s">
        <v>80</v>
      </c>
      <c r="E174" s="3" t="s">
        <v>26</v>
      </c>
      <c r="F174" s="3" t="s">
        <v>88</v>
      </c>
      <c r="H174" s="3" t="s">
        <v>62</v>
      </c>
    </row>
    <row r="175" spans="3:5">
      <c r="C175" s="3" t="str">
        <f t="shared" si="8"/>
        <v/>
      </c>
      <c r="E175" s="3" t="s">
        <v>64</v>
      </c>
    </row>
    <row r="176" spans="2:8">
      <c r="B176" s="3" t="str">
        <f t="shared" si="11"/>
        <v>frag_6_1_m_marble</v>
      </c>
      <c r="C176" s="3">
        <f t="shared" si="8"/>
        <v>50</v>
      </c>
      <c r="D176" s="4" t="s">
        <v>86</v>
      </c>
      <c r="E176" s="3" t="s">
        <v>26</v>
      </c>
      <c r="F176" s="3" t="s">
        <v>88</v>
      </c>
      <c r="H176" s="3" t="s">
        <v>66</v>
      </c>
    </row>
    <row r="177" spans="3:5">
      <c r="C177" s="3" t="str">
        <f t="shared" si="8"/>
        <v/>
      </c>
      <c r="E177" s="3" t="s">
        <v>26</v>
      </c>
    </row>
    <row r="178" spans="2:8">
      <c r="B178" s="3" t="str">
        <f t="shared" si="11"/>
        <v>frag_6_2_m_marble</v>
      </c>
      <c r="C178" s="3">
        <f t="shared" si="8"/>
        <v>50</v>
      </c>
      <c r="D178" s="4" t="s">
        <v>86</v>
      </c>
      <c r="E178" s="3" t="s">
        <v>26</v>
      </c>
      <c r="F178" s="3" t="s">
        <v>88</v>
      </c>
      <c r="H178" s="3" t="s">
        <v>70</v>
      </c>
    </row>
    <row r="179" spans="3:7">
      <c r="C179" s="3" t="str">
        <f t="shared" si="8"/>
        <v/>
      </c>
      <c r="E179" s="3" t="s">
        <v>64</v>
      </c>
      <c r="G179" s="3" t="str">
        <f>IF(B179="","",B179&amp;"_cherry")</f>
        <v/>
      </c>
    </row>
    <row r="180" spans="3:5">
      <c r="C180" s="3" t="str">
        <f t="shared" si="8"/>
        <v/>
      </c>
      <c r="E180" s="3" t="s">
        <v>72</v>
      </c>
    </row>
    <row r="181" spans="2:8">
      <c r="B181" s="3" t="str">
        <f t="shared" ref="B181:B186" si="12">H181&amp;"_"&amp;F181</f>
        <v>frag_6_3_m_marble</v>
      </c>
      <c r="C181" s="3">
        <f t="shared" si="8"/>
        <v>50</v>
      </c>
      <c r="D181" s="4" t="s">
        <v>86</v>
      </c>
      <c r="E181" s="3" t="s">
        <v>26</v>
      </c>
      <c r="F181" s="3" t="s">
        <v>88</v>
      </c>
      <c r="H181" s="3" t="s">
        <v>73</v>
      </c>
    </row>
    <row r="182" spans="3:5">
      <c r="C182" s="3" t="str">
        <f t="shared" si="8"/>
        <v/>
      </c>
      <c r="E182" s="3" t="s">
        <v>61</v>
      </c>
    </row>
    <row r="183" spans="3:5">
      <c r="C183" s="3" t="str">
        <f t="shared" si="8"/>
        <v/>
      </c>
      <c r="E183" s="3" t="s">
        <v>77</v>
      </c>
    </row>
    <row r="184" spans="2:8">
      <c r="B184" s="3" t="str">
        <f t="shared" si="12"/>
        <v>frag_8_1_m_marble</v>
      </c>
      <c r="C184" s="3">
        <f t="shared" si="8"/>
        <v>50</v>
      </c>
      <c r="D184" s="4" t="s">
        <v>86</v>
      </c>
      <c r="E184" s="3" t="s">
        <v>19</v>
      </c>
      <c r="F184" s="3" t="s">
        <v>88</v>
      </c>
      <c r="H184" s="3" t="s">
        <v>79</v>
      </c>
    </row>
    <row r="185" spans="3:5">
      <c r="C185" s="3" t="str">
        <f t="shared" si="8"/>
        <v/>
      </c>
      <c r="E185" s="3" t="s">
        <v>19</v>
      </c>
    </row>
    <row r="186" spans="2:8">
      <c r="B186" s="3" t="str">
        <f t="shared" si="12"/>
        <v>frag_9_1_m_marble</v>
      </c>
      <c r="C186" s="3">
        <f t="shared" si="8"/>
        <v>50</v>
      </c>
      <c r="D186" s="4" t="s">
        <v>86</v>
      </c>
      <c r="E186" s="3" t="s">
        <v>26</v>
      </c>
      <c r="F186" s="3" t="s">
        <v>88</v>
      </c>
      <c r="H186" s="3" t="s">
        <v>83</v>
      </c>
    </row>
    <row r="187" spans="3:5">
      <c r="C187" s="3" t="str">
        <f t="shared" si="8"/>
        <v/>
      </c>
      <c r="E187" s="3" t="s">
        <v>26</v>
      </c>
    </row>
    <row r="188" spans="4:5">
      <c r="D188" s="5"/>
      <c r="E188" s="3" t="s">
        <v>26</v>
      </c>
    </row>
    <row r="189" spans="2:8">
      <c r="B189" s="3" t="str">
        <f t="shared" ref="B189:B191" si="13">H189&amp;"_"&amp;F189</f>
        <v>frag_2_1_m_obsidian</v>
      </c>
      <c r="C189" s="3">
        <f t="shared" ref="C189:C232" si="14">IF(B189="","",50)</f>
        <v>50</v>
      </c>
      <c r="D189" s="4" t="s">
        <v>53</v>
      </c>
      <c r="E189" s="3" t="s">
        <v>24</v>
      </c>
      <c r="F189" s="3" t="s">
        <v>89</v>
      </c>
      <c r="H189" s="3" t="s">
        <v>23</v>
      </c>
    </row>
    <row r="190" spans="2:8">
      <c r="B190" s="3" t="str">
        <f t="shared" si="13"/>
        <v>frag_3_1_m_obsidian</v>
      </c>
      <c r="C190" s="3">
        <f t="shared" si="14"/>
        <v>50</v>
      </c>
      <c r="D190" s="4" t="s">
        <v>53</v>
      </c>
      <c r="E190" s="3" t="s">
        <v>26</v>
      </c>
      <c r="F190" s="3" t="s">
        <v>89</v>
      </c>
      <c r="H190" s="3" t="s">
        <v>25</v>
      </c>
    </row>
    <row r="191" spans="2:8">
      <c r="B191" s="3" t="str">
        <f t="shared" si="13"/>
        <v>frag_3_2_m_obsidian</v>
      </c>
      <c r="C191" s="3">
        <f t="shared" si="14"/>
        <v>50</v>
      </c>
      <c r="D191" s="4" t="s">
        <v>53</v>
      </c>
      <c r="E191" s="3" t="s">
        <v>24</v>
      </c>
      <c r="F191" s="3" t="s">
        <v>89</v>
      </c>
      <c r="H191" s="3" t="s">
        <v>27</v>
      </c>
    </row>
    <row r="192" spans="3:5">
      <c r="C192" s="3" t="str">
        <f t="shared" si="14"/>
        <v/>
      </c>
      <c r="E192" s="3" t="s">
        <v>28</v>
      </c>
    </row>
    <row r="193" spans="2:8">
      <c r="B193" s="3" t="str">
        <f t="shared" ref="B193:B197" si="15">H193&amp;"_"&amp;F193</f>
        <v>frag_3_3_m_obsidian</v>
      </c>
      <c r="C193" s="3">
        <f t="shared" si="14"/>
        <v>50</v>
      </c>
      <c r="D193" s="4" t="s">
        <v>53</v>
      </c>
      <c r="E193" s="3" t="s">
        <v>24</v>
      </c>
      <c r="F193" s="3" t="s">
        <v>89</v>
      </c>
      <c r="H193" s="3" t="s">
        <v>29</v>
      </c>
    </row>
    <row r="194" spans="3:5">
      <c r="C194" s="3" t="str">
        <f t="shared" si="14"/>
        <v/>
      </c>
      <c r="E194" s="3" t="s">
        <v>30</v>
      </c>
    </row>
    <row r="195" spans="2:8">
      <c r="B195" s="3" t="str">
        <f t="shared" si="15"/>
        <v>frag_4_1_m_obsidian</v>
      </c>
      <c r="C195" s="3">
        <f t="shared" si="14"/>
        <v>50</v>
      </c>
      <c r="D195" s="5" t="s">
        <v>67</v>
      </c>
      <c r="E195" s="3" t="s">
        <v>24</v>
      </c>
      <c r="F195" s="3" t="s">
        <v>89</v>
      </c>
      <c r="H195" s="3" t="s">
        <v>31</v>
      </c>
    </row>
    <row r="196" spans="3:5">
      <c r="C196" s="3" t="str">
        <f t="shared" si="14"/>
        <v/>
      </c>
      <c r="D196" s="5"/>
      <c r="E196" s="3" t="s">
        <v>24</v>
      </c>
    </row>
    <row r="197" spans="2:8">
      <c r="B197" s="3" t="str">
        <f t="shared" si="15"/>
        <v>frag_4_2_m_obsidian</v>
      </c>
      <c r="C197" s="3">
        <f t="shared" si="14"/>
        <v>50</v>
      </c>
      <c r="D197" s="5" t="s">
        <v>67</v>
      </c>
      <c r="E197" s="3" t="s">
        <v>24</v>
      </c>
      <c r="F197" s="3" t="s">
        <v>89</v>
      </c>
      <c r="H197" s="3" t="s">
        <v>33</v>
      </c>
    </row>
    <row r="198" spans="3:5">
      <c r="C198" s="3" t="str">
        <f t="shared" si="14"/>
        <v/>
      </c>
      <c r="D198" s="5"/>
      <c r="E198" s="3" t="s">
        <v>28</v>
      </c>
    </row>
    <row r="199" spans="3:5">
      <c r="C199" s="3" t="str">
        <f t="shared" si="14"/>
        <v/>
      </c>
      <c r="D199" s="5"/>
      <c r="E199" s="3" t="s">
        <v>28</v>
      </c>
    </row>
    <row r="200" spans="2:8">
      <c r="B200" s="3" t="str">
        <f>H200&amp;"_"&amp;F200</f>
        <v>frag_4_3_m_obsidian</v>
      </c>
      <c r="C200" s="3">
        <f t="shared" si="14"/>
        <v>50</v>
      </c>
      <c r="D200" s="5" t="s">
        <v>67</v>
      </c>
      <c r="E200" s="3" t="s">
        <v>24</v>
      </c>
      <c r="F200" s="3" t="s">
        <v>89</v>
      </c>
      <c r="H200" s="3" t="s">
        <v>35</v>
      </c>
    </row>
    <row r="201" spans="3:5">
      <c r="C201" s="3" t="str">
        <f t="shared" si="14"/>
        <v/>
      </c>
      <c r="D201" s="5"/>
      <c r="E201" s="3" t="s">
        <v>30</v>
      </c>
    </row>
    <row r="202" spans="3:5">
      <c r="C202" s="3" t="str">
        <f t="shared" si="14"/>
        <v/>
      </c>
      <c r="D202" s="5"/>
      <c r="E202" s="3" t="s">
        <v>30</v>
      </c>
    </row>
    <row r="203" spans="2:8">
      <c r="B203" s="3" t="str">
        <f>H203&amp;"_"&amp;F203</f>
        <v>frag_4_4_m_obsidian</v>
      </c>
      <c r="C203" s="3">
        <f t="shared" si="14"/>
        <v>50</v>
      </c>
      <c r="D203" s="5" t="s">
        <v>67</v>
      </c>
      <c r="E203" s="3" t="s">
        <v>30</v>
      </c>
      <c r="F203" s="3" t="s">
        <v>89</v>
      </c>
      <c r="H203" s="3" t="s">
        <v>38</v>
      </c>
    </row>
    <row r="204" spans="3:5">
      <c r="C204" s="3" t="str">
        <f t="shared" si="14"/>
        <v/>
      </c>
      <c r="D204" s="5"/>
      <c r="E204" s="3" t="s">
        <v>24</v>
      </c>
    </row>
    <row r="205" spans="3:5">
      <c r="C205" s="3" t="str">
        <f t="shared" si="14"/>
        <v/>
      </c>
      <c r="D205" s="5"/>
      <c r="E205" s="3" t="s">
        <v>28</v>
      </c>
    </row>
    <row r="206" spans="2:8">
      <c r="B206" s="3" t="str">
        <f>H206&amp;"_"&amp;F206</f>
        <v>frag_4_5_m_obsidian</v>
      </c>
      <c r="C206" s="3">
        <f t="shared" si="14"/>
        <v>50</v>
      </c>
      <c r="D206" s="5" t="s">
        <v>67</v>
      </c>
      <c r="E206" s="3" t="s">
        <v>28</v>
      </c>
      <c r="F206" s="3" t="s">
        <v>89</v>
      </c>
      <c r="H206" s="3" t="s">
        <v>42</v>
      </c>
    </row>
    <row r="207" spans="3:5">
      <c r="C207" s="3" t="str">
        <f t="shared" si="14"/>
        <v/>
      </c>
      <c r="D207" s="5"/>
      <c r="E207" s="3" t="s">
        <v>24</v>
      </c>
    </row>
    <row r="208" spans="3:5">
      <c r="C208" s="3" t="str">
        <f t="shared" si="14"/>
        <v/>
      </c>
      <c r="D208" s="5"/>
      <c r="E208" s="3" t="s">
        <v>30</v>
      </c>
    </row>
    <row r="209" spans="2:8">
      <c r="B209" s="3" t="str">
        <f>H209&amp;"_"&amp;F209</f>
        <v>frag_4_6_m_obsidian</v>
      </c>
      <c r="C209" s="3">
        <f t="shared" si="14"/>
        <v>50</v>
      </c>
      <c r="D209" s="5" t="s">
        <v>67</v>
      </c>
      <c r="E209" s="3" t="s">
        <v>22</v>
      </c>
      <c r="F209" s="3" t="s">
        <v>89</v>
      </c>
      <c r="H209" s="3" t="s">
        <v>47</v>
      </c>
    </row>
    <row r="210" spans="3:5">
      <c r="C210" s="3" t="str">
        <f t="shared" si="14"/>
        <v/>
      </c>
      <c r="D210" s="5"/>
      <c r="E210" s="3" t="s">
        <v>22</v>
      </c>
    </row>
    <row r="211" spans="3:5">
      <c r="C211" s="3" t="str">
        <f t="shared" si="14"/>
        <v/>
      </c>
      <c r="D211" s="5"/>
      <c r="E211" s="3" t="s">
        <v>22</v>
      </c>
    </row>
    <row r="212" spans="3:5">
      <c r="C212" s="3" t="str">
        <f t="shared" si="14"/>
        <v/>
      </c>
      <c r="D212" s="5"/>
      <c r="E212" s="3" t="s">
        <v>22</v>
      </c>
    </row>
    <row r="213" spans="2:8">
      <c r="B213" s="3" t="str">
        <f t="shared" ref="B213:B217" si="16">H213&amp;"_"&amp;F213</f>
        <v>frag_5_1_m_obsidian</v>
      </c>
      <c r="C213" s="3">
        <f t="shared" si="14"/>
        <v>50</v>
      </c>
      <c r="D213" s="4" t="s">
        <v>80</v>
      </c>
      <c r="E213" s="3" t="s">
        <v>19</v>
      </c>
      <c r="F213" s="3" t="s">
        <v>89</v>
      </c>
      <c r="H213" s="3" t="s">
        <v>52</v>
      </c>
    </row>
    <row r="214" spans="3:5">
      <c r="C214" s="3" t="str">
        <f t="shared" si="14"/>
        <v/>
      </c>
      <c r="E214" s="3" t="s">
        <v>55</v>
      </c>
    </row>
    <row r="215" spans="2:8">
      <c r="B215" s="3" t="str">
        <f t="shared" si="16"/>
        <v>frag_5_2_m_obsidian</v>
      </c>
      <c r="C215" s="3">
        <f t="shared" si="14"/>
        <v>50</v>
      </c>
      <c r="D215" s="4" t="s">
        <v>80</v>
      </c>
      <c r="E215" s="3" t="s">
        <v>19</v>
      </c>
      <c r="F215" s="3" t="s">
        <v>89</v>
      </c>
      <c r="H215" s="3" t="s">
        <v>58</v>
      </c>
    </row>
    <row r="216" spans="3:5">
      <c r="C216" s="3" t="str">
        <f t="shared" si="14"/>
        <v/>
      </c>
      <c r="E216" s="3" t="s">
        <v>59</v>
      </c>
    </row>
    <row r="217" spans="2:8">
      <c r="B217" s="3" t="str">
        <f t="shared" si="16"/>
        <v>frag_5_3_m_obsidian</v>
      </c>
      <c r="C217" s="3">
        <f t="shared" si="14"/>
        <v>50</v>
      </c>
      <c r="D217" s="4" t="s">
        <v>80</v>
      </c>
      <c r="E217" s="3" t="s">
        <v>26</v>
      </c>
      <c r="F217" s="3" t="s">
        <v>89</v>
      </c>
      <c r="H217" s="3" t="s">
        <v>60</v>
      </c>
    </row>
    <row r="218" spans="3:5">
      <c r="C218" s="3" t="str">
        <f t="shared" si="14"/>
        <v/>
      </c>
      <c r="E218" s="3" t="s">
        <v>61</v>
      </c>
    </row>
    <row r="219" spans="2:8">
      <c r="B219" s="3" t="str">
        <f t="shared" ref="B219:B223" si="17">H219&amp;"_"&amp;F219</f>
        <v>frag_5_4_m_obsidian</v>
      </c>
      <c r="C219" s="3">
        <f t="shared" si="14"/>
        <v>50</v>
      </c>
      <c r="D219" s="4" t="s">
        <v>80</v>
      </c>
      <c r="E219" s="3" t="s">
        <v>26</v>
      </c>
      <c r="F219" s="3" t="s">
        <v>89</v>
      </c>
      <c r="H219" s="3" t="s">
        <v>62</v>
      </c>
    </row>
    <row r="220" spans="3:5">
      <c r="C220" s="3" t="str">
        <f t="shared" si="14"/>
        <v/>
      </c>
      <c r="E220" s="3" t="s">
        <v>64</v>
      </c>
    </row>
    <row r="221" spans="2:8">
      <c r="B221" s="3" t="str">
        <f t="shared" si="17"/>
        <v>frag_6_1_m_obsidian</v>
      </c>
      <c r="C221" s="3">
        <f t="shared" si="14"/>
        <v>50</v>
      </c>
      <c r="D221" s="4" t="s">
        <v>86</v>
      </c>
      <c r="E221" s="3" t="s">
        <v>26</v>
      </c>
      <c r="F221" s="3" t="s">
        <v>89</v>
      </c>
      <c r="H221" s="3" t="s">
        <v>66</v>
      </c>
    </row>
    <row r="222" spans="3:5">
      <c r="C222" s="3" t="str">
        <f t="shared" si="14"/>
        <v/>
      </c>
      <c r="E222" s="3" t="s">
        <v>26</v>
      </c>
    </row>
    <row r="223" spans="2:8">
      <c r="B223" s="3" t="str">
        <f t="shared" si="17"/>
        <v>frag_6_2_m_obsidian</v>
      </c>
      <c r="C223" s="3">
        <f t="shared" si="14"/>
        <v>50</v>
      </c>
      <c r="D223" s="4" t="s">
        <v>86</v>
      </c>
      <c r="E223" s="3" t="s">
        <v>26</v>
      </c>
      <c r="F223" s="3" t="s">
        <v>89</v>
      </c>
      <c r="H223" s="3" t="s">
        <v>70</v>
      </c>
    </row>
    <row r="224" spans="3:7">
      <c r="C224" s="3" t="str">
        <f t="shared" si="14"/>
        <v/>
      </c>
      <c r="E224" s="3" t="s">
        <v>64</v>
      </c>
      <c r="G224" s="3" t="str">
        <f>IF(B224="","",B224&amp;"_cherry")</f>
        <v/>
      </c>
    </row>
    <row r="225" spans="3:5">
      <c r="C225" s="3" t="str">
        <f t="shared" si="14"/>
        <v/>
      </c>
      <c r="E225" s="3" t="s">
        <v>72</v>
      </c>
    </row>
    <row r="226" spans="2:8">
      <c r="B226" s="3" t="str">
        <f t="shared" ref="B226:B231" si="18">H226&amp;"_"&amp;F226</f>
        <v>frag_6_3_m_obsidian</v>
      </c>
      <c r="C226" s="3">
        <f t="shared" si="14"/>
        <v>50</v>
      </c>
      <c r="D226" s="4" t="s">
        <v>86</v>
      </c>
      <c r="E226" s="3" t="s">
        <v>26</v>
      </c>
      <c r="F226" s="3" t="s">
        <v>89</v>
      </c>
      <c r="H226" s="3" t="s">
        <v>73</v>
      </c>
    </row>
    <row r="227" spans="3:5">
      <c r="C227" s="3" t="str">
        <f t="shared" si="14"/>
        <v/>
      </c>
      <c r="E227" s="3" t="s">
        <v>61</v>
      </c>
    </row>
    <row r="228" spans="3:5">
      <c r="C228" s="3" t="str">
        <f t="shared" si="14"/>
        <v/>
      </c>
      <c r="E228" s="3" t="s">
        <v>77</v>
      </c>
    </row>
    <row r="229" spans="2:8">
      <c r="B229" s="3" t="str">
        <f t="shared" si="18"/>
        <v>frag_8_1_m_obsidian</v>
      </c>
      <c r="C229" s="3">
        <f t="shared" si="14"/>
        <v>50</v>
      </c>
      <c r="D229" s="4" t="s">
        <v>86</v>
      </c>
      <c r="E229" s="3" t="s">
        <v>19</v>
      </c>
      <c r="F229" s="3" t="s">
        <v>89</v>
      </c>
      <c r="H229" s="3" t="s">
        <v>79</v>
      </c>
    </row>
    <row r="230" spans="3:5">
      <c r="C230" s="3" t="str">
        <f t="shared" si="14"/>
        <v/>
      </c>
      <c r="E230" s="3" t="s">
        <v>19</v>
      </c>
    </row>
    <row r="231" spans="2:8">
      <c r="B231" s="3" t="str">
        <f t="shared" si="18"/>
        <v>frag_9_1_m_obsidian</v>
      </c>
      <c r="C231" s="3">
        <f t="shared" si="14"/>
        <v>50</v>
      </c>
      <c r="D231" s="4" t="s">
        <v>86</v>
      </c>
      <c r="E231" s="3" t="s">
        <v>26</v>
      </c>
      <c r="F231" s="3" t="s">
        <v>89</v>
      </c>
      <c r="H231" s="3" t="s">
        <v>83</v>
      </c>
    </row>
    <row r="232" spans="3:5">
      <c r="C232" s="3" t="str">
        <f t="shared" si="14"/>
        <v/>
      </c>
      <c r="E232" s="3" t="s">
        <v>26</v>
      </c>
    </row>
    <row r="233" spans="4:5">
      <c r="D233" s="5"/>
      <c r="E233" s="3" t="s">
        <v>26</v>
      </c>
    </row>
    <row r="234" spans="2:8">
      <c r="B234" s="3" t="str">
        <f t="shared" ref="B234:B236" si="19">H234&amp;"_"&amp;F234</f>
        <v>frag_2_1_m_emerald</v>
      </c>
      <c r="C234" s="3">
        <f t="shared" ref="C234:C277" si="20">IF(B234="","",50)</f>
        <v>50</v>
      </c>
      <c r="D234" s="4" t="s">
        <v>53</v>
      </c>
      <c r="E234" s="3" t="s">
        <v>24</v>
      </c>
      <c r="F234" s="3" t="s">
        <v>90</v>
      </c>
      <c r="H234" s="3" t="s">
        <v>23</v>
      </c>
    </row>
    <row r="235" spans="2:8">
      <c r="B235" s="3" t="str">
        <f t="shared" si="19"/>
        <v>frag_3_1_m_emerald</v>
      </c>
      <c r="C235" s="3">
        <f t="shared" si="20"/>
        <v>50</v>
      </c>
      <c r="D235" s="4" t="s">
        <v>53</v>
      </c>
      <c r="E235" s="3" t="s">
        <v>26</v>
      </c>
      <c r="F235" s="3" t="s">
        <v>90</v>
      </c>
      <c r="H235" s="3" t="s">
        <v>25</v>
      </c>
    </row>
    <row r="236" spans="2:8">
      <c r="B236" s="3" t="str">
        <f t="shared" si="19"/>
        <v>frag_3_2_m_emerald</v>
      </c>
      <c r="C236" s="3">
        <f t="shared" si="20"/>
        <v>50</v>
      </c>
      <c r="D236" s="4" t="s">
        <v>53</v>
      </c>
      <c r="E236" s="3" t="s">
        <v>24</v>
      </c>
      <c r="F236" s="3" t="s">
        <v>90</v>
      </c>
      <c r="H236" s="3" t="s">
        <v>27</v>
      </c>
    </row>
    <row r="237" spans="3:5">
      <c r="C237" s="3" t="str">
        <f t="shared" si="20"/>
        <v/>
      </c>
      <c r="E237" s="3" t="s">
        <v>28</v>
      </c>
    </row>
    <row r="238" spans="2:8">
      <c r="B238" s="3" t="str">
        <f t="shared" ref="B238:B242" si="21">H238&amp;"_"&amp;F238</f>
        <v>frag_3_3_m_emerald</v>
      </c>
      <c r="C238" s="3">
        <f t="shared" si="20"/>
        <v>50</v>
      </c>
      <c r="D238" s="4" t="s">
        <v>53</v>
      </c>
      <c r="E238" s="3" t="s">
        <v>24</v>
      </c>
      <c r="F238" s="3" t="s">
        <v>90</v>
      </c>
      <c r="H238" s="3" t="s">
        <v>29</v>
      </c>
    </row>
    <row r="239" spans="3:5">
      <c r="C239" s="3" t="str">
        <f t="shared" si="20"/>
        <v/>
      </c>
      <c r="E239" s="3" t="s">
        <v>30</v>
      </c>
    </row>
    <row r="240" spans="2:8">
      <c r="B240" s="3" t="str">
        <f t="shared" si="21"/>
        <v>frag_4_1_m_emerald</v>
      </c>
      <c r="C240" s="3">
        <f t="shared" si="20"/>
        <v>50</v>
      </c>
      <c r="D240" s="5" t="s">
        <v>67</v>
      </c>
      <c r="E240" s="3" t="s">
        <v>24</v>
      </c>
      <c r="F240" s="3" t="s">
        <v>90</v>
      </c>
      <c r="H240" s="3" t="s">
        <v>31</v>
      </c>
    </row>
    <row r="241" spans="3:5">
      <c r="C241" s="3" t="str">
        <f t="shared" si="20"/>
        <v/>
      </c>
      <c r="D241" s="5"/>
      <c r="E241" s="3" t="s">
        <v>24</v>
      </c>
    </row>
    <row r="242" spans="2:8">
      <c r="B242" s="3" t="str">
        <f t="shared" si="21"/>
        <v>frag_4_2_m_emerald</v>
      </c>
      <c r="C242" s="3">
        <f t="shared" si="20"/>
        <v>50</v>
      </c>
      <c r="D242" s="5" t="s">
        <v>67</v>
      </c>
      <c r="E242" s="3" t="s">
        <v>24</v>
      </c>
      <c r="F242" s="3" t="s">
        <v>90</v>
      </c>
      <c r="H242" s="3" t="s">
        <v>33</v>
      </c>
    </row>
    <row r="243" spans="3:5">
      <c r="C243" s="3" t="str">
        <f t="shared" si="20"/>
        <v/>
      </c>
      <c r="D243" s="5"/>
      <c r="E243" s="3" t="s">
        <v>28</v>
      </c>
    </row>
    <row r="244" spans="3:5">
      <c r="C244" s="3" t="str">
        <f t="shared" si="20"/>
        <v/>
      </c>
      <c r="D244" s="5"/>
      <c r="E244" s="3" t="s">
        <v>28</v>
      </c>
    </row>
    <row r="245" spans="2:8">
      <c r="B245" s="3" t="str">
        <f>H245&amp;"_"&amp;F245</f>
        <v>frag_4_3_m_emerald</v>
      </c>
      <c r="C245" s="3">
        <f t="shared" si="20"/>
        <v>50</v>
      </c>
      <c r="D245" s="5" t="s">
        <v>67</v>
      </c>
      <c r="E245" s="3" t="s">
        <v>24</v>
      </c>
      <c r="F245" s="3" t="s">
        <v>90</v>
      </c>
      <c r="H245" s="3" t="s">
        <v>35</v>
      </c>
    </row>
    <row r="246" spans="3:5">
      <c r="C246" s="3" t="str">
        <f t="shared" si="20"/>
        <v/>
      </c>
      <c r="D246" s="5"/>
      <c r="E246" s="3" t="s">
        <v>30</v>
      </c>
    </row>
    <row r="247" spans="3:5">
      <c r="C247" s="3" t="str">
        <f t="shared" si="20"/>
        <v/>
      </c>
      <c r="D247" s="5"/>
      <c r="E247" s="3" t="s">
        <v>30</v>
      </c>
    </row>
    <row r="248" spans="2:8">
      <c r="B248" s="3" t="str">
        <f>H248&amp;"_"&amp;F248</f>
        <v>frag_4_4_m_emerald</v>
      </c>
      <c r="C248" s="3">
        <f t="shared" si="20"/>
        <v>50</v>
      </c>
      <c r="D248" s="5" t="s">
        <v>67</v>
      </c>
      <c r="E248" s="3" t="s">
        <v>30</v>
      </c>
      <c r="F248" s="3" t="s">
        <v>90</v>
      </c>
      <c r="H248" s="3" t="s">
        <v>38</v>
      </c>
    </row>
    <row r="249" spans="3:5">
      <c r="C249" s="3" t="str">
        <f t="shared" si="20"/>
        <v/>
      </c>
      <c r="D249" s="5"/>
      <c r="E249" s="3" t="s">
        <v>24</v>
      </c>
    </row>
    <row r="250" spans="3:5">
      <c r="C250" s="3" t="str">
        <f t="shared" si="20"/>
        <v/>
      </c>
      <c r="D250" s="5"/>
      <c r="E250" s="3" t="s">
        <v>28</v>
      </c>
    </row>
    <row r="251" spans="2:8">
      <c r="B251" s="3" t="str">
        <f>H251&amp;"_"&amp;F251</f>
        <v>frag_4_5_m_emerald</v>
      </c>
      <c r="C251" s="3">
        <f t="shared" si="20"/>
        <v>50</v>
      </c>
      <c r="D251" s="5" t="s">
        <v>67</v>
      </c>
      <c r="E251" s="3" t="s">
        <v>28</v>
      </c>
      <c r="F251" s="3" t="s">
        <v>90</v>
      </c>
      <c r="H251" s="3" t="s">
        <v>42</v>
      </c>
    </row>
    <row r="252" spans="3:5">
      <c r="C252" s="3" t="str">
        <f t="shared" si="20"/>
        <v/>
      </c>
      <c r="D252" s="5"/>
      <c r="E252" s="3" t="s">
        <v>24</v>
      </c>
    </row>
    <row r="253" spans="3:5">
      <c r="C253" s="3" t="str">
        <f t="shared" si="20"/>
        <v/>
      </c>
      <c r="D253" s="5"/>
      <c r="E253" s="3" t="s">
        <v>30</v>
      </c>
    </row>
    <row r="254" spans="2:8">
      <c r="B254" s="3" t="str">
        <f>H254&amp;"_"&amp;F254</f>
        <v>frag_4_6_m_emerald</v>
      </c>
      <c r="C254" s="3">
        <f t="shared" si="20"/>
        <v>50</v>
      </c>
      <c r="D254" s="5" t="s">
        <v>67</v>
      </c>
      <c r="E254" s="3" t="s">
        <v>22</v>
      </c>
      <c r="F254" s="3" t="s">
        <v>90</v>
      </c>
      <c r="H254" s="3" t="s">
        <v>47</v>
      </c>
    </row>
    <row r="255" spans="3:5">
      <c r="C255" s="3" t="str">
        <f t="shared" si="20"/>
        <v/>
      </c>
      <c r="D255" s="5"/>
      <c r="E255" s="3" t="s">
        <v>22</v>
      </c>
    </row>
    <row r="256" spans="3:5">
      <c r="C256" s="3" t="str">
        <f t="shared" si="20"/>
        <v/>
      </c>
      <c r="D256" s="5"/>
      <c r="E256" s="3" t="s">
        <v>22</v>
      </c>
    </row>
    <row r="257" spans="3:5">
      <c r="C257" s="3" t="str">
        <f t="shared" si="20"/>
        <v/>
      </c>
      <c r="D257" s="5"/>
      <c r="E257" s="3" t="s">
        <v>22</v>
      </c>
    </row>
    <row r="258" spans="2:8">
      <c r="B258" s="3" t="str">
        <f t="shared" ref="B258:B262" si="22">H258&amp;"_"&amp;F258</f>
        <v>frag_5_1_m_emerald</v>
      </c>
      <c r="C258" s="3">
        <f t="shared" si="20"/>
        <v>50</v>
      </c>
      <c r="D258" s="4" t="s">
        <v>80</v>
      </c>
      <c r="E258" s="3" t="s">
        <v>19</v>
      </c>
      <c r="F258" s="3" t="s">
        <v>90</v>
      </c>
      <c r="H258" s="3" t="s">
        <v>52</v>
      </c>
    </row>
    <row r="259" spans="3:5">
      <c r="C259" s="3" t="str">
        <f t="shared" si="20"/>
        <v/>
      </c>
      <c r="E259" s="3" t="s">
        <v>55</v>
      </c>
    </row>
    <row r="260" spans="2:8">
      <c r="B260" s="3" t="str">
        <f t="shared" si="22"/>
        <v>frag_5_2_m_emerald</v>
      </c>
      <c r="C260" s="3">
        <f t="shared" si="20"/>
        <v>50</v>
      </c>
      <c r="D260" s="4" t="s">
        <v>80</v>
      </c>
      <c r="E260" s="3" t="s">
        <v>19</v>
      </c>
      <c r="F260" s="3" t="s">
        <v>90</v>
      </c>
      <c r="H260" s="3" t="s">
        <v>58</v>
      </c>
    </row>
    <row r="261" spans="3:5">
      <c r="C261" s="3" t="str">
        <f t="shared" si="20"/>
        <v/>
      </c>
      <c r="E261" s="3" t="s">
        <v>59</v>
      </c>
    </row>
    <row r="262" spans="2:8">
      <c r="B262" s="3" t="str">
        <f t="shared" si="22"/>
        <v>frag_5_3_m_emerald</v>
      </c>
      <c r="C262" s="3">
        <f t="shared" si="20"/>
        <v>50</v>
      </c>
      <c r="D262" s="4" t="s">
        <v>80</v>
      </c>
      <c r="E262" s="3" t="s">
        <v>26</v>
      </c>
      <c r="F262" s="3" t="s">
        <v>90</v>
      </c>
      <c r="H262" s="3" t="s">
        <v>60</v>
      </c>
    </row>
    <row r="263" spans="3:5">
      <c r="C263" s="3" t="str">
        <f t="shared" si="20"/>
        <v/>
      </c>
      <c r="E263" s="3" t="s">
        <v>61</v>
      </c>
    </row>
    <row r="264" spans="2:8">
      <c r="B264" s="3" t="str">
        <f t="shared" ref="B264:B268" si="23">H264&amp;"_"&amp;F264</f>
        <v>frag_5_4_m_emerald</v>
      </c>
      <c r="C264" s="3">
        <f t="shared" si="20"/>
        <v>50</v>
      </c>
      <c r="D264" s="4" t="s">
        <v>80</v>
      </c>
      <c r="E264" s="3" t="s">
        <v>26</v>
      </c>
      <c r="F264" s="3" t="s">
        <v>90</v>
      </c>
      <c r="H264" s="3" t="s">
        <v>62</v>
      </c>
    </row>
    <row r="265" spans="3:5">
      <c r="C265" s="3" t="str">
        <f t="shared" si="20"/>
        <v/>
      </c>
      <c r="E265" s="3" t="s">
        <v>64</v>
      </c>
    </row>
    <row r="266" spans="2:8">
      <c r="B266" s="3" t="str">
        <f t="shared" si="23"/>
        <v>frag_6_1_m_emerald</v>
      </c>
      <c r="C266" s="3">
        <f t="shared" si="20"/>
        <v>50</v>
      </c>
      <c r="D266" s="4" t="s">
        <v>86</v>
      </c>
      <c r="E266" s="3" t="s">
        <v>26</v>
      </c>
      <c r="F266" s="3" t="s">
        <v>90</v>
      </c>
      <c r="H266" s="3" t="s">
        <v>66</v>
      </c>
    </row>
    <row r="267" spans="3:5">
      <c r="C267" s="3" t="str">
        <f t="shared" si="20"/>
        <v/>
      </c>
      <c r="E267" s="3" t="s">
        <v>26</v>
      </c>
    </row>
    <row r="268" spans="2:8">
      <c r="B268" s="3" t="str">
        <f t="shared" si="23"/>
        <v>frag_6_2_m_emerald</v>
      </c>
      <c r="C268" s="3">
        <f t="shared" si="20"/>
        <v>50</v>
      </c>
      <c r="D268" s="4" t="s">
        <v>86</v>
      </c>
      <c r="E268" s="3" t="s">
        <v>26</v>
      </c>
      <c r="F268" s="3" t="s">
        <v>90</v>
      </c>
      <c r="H268" s="3" t="s">
        <v>70</v>
      </c>
    </row>
    <row r="269" spans="3:7">
      <c r="C269" s="3" t="str">
        <f t="shared" si="20"/>
        <v/>
      </c>
      <c r="E269" s="3" t="s">
        <v>64</v>
      </c>
      <c r="G269" s="3" t="str">
        <f>IF(B269="","",B269&amp;"_cherry")</f>
        <v/>
      </c>
    </row>
    <row r="270" spans="3:5">
      <c r="C270" s="3" t="str">
        <f t="shared" si="20"/>
        <v/>
      </c>
      <c r="E270" s="3" t="s">
        <v>72</v>
      </c>
    </row>
    <row r="271" spans="2:8">
      <c r="B271" s="3" t="str">
        <f t="shared" ref="B271:B276" si="24">H271&amp;"_"&amp;F271</f>
        <v>frag_6_3_m_emerald</v>
      </c>
      <c r="C271" s="3">
        <f t="shared" si="20"/>
        <v>50</v>
      </c>
      <c r="D271" s="4" t="s">
        <v>86</v>
      </c>
      <c r="E271" s="3" t="s">
        <v>26</v>
      </c>
      <c r="F271" s="3" t="s">
        <v>90</v>
      </c>
      <c r="H271" s="3" t="s">
        <v>73</v>
      </c>
    </row>
    <row r="272" spans="3:5">
      <c r="C272" s="3" t="str">
        <f t="shared" si="20"/>
        <v/>
      </c>
      <c r="E272" s="3" t="s">
        <v>61</v>
      </c>
    </row>
    <row r="273" spans="3:5">
      <c r="C273" s="3" t="str">
        <f t="shared" si="20"/>
        <v/>
      </c>
      <c r="E273" s="3" t="s">
        <v>77</v>
      </c>
    </row>
    <row r="274" spans="2:8">
      <c r="B274" s="3" t="str">
        <f t="shared" si="24"/>
        <v>frag_8_1_m_emerald</v>
      </c>
      <c r="C274" s="3">
        <f t="shared" si="20"/>
        <v>50</v>
      </c>
      <c r="D274" s="4" t="s">
        <v>86</v>
      </c>
      <c r="E274" s="3" t="s">
        <v>19</v>
      </c>
      <c r="F274" s="3" t="s">
        <v>90</v>
      </c>
      <c r="H274" s="3" t="s">
        <v>79</v>
      </c>
    </row>
    <row r="275" spans="3:5">
      <c r="C275" s="3" t="str">
        <f t="shared" si="20"/>
        <v/>
      </c>
      <c r="E275" s="3" t="s">
        <v>19</v>
      </c>
    </row>
    <row r="276" spans="2:8">
      <c r="B276" s="3" t="str">
        <f t="shared" si="24"/>
        <v>frag_9_1_m_emerald</v>
      </c>
      <c r="C276" s="3">
        <f t="shared" si="20"/>
        <v>50</v>
      </c>
      <c r="D276" s="4" t="s">
        <v>86</v>
      </c>
      <c r="E276" s="3" t="s">
        <v>26</v>
      </c>
      <c r="F276" s="3" t="s">
        <v>90</v>
      </c>
      <c r="H276" s="3" t="s">
        <v>83</v>
      </c>
    </row>
    <row r="277" spans="3:5">
      <c r="C277" s="3" t="str">
        <f t="shared" si="20"/>
        <v/>
      </c>
      <c r="E277" s="3" t="s">
        <v>26</v>
      </c>
    </row>
    <row r="278" spans="4:5">
      <c r="D278" s="5"/>
      <c r="E278" s="3" t="s">
        <v>26</v>
      </c>
    </row>
    <row r="279" spans="2:8">
      <c r="B279" s="3" t="str">
        <f t="shared" ref="B279:B281" si="25">H279&amp;"_"&amp;F279</f>
        <v>frag_2_1_m_gold</v>
      </c>
      <c r="C279" s="3">
        <f t="shared" ref="C279:C322" si="26">IF(B279="","",50)</f>
        <v>50</v>
      </c>
      <c r="D279" s="4" t="s">
        <v>53</v>
      </c>
      <c r="E279" s="3" t="s">
        <v>24</v>
      </c>
      <c r="F279" s="3" t="s">
        <v>91</v>
      </c>
      <c r="H279" s="3" t="s">
        <v>23</v>
      </c>
    </row>
    <row r="280" spans="2:8">
      <c r="B280" s="3" t="str">
        <f t="shared" si="25"/>
        <v>frag_3_1_m_gold</v>
      </c>
      <c r="C280" s="3">
        <f t="shared" si="26"/>
        <v>50</v>
      </c>
      <c r="D280" s="4" t="s">
        <v>53</v>
      </c>
      <c r="E280" s="3" t="s">
        <v>26</v>
      </c>
      <c r="F280" s="3" t="s">
        <v>91</v>
      </c>
      <c r="H280" s="3" t="s">
        <v>25</v>
      </c>
    </row>
    <row r="281" spans="2:8">
      <c r="B281" s="3" t="str">
        <f t="shared" si="25"/>
        <v>frag_3_2_m_gold</v>
      </c>
      <c r="C281" s="3">
        <f t="shared" si="26"/>
        <v>50</v>
      </c>
      <c r="D281" s="4" t="s">
        <v>53</v>
      </c>
      <c r="E281" s="3" t="s">
        <v>24</v>
      </c>
      <c r="F281" s="3" t="s">
        <v>91</v>
      </c>
      <c r="H281" s="3" t="s">
        <v>27</v>
      </c>
    </row>
    <row r="282" spans="3:5">
      <c r="C282" s="3" t="str">
        <f t="shared" si="26"/>
        <v/>
      </c>
      <c r="E282" s="3" t="s">
        <v>28</v>
      </c>
    </row>
    <row r="283" spans="2:8">
      <c r="B283" s="3" t="str">
        <f t="shared" ref="B283:B287" si="27">H283&amp;"_"&amp;F283</f>
        <v>frag_3_3_m_gold</v>
      </c>
      <c r="C283" s="3">
        <f t="shared" si="26"/>
        <v>50</v>
      </c>
      <c r="D283" s="4" t="s">
        <v>53</v>
      </c>
      <c r="E283" s="3" t="s">
        <v>24</v>
      </c>
      <c r="F283" s="3" t="s">
        <v>91</v>
      </c>
      <c r="H283" s="3" t="s">
        <v>29</v>
      </c>
    </row>
    <row r="284" spans="3:5">
      <c r="C284" s="3" t="str">
        <f t="shared" si="26"/>
        <v/>
      </c>
      <c r="E284" s="3" t="s">
        <v>30</v>
      </c>
    </row>
    <row r="285" spans="2:8">
      <c r="B285" s="3" t="str">
        <f t="shared" si="27"/>
        <v>frag_4_1_m_gold</v>
      </c>
      <c r="C285" s="3">
        <f t="shared" si="26"/>
        <v>50</v>
      </c>
      <c r="D285" s="5" t="s">
        <v>67</v>
      </c>
      <c r="E285" s="3" t="s">
        <v>24</v>
      </c>
      <c r="F285" s="3" t="s">
        <v>91</v>
      </c>
      <c r="H285" s="3" t="s">
        <v>31</v>
      </c>
    </row>
    <row r="286" spans="3:5">
      <c r="C286" s="3" t="str">
        <f t="shared" si="26"/>
        <v/>
      </c>
      <c r="D286" s="5"/>
      <c r="E286" s="3" t="s">
        <v>24</v>
      </c>
    </row>
    <row r="287" spans="2:8">
      <c r="B287" s="3" t="str">
        <f t="shared" si="27"/>
        <v>frag_4_2_m_gold</v>
      </c>
      <c r="C287" s="3">
        <f t="shared" si="26"/>
        <v>50</v>
      </c>
      <c r="D287" s="5" t="s">
        <v>67</v>
      </c>
      <c r="E287" s="3" t="s">
        <v>24</v>
      </c>
      <c r="F287" s="3" t="s">
        <v>91</v>
      </c>
      <c r="H287" s="3" t="s">
        <v>33</v>
      </c>
    </row>
    <row r="288" spans="3:5">
      <c r="C288" s="3" t="str">
        <f t="shared" si="26"/>
        <v/>
      </c>
      <c r="D288" s="5"/>
      <c r="E288" s="3" t="s">
        <v>28</v>
      </c>
    </row>
    <row r="289" spans="3:5">
      <c r="C289" s="3" t="str">
        <f t="shared" si="26"/>
        <v/>
      </c>
      <c r="D289" s="5"/>
      <c r="E289" s="3" t="s">
        <v>28</v>
      </c>
    </row>
    <row r="290" spans="2:8">
      <c r="B290" s="3" t="str">
        <f>H290&amp;"_"&amp;F290</f>
        <v>frag_4_3_m_gold</v>
      </c>
      <c r="C290" s="3">
        <f t="shared" si="26"/>
        <v>50</v>
      </c>
      <c r="D290" s="5" t="s">
        <v>67</v>
      </c>
      <c r="E290" s="3" t="s">
        <v>24</v>
      </c>
      <c r="F290" s="3" t="s">
        <v>91</v>
      </c>
      <c r="H290" s="3" t="s">
        <v>35</v>
      </c>
    </row>
    <row r="291" spans="3:5">
      <c r="C291" s="3" t="str">
        <f t="shared" si="26"/>
        <v/>
      </c>
      <c r="D291" s="5"/>
      <c r="E291" s="3" t="s">
        <v>30</v>
      </c>
    </row>
    <row r="292" spans="3:5">
      <c r="C292" s="3" t="str">
        <f t="shared" si="26"/>
        <v/>
      </c>
      <c r="D292" s="5"/>
      <c r="E292" s="3" t="s">
        <v>30</v>
      </c>
    </row>
    <row r="293" spans="2:8">
      <c r="B293" s="3" t="str">
        <f>H293&amp;"_"&amp;F293</f>
        <v>frag_4_4_m_gold</v>
      </c>
      <c r="C293" s="3">
        <f t="shared" si="26"/>
        <v>50</v>
      </c>
      <c r="D293" s="5" t="s">
        <v>67</v>
      </c>
      <c r="E293" s="3" t="s">
        <v>30</v>
      </c>
      <c r="F293" s="3" t="s">
        <v>91</v>
      </c>
      <c r="H293" s="3" t="s">
        <v>38</v>
      </c>
    </row>
    <row r="294" spans="3:5">
      <c r="C294" s="3" t="str">
        <f t="shared" si="26"/>
        <v/>
      </c>
      <c r="D294" s="5"/>
      <c r="E294" s="3" t="s">
        <v>24</v>
      </c>
    </row>
    <row r="295" spans="3:5">
      <c r="C295" s="3" t="str">
        <f t="shared" si="26"/>
        <v/>
      </c>
      <c r="D295" s="5"/>
      <c r="E295" s="3" t="s">
        <v>28</v>
      </c>
    </row>
    <row r="296" spans="2:8">
      <c r="B296" s="3" t="str">
        <f>H296&amp;"_"&amp;F296</f>
        <v>frag_4_5_m_gold</v>
      </c>
      <c r="C296" s="3">
        <f t="shared" si="26"/>
        <v>50</v>
      </c>
      <c r="D296" s="5" t="s">
        <v>67</v>
      </c>
      <c r="E296" s="3" t="s">
        <v>28</v>
      </c>
      <c r="F296" s="3" t="s">
        <v>91</v>
      </c>
      <c r="H296" s="3" t="s">
        <v>42</v>
      </c>
    </row>
    <row r="297" spans="3:5">
      <c r="C297" s="3" t="str">
        <f t="shared" si="26"/>
        <v/>
      </c>
      <c r="D297" s="5"/>
      <c r="E297" s="3" t="s">
        <v>24</v>
      </c>
    </row>
    <row r="298" spans="3:5">
      <c r="C298" s="3" t="str">
        <f t="shared" si="26"/>
        <v/>
      </c>
      <c r="D298" s="5"/>
      <c r="E298" s="3" t="s">
        <v>30</v>
      </c>
    </row>
    <row r="299" spans="2:8">
      <c r="B299" s="3" t="str">
        <f>H299&amp;"_"&amp;F299</f>
        <v>frag_4_6_m_gold</v>
      </c>
      <c r="C299" s="3">
        <f t="shared" si="26"/>
        <v>50</v>
      </c>
      <c r="D299" s="5" t="s">
        <v>67</v>
      </c>
      <c r="E299" s="3" t="s">
        <v>22</v>
      </c>
      <c r="F299" s="3" t="s">
        <v>91</v>
      </c>
      <c r="H299" s="3" t="s">
        <v>47</v>
      </c>
    </row>
    <row r="300" spans="3:5">
      <c r="C300" s="3" t="str">
        <f t="shared" si="26"/>
        <v/>
      </c>
      <c r="D300" s="5"/>
      <c r="E300" s="3" t="s">
        <v>22</v>
      </c>
    </row>
    <row r="301" spans="3:5">
      <c r="C301" s="3" t="str">
        <f t="shared" si="26"/>
        <v/>
      </c>
      <c r="D301" s="5"/>
      <c r="E301" s="3" t="s">
        <v>22</v>
      </c>
    </row>
    <row r="302" spans="3:5">
      <c r="C302" s="3" t="str">
        <f t="shared" si="26"/>
        <v/>
      </c>
      <c r="D302" s="5"/>
      <c r="E302" s="3" t="s">
        <v>22</v>
      </c>
    </row>
    <row r="303" spans="2:8">
      <c r="B303" s="3" t="str">
        <f t="shared" ref="B303:B307" si="28">H303&amp;"_"&amp;F303</f>
        <v>frag_5_1_m_gold</v>
      </c>
      <c r="C303" s="3">
        <f t="shared" si="26"/>
        <v>50</v>
      </c>
      <c r="D303" s="4" t="s">
        <v>80</v>
      </c>
      <c r="E303" s="3" t="s">
        <v>19</v>
      </c>
      <c r="F303" s="3" t="s">
        <v>91</v>
      </c>
      <c r="H303" s="3" t="s">
        <v>52</v>
      </c>
    </row>
    <row r="304" spans="3:5">
      <c r="C304" s="3" t="str">
        <f t="shared" si="26"/>
        <v/>
      </c>
      <c r="E304" s="3" t="s">
        <v>55</v>
      </c>
    </row>
    <row r="305" spans="2:8">
      <c r="B305" s="3" t="str">
        <f t="shared" si="28"/>
        <v>frag_5_2_m_gold</v>
      </c>
      <c r="C305" s="3">
        <f t="shared" si="26"/>
        <v>50</v>
      </c>
      <c r="D305" s="4" t="s">
        <v>80</v>
      </c>
      <c r="E305" s="3" t="s">
        <v>19</v>
      </c>
      <c r="F305" s="3" t="s">
        <v>91</v>
      </c>
      <c r="H305" s="3" t="s">
        <v>58</v>
      </c>
    </row>
    <row r="306" spans="3:5">
      <c r="C306" s="3" t="str">
        <f t="shared" si="26"/>
        <v/>
      </c>
      <c r="E306" s="3" t="s">
        <v>59</v>
      </c>
    </row>
    <row r="307" spans="2:8">
      <c r="B307" s="3" t="str">
        <f t="shared" si="28"/>
        <v>frag_5_3_m_gold</v>
      </c>
      <c r="C307" s="3">
        <f t="shared" si="26"/>
        <v>50</v>
      </c>
      <c r="D307" s="4" t="s">
        <v>80</v>
      </c>
      <c r="E307" s="3" t="s">
        <v>26</v>
      </c>
      <c r="F307" s="3" t="s">
        <v>91</v>
      </c>
      <c r="H307" s="3" t="s">
        <v>60</v>
      </c>
    </row>
    <row r="308" spans="3:5">
      <c r="C308" s="3" t="str">
        <f t="shared" si="26"/>
        <v/>
      </c>
      <c r="E308" s="3" t="s">
        <v>61</v>
      </c>
    </row>
    <row r="309" spans="2:8">
      <c r="B309" s="3" t="str">
        <f t="shared" ref="B309:B313" si="29">H309&amp;"_"&amp;F309</f>
        <v>frag_5_4_m_gold</v>
      </c>
      <c r="C309" s="3">
        <f t="shared" si="26"/>
        <v>50</v>
      </c>
      <c r="D309" s="4" t="s">
        <v>80</v>
      </c>
      <c r="E309" s="3" t="s">
        <v>26</v>
      </c>
      <c r="F309" s="3" t="s">
        <v>91</v>
      </c>
      <c r="H309" s="3" t="s">
        <v>62</v>
      </c>
    </row>
    <row r="310" spans="3:5">
      <c r="C310" s="3" t="str">
        <f t="shared" si="26"/>
        <v/>
      </c>
      <c r="E310" s="3" t="s">
        <v>64</v>
      </c>
    </row>
    <row r="311" spans="2:8">
      <c r="B311" s="3" t="str">
        <f t="shared" si="29"/>
        <v>frag_6_1_m_gold</v>
      </c>
      <c r="C311" s="3">
        <f t="shared" si="26"/>
        <v>50</v>
      </c>
      <c r="D311" s="4" t="s">
        <v>86</v>
      </c>
      <c r="E311" s="3" t="s">
        <v>26</v>
      </c>
      <c r="F311" s="3" t="s">
        <v>91</v>
      </c>
      <c r="H311" s="3" t="s">
        <v>66</v>
      </c>
    </row>
    <row r="312" spans="3:5">
      <c r="C312" s="3" t="str">
        <f t="shared" si="26"/>
        <v/>
      </c>
      <c r="E312" s="3" t="s">
        <v>26</v>
      </c>
    </row>
    <row r="313" spans="2:8">
      <c r="B313" s="3" t="str">
        <f t="shared" si="29"/>
        <v>frag_6_2_m_gold</v>
      </c>
      <c r="C313" s="3">
        <f t="shared" si="26"/>
        <v>50</v>
      </c>
      <c r="D313" s="4" t="s">
        <v>86</v>
      </c>
      <c r="E313" s="3" t="s">
        <v>26</v>
      </c>
      <c r="F313" s="3" t="s">
        <v>91</v>
      </c>
      <c r="H313" s="3" t="s">
        <v>70</v>
      </c>
    </row>
    <row r="314" spans="3:7">
      <c r="C314" s="3" t="str">
        <f t="shared" si="26"/>
        <v/>
      </c>
      <c r="E314" s="3" t="s">
        <v>64</v>
      </c>
      <c r="G314" s="3" t="str">
        <f>IF(B314="","",B314&amp;"_cherry")</f>
        <v/>
      </c>
    </row>
    <row r="315" spans="3:5">
      <c r="C315" s="3" t="str">
        <f t="shared" si="26"/>
        <v/>
      </c>
      <c r="E315" s="3" t="s">
        <v>72</v>
      </c>
    </row>
    <row r="316" spans="2:8">
      <c r="B316" s="3" t="str">
        <f t="shared" ref="B316:B321" si="30">H316&amp;"_"&amp;F316</f>
        <v>frag_6_3_m_gold</v>
      </c>
      <c r="C316" s="3">
        <f t="shared" si="26"/>
        <v>50</v>
      </c>
      <c r="D316" s="4" t="s">
        <v>86</v>
      </c>
      <c r="E316" s="3" t="s">
        <v>26</v>
      </c>
      <c r="F316" s="3" t="s">
        <v>91</v>
      </c>
      <c r="H316" s="3" t="s">
        <v>73</v>
      </c>
    </row>
    <row r="317" spans="3:5">
      <c r="C317" s="3" t="str">
        <f t="shared" si="26"/>
        <v/>
      </c>
      <c r="E317" s="3" t="s">
        <v>61</v>
      </c>
    </row>
    <row r="318" spans="3:5">
      <c r="C318" s="3" t="str">
        <f t="shared" si="26"/>
        <v/>
      </c>
      <c r="E318" s="3" t="s">
        <v>77</v>
      </c>
    </row>
    <row r="319" spans="2:8">
      <c r="B319" s="3" t="str">
        <f t="shared" si="30"/>
        <v>frag_8_1_m_gold</v>
      </c>
      <c r="C319" s="3">
        <f t="shared" si="26"/>
        <v>50</v>
      </c>
      <c r="D319" s="4" t="s">
        <v>86</v>
      </c>
      <c r="E319" s="3" t="s">
        <v>19</v>
      </c>
      <c r="F319" s="3" t="s">
        <v>91</v>
      </c>
      <c r="H319" s="3" t="s">
        <v>79</v>
      </c>
    </row>
    <row r="320" spans="3:5">
      <c r="C320" s="3" t="str">
        <f t="shared" si="26"/>
        <v/>
      </c>
      <c r="E320" s="3" t="s">
        <v>19</v>
      </c>
    </row>
    <row r="321" spans="2:8">
      <c r="B321" s="3" t="str">
        <f t="shared" si="30"/>
        <v>frag_9_1_m_gold</v>
      </c>
      <c r="C321" s="3">
        <f t="shared" si="26"/>
        <v>50</v>
      </c>
      <c r="D321" s="4" t="s">
        <v>86</v>
      </c>
      <c r="E321" s="3" t="s">
        <v>26</v>
      </c>
      <c r="F321" s="3" t="s">
        <v>91</v>
      </c>
      <c r="H321" s="3" t="s">
        <v>83</v>
      </c>
    </row>
    <row r="322" spans="3:5">
      <c r="C322" s="3" t="str">
        <f t="shared" si="26"/>
        <v/>
      </c>
      <c r="E322" s="3" t="s">
        <v>26</v>
      </c>
    </row>
    <row r="323" spans="4:5">
      <c r="D323" s="5"/>
      <c r="E323" s="3" t="s">
        <v>26</v>
      </c>
    </row>
    <row r="324" spans="2:8">
      <c r="B324" s="3" t="str">
        <f t="shared" ref="B324:B326" si="31">H324&amp;"_"&amp;F324</f>
        <v>frag_2_1_m_silver</v>
      </c>
      <c r="C324" s="3">
        <f t="shared" ref="C324:C367" si="32">IF(B324="","",50)</f>
        <v>50</v>
      </c>
      <c r="D324" s="4" t="s">
        <v>53</v>
      </c>
      <c r="E324" s="3" t="s">
        <v>24</v>
      </c>
      <c r="F324" s="3" t="s">
        <v>92</v>
      </c>
      <c r="H324" s="3" t="s">
        <v>23</v>
      </c>
    </row>
    <row r="325" spans="2:8">
      <c r="B325" s="3" t="str">
        <f t="shared" si="31"/>
        <v>frag_3_1_m_silver</v>
      </c>
      <c r="C325" s="3">
        <f t="shared" si="32"/>
        <v>50</v>
      </c>
      <c r="D325" s="4" t="s">
        <v>53</v>
      </c>
      <c r="E325" s="3" t="s">
        <v>26</v>
      </c>
      <c r="F325" s="3" t="s">
        <v>92</v>
      </c>
      <c r="H325" s="3" t="s">
        <v>25</v>
      </c>
    </row>
    <row r="326" spans="2:8">
      <c r="B326" s="3" t="str">
        <f t="shared" si="31"/>
        <v>frag_3_2_m_silver</v>
      </c>
      <c r="C326" s="3">
        <f t="shared" si="32"/>
        <v>50</v>
      </c>
      <c r="D326" s="4" t="s">
        <v>53</v>
      </c>
      <c r="E326" s="3" t="s">
        <v>24</v>
      </c>
      <c r="F326" s="3" t="s">
        <v>92</v>
      </c>
      <c r="H326" s="3" t="s">
        <v>27</v>
      </c>
    </row>
    <row r="327" spans="3:5">
      <c r="C327" s="3" t="str">
        <f t="shared" si="32"/>
        <v/>
      </c>
      <c r="E327" s="3" t="s">
        <v>28</v>
      </c>
    </row>
    <row r="328" spans="2:8">
      <c r="B328" s="3" t="str">
        <f t="shared" ref="B328:B332" si="33">H328&amp;"_"&amp;F328</f>
        <v>frag_3_3_m_silver</v>
      </c>
      <c r="C328" s="3">
        <f t="shared" si="32"/>
        <v>50</v>
      </c>
      <c r="D328" s="4" t="s">
        <v>53</v>
      </c>
      <c r="E328" s="3" t="s">
        <v>24</v>
      </c>
      <c r="F328" s="3" t="s">
        <v>92</v>
      </c>
      <c r="H328" s="3" t="s">
        <v>29</v>
      </c>
    </row>
    <row r="329" spans="3:5">
      <c r="C329" s="3" t="str">
        <f t="shared" si="32"/>
        <v/>
      </c>
      <c r="E329" s="3" t="s">
        <v>30</v>
      </c>
    </row>
    <row r="330" spans="2:8">
      <c r="B330" s="3" t="str">
        <f t="shared" si="33"/>
        <v>frag_4_1_m_silver</v>
      </c>
      <c r="C330" s="3">
        <f t="shared" si="32"/>
        <v>50</v>
      </c>
      <c r="D330" s="5" t="s">
        <v>67</v>
      </c>
      <c r="E330" s="3" t="s">
        <v>24</v>
      </c>
      <c r="F330" s="3" t="s">
        <v>92</v>
      </c>
      <c r="H330" s="3" t="s">
        <v>31</v>
      </c>
    </row>
    <row r="331" spans="3:5">
      <c r="C331" s="3" t="str">
        <f t="shared" si="32"/>
        <v/>
      </c>
      <c r="D331" s="5"/>
      <c r="E331" s="3" t="s">
        <v>24</v>
      </c>
    </row>
    <row r="332" spans="2:8">
      <c r="B332" s="3" t="str">
        <f t="shared" si="33"/>
        <v>frag_4_2_m_silver</v>
      </c>
      <c r="C332" s="3">
        <f t="shared" si="32"/>
        <v>50</v>
      </c>
      <c r="D332" s="5" t="s">
        <v>67</v>
      </c>
      <c r="E332" s="3" t="s">
        <v>24</v>
      </c>
      <c r="F332" s="3" t="s">
        <v>92</v>
      </c>
      <c r="H332" s="3" t="s">
        <v>33</v>
      </c>
    </row>
    <row r="333" spans="3:5">
      <c r="C333" s="3" t="str">
        <f t="shared" si="32"/>
        <v/>
      </c>
      <c r="D333" s="5"/>
      <c r="E333" s="3" t="s">
        <v>28</v>
      </c>
    </row>
    <row r="334" spans="3:5">
      <c r="C334" s="3" t="str">
        <f t="shared" si="32"/>
        <v/>
      </c>
      <c r="D334" s="5"/>
      <c r="E334" s="3" t="s">
        <v>28</v>
      </c>
    </row>
    <row r="335" spans="2:8">
      <c r="B335" s="3" t="str">
        <f>H335&amp;"_"&amp;F335</f>
        <v>frag_4_3_m_silver</v>
      </c>
      <c r="C335" s="3">
        <f t="shared" si="32"/>
        <v>50</v>
      </c>
      <c r="D335" s="5" t="s">
        <v>67</v>
      </c>
      <c r="E335" s="3" t="s">
        <v>24</v>
      </c>
      <c r="F335" s="3" t="s">
        <v>92</v>
      </c>
      <c r="H335" s="3" t="s">
        <v>35</v>
      </c>
    </row>
    <row r="336" spans="3:5">
      <c r="C336" s="3" t="str">
        <f t="shared" si="32"/>
        <v/>
      </c>
      <c r="D336" s="5"/>
      <c r="E336" s="3" t="s">
        <v>30</v>
      </c>
    </row>
    <row r="337" spans="3:5">
      <c r="C337" s="3" t="str">
        <f t="shared" si="32"/>
        <v/>
      </c>
      <c r="D337" s="5"/>
      <c r="E337" s="3" t="s">
        <v>30</v>
      </c>
    </row>
    <row r="338" spans="2:8">
      <c r="B338" s="3" t="str">
        <f>H338&amp;"_"&amp;F338</f>
        <v>frag_4_4_m_silver</v>
      </c>
      <c r="C338" s="3">
        <f t="shared" si="32"/>
        <v>50</v>
      </c>
      <c r="D338" s="5" t="s">
        <v>67</v>
      </c>
      <c r="E338" s="3" t="s">
        <v>30</v>
      </c>
      <c r="F338" s="3" t="s">
        <v>92</v>
      </c>
      <c r="H338" s="3" t="s">
        <v>38</v>
      </c>
    </row>
    <row r="339" spans="3:5">
      <c r="C339" s="3" t="str">
        <f t="shared" si="32"/>
        <v/>
      </c>
      <c r="D339" s="5"/>
      <c r="E339" s="3" t="s">
        <v>24</v>
      </c>
    </row>
    <row r="340" spans="3:5">
      <c r="C340" s="3" t="str">
        <f t="shared" si="32"/>
        <v/>
      </c>
      <c r="D340" s="5"/>
      <c r="E340" s="3" t="s">
        <v>28</v>
      </c>
    </row>
    <row r="341" spans="2:8">
      <c r="B341" s="3" t="str">
        <f>H341&amp;"_"&amp;F341</f>
        <v>frag_4_5_m_silver</v>
      </c>
      <c r="C341" s="3">
        <f t="shared" si="32"/>
        <v>50</v>
      </c>
      <c r="D341" s="5" t="s">
        <v>67</v>
      </c>
      <c r="E341" s="3" t="s">
        <v>28</v>
      </c>
      <c r="F341" s="3" t="s">
        <v>92</v>
      </c>
      <c r="H341" s="3" t="s">
        <v>42</v>
      </c>
    </row>
    <row r="342" spans="3:5">
      <c r="C342" s="3" t="str">
        <f t="shared" si="32"/>
        <v/>
      </c>
      <c r="D342" s="5"/>
      <c r="E342" s="3" t="s">
        <v>24</v>
      </c>
    </row>
    <row r="343" spans="3:5">
      <c r="C343" s="3" t="str">
        <f t="shared" si="32"/>
        <v/>
      </c>
      <c r="D343" s="5"/>
      <c r="E343" s="3" t="s">
        <v>30</v>
      </c>
    </row>
    <row r="344" spans="2:8">
      <c r="B344" s="3" t="str">
        <f>H344&amp;"_"&amp;F344</f>
        <v>frag_4_6_m_silver</v>
      </c>
      <c r="C344" s="3">
        <f t="shared" si="32"/>
        <v>50</v>
      </c>
      <c r="D344" s="5" t="s">
        <v>67</v>
      </c>
      <c r="E344" s="3" t="s">
        <v>22</v>
      </c>
      <c r="F344" s="3" t="s">
        <v>92</v>
      </c>
      <c r="H344" s="3" t="s">
        <v>47</v>
      </c>
    </row>
    <row r="345" spans="3:5">
      <c r="C345" s="3" t="str">
        <f t="shared" si="32"/>
        <v/>
      </c>
      <c r="D345" s="5"/>
      <c r="E345" s="3" t="s">
        <v>22</v>
      </c>
    </row>
    <row r="346" spans="3:5">
      <c r="C346" s="3" t="str">
        <f t="shared" si="32"/>
        <v/>
      </c>
      <c r="D346" s="5"/>
      <c r="E346" s="3" t="s">
        <v>22</v>
      </c>
    </row>
    <row r="347" spans="3:5">
      <c r="C347" s="3" t="str">
        <f t="shared" si="32"/>
        <v/>
      </c>
      <c r="D347" s="5"/>
      <c r="E347" s="3" t="s">
        <v>22</v>
      </c>
    </row>
    <row r="348" spans="2:8">
      <c r="B348" s="3" t="str">
        <f t="shared" ref="B348:B352" si="34">H348&amp;"_"&amp;F348</f>
        <v>frag_5_1_m_silver</v>
      </c>
      <c r="C348" s="3">
        <f t="shared" si="32"/>
        <v>50</v>
      </c>
      <c r="D348" s="4" t="s">
        <v>80</v>
      </c>
      <c r="E348" s="3" t="s">
        <v>19</v>
      </c>
      <c r="F348" s="3" t="s">
        <v>92</v>
      </c>
      <c r="H348" s="3" t="s">
        <v>52</v>
      </c>
    </row>
    <row r="349" spans="3:5">
      <c r="C349" s="3" t="str">
        <f t="shared" si="32"/>
        <v/>
      </c>
      <c r="E349" s="3" t="s">
        <v>55</v>
      </c>
    </row>
    <row r="350" spans="2:8">
      <c r="B350" s="3" t="str">
        <f t="shared" si="34"/>
        <v>frag_5_2_m_silver</v>
      </c>
      <c r="C350" s="3">
        <f t="shared" si="32"/>
        <v>50</v>
      </c>
      <c r="D350" s="4" t="s">
        <v>80</v>
      </c>
      <c r="E350" s="3" t="s">
        <v>19</v>
      </c>
      <c r="F350" s="3" t="s">
        <v>92</v>
      </c>
      <c r="H350" s="3" t="s">
        <v>58</v>
      </c>
    </row>
    <row r="351" spans="3:5">
      <c r="C351" s="3" t="str">
        <f t="shared" si="32"/>
        <v/>
      </c>
      <c r="E351" s="3" t="s">
        <v>59</v>
      </c>
    </row>
    <row r="352" spans="2:8">
      <c r="B352" s="3" t="str">
        <f t="shared" si="34"/>
        <v>frag_5_3_m_silver</v>
      </c>
      <c r="C352" s="3">
        <f t="shared" si="32"/>
        <v>50</v>
      </c>
      <c r="D352" s="4" t="s">
        <v>80</v>
      </c>
      <c r="E352" s="3" t="s">
        <v>26</v>
      </c>
      <c r="F352" s="3" t="s">
        <v>92</v>
      </c>
      <c r="H352" s="3" t="s">
        <v>60</v>
      </c>
    </row>
    <row r="353" spans="3:5">
      <c r="C353" s="3" t="str">
        <f t="shared" si="32"/>
        <v/>
      </c>
      <c r="E353" s="3" t="s">
        <v>61</v>
      </c>
    </row>
    <row r="354" spans="2:8">
      <c r="B354" s="3" t="str">
        <f t="shared" ref="B354:B358" si="35">H354&amp;"_"&amp;F354</f>
        <v>frag_5_4_m_silver</v>
      </c>
      <c r="C354" s="3">
        <f t="shared" si="32"/>
        <v>50</v>
      </c>
      <c r="D354" s="4" t="s">
        <v>80</v>
      </c>
      <c r="E354" s="3" t="s">
        <v>26</v>
      </c>
      <c r="F354" s="3" t="s">
        <v>92</v>
      </c>
      <c r="H354" s="3" t="s">
        <v>62</v>
      </c>
    </row>
    <row r="355" spans="3:5">
      <c r="C355" s="3" t="str">
        <f t="shared" si="32"/>
        <v/>
      </c>
      <c r="E355" s="3" t="s">
        <v>64</v>
      </c>
    </row>
    <row r="356" spans="2:8">
      <c r="B356" s="3" t="str">
        <f t="shared" si="35"/>
        <v>frag_6_1_m_silver</v>
      </c>
      <c r="C356" s="3">
        <f t="shared" si="32"/>
        <v>50</v>
      </c>
      <c r="D356" s="4" t="s">
        <v>86</v>
      </c>
      <c r="E356" s="3" t="s">
        <v>26</v>
      </c>
      <c r="F356" s="3" t="s">
        <v>92</v>
      </c>
      <c r="H356" s="3" t="s">
        <v>66</v>
      </c>
    </row>
    <row r="357" spans="3:5">
      <c r="C357" s="3" t="str">
        <f t="shared" si="32"/>
        <v/>
      </c>
      <c r="E357" s="3" t="s">
        <v>26</v>
      </c>
    </row>
    <row r="358" spans="2:8">
      <c r="B358" s="3" t="str">
        <f t="shared" si="35"/>
        <v>frag_6_2_m_silver</v>
      </c>
      <c r="C358" s="3">
        <f t="shared" si="32"/>
        <v>50</v>
      </c>
      <c r="D358" s="4" t="s">
        <v>86</v>
      </c>
      <c r="E358" s="3" t="s">
        <v>26</v>
      </c>
      <c r="F358" s="3" t="s">
        <v>92</v>
      </c>
      <c r="H358" s="3" t="s">
        <v>70</v>
      </c>
    </row>
    <row r="359" spans="3:7">
      <c r="C359" s="3" t="str">
        <f t="shared" si="32"/>
        <v/>
      </c>
      <c r="E359" s="3" t="s">
        <v>64</v>
      </c>
      <c r="G359" s="3" t="str">
        <f>IF(B359="","",B359&amp;"_cherry")</f>
        <v/>
      </c>
    </row>
    <row r="360" spans="3:5">
      <c r="C360" s="3" t="str">
        <f t="shared" si="32"/>
        <v/>
      </c>
      <c r="E360" s="3" t="s">
        <v>72</v>
      </c>
    </row>
    <row r="361" spans="2:8">
      <c r="B361" s="3" t="str">
        <f t="shared" ref="B361:B366" si="36">H361&amp;"_"&amp;F361</f>
        <v>frag_6_3_m_silver</v>
      </c>
      <c r="C361" s="3">
        <f t="shared" si="32"/>
        <v>50</v>
      </c>
      <c r="D361" s="4" t="s">
        <v>86</v>
      </c>
      <c r="E361" s="3" t="s">
        <v>26</v>
      </c>
      <c r="F361" s="3" t="s">
        <v>92</v>
      </c>
      <c r="H361" s="3" t="s">
        <v>73</v>
      </c>
    </row>
    <row r="362" spans="3:5">
      <c r="C362" s="3" t="str">
        <f t="shared" si="32"/>
        <v/>
      </c>
      <c r="E362" s="3" t="s">
        <v>61</v>
      </c>
    </row>
    <row r="363" spans="3:5">
      <c r="C363" s="3" t="str">
        <f t="shared" si="32"/>
        <v/>
      </c>
      <c r="E363" s="3" t="s">
        <v>77</v>
      </c>
    </row>
    <row r="364" spans="2:8">
      <c r="B364" s="3" t="str">
        <f t="shared" si="36"/>
        <v>frag_8_1_m_silver</v>
      </c>
      <c r="C364" s="3">
        <f t="shared" si="32"/>
        <v>50</v>
      </c>
      <c r="D364" s="4" t="s">
        <v>86</v>
      </c>
      <c r="E364" s="3" t="s">
        <v>19</v>
      </c>
      <c r="F364" s="3" t="s">
        <v>92</v>
      </c>
      <c r="H364" s="3" t="s">
        <v>79</v>
      </c>
    </row>
    <row r="365" spans="3:5">
      <c r="C365" s="3" t="str">
        <f t="shared" si="32"/>
        <v/>
      </c>
      <c r="E365" s="3" t="s">
        <v>19</v>
      </c>
    </row>
    <row r="366" spans="2:8">
      <c r="B366" s="3" t="str">
        <f t="shared" si="36"/>
        <v>frag_9_1_m_silver</v>
      </c>
      <c r="C366" s="3">
        <f t="shared" si="32"/>
        <v>50</v>
      </c>
      <c r="D366" s="4" t="s">
        <v>86</v>
      </c>
      <c r="E366" s="3" t="s">
        <v>26</v>
      </c>
      <c r="F366" s="3" t="s">
        <v>92</v>
      </c>
      <c r="H366" s="3" t="s">
        <v>83</v>
      </c>
    </row>
    <row r="367" spans="3:5">
      <c r="C367" s="3" t="str">
        <f t="shared" si="32"/>
        <v/>
      </c>
      <c r="E367" s="3" t="s">
        <v>26</v>
      </c>
    </row>
    <row r="368" spans="4:5">
      <c r="D368" s="5"/>
      <c r="E368" s="3" t="s">
        <v>26</v>
      </c>
    </row>
  </sheetData>
  <mergeCells count="2">
    <mergeCell ref="T40:T44"/>
    <mergeCell ref="T46:T51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tabSelected="1" workbookViewId="0">
      <selection activeCell="D11" sqref="D11"/>
    </sheetView>
  </sheetViews>
  <sheetFormatPr defaultColWidth="9" defaultRowHeight="16.8" outlineLevelCol="7"/>
  <cols>
    <col min="1" max="1" width="13.0769230769231" style="1" customWidth="1"/>
    <col min="2" max="2" width="12.2307692307692" style="1" customWidth="1"/>
    <col min="3" max="3" width="10.3076923076923" style="1" customWidth="1"/>
    <col min="4" max="4" width="55.4615384615385" style="1" customWidth="1"/>
    <col min="5" max="5" width="27.1538461538462" style="1" customWidth="1"/>
    <col min="6" max="6" width="12.6153846153846" style="1" customWidth="1"/>
    <col min="7" max="7" width="11.9230769230769" style="1" customWidth="1"/>
    <col min="8" max="8" width="13.0769230769231" style="1" customWidth="1"/>
    <col min="9" max="10" width="9" style="1"/>
    <col min="12" max="16384" width="9" style="1"/>
  </cols>
  <sheetData>
    <row r="1" spans="1:8">
      <c r="A1" s="1" t="s">
        <v>0</v>
      </c>
      <c r="B1" s="1" t="s">
        <v>1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  <c r="H1" s="1" t="s">
        <v>98</v>
      </c>
    </row>
    <row r="2" spans="1:8">
      <c r="A2" s="1" t="s">
        <v>6</v>
      </c>
      <c r="B2" s="1" t="s">
        <v>99</v>
      </c>
      <c r="C2" s="1" t="s">
        <v>100</v>
      </c>
      <c r="D2" s="1" t="s">
        <v>101</v>
      </c>
      <c r="E2" s="1" t="s">
        <v>102</v>
      </c>
      <c r="F2" s="1" t="s">
        <v>103</v>
      </c>
      <c r="G2" s="1" t="s">
        <v>104</v>
      </c>
      <c r="H2" s="1" t="s">
        <v>105</v>
      </c>
    </row>
    <row r="3" spans="1:8">
      <c r="A3" s="1" t="s">
        <v>12</v>
      </c>
      <c r="B3" s="1" t="s">
        <v>13</v>
      </c>
      <c r="C3" s="1" t="s">
        <v>13</v>
      </c>
      <c r="D3" s="1" t="s">
        <v>13</v>
      </c>
      <c r="E3" s="1" t="s">
        <v>106</v>
      </c>
      <c r="F3" s="1" t="s">
        <v>16</v>
      </c>
      <c r="G3" s="1" t="s">
        <v>107</v>
      </c>
      <c r="H3" s="1" t="s">
        <v>13</v>
      </c>
    </row>
    <row r="4" spans="2:7">
      <c r="B4" s="1" t="s">
        <v>85</v>
      </c>
      <c r="C4" s="1" t="s">
        <v>108</v>
      </c>
      <c r="D4" s="1" t="s">
        <v>109</v>
      </c>
      <c r="E4" s="1" t="s">
        <v>110</v>
      </c>
      <c r="G4" s="1">
        <v>80</v>
      </c>
    </row>
    <row r="5" spans="2:7">
      <c r="B5" s="1" t="s">
        <v>87</v>
      </c>
      <c r="C5" s="1" t="s">
        <v>111</v>
      </c>
      <c r="D5" s="1" t="s">
        <v>112</v>
      </c>
      <c r="E5" s="1" t="s">
        <v>113</v>
      </c>
      <c r="G5" s="1">
        <v>20</v>
      </c>
    </row>
    <row r="6" spans="2:7">
      <c r="B6" s="1" t="s">
        <v>88</v>
      </c>
      <c r="C6" s="1" t="s">
        <v>114</v>
      </c>
      <c r="D6" s="1" t="s">
        <v>115</v>
      </c>
      <c r="E6" s="1" t="s">
        <v>116</v>
      </c>
      <c r="G6" s="1">
        <v>2</v>
      </c>
    </row>
    <row r="7" spans="2:7">
      <c r="B7" s="1" t="s">
        <v>89</v>
      </c>
      <c r="C7" s="1" t="s">
        <v>117</v>
      </c>
      <c r="D7" s="1" t="s">
        <v>118</v>
      </c>
      <c r="E7" s="1" t="s">
        <v>119</v>
      </c>
      <c r="G7" s="1" t="s">
        <v>120</v>
      </c>
    </row>
    <row r="8" ht="34" spans="2:7">
      <c r="B8" s="1" t="s">
        <v>90</v>
      </c>
      <c r="C8" s="1" t="s">
        <v>121</v>
      </c>
      <c r="D8" s="2" t="s">
        <v>122</v>
      </c>
      <c r="E8" s="1" t="s">
        <v>123</v>
      </c>
      <c r="G8" s="1">
        <v>1</v>
      </c>
    </row>
    <row r="9" spans="2:7">
      <c r="B9" s="1" t="s">
        <v>91</v>
      </c>
      <c r="C9" s="1" t="s">
        <v>124</v>
      </c>
      <c r="D9" s="1" t="s">
        <v>125</v>
      </c>
      <c r="E9" s="1" t="s">
        <v>126</v>
      </c>
      <c r="F9" s="1" t="s">
        <v>127</v>
      </c>
      <c r="G9" s="1">
        <v>6</v>
      </c>
    </row>
    <row r="10" ht="17" spans="2:7">
      <c r="B10" s="1" t="s">
        <v>92</v>
      </c>
      <c r="C10" s="1" t="s">
        <v>128</v>
      </c>
      <c r="D10" s="2" t="s">
        <v>129</v>
      </c>
      <c r="E10" s="1" t="s">
        <v>130</v>
      </c>
      <c r="G10" s="1" t="s">
        <v>127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table_fragment</vt:lpstr>
      <vt:lpstr>material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2026-08-17T14:15:11Z</dcterms:created>
  <dcterms:modified xsi:type="dcterms:W3CDTF">2026-08-17T14:15:29Z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DF9D22740423953301A7826AFD548E39_42</vt:lpwstr>
  </property>
  <property fmtid="{D5CDD505-2E9C-101B-9397-08002B2CF9AE}" pid="3" name="KSOProductBuildVer">
    <vt:lpwstr>2052-6.1.0.8274</vt:lpwstr>
  </property>
</Properties>
</file>