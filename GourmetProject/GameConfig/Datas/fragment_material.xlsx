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<sst xmlns="http://schemas.openxmlformats.org/spreadsheetml/2006/main" count="927" uniqueCount="131">
  <si>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</si>
  <si>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</si>
  <si>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</si>
  <si>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</si>
  <si>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</si>
  <si>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</si>
  <si>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</si>
  <si>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</si>
  <si>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</si>
  <si>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</si>
  <si>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</si>
  <si>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</si>
  <si>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</si>
  <si>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</si>
  <si>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</si>
  <si>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</si>
  <si>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</si>
  <si>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</si>
  <si>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</si>
  <si>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</si>
  <si>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</si>
  <si>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</si>
  <si>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</si>
  <si>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frag_4_1</t>
  </si>
  <si>
    <t>XX</t>
  </si>
  <si>
    <t>frag_4_2</t>
  </si>
  <si>
    <t>核心</t>
  </si>
  <si>
    <t>.X</t>
  </si>
  <si>
    <t>frag_4_3</t>
  </si>
  <si>
    <t>X.</t>
  </si>
  <si>
    <t>0周</t>
  </si>
  <si>
    <t>1周</t>
  </si>
  <si>
    <t>frag_4_4</t>
  </si>
  <si>
    <t>2周</t>
  </si>
  <si>
    <t>3周</t>
  </si>
  <si>
    <t>4周</t>
  </si>
  <si>
    <t>frag_4_5</t>
  </si>
  <si>
    <t>金币</t>
  </si>
  <si>
    <t>强化类主动道具</t>
  </si>
  <si>
    <t>recipe</t>
  </si>
  <si>
    <t>调整类主动道具</t>
  </si>
  <si>
    <t>frag_4_6</t>
  </si>
  <si>
    <t>被动道具</t>
  </si>
  <si>
    <t>事件</t>
  </si>
  <si>
    <t>奖励</t>
  </si>
  <si>
    <t>商店</t>
  </si>
  <si>
    <t>frag_5_1</t>
  </si>
  <si>
    <t>30,100</t>
  </si>
  <si>
    <t>利息</t>
  </si>
  <si>
    <t>X...</t>
  </si>
  <si>
    <t>4~9</t>
  </si>
  <si>
    <t>boss</t>
  </si>
  <si>
    <t>frag_5_2</t>
  </si>
  <si>
    <t>...X</t>
  </si>
  <si>
    <t>frag_5_3</t>
  </si>
  <si>
    <t>XXX</t>
  </si>
  <si>
    <t>XX.</t>
  </si>
  <si>
    <t>frag_5_4</t>
  </si>
  <si>
    <t>❤️❤️❤️</t>
  </si>
  <si>
    <t>.XX</t>
  </si>
  <si>
    <t>普通事件</t>
  </si>
  <si>
    <t>frag_6_1</t>
  </si>
  <si>
    <t>40,100</t>
  </si>
  <si>
    <t>强化类主动道具n选1</t>
  </si>
  <si>
    <t>调整类主动道具n选1</t>
  </si>
  <si>
    <t>frag_6_2</t>
  </si>
  <si>
    <t>事件（有好有坏）</t>
  </si>
  <si>
    <t>..X</t>
  </si>
  <si>
    <t>frag_6_3</t>
  </si>
  <si>
    <t>节点事件</t>
  </si>
  <si>
    <t>奖励（好事件）</t>
  </si>
  <si>
    <t>厄运（坏事件）</t>
  </si>
  <si>
    <t>X..</t>
  </si>
  <si>
    <t>利息事件</t>
  </si>
  <si>
    <t>frag_8_1</t>
  </si>
  <si>
    <t>50,100</t>
  </si>
  <si>
    <t>Boss</t>
  </si>
  <si>
    <t>恢复血量</t>
  </si>
  <si>
    <t>frag_9_1</t>
  </si>
  <si>
    <t>抽奖机</t>
  </si>
  <si>
    <t>m_cherry</t>
  </si>
  <si>
    <t/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</si>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</sst>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20"/>
  <sheetViews>
    <sheetView tabSelected="1" zoomScale="70" zoomScaleNormal="70" topLeftCell="A243" workbookViewId="0">
      <selection activeCell="F243" sqref="F243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5" t="s">
        <v>21</v>
      </c>
      <c r="E9" s="3" t="s">
        <v>24</v>
      </c>
    </row>
    <row r="10" spans="4:5">
      <c r="D10" s="5"/>
      <c r="E10" s="3" t="s">
        <v>24</v>
      </c>
    </row>
    <row r="11" spans="2:23">
      <c r="B11" s="3" t="s">
        <v>25</v>
      </c>
      <c r="C11" s="3">
        <v>1400</v>
      </c>
      <c r="D11" s="5" t="s">
        <v>21</v>
      </c>
      <c r="E11" s="3" t="s">
        <v>24</v>
      </c>
      <c r="W11" s="3" t="s">
        <v>26</v>
      </c>
    </row>
    <row r="12" spans="4:5">
      <c r="D12" s="5"/>
      <c r="E12" s="3" t="s">
        <v>27</v>
      </c>
    </row>
    <row r="13" spans="4:5">
      <c r="D13" s="5"/>
      <c r="E13" s="3" t="s">
        <v>27</v>
      </c>
    </row>
    <row r="14" spans="2:5">
      <c r="B14" s="3" t="s">
        <v>28</v>
      </c>
      <c r="C14" s="3">
        <v>1400</v>
      </c>
      <c r="D14" s="5" t="s">
        <v>21</v>
      </c>
      <c r="E14" s="3" t="s">
        <v>24</v>
      </c>
    </row>
    <row r="15" spans="4:19">
      <c r="D15" s="5"/>
      <c r="E15" s="3" t="s">
        <v>29</v>
      </c>
      <c r="K15" s="3" t="s">
        <v>30</v>
      </c>
      <c r="L15" s="3">
        <v>10</v>
      </c>
      <c r="M15" s="3">
        <v>11</v>
      </c>
      <c r="N15" s="3">
        <v>12</v>
      </c>
      <c r="O15" s="3">
        <v>13</v>
      </c>
      <c r="P15" s="3">
        <v>14</v>
      </c>
      <c r="Q15" s="3">
        <v>15</v>
      </c>
      <c r="R15" s="3">
        <v>16</v>
      </c>
      <c r="S15" s="3">
        <v>17</v>
      </c>
    </row>
    <row r="16" spans="4:19">
      <c r="D16" s="5"/>
      <c r="E16" s="3" t="s">
        <v>29</v>
      </c>
      <c r="K16" s="3" t="s">
        <v>31</v>
      </c>
      <c r="L16" s="3">
        <v>20</v>
      </c>
      <c r="M16" s="3">
        <v>21</v>
      </c>
      <c r="N16" s="3">
        <v>22</v>
      </c>
      <c r="O16" s="3">
        <v>23</v>
      </c>
      <c r="P16" s="3">
        <v>24</v>
      </c>
      <c r="Q16" s="3">
        <v>25</v>
      </c>
      <c r="R16" s="3">
        <v>26</v>
      </c>
      <c r="S16" s="3">
        <v>27</v>
      </c>
    </row>
    <row r="17" spans="2:19">
      <c r="B17" s="3" t="s">
        <v>32</v>
      </c>
      <c r="C17" s="3">
        <v>1400</v>
      </c>
      <c r="D17" s="5" t="s">
        <v>21</v>
      </c>
      <c r="E17" s="3" t="s">
        <v>29</v>
      </c>
      <c r="K17" s="3" t="s">
        <v>33</v>
      </c>
      <c r="L17" s="3">
        <v>30</v>
      </c>
      <c r="M17" s="3">
        <v>31</v>
      </c>
      <c r="N17" s="3">
        <v>32</v>
      </c>
      <c r="O17" s="3">
        <v>33</v>
      </c>
      <c r="P17" s="3">
        <v>34</v>
      </c>
      <c r="Q17" s="3">
        <v>35</v>
      </c>
      <c r="R17" s="3">
        <v>36</v>
      </c>
      <c r="S17" s="3">
        <v>37</v>
      </c>
    </row>
    <row r="18" spans="4:19">
      <c r="D18" s="5"/>
      <c r="E18" s="3" t="s">
        <v>24</v>
      </c>
      <c r="K18" s="3" t="s">
        <v>34</v>
      </c>
      <c r="L18" s="3">
        <v>40</v>
      </c>
      <c r="M18" s="3">
        <v>41</v>
      </c>
      <c r="N18" s="3">
        <v>42</v>
      </c>
      <c r="O18" s="3">
        <v>43</v>
      </c>
      <c r="P18" s="3">
        <v>44</v>
      </c>
      <c r="Q18" s="3">
        <v>45</v>
      </c>
      <c r="R18" s="3">
        <v>46</v>
      </c>
      <c r="S18" s="3">
        <v>47</v>
      </c>
    </row>
    <row r="19" spans="4:19">
      <c r="D19" s="5"/>
      <c r="E19" s="3" t="s">
        <v>27</v>
      </c>
      <c r="K19" s="3" t="s">
        <v>35</v>
      </c>
      <c r="L19" s="3">
        <v>50</v>
      </c>
      <c r="M19" s="3">
        <v>51</v>
      </c>
      <c r="N19" s="3">
        <v>52</v>
      </c>
      <c r="O19" s="3">
        <v>53</v>
      </c>
      <c r="P19" s="3">
        <v>54</v>
      </c>
      <c r="Q19" s="3">
        <v>55</v>
      </c>
      <c r="R19" s="3">
        <v>56</v>
      </c>
      <c r="S19" s="3">
        <v>57</v>
      </c>
    </row>
    <row r="20" spans="2:21">
      <c r="B20" s="3" t="s">
        <v>36</v>
      </c>
      <c r="C20" s="3">
        <v>1400</v>
      </c>
      <c r="D20" s="5" t="s">
        <v>21</v>
      </c>
      <c r="E20" s="3" t="s">
        <v>27</v>
      </c>
      <c r="U20" s="3" t="s">
        <v>37</v>
      </c>
    </row>
    <row r="21" spans="4:23">
      <c r="D21" s="5"/>
      <c r="E21" s="3" t="s">
        <v>24</v>
      </c>
      <c r="U21" s="3" t="s">
        <v>38</v>
      </c>
      <c r="W21" s="3" t="s">
        <v>39</v>
      </c>
    </row>
    <row r="22" spans="4:21">
      <c r="D22" s="5"/>
      <c r="E22" s="3" t="s">
        <v>29</v>
      </c>
      <c r="U22" s="3" t="s">
        <v>40</v>
      </c>
    </row>
    <row r="23" spans="2:21">
      <c r="B23" s="3" t="s">
        <v>41</v>
      </c>
      <c r="C23" s="3">
        <v>1400</v>
      </c>
      <c r="D23" s="5" t="s">
        <v>21</v>
      </c>
      <c r="E23" s="3" t="s">
        <v>22</v>
      </c>
      <c r="U23" s="3" t="s">
        <v>42</v>
      </c>
    </row>
    <row r="24" spans="4:21">
      <c r="D24" s="5"/>
      <c r="E24" s="3" t="s">
        <v>22</v>
      </c>
      <c r="K24" s="3" t="s">
        <v>24</v>
      </c>
      <c r="U24" s="3" t="s">
        <v>43</v>
      </c>
    </row>
    <row r="25" spans="4:21">
      <c r="D25" s="5"/>
      <c r="E25" s="3" t="s">
        <v>22</v>
      </c>
      <c r="K25" s="3" t="s">
        <v>24</v>
      </c>
      <c r="U25" s="3" t="s">
        <v>44</v>
      </c>
    </row>
    <row r="26" spans="4:21">
      <c r="D26" s="5"/>
      <c r="E26" s="3" t="s">
        <v>22</v>
      </c>
      <c r="K26" s="3" t="s">
        <v>22</v>
      </c>
      <c r="U26" s="3" t="s">
        <v>45</v>
      </c>
    </row>
    <row r="27" spans="2:21">
      <c r="B27" s="3" t="s">
        <v>46</v>
      </c>
      <c r="C27" s="3">
        <v>1400</v>
      </c>
      <c r="D27" s="4" t="s">
        <v>47</v>
      </c>
      <c r="E27" s="3" t="s">
        <v>19</v>
      </c>
      <c r="U27" s="3" t="s">
        <v>48</v>
      </c>
    </row>
    <row r="28" spans="5:21">
      <c r="E28" s="3" t="s">
        <v>49</v>
      </c>
      <c r="K28" s="3" t="s">
        <v>50</v>
      </c>
      <c r="U28" s="3" t="s">
        <v>51</v>
      </c>
    </row>
    <row r="29" spans="2:14">
      <c r="B29" s="3" t="s">
        <v>52</v>
      </c>
      <c r="C29" s="3">
        <v>1400</v>
      </c>
      <c r="D29" s="4" t="s">
        <v>47</v>
      </c>
      <c r="E29" s="3" t="s">
        <v>19</v>
      </c>
      <c r="N29" s="3">
        <f>12*12</f>
        <v>144</v>
      </c>
    </row>
    <row r="30" spans="5:5">
      <c r="E30" s="3" t="s">
        <v>53</v>
      </c>
    </row>
    <row r="31" spans="2:5">
      <c r="B31" s="3" t="s">
        <v>54</v>
      </c>
      <c r="C31" s="3">
        <v>1400</v>
      </c>
      <c r="D31" s="4" t="s">
        <v>47</v>
      </c>
      <c r="E31" s="3" t="s">
        <v>55</v>
      </c>
    </row>
    <row r="32" spans="5:5">
      <c r="E32" s="3" t="s">
        <v>56</v>
      </c>
    </row>
    <row r="33" spans="2:23">
      <c r="B33" s="3" t="s">
        <v>57</v>
      </c>
      <c r="C33" s="3">
        <v>1400</v>
      </c>
      <c r="D33" s="4" t="s">
        <v>47</v>
      </c>
      <c r="E33" s="3" t="s">
        <v>55</v>
      </c>
      <c r="W33" s="3" t="s">
        <v>58</v>
      </c>
    </row>
    <row r="34" spans="5:21">
      <c r="E34" s="3" t="s">
        <v>59</v>
      </c>
      <c r="T34" s="6" t="s">
        <v>60</v>
      </c>
      <c r="U34" s="3" t="s">
        <v>37</v>
      </c>
    </row>
    <row r="35" spans="2:21">
      <c r="B35" s="3" t="s">
        <v>61</v>
      </c>
      <c r="C35" s="3">
        <v>1400</v>
      </c>
      <c r="D35" s="4" t="s">
        <v>62</v>
      </c>
      <c r="E35" s="3" t="s">
        <v>55</v>
      </c>
      <c r="T35" s="6"/>
      <c r="U35" s="3" t="s">
        <v>63</v>
      </c>
    </row>
    <row r="36" spans="5:21">
      <c r="E36" s="3" t="s">
        <v>55</v>
      </c>
      <c r="T36" s="6"/>
      <c r="U36" s="3" t="s">
        <v>64</v>
      </c>
    </row>
    <row r="37" spans="2:21">
      <c r="B37" s="3" t="s">
        <v>65</v>
      </c>
      <c r="C37" s="3">
        <v>1400</v>
      </c>
      <c r="D37" s="5" t="s">
        <v>62</v>
      </c>
      <c r="E37" s="3" t="s">
        <v>55</v>
      </c>
      <c r="T37" s="6"/>
      <c r="U37" s="3" t="s">
        <v>42</v>
      </c>
    </row>
    <row r="38" spans="5:21">
      <c r="E38" s="3" t="s">
        <v>59</v>
      </c>
      <c r="T38" s="6"/>
      <c r="U38" s="3" t="s">
        <v>66</v>
      </c>
    </row>
    <row r="39" spans="5:5">
      <c r="E39" s="3" t="s">
        <v>67</v>
      </c>
    </row>
    <row r="40" spans="2:21">
      <c r="B40" s="3" t="s">
        <v>68</v>
      </c>
      <c r="C40" s="3">
        <v>1400</v>
      </c>
      <c r="D40" s="4" t="s">
        <v>62</v>
      </c>
      <c r="E40" s="3" t="s">
        <v>55</v>
      </c>
      <c r="T40" s="7" t="s">
        <v>69</v>
      </c>
      <c r="U40" s="3" t="s">
        <v>70</v>
      </c>
    </row>
    <row r="41" spans="5:21">
      <c r="E41" s="3" t="s">
        <v>56</v>
      </c>
      <c r="T41" s="7"/>
      <c r="U41" s="3" t="s">
        <v>71</v>
      </c>
    </row>
    <row r="42" spans="5:21">
      <c r="E42" s="3" t="s">
        <v>72</v>
      </c>
      <c r="T42" s="7"/>
      <c r="U42" s="3" t="s">
        <v>73</v>
      </c>
    </row>
    <row r="43" spans="2:23">
      <c r="B43" s="3" t="s">
        <v>74</v>
      </c>
      <c r="C43" s="3">
        <v>1400</v>
      </c>
      <c r="D43" s="4" t="s">
        <v>75</v>
      </c>
      <c r="E43" s="3" t="s">
        <v>19</v>
      </c>
      <c r="T43" s="7"/>
      <c r="U43" s="3" t="s">
        <v>76</v>
      </c>
      <c r="W43" s="3" t="s">
        <v>77</v>
      </c>
    </row>
    <row r="44" spans="5:21">
      <c r="E44" s="3" t="s">
        <v>19</v>
      </c>
      <c r="T44" s="7"/>
      <c r="U44" s="3" t="s">
        <v>45</v>
      </c>
    </row>
    <row r="45" spans="2:21">
      <c r="B45" s="3" t="s">
        <v>78</v>
      </c>
      <c r="C45" s="3">
        <v>1400</v>
      </c>
      <c r="D45" s="4" t="s">
        <v>75</v>
      </c>
      <c r="E45" s="3" t="s">
        <v>55</v>
      </c>
      <c r="T45" s="7"/>
      <c r="U45" s="3" t="s">
        <v>79</v>
      </c>
    </row>
    <row r="46" spans="5:5">
      <c r="E46" s="3" t="s">
        <v>55</v>
      </c>
    </row>
    <row r="47" spans="5:5">
      <c r="E47" s="3" t="s">
        <v>55</v>
      </c>
    </row>
    <row r="48" spans="2:8">
      <c r="B48" s="3" t="str">
        <f>H48&amp;"_"&amp;F48</f>
        <v>frag_4_1_m_cherry</v>
      </c>
      <c r="C48" s="3">
        <v>1400</v>
      </c>
      <c r="D48" s="5" t="s">
        <v>21</v>
      </c>
      <c r="E48" s="3" t="s">
        <v>24</v>
      </c>
      <c r="F48" s="3" t="s">
        <v>80</v>
      </c>
      <c r="H48" s="3" t="s">
        <v>23</v>
      </c>
    </row>
    <row r="49" spans="4:6">
      <c r="D49" s="5"/>
      <c r="E49" s="3" t="s">
        <v>24</v>
      </c>
      <c r="F49" s="3" t="s">
        <v>81</v>
      </c>
    </row>
    <row r="50" spans="2:8">
      <c r="B50" s="3" t="str">
        <f>H50&amp;"_"&amp;F50</f>
        <v>frag_4_2_m_cherry</v>
      </c>
      <c r="C50" s="3">
        <v>1400</v>
      </c>
      <c r="D50" s="5" t="s">
        <v>21</v>
      </c>
      <c r="E50" s="3" t="s">
        <v>24</v>
      </c>
      <c r="F50" s="3" t="s">
        <v>80</v>
      </c>
      <c r="H50" s="3" t="s">
        <v>25</v>
      </c>
    </row>
    <row r="51" spans="4:6">
      <c r="D51" s="5"/>
      <c r="E51" s="3" t="s">
        <v>27</v>
      </c>
      <c r="F51" s="3" t="s">
        <v>81</v>
      </c>
    </row>
    <row r="52" spans="4:6">
      <c r="D52" s="5"/>
      <c r="E52" s="3" t="s">
        <v>27</v>
      </c>
      <c r="F52" s="3" t="s">
        <v>81</v>
      </c>
    </row>
    <row r="53" spans="2:8">
      <c r="B53" s="3" t="str">
        <f>H53&amp;"_"&amp;F53</f>
        <v>frag_4_3_m_cherry</v>
      </c>
      <c r="C53" s="3">
        <v>1400</v>
      </c>
      <c r="D53" s="5" t="s">
        <v>21</v>
      </c>
      <c r="E53" s="3" t="s">
        <v>24</v>
      </c>
      <c r="F53" s="3" t="s">
        <v>80</v>
      </c>
      <c r="H53" s="3" t="s">
        <v>28</v>
      </c>
    </row>
    <row r="54" spans="4:6">
      <c r="D54" s="5"/>
      <c r="E54" s="3" t="s">
        <v>29</v>
      </c>
      <c r="F54" s="3" t="s">
        <v>81</v>
      </c>
    </row>
    <row r="55" spans="4:6">
      <c r="D55" s="5"/>
      <c r="E55" s="3" t="s">
        <v>29</v>
      </c>
      <c r="F55" s="3" t="s">
        <v>81</v>
      </c>
    </row>
    <row r="56" spans="2:8">
      <c r="B56" s="3" t="str">
        <f>H56&amp;"_"&amp;F56</f>
        <v>frag_4_4_m_cherry</v>
      </c>
      <c r="C56" s="3">
        <v>1400</v>
      </c>
      <c r="D56" s="5" t="s">
        <v>21</v>
      </c>
      <c r="E56" s="3" t="s">
        <v>29</v>
      </c>
      <c r="F56" s="3" t="s">
        <v>80</v>
      </c>
      <c r="H56" s="3" t="s">
        <v>32</v>
      </c>
    </row>
    <row r="57" spans="4:6">
      <c r="D57" s="5"/>
      <c r="E57" s="3" t="s">
        <v>24</v>
      </c>
      <c r="F57" s="3" t="s">
        <v>81</v>
      </c>
    </row>
    <row r="58" spans="4:6">
      <c r="D58" s="5"/>
      <c r="E58" s="3" t="s">
        <v>27</v>
      </c>
      <c r="F58" s="3" t="s">
        <v>81</v>
      </c>
    </row>
    <row r="59" spans="2:8">
      <c r="B59" s="3" t="str">
        <f>H59&amp;"_"&amp;F59</f>
        <v>frag_4_5_m_cherry</v>
      </c>
      <c r="C59" s="3">
        <v>1400</v>
      </c>
      <c r="D59" s="5" t="s">
        <v>21</v>
      </c>
      <c r="E59" s="3" t="s">
        <v>27</v>
      </c>
      <c r="F59" s="3" t="s">
        <v>80</v>
      </c>
      <c r="H59" s="3" t="s">
        <v>36</v>
      </c>
    </row>
    <row r="60" spans="4:6">
      <c r="D60" s="5"/>
      <c r="E60" s="3" t="s">
        <v>24</v>
      </c>
      <c r="F60" s="3" t="s">
        <v>81</v>
      </c>
    </row>
    <row r="61" spans="4:6">
      <c r="D61" s="5"/>
      <c r="E61" s="3" t="s">
        <v>29</v>
      </c>
      <c r="F61" s="3" t="s">
        <v>81</v>
      </c>
    </row>
    <row r="62" spans="2:8">
      <c r="B62" s="3" t="str">
        <f>H62&amp;"_"&amp;F62</f>
        <v>frag_4_6_m_cherry</v>
      </c>
      <c r="C62" s="3">
        <v>1400</v>
      </c>
      <c r="D62" s="5" t="s">
        <v>21</v>
      </c>
      <c r="E62" s="3" t="s">
        <v>22</v>
      </c>
      <c r="F62" s="3" t="s">
        <v>80</v>
      </c>
      <c r="H62" s="3" t="s">
        <v>41</v>
      </c>
    </row>
    <row r="63" spans="4:6">
      <c r="D63" s="5"/>
      <c r="E63" s="3" t="s">
        <v>22</v>
      </c>
      <c r="F63" s="3" t="s">
        <v>81</v>
      </c>
    </row>
    <row r="64" spans="4:6">
      <c r="D64" s="5"/>
      <c r="E64" s="3" t="s">
        <v>22</v>
      </c>
      <c r="F64" s="3" t="s">
        <v>81</v>
      </c>
    </row>
    <row r="65" spans="4:6">
      <c r="D65" s="5"/>
      <c r="E65" s="3" t="s">
        <v>22</v>
      </c>
      <c r="F65" s="3" t="s">
        <v>81</v>
      </c>
    </row>
    <row r="66" spans="2:8">
      <c r="B66" s="3" t="str">
        <f>H66&amp;"_"&amp;F66</f>
        <v>frag_5_1_m_cherry</v>
      </c>
      <c r="C66" s="3">
        <v>1400</v>
      </c>
      <c r="D66" s="4" t="s">
        <v>47</v>
      </c>
      <c r="E66" s="3" t="s">
        <v>19</v>
      </c>
      <c r="F66" s="3" t="s">
        <v>80</v>
      </c>
      <c r="H66" s="3" t="s">
        <v>46</v>
      </c>
    </row>
    <row r="67" spans="5:6">
      <c r="E67" s="3" t="s">
        <v>49</v>
      </c>
      <c r="F67" s="3" t="s">
        <v>81</v>
      </c>
    </row>
    <row r="68" spans="2:8">
      <c r="B68" s="3" t="str">
        <f>H68&amp;"_"&amp;F68</f>
        <v>frag_5_2_m_cherry</v>
      </c>
      <c r="C68" s="3">
        <v>1400</v>
      </c>
      <c r="D68" s="4" t="s">
        <v>47</v>
      </c>
      <c r="E68" s="3" t="s">
        <v>19</v>
      </c>
      <c r="F68" s="3" t="s">
        <v>80</v>
      </c>
      <c r="H68" s="3" t="s">
        <v>52</v>
      </c>
    </row>
    <row r="69" spans="5:6">
      <c r="E69" s="3" t="s">
        <v>53</v>
      </c>
      <c r="F69" s="3" t="s">
        <v>81</v>
      </c>
    </row>
    <row r="70" spans="2:8">
      <c r="B70" s="3" t="str">
        <f>H70&amp;"_"&amp;F70</f>
        <v>frag_5_3_m_cherry</v>
      </c>
      <c r="C70" s="3">
        <v>1400</v>
      </c>
      <c r="D70" s="4" t="s">
        <v>47</v>
      </c>
      <c r="E70" s="3" t="s">
        <v>55</v>
      </c>
      <c r="F70" s="3" t="s">
        <v>80</v>
      </c>
      <c r="H70" s="3" t="s">
        <v>54</v>
      </c>
    </row>
    <row r="71" spans="5:6">
      <c r="E71" s="3" t="s">
        <v>56</v>
      </c>
      <c r="F71" s="3" t="s">
        <v>81</v>
      </c>
    </row>
    <row r="72" spans="2:8">
      <c r="B72" s="3" t="str">
        <f>H72&amp;"_"&amp;F72</f>
        <v>frag_5_4_m_cherry</v>
      </c>
      <c r="C72" s="3">
        <v>1400</v>
      </c>
      <c r="D72" s="4" t="s">
        <v>47</v>
      </c>
      <c r="E72" s="3" t="s">
        <v>55</v>
      </c>
      <c r="F72" s="3" t="s">
        <v>80</v>
      </c>
      <c r="H72" s="3" t="s">
        <v>57</v>
      </c>
    </row>
    <row r="73" spans="5:6">
      <c r="E73" s="3" t="s">
        <v>59</v>
      </c>
      <c r="F73" s="3" t="s">
        <v>81</v>
      </c>
    </row>
    <row r="74" spans="2:8">
      <c r="B74" s="3" t="str">
        <f>H74&amp;"_"&amp;F74</f>
        <v>frag_6_1_m_cherry</v>
      </c>
      <c r="C74" s="3">
        <v>1400</v>
      </c>
      <c r="D74" s="4" t="s">
        <v>62</v>
      </c>
      <c r="E74" s="3" t="s">
        <v>55</v>
      </c>
      <c r="F74" s="3" t="s">
        <v>80</v>
      </c>
      <c r="H74" s="3" t="s">
        <v>61</v>
      </c>
    </row>
    <row r="75" spans="5:6">
      <c r="E75" s="3" t="s">
        <v>55</v>
      </c>
      <c r="F75" s="3" t="s">
        <v>81</v>
      </c>
    </row>
    <row r="76" spans="2:8">
      <c r="B76" s="3" t="str">
        <f>H76&amp;"_"&amp;F76</f>
        <v>frag_6_2_m_cherry</v>
      </c>
      <c r="C76" s="3">
        <v>1400</v>
      </c>
      <c r="D76" s="5" t="s">
        <v>62</v>
      </c>
      <c r="E76" s="3" t="s">
        <v>55</v>
      </c>
      <c r="F76" s="3" t="s">
        <v>80</v>
      </c>
      <c r="H76" s="3" t="s">
        <v>65</v>
      </c>
    </row>
    <row r="77" spans="5:6">
      <c r="E77" s="3" t="s">
        <v>59</v>
      </c>
      <c r="F77" s="3" t="s">
        <v>81</v>
      </c>
    </row>
    <row r="78" spans="5:6">
      <c r="E78" s="3" t="s">
        <v>67</v>
      </c>
      <c r="F78" s="3" t="s">
        <v>81</v>
      </c>
    </row>
    <row r="79" spans="2:8">
      <c r="B79" s="3" t="str">
        <f>H79&amp;"_"&amp;F79</f>
        <v>frag_6_3_m_cherry</v>
      </c>
      <c r="C79" s="3">
        <v>1400</v>
      </c>
      <c r="D79" s="4" t="s">
        <v>62</v>
      </c>
      <c r="E79" s="3" t="s">
        <v>55</v>
      </c>
      <c r="F79" s="3" t="s">
        <v>80</v>
      </c>
      <c r="H79" s="3" t="s">
        <v>68</v>
      </c>
    </row>
    <row r="80" spans="5:6">
      <c r="E80" s="3" t="s">
        <v>56</v>
      </c>
      <c r="F80" s="3" t="s">
        <v>81</v>
      </c>
    </row>
    <row r="81" spans="5:6">
      <c r="E81" s="3" t="s">
        <v>72</v>
      </c>
      <c r="F81" s="3" t="s">
        <v>81</v>
      </c>
    </row>
    <row r="82" spans="2:8">
      <c r="B82" s="3" t="str">
        <f t="shared" ref="B82:B87" si="0">H82&amp;"_"&amp;F82</f>
        <v>frag_8_1_m_cherry</v>
      </c>
      <c r="C82" s="3">
        <v>1400</v>
      </c>
      <c r="D82" s="4" t="s">
        <v>75</v>
      </c>
      <c r="E82" s="3" t="s">
        <v>19</v>
      </c>
      <c r="F82" s="3" t="s">
        <v>80</v>
      </c>
      <c r="H82" s="3" t="s">
        <v>74</v>
      </c>
    </row>
    <row r="83" spans="5:7">
      <c r="E83" s="3" t="s">
        <v>19</v>
      </c>
      <c r="G83" s="3" t="str">
        <f>IF(B83="","",B83&amp;"_cherry")</f>
        <v/>
      </c>
    </row>
    <row r="84" spans="2:8">
      <c r="B84" s="3" t="str">
        <f t="shared" si="0"/>
        <v>frag_9_1_m_cherry</v>
      </c>
      <c r="C84" s="3">
        <v>1400</v>
      </c>
      <c r="D84" s="4" t="s">
        <v>75</v>
      </c>
      <c r="E84" s="3" t="s">
        <v>55</v>
      </c>
      <c r="F84" s="3" t="s">
        <v>80</v>
      </c>
      <c r="H84" s="3" t="s">
        <v>78</v>
      </c>
    </row>
    <row r="85" spans="5:5">
      <c r="E85" s="3" t="s">
        <v>55</v>
      </c>
    </row>
    <row r="86" spans="5:6">
      <c r="E86" s="3" t="s">
        <v>55</v>
      </c>
      <c r="F86" s="3" t="str">
        <f>IF(B86="","",$F$48)</f>
        <v/>
      </c>
    </row>
    <row r="87" spans="2:8">
      <c r="B87" s="3" t="str">
        <f t="shared" si="0"/>
        <v>frag_4_1_m_walnut</v>
      </c>
      <c r="C87" s="3">
        <v>1400</v>
      </c>
      <c r="D87" s="5" t="s">
        <v>21</v>
      </c>
      <c r="E87" s="3" t="s">
        <v>24</v>
      </c>
      <c r="F87" s="3" t="s">
        <v>82</v>
      </c>
      <c r="H87" s="3" t="s">
        <v>23</v>
      </c>
    </row>
    <row r="88" spans="4:6">
      <c r="D88" s="5"/>
      <c r="E88" s="3" t="s">
        <v>24</v>
      </c>
      <c r="F88" s="3" t="s">
        <v>81</v>
      </c>
    </row>
    <row r="89" spans="2:8">
      <c r="B89" s="3" t="str">
        <f>H89&amp;"_"&amp;F89</f>
        <v>frag_4_2_m_walnut</v>
      </c>
      <c r="C89" s="3">
        <v>1400</v>
      </c>
      <c r="D89" s="5" t="s">
        <v>21</v>
      </c>
      <c r="E89" s="3" t="s">
        <v>24</v>
      </c>
      <c r="F89" s="3" t="s">
        <v>82</v>
      </c>
      <c r="H89" s="3" t="s">
        <v>25</v>
      </c>
    </row>
    <row r="90" spans="4:6">
      <c r="D90" s="5"/>
      <c r="E90" s="3" t="s">
        <v>27</v>
      </c>
      <c r="F90" s="3" t="s">
        <v>81</v>
      </c>
    </row>
    <row r="91" spans="4:6">
      <c r="D91" s="5"/>
      <c r="E91" s="3" t="s">
        <v>27</v>
      </c>
      <c r="F91" s="3" t="s">
        <v>81</v>
      </c>
    </row>
    <row r="92" spans="2:8">
      <c r="B92" s="3" t="str">
        <f>H92&amp;"_"&amp;F92</f>
        <v>frag_4_3_m_walnut</v>
      </c>
      <c r="C92" s="3">
        <v>1400</v>
      </c>
      <c r="D92" s="5" t="s">
        <v>21</v>
      </c>
      <c r="E92" s="3" t="s">
        <v>24</v>
      </c>
      <c r="F92" s="3" t="s">
        <v>82</v>
      </c>
      <c r="H92" s="3" t="s">
        <v>28</v>
      </c>
    </row>
    <row r="93" spans="4:6">
      <c r="D93" s="5"/>
      <c r="E93" s="3" t="s">
        <v>29</v>
      </c>
      <c r="F93" s="3" t="s">
        <v>81</v>
      </c>
    </row>
    <row r="94" spans="4:6">
      <c r="D94" s="5"/>
      <c r="E94" s="3" t="s">
        <v>29</v>
      </c>
      <c r="F94" s="3" t="s">
        <v>81</v>
      </c>
    </row>
    <row r="95" spans="2:8">
      <c r="B95" s="3" t="str">
        <f>H95&amp;"_"&amp;F95</f>
        <v>frag_4_4_m_walnut</v>
      </c>
      <c r="C95" s="3">
        <v>1400</v>
      </c>
      <c r="D95" s="5" t="s">
        <v>21</v>
      </c>
      <c r="E95" s="3" t="s">
        <v>29</v>
      </c>
      <c r="F95" s="3" t="s">
        <v>82</v>
      </c>
      <c r="H95" s="3" t="s">
        <v>32</v>
      </c>
    </row>
    <row r="96" spans="4:6">
      <c r="D96" s="5"/>
      <c r="E96" s="3" t="s">
        <v>24</v>
      </c>
      <c r="F96" s="3" t="s">
        <v>81</v>
      </c>
    </row>
    <row r="97" spans="4:6">
      <c r="D97" s="5"/>
      <c r="E97" s="3" t="s">
        <v>27</v>
      </c>
      <c r="F97" s="3" t="s">
        <v>81</v>
      </c>
    </row>
    <row r="98" spans="2:8">
      <c r="B98" s="3" t="str">
        <f>H98&amp;"_"&amp;F98</f>
        <v>frag_4_5_m_walnut</v>
      </c>
      <c r="C98" s="3">
        <v>1400</v>
      </c>
      <c r="D98" s="5" t="s">
        <v>21</v>
      </c>
      <c r="E98" s="3" t="s">
        <v>27</v>
      </c>
      <c r="F98" s="3" t="s">
        <v>82</v>
      </c>
      <c r="H98" s="3" t="s">
        <v>36</v>
      </c>
    </row>
    <row r="99" spans="4:6">
      <c r="D99" s="5"/>
      <c r="E99" s="3" t="s">
        <v>24</v>
      </c>
      <c r="F99" s="3" t="s">
        <v>81</v>
      </c>
    </row>
    <row r="100" spans="4:6">
      <c r="D100" s="5"/>
      <c r="E100" s="3" t="s">
        <v>29</v>
      </c>
      <c r="F100" s="3" t="s">
        <v>81</v>
      </c>
    </row>
    <row r="101" spans="2:8">
      <c r="B101" s="3" t="str">
        <f>H101&amp;"_"&amp;F101</f>
        <v>frag_4_6_m_walnut</v>
      </c>
      <c r="C101" s="3">
        <v>1400</v>
      </c>
      <c r="D101" s="5" t="s">
        <v>21</v>
      </c>
      <c r="E101" s="3" t="s">
        <v>22</v>
      </c>
      <c r="F101" s="3" t="s">
        <v>82</v>
      </c>
      <c r="H101" s="3" t="s">
        <v>41</v>
      </c>
    </row>
    <row r="102" spans="4:6">
      <c r="D102" s="5"/>
      <c r="E102" s="3" t="s">
        <v>22</v>
      </c>
      <c r="F102" s="3" t="s">
        <v>81</v>
      </c>
    </row>
    <row r="103" spans="4:6">
      <c r="D103" s="5"/>
      <c r="E103" s="3" t="s">
        <v>22</v>
      </c>
      <c r="F103" s="3" t="s">
        <v>81</v>
      </c>
    </row>
    <row r="104" spans="4:6">
      <c r="D104" s="5"/>
      <c r="E104" s="3" t="s">
        <v>22</v>
      </c>
      <c r="F104" s="3" t="s">
        <v>81</v>
      </c>
    </row>
    <row r="105" spans="2:8">
      <c r="B105" s="3" t="str">
        <f t="shared" ref="B105:B109" si="1">H105&amp;"_"&amp;F105</f>
        <v>frag_5_1_m_walnut</v>
      </c>
      <c r="C105" s="3">
        <v>1400</v>
      </c>
      <c r="D105" s="4" t="s">
        <v>47</v>
      </c>
      <c r="E105" s="3" t="s">
        <v>19</v>
      </c>
      <c r="F105" s="3" t="s">
        <v>82</v>
      </c>
      <c r="H105" s="3" t="s">
        <v>46</v>
      </c>
    </row>
    <row r="106" spans="5:6">
      <c r="E106" s="3" t="s">
        <v>49</v>
      </c>
      <c r="F106" s="3" t="s">
        <v>81</v>
      </c>
    </row>
    <row r="107" spans="2:8">
      <c r="B107" s="3" t="str">
        <f t="shared" si="1"/>
        <v>frag_5_2_m_walnut</v>
      </c>
      <c r="C107" s="3">
        <v>1400</v>
      </c>
      <c r="D107" s="4" t="s">
        <v>47</v>
      </c>
      <c r="E107" s="3" t="s">
        <v>19</v>
      </c>
      <c r="F107" s="3" t="s">
        <v>82</v>
      </c>
      <c r="H107" s="3" t="s">
        <v>52</v>
      </c>
    </row>
    <row r="108" spans="5:6">
      <c r="E108" s="3" t="s">
        <v>53</v>
      </c>
      <c r="F108" s="3" t="s">
        <v>81</v>
      </c>
    </row>
    <row r="109" spans="2:8">
      <c r="B109" s="3" t="str">
        <f t="shared" si="1"/>
        <v>frag_5_3_m_walnut</v>
      </c>
      <c r="C109" s="3">
        <v>1400</v>
      </c>
      <c r="D109" s="4" t="s">
        <v>47</v>
      </c>
      <c r="E109" s="3" t="s">
        <v>55</v>
      </c>
      <c r="F109" s="3" t="s">
        <v>82</v>
      </c>
      <c r="H109" s="3" t="s">
        <v>54</v>
      </c>
    </row>
    <row r="110" spans="5:6">
      <c r="E110" s="3" t="s">
        <v>56</v>
      </c>
      <c r="F110" s="3" t="s">
        <v>81</v>
      </c>
    </row>
    <row r="111" spans="2:8">
      <c r="B111" s="3" t="str">
        <f t="shared" ref="B111:B115" si="2">H111&amp;"_"&amp;F111</f>
        <v>frag_5_4_m_walnut</v>
      </c>
      <c r="C111" s="3">
        <v>1400</v>
      </c>
      <c r="D111" s="4" t="s">
        <v>47</v>
      </c>
      <c r="E111" s="3" t="s">
        <v>55</v>
      </c>
      <c r="F111" s="3" t="s">
        <v>82</v>
      </c>
      <c r="H111" s="3" t="s">
        <v>57</v>
      </c>
    </row>
    <row r="112" spans="5:6">
      <c r="E112" s="3" t="s">
        <v>59</v>
      </c>
      <c r="F112" s="3" t="s">
        <v>81</v>
      </c>
    </row>
    <row r="113" spans="2:8">
      <c r="B113" s="3" t="str">
        <f t="shared" si="2"/>
        <v>frag_6_1_m_walnut</v>
      </c>
      <c r="C113" s="3">
        <v>1400</v>
      </c>
      <c r="D113" s="4" t="s">
        <v>62</v>
      </c>
      <c r="E113" s="3" t="s">
        <v>55</v>
      </c>
      <c r="F113" s="3" t="s">
        <v>82</v>
      </c>
      <c r="H113" s="3" t="s">
        <v>61</v>
      </c>
    </row>
    <row r="114" spans="5:6">
      <c r="E114" s="3" t="s">
        <v>55</v>
      </c>
      <c r="F114" s="3" t="s">
        <v>81</v>
      </c>
    </row>
    <row r="115" spans="2:8">
      <c r="B115" s="3" t="str">
        <f t="shared" si="2"/>
        <v>frag_6_2_m_walnut</v>
      </c>
      <c r="C115" s="3">
        <v>1400</v>
      </c>
      <c r="D115" s="5" t="s">
        <v>62</v>
      </c>
      <c r="E115" s="3" t="s">
        <v>55</v>
      </c>
      <c r="F115" s="3" t="s">
        <v>82</v>
      </c>
      <c r="H115" s="3" t="s">
        <v>65</v>
      </c>
    </row>
    <row r="116" spans="5:6">
      <c r="E116" s="3" t="s">
        <v>59</v>
      </c>
      <c r="F116" s="3" t="s">
        <v>81</v>
      </c>
    </row>
    <row r="117" spans="5:6">
      <c r="E117" s="3" t="s">
        <v>67</v>
      </c>
      <c r="F117" s="3" t="s">
        <v>81</v>
      </c>
    </row>
    <row r="118" spans="2:8">
      <c r="B118" s="3" t="str">
        <f t="shared" ref="B118:B123" si="3">H118&amp;"_"&amp;F118</f>
        <v>frag_6_3_m_walnut</v>
      </c>
      <c r="C118" s="3">
        <v>1400</v>
      </c>
      <c r="D118" s="4" t="s">
        <v>62</v>
      </c>
      <c r="E118" s="3" t="s">
        <v>55</v>
      </c>
      <c r="F118" s="3" t="s">
        <v>82</v>
      </c>
      <c r="H118" s="3" t="s">
        <v>68</v>
      </c>
    </row>
    <row r="119" spans="5:6">
      <c r="E119" s="3" t="s">
        <v>56</v>
      </c>
      <c r="F119" s="3" t="s">
        <v>81</v>
      </c>
    </row>
    <row r="120" spans="5:6">
      <c r="E120" s="3" t="s">
        <v>72</v>
      </c>
      <c r="F120" s="3" t="s">
        <v>81</v>
      </c>
    </row>
    <row r="121" spans="2:8">
      <c r="B121" s="3" t="str">
        <f t="shared" si="3"/>
        <v>frag_8_1_m_walnut</v>
      </c>
      <c r="C121" s="3">
        <v>1400</v>
      </c>
      <c r="D121" s="4" t="s">
        <v>75</v>
      </c>
      <c r="E121" s="3" t="s">
        <v>19</v>
      </c>
      <c r="F121" s="3" t="s">
        <v>82</v>
      </c>
      <c r="H121" s="3" t="s">
        <v>74</v>
      </c>
    </row>
    <row r="122" spans="5:7">
      <c r="E122" s="3" t="s">
        <v>19</v>
      </c>
      <c r="F122" s="3"/>
      <c r="G122" s="3" t="str">
        <f>IF(B122="","",B122&amp;"_walnut")</f>
        <v/>
      </c>
    </row>
    <row r="123" spans="2:8">
      <c r="B123" s="3" t="str">
        <f t="shared" si="3"/>
        <v>frag_9_1_m_walnut</v>
      </c>
      <c r="C123" s="3">
        <v>1400</v>
      </c>
      <c r="D123" s="4" t="s">
        <v>75</v>
      </c>
      <c r="E123" s="3" t="s">
        <v>55</v>
      </c>
      <c r="F123" s="3" t="s">
        <v>82</v>
      </c>
      <c r="H123" s="3" t="s">
        <v>78</v>
      </c>
    </row>
    <row r="124" spans="5:5">
      <c r="E124" s="3" t="s">
        <v>55</v>
      </c>
    </row>
    <row r="125" spans="5:6">
      <c r="E125" s="3" t="s">
        <v>55</v>
      </c>
      <c r="F125" s="3" t="str">
        <f>IF(B125="","",$F$48)</f>
        <v/>
      </c>
    </row>
    <row r="126" spans="2:8">
      <c r="B126" s="3" t="str">
        <f t="shared" ref="B126:B131" si="4">H126&amp;"_"&amp;F126</f>
        <v>frag_4_1_m_marble</v>
      </c>
      <c r="C126" s="3">
        <v>1400</v>
      </c>
      <c r="D126" s="5" t="s">
        <v>21</v>
      </c>
      <c r="E126" s="3" t="s">
        <v>24</v>
      </c>
      <c r="F126" s="3" t="s">
        <v>83</v>
      </c>
      <c r="H126" s="3" t="s">
        <v>23</v>
      </c>
    </row>
    <row r="127" spans="4:6">
      <c r="D127" s="5"/>
      <c r="E127" s="3" t="s">
        <v>24</v>
      </c>
      <c r="F127" s="3" t="s">
        <v>81</v>
      </c>
    </row>
    <row r="128" spans="2:8">
      <c r="B128" s="3" t="str">
        <f t="shared" si="4"/>
        <v>frag_4_2_m_marble</v>
      </c>
      <c r="C128" s="3">
        <v>1400</v>
      </c>
      <c r="D128" s="5" t="s">
        <v>21</v>
      </c>
      <c r="E128" s="3" t="s">
        <v>24</v>
      </c>
      <c r="F128" s="3" t="s">
        <v>83</v>
      </c>
      <c r="H128" s="3" t="s">
        <v>25</v>
      </c>
    </row>
    <row r="129" spans="4:6">
      <c r="D129" s="5"/>
      <c r="E129" s="3" t="s">
        <v>27</v>
      </c>
      <c r="F129" s="3" t="s">
        <v>81</v>
      </c>
    </row>
    <row r="130" spans="4:6">
      <c r="D130" s="5"/>
      <c r="E130" s="3" t="s">
        <v>27</v>
      </c>
      <c r="F130" s="3" t="s">
        <v>81</v>
      </c>
    </row>
    <row r="131" spans="2:8">
      <c r="B131" s="3" t="str">
        <f t="shared" si="4"/>
        <v>frag_4_3_m_marble</v>
      </c>
      <c r="C131" s="3">
        <v>1400</v>
      </c>
      <c r="D131" s="5" t="s">
        <v>21</v>
      </c>
      <c r="E131" s="3" t="s">
        <v>24</v>
      </c>
      <c r="F131" s="3" t="s">
        <v>83</v>
      </c>
      <c r="H131" s="3" t="s">
        <v>28</v>
      </c>
    </row>
    <row r="132" spans="4:6">
      <c r="D132" s="5"/>
      <c r="E132" s="3" t="s">
        <v>29</v>
      </c>
      <c r="F132" s="3" t="s">
        <v>81</v>
      </c>
    </row>
    <row r="133" spans="4:6">
      <c r="D133" s="5"/>
      <c r="E133" s="3" t="s">
        <v>29</v>
      </c>
      <c r="F133" s="3" t="s">
        <v>81</v>
      </c>
    </row>
    <row r="134" spans="2:8">
      <c r="B134" s="3" t="str">
        <f>H134&amp;"_"&amp;F134</f>
        <v>frag_4_4_m_marble</v>
      </c>
      <c r="C134" s="3">
        <v>1400</v>
      </c>
      <c r="D134" s="5" t="s">
        <v>21</v>
      </c>
      <c r="E134" s="3" t="s">
        <v>29</v>
      </c>
      <c r="F134" s="3" t="s">
        <v>83</v>
      </c>
      <c r="H134" s="3" t="s">
        <v>32</v>
      </c>
    </row>
    <row r="135" spans="4:6">
      <c r="D135" s="5"/>
      <c r="E135" s="3" t="s">
        <v>24</v>
      </c>
      <c r="F135" s="3" t="s">
        <v>81</v>
      </c>
    </row>
    <row r="136" spans="4:6">
      <c r="D136" s="5"/>
      <c r="E136" s="3" t="s">
        <v>27</v>
      </c>
      <c r="F136" s="3" t="s">
        <v>81</v>
      </c>
    </row>
    <row r="137" spans="2:8">
      <c r="B137" s="3" t="str">
        <f>H137&amp;"_"&amp;F137</f>
        <v>frag_4_5_m_marble</v>
      </c>
      <c r="C137" s="3">
        <v>1400</v>
      </c>
      <c r="D137" s="5" t="s">
        <v>21</v>
      </c>
      <c r="E137" s="3" t="s">
        <v>27</v>
      </c>
      <c r="F137" s="3" t="s">
        <v>83</v>
      </c>
      <c r="H137" s="3" t="s">
        <v>36</v>
      </c>
    </row>
    <row r="138" spans="4:6">
      <c r="D138" s="5"/>
      <c r="E138" s="3" t="s">
        <v>24</v>
      </c>
      <c r="F138" s="3" t="s">
        <v>81</v>
      </c>
    </row>
    <row r="139" spans="4:6">
      <c r="D139" s="5"/>
      <c r="E139" s="3" t="s">
        <v>29</v>
      </c>
      <c r="F139" s="3" t="s">
        <v>81</v>
      </c>
    </row>
    <row r="140" spans="2:8">
      <c r="B140" s="3" t="str">
        <f>H140&amp;"_"&amp;F140</f>
        <v>frag_4_6_m_marble</v>
      </c>
      <c r="C140" s="3">
        <v>1400</v>
      </c>
      <c r="D140" s="5" t="s">
        <v>21</v>
      </c>
      <c r="E140" s="3" t="s">
        <v>22</v>
      </c>
      <c r="F140" s="3" t="s">
        <v>83</v>
      </c>
      <c r="H140" s="3" t="s">
        <v>41</v>
      </c>
    </row>
    <row r="141" spans="4:6">
      <c r="D141" s="5"/>
      <c r="E141" s="3" t="s">
        <v>22</v>
      </c>
      <c r="F141" s="3" t="s">
        <v>81</v>
      </c>
    </row>
    <row r="142" spans="4:6">
      <c r="D142" s="5"/>
      <c r="E142" s="3" t="s">
        <v>22</v>
      </c>
      <c r="F142" s="3" t="s">
        <v>81</v>
      </c>
    </row>
    <row r="143" spans="4:6">
      <c r="D143" s="5"/>
      <c r="E143" s="3" t="s">
        <v>22</v>
      </c>
      <c r="F143" s="3" t="s">
        <v>81</v>
      </c>
    </row>
    <row r="144" spans="2:8">
      <c r="B144" s="3" t="str">
        <f t="shared" ref="B144:B148" si="5">H144&amp;"_"&amp;F144</f>
        <v>frag_5_1_m_marble</v>
      </c>
      <c r="C144" s="3">
        <v>1400</v>
      </c>
      <c r="D144" s="4" t="s">
        <v>47</v>
      </c>
      <c r="E144" s="3" t="s">
        <v>19</v>
      </c>
      <c r="F144" s="3" t="s">
        <v>83</v>
      </c>
      <c r="H144" s="3" t="s">
        <v>46</v>
      </c>
    </row>
    <row r="145" spans="5:6">
      <c r="E145" s="3" t="s">
        <v>49</v>
      </c>
      <c r="F145" s="3" t="s">
        <v>81</v>
      </c>
    </row>
    <row r="146" spans="2:8">
      <c r="B146" s="3" t="str">
        <f t="shared" si="5"/>
        <v>frag_5_2_m_marble</v>
      </c>
      <c r="C146" s="3">
        <v>1400</v>
      </c>
      <c r="D146" s="4" t="s">
        <v>47</v>
      </c>
      <c r="E146" s="3" t="s">
        <v>19</v>
      </c>
      <c r="F146" s="3" t="s">
        <v>83</v>
      </c>
      <c r="H146" s="3" t="s">
        <v>52</v>
      </c>
    </row>
    <row r="147" spans="5:6">
      <c r="E147" s="3" t="s">
        <v>53</v>
      </c>
      <c r="F147" s="3" t="s">
        <v>81</v>
      </c>
    </row>
    <row r="148" spans="2:8">
      <c r="B148" s="3" t="str">
        <f t="shared" si="5"/>
        <v>frag_5_3_m_marble</v>
      </c>
      <c r="C148" s="3">
        <v>1400</v>
      </c>
      <c r="D148" s="4" t="s">
        <v>47</v>
      </c>
      <c r="E148" s="3" t="s">
        <v>55</v>
      </c>
      <c r="F148" s="3" t="s">
        <v>83</v>
      </c>
      <c r="H148" s="3" t="s">
        <v>54</v>
      </c>
    </row>
    <row r="149" spans="5:6">
      <c r="E149" s="3" t="s">
        <v>56</v>
      </c>
      <c r="F149" s="3" t="s">
        <v>81</v>
      </c>
    </row>
    <row r="150" spans="2:8">
      <c r="B150" s="3" t="str">
        <f t="shared" ref="B150:B154" si="6">H150&amp;"_"&amp;F150</f>
        <v>frag_5_4_m_marble</v>
      </c>
      <c r="C150" s="3">
        <v>1400</v>
      </c>
      <c r="D150" s="4" t="s">
        <v>47</v>
      </c>
      <c r="E150" s="3" t="s">
        <v>55</v>
      </c>
      <c r="F150" s="3" t="s">
        <v>83</v>
      </c>
      <c r="H150" s="3" t="s">
        <v>57</v>
      </c>
    </row>
    <row r="151" spans="5:6">
      <c r="E151" s="3" t="s">
        <v>59</v>
      </c>
      <c r="F151" s="3" t="s">
        <v>81</v>
      </c>
    </row>
    <row r="152" spans="2:8">
      <c r="B152" s="3" t="str">
        <f t="shared" si="6"/>
        <v>frag_6_1_m_marble</v>
      </c>
      <c r="C152" s="3">
        <v>1400</v>
      </c>
      <c r="D152" s="4" t="s">
        <v>62</v>
      </c>
      <c r="E152" s="3" t="s">
        <v>55</v>
      </c>
      <c r="F152" s="3" t="s">
        <v>83</v>
      </c>
      <c r="H152" s="3" t="s">
        <v>61</v>
      </c>
    </row>
    <row r="153" spans="5:6">
      <c r="E153" s="3" t="s">
        <v>55</v>
      </c>
      <c r="F153" s="3" t="s">
        <v>81</v>
      </c>
    </row>
    <row r="154" spans="2:8">
      <c r="B154" s="3" t="str">
        <f t="shared" si="6"/>
        <v>frag_6_2_m_marble</v>
      </c>
      <c r="C154" s="3">
        <v>1400</v>
      </c>
      <c r="D154" s="5" t="s">
        <v>62</v>
      </c>
      <c r="E154" s="3" t="s">
        <v>55</v>
      </c>
      <c r="F154" s="3" t="s">
        <v>83</v>
      </c>
      <c r="H154" s="3" t="s">
        <v>65</v>
      </c>
    </row>
    <row r="155" spans="5:6">
      <c r="E155" s="3" t="s">
        <v>59</v>
      </c>
      <c r="F155" s="3" t="s">
        <v>81</v>
      </c>
    </row>
    <row r="156" spans="5:6">
      <c r="E156" s="3" t="s">
        <v>67</v>
      </c>
      <c r="F156" s="3" t="s">
        <v>81</v>
      </c>
    </row>
    <row r="157" spans="2:8">
      <c r="B157" s="3" t="str">
        <f t="shared" ref="B157:B162" si="7">H157&amp;"_"&amp;F157</f>
        <v>frag_6_3_m_marble</v>
      </c>
      <c r="C157" s="3">
        <v>1400</v>
      </c>
      <c r="D157" s="4" t="s">
        <v>62</v>
      </c>
      <c r="E157" s="3" t="s">
        <v>55</v>
      </c>
      <c r="F157" s="3" t="s">
        <v>83</v>
      </c>
      <c r="H157" s="3" t="s">
        <v>68</v>
      </c>
    </row>
    <row r="158" spans="5:6">
      <c r="E158" s="3" t="s">
        <v>56</v>
      </c>
      <c r="F158" s="3" t="s">
        <v>81</v>
      </c>
    </row>
    <row r="159" spans="5:6">
      <c r="E159" s="3" t="s">
        <v>72</v>
      </c>
      <c r="F159" s="3" t="s">
        <v>81</v>
      </c>
    </row>
    <row r="160" spans="2:8">
      <c r="B160" s="3" t="str">
        <f t="shared" si="7"/>
        <v>frag_8_1_m_marble</v>
      </c>
      <c r="C160" s="3">
        <v>1400</v>
      </c>
      <c r="D160" s="4" t="s">
        <v>75</v>
      </c>
      <c r="E160" s="3" t="s">
        <v>19</v>
      </c>
      <c r="F160" s="3" t="s">
        <v>83</v>
      </c>
      <c r="H160" s="3" t="s">
        <v>74</v>
      </c>
    </row>
    <row r="161" spans="5:7">
      <c r="E161" s="3" t="s">
        <v>19</v>
      </c>
      <c r="F161" s="3"/>
      <c r="G161" s="3" t="str">
        <f>IF(B161="","",B161&amp;"_marble")</f>
        <v/>
      </c>
    </row>
    <row r="162" spans="2:8">
      <c r="B162" s="3" t="str">
        <f t="shared" si="7"/>
        <v>frag_9_1_m_marble</v>
      </c>
      <c r="C162" s="3">
        <v>1400</v>
      </c>
      <c r="D162" s="4" t="s">
        <v>75</v>
      </c>
      <c r="E162" s="3" t="s">
        <v>55</v>
      </c>
      <c r="F162" s="3" t="s">
        <v>83</v>
      </c>
      <c r="H162" s="3" t="s">
        <v>78</v>
      </c>
    </row>
    <row r="163" spans="5:5">
      <c r="E163" s="3" t="s">
        <v>55</v>
      </c>
    </row>
    <row r="164" spans="5:6">
      <c r="E164" s="3" t="s">
        <v>55</v>
      </c>
      <c r="F164" s="3" t="str">
        <f>IF(B164="","",$F$48)</f>
        <v/>
      </c>
    </row>
    <row r="165" spans="2:8">
      <c r="B165" s="3" t="str">
        <f t="shared" ref="B165:B170" si="8">H165&amp;"_"&amp;F165</f>
        <v>frag_4_1_m_obsidian</v>
      </c>
      <c r="C165" s="3">
        <v>1400</v>
      </c>
      <c r="D165" s="5" t="s">
        <v>21</v>
      </c>
      <c r="E165" s="3" t="s">
        <v>24</v>
      </c>
      <c r="F165" s="3" t="s">
        <v>84</v>
      </c>
      <c r="H165" s="3" t="s">
        <v>23</v>
      </c>
    </row>
    <row r="166" spans="4:6">
      <c r="D166" s="5"/>
      <c r="E166" s="3" t="s">
        <v>24</v>
      </c>
      <c r="F166" s="3" t="s">
        <v>81</v>
      </c>
    </row>
    <row r="167" spans="2:8">
      <c r="B167" s="3" t="str">
        <f t="shared" si="8"/>
        <v>frag_4_2_m_obsidian</v>
      </c>
      <c r="C167" s="3">
        <v>1400</v>
      </c>
      <c r="D167" s="5" t="s">
        <v>21</v>
      </c>
      <c r="E167" s="3" t="s">
        <v>24</v>
      </c>
      <c r="F167" s="3" t="s">
        <v>84</v>
      </c>
      <c r="H167" s="3" t="s">
        <v>25</v>
      </c>
    </row>
    <row r="168" spans="4:6">
      <c r="D168" s="5"/>
      <c r="E168" s="3" t="s">
        <v>27</v>
      </c>
      <c r="F168" s="3" t="s">
        <v>81</v>
      </c>
    </row>
    <row r="169" spans="4:6">
      <c r="D169" s="5"/>
      <c r="E169" s="3" t="s">
        <v>27</v>
      </c>
      <c r="F169" s="3" t="s">
        <v>81</v>
      </c>
    </row>
    <row r="170" spans="2:8">
      <c r="B170" s="3" t="str">
        <f t="shared" si="8"/>
        <v>frag_4_3_m_obsidian</v>
      </c>
      <c r="C170" s="3">
        <v>1400</v>
      </c>
      <c r="D170" s="5" t="s">
        <v>21</v>
      </c>
      <c r="E170" s="3" t="s">
        <v>24</v>
      </c>
      <c r="F170" s="3" t="s">
        <v>84</v>
      </c>
      <c r="H170" s="3" t="s">
        <v>28</v>
      </c>
    </row>
    <row r="171" spans="4:6">
      <c r="D171" s="5"/>
      <c r="E171" s="3" t="s">
        <v>29</v>
      </c>
      <c r="F171" s="3" t="s">
        <v>81</v>
      </c>
    </row>
    <row r="172" spans="4:6">
      <c r="D172" s="5"/>
      <c r="E172" s="3" t="s">
        <v>29</v>
      </c>
      <c r="F172" s="3" t="s">
        <v>81</v>
      </c>
    </row>
    <row r="173" spans="2:8">
      <c r="B173" s="3" t="str">
        <f>H173&amp;"_"&amp;F173</f>
        <v>frag_4_4_m_obsidian</v>
      </c>
      <c r="C173" s="3">
        <v>1400</v>
      </c>
      <c r="D173" s="5" t="s">
        <v>21</v>
      </c>
      <c r="E173" s="3" t="s">
        <v>29</v>
      </c>
      <c r="F173" s="3" t="s">
        <v>84</v>
      </c>
      <c r="H173" s="3" t="s">
        <v>32</v>
      </c>
    </row>
    <row r="174" spans="4:6">
      <c r="D174" s="5"/>
      <c r="E174" s="3" t="s">
        <v>24</v>
      </c>
      <c r="F174" s="3" t="s">
        <v>81</v>
      </c>
    </row>
    <row r="175" spans="4:6">
      <c r="D175" s="5"/>
      <c r="E175" s="3" t="s">
        <v>27</v>
      </c>
      <c r="F175" s="3" t="s">
        <v>81</v>
      </c>
    </row>
    <row r="176" spans="2:8">
      <c r="B176" s="3" t="str">
        <f>H176&amp;"_"&amp;F176</f>
        <v>frag_4_5_m_obsidian</v>
      </c>
      <c r="C176" s="3">
        <v>1400</v>
      </c>
      <c r="D176" s="5" t="s">
        <v>21</v>
      </c>
      <c r="E176" s="3" t="s">
        <v>27</v>
      </c>
      <c r="F176" s="3" t="s">
        <v>84</v>
      </c>
      <c r="H176" s="3" t="s">
        <v>36</v>
      </c>
    </row>
    <row r="177" spans="4:6">
      <c r="D177" s="5"/>
      <c r="E177" s="3" t="s">
        <v>24</v>
      </c>
      <c r="F177" s="3" t="s">
        <v>81</v>
      </c>
    </row>
    <row r="178" spans="4:6">
      <c r="D178" s="5"/>
      <c r="E178" s="3" t="s">
        <v>29</v>
      </c>
      <c r="F178" s="3" t="s">
        <v>81</v>
      </c>
    </row>
    <row r="179" spans="2:8">
      <c r="B179" s="3" t="str">
        <f>H179&amp;"_"&amp;F179</f>
        <v>frag_4_6_m_obsidian</v>
      </c>
      <c r="C179" s="3">
        <v>1400</v>
      </c>
      <c r="D179" s="5" t="s">
        <v>21</v>
      </c>
      <c r="E179" s="3" t="s">
        <v>22</v>
      </c>
      <c r="F179" s="3" t="s">
        <v>84</v>
      </c>
      <c r="H179" s="3" t="s">
        <v>41</v>
      </c>
    </row>
    <row r="180" spans="4:6">
      <c r="D180" s="5"/>
      <c r="E180" s="3" t="s">
        <v>22</v>
      </c>
      <c r="F180" s="3" t="s">
        <v>81</v>
      </c>
    </row>
    <row r="181" spans="4:6">
      <c r="D181" s="5"/>
      <c r="E181" s="3" t="s">
        <v>22</v>
      </c>
      <c r="F181" s="3" t="s">
        <v>81</v>
      </c>
    </row>
    <row r="182" spans="4:6">
      <c r="D182" s="5"/>
      <c r="E182" s="3" t="s">
        <v>22</v>
      </c>
      <c r="F182" s="3" t="s">
        <v>81</v>
      </c>
    </row>
    <row r="183" spans="2:8">
      <c r="B183" s="3" t="str">
        <f t="shared" ref="B183:B187" si="9">H183&amp;"_"&amp;F183</f>
        <v>frag_5_1_m_obsidian</v>
      </c>
      <c r="C183" s="3">
        <v>1400</v>
      </c>
      <c r="D183" s="4" t="s">
        <v>47</v>
      </c>
      <c r="E183" s="3" t="s">
        <v>19</v>
      </c>
      <c r="F183" s="3" t="s">
        <v>84</v>
      </c>
      <c r="H183" s="3" t="s">
        <v>46</v>
      </c>
    </row>
    <row r="184" spans="5:6">
      <c r="E184" s="3" t="s">
        <v>49</v>
      </c>
      <c r="F184" s="3" t="s">
        <v>81</v>
      </c>
    </row>
    <row r="185" spans="2:8">
      <c r="B185" s="3" t="str">
        <f t="shared" si="9"/>
        <v>frag_5_2_m_obsidian</v>
      </c>
      <c r="C185" s="3">
        <v>1400</v>
      </c>
      <c r="D185" s="4" t="s">
        <v>47</v>
      </c>
      <c r="E185" s="3" t="s">
        <v>19</v>
      </c>
      <c r="F185" s="3" t="s">
        <v>84</v>
      </c>
      <c r="H185" s="3" t="s">
        <v>52</v>
      </c>
    </row>
    <row r="186" spans="5:6">
      <c r="E186" s="3" t="s">
        <v>53</v>
      </c>
      <c r="F186" s="3" t="s">
        <v>81</v>
      </c>
    </row>
    <row r="187" spans="2:8">
      <c r="B187" s="3" t="str">
        <f t="shared" si="9"/>
        <v>frag_5_3_m_obsidian</v>
      </c>
      <c r="C187" s="3">
        <v>1400</v>
      </c>
      <c r="D187" s="4" t="s">
        <v>47</v>
      </c>
      <c r="E187" s="3" t="s">
        <v>55</v>
      </c>
      <c r="F187" s="3" t="s">
        <v>84</v>
      </c>
      <c r="H187" s="3" t="s">
        <v>54</v>
      </c>
    </row>
    <row r="188" spans="5:6">
      <c r="E188" s="3" t="s">
        <v>56</v>
      </c>
      <c r="F188" s="3" t="s">
        <v>81</v>
      </c>
    </row>
    <row r="189" spans="2:8">
      <c r="B189" s="3" t="str">
        <f t="shared" ref="B189:B193" si="10">H189&amp;"_"&amp;F189</f>
        <v>frag_5_4_m_obsidian</v>
      </c>
      <c r="C189" s="3">
        <v>1400</v>
      </c>
      <c r="D189" s="4" t="s">
        <v>47</v>
      </c>
      <c r="E189" s="3" t="s">
        <v>55</v>
      </c>
      <c r="F189" s="3" t="s">
        <v>84</v>
      </c>
      <c r="H189" s="3" t="s">
        <v>57</v>
      </c>
    </row>
    <row r="190" spans="5:6">
      <c r="E190" s="3" t="s">
        <v>59</v>
      </c>
      <c r="F190" s="3" t="s">
        <v>81</v>
      </c>
    </row>
    <row r="191" spans="2:8">
      <c r="B191" s="3" t="str">
        <f t="shared" si="10"/>
        <v>frag_6_1_m_obsidian</v>
      </c>
      <c r="C191" s="3">
        <v>1400</v>
      </c>
      <c r="D191" s="4" t="s">
        <v>62</v>
      </c>
      <c r="E191" s="3" t="s">
        <v>55</v>
      </c>
      <c r="F191" s="3" t="s">
        <v>84</v>
      </c>
      <c r="H191" s="3" t="s">
        <v>61</v>
      </c>
    </row>
    <row r="192" spans="5:6">
      <c r="E192" s="3" t="s">
        <v>55</v>
      </c>
      <c r="F192" s="3" t="s">
        <v>81</v>
      </c>
    </row>
    <row r="193" spans="2:8">
      <c r="B193" s="3" t="str">
        <f t="shared" si="10"/>
        <v>frag_6_2_m_obsidian</v>
      </c>
      <c r="C193" s="3">
        <v>1400</v>
      </c>
      <c r="D193" s="5" t="s">
        <v>62</v>
      </c>
      <c r="E193" s="3" t="s">
        <v>55</v>
      </c>
      <c r="F193" s="3" t="s">
        <v>84</v>
      </c>
      <c r="H193" s="3" t="s">
        <v>65</v>
      </c>
    </row>
    <row r="194" spans="5:6">
      <c r="E194" s="3" t="s">
        <v>59</v>
      </c>
      <c r="F194" s="3" t="s">
        <v>81</v>
      </c>
    </row>
    <row r="195" spans="5:6">
      <c r="E195" s="3" t="s">
        <v>67</v>
      </c>
      <c r="F195" s="3" t="s">
        <v>81</v>
      </c>
    </row>
    <row r="196" spans="2:8">
      <c r="B196" s="3" t="str">
        <f t="shared" ref="B196:B201" si="11">H196&amp;"_"&amp;F196</f>
        <v>frag_6_3_m_obsidian</v>
      </c>
      <c r="C196" s="3">
        <v>1400</v>
      </c>
      <c r="D196" s="4" t="s">
        <v>62</v>
      </c>
      <c r="E196" s="3" t="s">
        <v>55</v>
      </c>
      <c r="F196" s="3" t="s">
        <v>84</v>
      </c>
      <c r="H196" s="3" t="s">
        <v>68</v>
      </c>
    </row>
    <row r="197" spans="5:6">
      <c r="E197" s="3" t="s">
        <v>56</v>
      </c>
      <c r="F197" s="3" t="s">
        <v>81</v>
      </c>
    </row>
    <row r="198" spans="5:6">
      <c r="E198" s="3" t="s">
        <v>72</v>
      </c>
      <c r="F198" s="3" t="s">
        <v>81</v>
      </c>
    </row>
    <row r="199" spans="2:8">
      <c r="B199" s="3" t="str">
        <f t="shared" si="11"/>
        <v>frag_8_1_m_obsidian</v>
      </c>
      <c r="C199" s="3">
        <v>1400</v>
      </c>
      <c r="D199" s="4" t="s">
        <v>75</v>
      </c>
      <c r="E199" s="3" t="s">
        <v>19</v>
      </c>
      <c r="F199" s="3" t="s">
        <v>84</v>
      </c>
      <c r="H199" s="3" t="s">
        <v>74</v>
      </c>
    </row>
    <row r="200" spans="5:7">
      <c r="E200" s="3" t="s">
        <v>19</v>
      </c>
      <c r="F200" s="3"/>
      <c r="G200" s="3" t="str">
        <f>IF(B200="","",B200&amp;"_obsidian")</f>
        <v/>
      </c>
    </row>
    <row r="201" spans="2:8">
      <c r="B201" s="3" t="str">
        <f t="shared" si="11"/>
        <v>frag_9_1_m_obsidian</v>
      </c>
      <c r="C201" s="3">
        <v>1400</v>
      </c>
      <c r="D201" s="4" t="s">
        <v>75</v>
      </c>
      <c r="E201" s="3" t="s">
        <v>55</v>
      </c>
      <c r="F201" s="3" t="s">
        <v>84</v>
      </c>
      <c r="H201" s="3" t="s">
        <v>78</v>
      </c>
    </row>
    <row r="202" spans="5:5">
      <c r="E202" s="3" t="s">
        <v>55</v>
      </c>
    </row>
    <row r="203" spans="5:6">
      <c r="E203" s="3" t="s">
        <v>55</v>
      </c>
      <c r="F203" s="3" t="str">
        <f>IF(B203="","",$F$48)</f>
        <v/>
      </c>
    </row>
    <row r="204" spans="2:8">
      <c r="B204" s="3" t="str">
        <f t="shared" ref="B204:B209" si="12">H204&amp;"_"&amp;F204</f>
        <v>frag_4_1_m_emerald</v>
      </c>
      <c r="C204" s="3">
        <v>1400</v>
      </c>
      <c r="D204" s="5" t="s">
        <v>21</v>
      </c>
      <c r="E204" s="3" t="s">
        <v>24</v>
      </c>
      <c r="F204" s="3" t="s">
        <v>85</v>
      </c>
      <c r="H204" s="3" t="s">
        <v>23</v>
      </c>
    </row>
    <row r="205" spans="4:6">
      <c r="D205" s="5"/>
      <c r="E205" s="3" t="s">
        <v>24</v>
      </c>
      <c r="F205" s="3" t="s">
        <v>81</v>
      </c>
    </row>
    <row r="206" spans="2:8">
      <c r="B206" s="3" t="str">
        <f t="shared" si="12"/>
        <v>frag_4_2_m_emerald</v>
      </c>
      <c r="C206" s="3">
        <v>1400</v>
      </c>
      <c r="D206" s="5" t="s">
        <v>21</v>
      </c>
      <c r="E206" s="3" t="s">
        <v>24</v>
      </c>
      <c r="F206" s="3" t="s">
        <v>85</v>
      </c>
      <c r="H206" s="3" t="s">
        <v>25</v>
      </c>
    </row>
    <row r="207" spans="4:6">
      <c r="D207" s="5"/>
      <c r="E207" s="3" t="s">
        <v>27</v>
      </c>
      <c r="F207" s="3" t="s">
        <v>81</v>
      </c>
    </row>
    <row r="208" spans="4:6">
      <c r="D208" s="5"/>
      <c r="E208" s="3" t="s">
        <v>27</v>
      </c>
      <c r="F208" s="3" t="s">
        <v>81</v>
      </c>
    </row>
    <row r="209" spans="2:8">
      <c r="B209" s="3" t="str">
        <f t="shared" si="12"/>
        <v>frag_4_3_m_emerald</v>
      </c>
      <c r="C209" s="3">
        <v>1400</v>
      </c>
      <c r="D209" s="5" t="s">
        <v>21</v>
      </c>
      <c r="E209" s="3" t="s">
        <v>24</v>
      </c>
      <c r="F209" s="3" t="s">
        <v>85</v>
      </c>
      <c r="H209" s="3" t="s">
        <v>28</v>
      </c>
    </row>
    <row r="210" spans="4:6">
      <c r="D210" s="5"/>
      <c r="E210" s="3" t="s">
        <v>29</v>
      </c>
      <c r="F210" s="3" t="s">
        <v>81</v>
      </c>
    </row>
    <row r="211" spans="4:6">
      <c r="D211" s="5"/>
      <c r="E211" s="3" t="s">
        <v>29</v>
      </c>
      <c r="F211" s="3" t="s">
        <v>81</v>
      </c>
    </row>
    <row r="212" spans="2:8">
      <c r="B212" s="3" t="str">
        <f>H212&amp;"_"&amp;F212</f>
        <v>frag_4_4_m_emerald</v>
      </c>
      <c r="C212" s="3">
        <v>1400</v>
      </c>
      <c r="D212" s="5" t="s">
        <v>21</v>
      </c>
      <c r="E212" s="3" t="s">
        <v>29</v>
      </c>
      <c r="F212" s="3" t="s">
        <v>85</v>
      </c>
      <c r="H212" s="3" t="s">
        <v>32</v>
      </c>
    </row>
    <row r="213" spans="4:6">
      <c r="D213" s="5"/>
      <c r="E213" s="3" t="s">
        <v>24</v>
      </c>
      <c r="F213" s="3" t="s">
        <v>81</v>
      </c>
    </row>
    <row r="214" spans="4:6">
      <c r="D214" s="5"/>
      <c r="E214" s="3" t="s">
        <v>27</v>
      </c>
      <c r="F214" s="3" t="s">
        <v>81</v>
      </c>
    </row>
    <row r="215" spans="2:8">
      <c r="B215" s="3" t="str">
        <f>H215&amp;"_"&amp;F215</f>
        <v>frag_4_5_m_emerald</v>
      </c>
      <c r="C215" s="3">
        <v>1400</v>
      </c>
      <c r="D215" s="5" t="s">
        <v>21</v>
      </c>
      <c r="E215" s="3" t="s">
        <v>27</v>
      </c>
      <c r="F215" s="3" t="s">
        <v>85</v>
      </c>
      <c r="H215" s="3" t="s">
        <v>36</v>
      </c>
    </row>
    <row r="216" spans="4:6">
      <c r="D216" s="5"/>
      <c r="E216" s="3" t="s">
        <v>24</v>
      </c>
      <c r="F216" s="3" t="s">
        <v>81</v>
      </c>
    </row>
    <row r="217" spans="4:6">
      <c r="D217" s="5"/>
      <c r="E217" s="3" t="s">
        <v>29</v>
      </c>
      <c r="F217" s="3" t="s">
        <v>81</v>
      </c>
    </row>
    <row r="218" spans="2:8">
      <c r="B218" s="3" t="str">
        <f>H218&amp;"_"&amp;F218</f>
        <v>frag_4_6_m_emerald</v>
      </c>
      <c r="C218" s="3">
        <v>1400</v>
      </c>
      <c r="D218" s="5" t="s">
        <v>21</v>
      </c>
      <c r="E218" s="3" t="s">
        <v>22</v>
      </c>
      <c r="F218" s="3" t="s">
        <v>85</v>
      </c>
      <c r="H218" s="3" t="s">
        <v>41</v>
      </c>
    </row>
    <row r="219" spans="4:6">
      <c r="D219" s="5"/>
      <c r="E219" s="3" t="s">
        <v>22</v>
      </c>
      <c r="F219" s="3" t="s">
        <v>81</v>
      </c>
    </row>
    <row r="220" spans="4:6">
      <c r="D220" s="5"/>
      <c r="E220" s="3" t="s">
        <v>22</v>
      </c>
      <c r="F220" s="3" t="s">
        <v>81</v>
      </c>
    </row>
    <row r="221" spans="4:6">
      <c r="D221" s="5"/>
      <c r="E221" s="3" t="s">
        <v>22</v>
      </c>
      <c r="F221" s="3" t="s">
        <v>81</v>
      </c>
    </row>
    <row r="222" spans="2:8">
      <c r="B222" s="3" t="str">
        <f t="shared" ref="B222:B226" si="13">H222&amp;"_"&amp;F222</f>
        <v>frag_5_1_m_emerald</v>
      </c>
      <c r="C222" s="3">
        <v>1400</v>
      </c>
      <c r="D222" s="4" t="s">
        <v>47</v>
      </c>
      <c r="E222" s="3" t="s">
        <v>19</v>
      </c>
      <c r="F222" s="3" t="s">
        <v>85</v>
      </c>
      <c r="H222" s="3" t="s">
        <v>46</v>
      </c>
    </row>
    <row r="223" spans="5:6">
      <c r="E223" s="3" t="s">
        <v>49</v>
      </c>
      <c r="F223" s="3" t="s">
        <v>81</v>
      </c>
    </row>
    <row r="224" spans="2:8">
      <c r="B224" s="3" t="str">
        <f t="shared" si="13"/>
        <v>frag_5_2_m_emerald</v>
      </c>
      <c r="C224" s="3">
        <v>1400</v>
      </c>
      <c r="D224" s="4" t="s">
        <v>47</v>
      </c>
      <c r="E224" s="3" t="s">
        <v>19</v>
      </c>
      <c r="F224" s="3" t="s">
        <v>85</v>
      </c>
      <c r="H224" s="3" t="s">
        <v>52</v>
      </c>
    </row>
    <row r="225" spans="5:6">
      <c r="E225" s="3" t="s">
        <v>53</v>
      </c>
      <c r="F225" s="3" t="s">
        <v>81</v>
      </c>
    </row>
    <row r="226" spans="2:8">
      <c r="B226" s="3" t="str">
        <f t="shared" si="13"/>
        <v>frag_5_3_m_emerald</v>
      </c>
      <c r="C226" s="3">
        <v>1400</v>
      </c>
      <c r="D226" s="4" t="s">
        <v>47</v>
      </c>
      <c r="E226" s="3" t="s">
        <v>55</v>
      </c>
      <c r="F226" s="3" t="s">
        <v>85</v>
      </c>
      <c r="H226" s="3" t="s">
        <v>54</v>
      </c>
    </row>
    <row r="227" spans="5:6">
      <c r="E227" s="3" t="s">
        <v>56</v>
      </c>
      <c r="F227" s="3" t="s">
        <v>81</v>
      </c>
    </row>
    <row r="228" spans="2:8">
      <c r="B228" s="3" t="str">
        <f t="shared" ref="B228:B232" si="14">H228&amp;"_"&amp;F228</f>
        <v>frag_5_4_m_emerald</v>
      </c>
      <c r="C228" s="3">
        <v>1400</v>
      </c>
      <c r="D228" s="4" t="s">
        <v>47</v>
      </c>
      <c r="E228" s="3" t="s">
        <v>55</v>
      </c>
      <c r="F228" s="3" t="s">
        <v>85</v>
      </c>
      <c r="H228" s="3" t="s">
        <v>57</v>
      </c>
    </row>
    <row r="229" spans="5:6">
      <c r="E229" s="3" t="s">
        <v>59</v>
      </c>
      <c r="F229" s="3" t="s">
        <v>81</v>
      </c>
    </row>
    <row r="230" spans="2:8">
      <c r="B230" s="3" t="str">
        <f t="shared" si="14"/>
        <v>frag_6_1_m_emerald</v>
      </c>
      <c r="C230" s="3">
        <v>1400</v>
      </c>
      <c r="D230" s="4" t="s">
        <v>62</v>
      </c>
      <c r="E230" s="3" t="s">
        <v>55</v>
      </c>
      <c r="F230" s="3" t="s">
        <v>85</v>
      </c>
      <c r="H230" s="3" t="s">
        <v>61</v>
      </c>
    </row>
    <row r="231" spans="5:6">
      <c r="E231" s="3" t="s">
        <v>55</v>
      </c>
      <c r="F231" s="3" t="s">
        <v>81</v>
      </c>
    </row>
    <row r="232" spans="2:8">
      <c r="B232" s="3" t="str">
        <f t="shared" si="14"/>
        <v>frag_6_2_m_emerald</v>
      </c>
      <c r="C232" s="3">
        <v>1400</v>
      </c>
      <c r="D232" s="5" t="s">
        <v>62</v>
      </c>
      <c r="E232" s="3" t="s">
        <v>55</v>
      </c>
      <c r="F232" s="3" t="s">
        <v>85</v>
      </c>
      <c r="H232" s="3" t="s">
        <v>65</v>
      </c>
    </row>
    <row r="233" spans="5:6">
      <c r="E233" s="3" t="s">
        <v>59</v>
      </c>
      <c r="F233" s="3" t="s">
        <v>81</v>
      </c>
    </row>
    <row r="234" spans="5:6">
      <c r="E234" s="3" t="s">
        <v>67</v>
      </c>
      <c r="F234" s="3" t="s">
        <v>81</v>
      </c>
    </row>
    <row r="235" spans="2:8">
      <c r="B235" s="3" t="str">
        <f t="shared" ref="B235:B240" si="15">H235&amp;"_"&amp;F235</f>
        <v>frag_6_3_m_emerald</v>
      </c>
      <c r="C235" s="3">
        <v>1400</v>
      </c>
      <c r="D235" s="4" t="s">
        <v>62</v>
      </c>
      <c r="E235" s="3" t="s">
        <v>55</v>
      </c>
      <c r="F235" s="3" t="s">
        <v>85</v>
      </c>
      <c r="H235" s="3" t="s">
        <v>68</v>
      </c>
    </row>
    <row r="236" spans="5:6">
      <c r="E236" s="3" t="s">
        <v>56</v>
      </c>
      <c r="F236" s="3" t="s">
        <v>81</v>
      </c>
    </row>
    <row r="237" spans="5:6">
      <c r="E237" s="3" t="s">
        <v>72</v>
      </c>
      <c r="F237" s="3" t="s">
        <v>81</v>
      </c>
    </row>
    <row r="238" spans="2:8">
      <c r="B238" s="3" t="str">
        <f t="shared" si="15"/>
        <v>frag_8_1_m_emerald</v>
      </c>
      <c r="C238" s="3">
        <v>1400</v>
      </c>
      <c r="D238" s="4" t="s">
        <v>75</v>
      </c>
      <c r="E238" s="3" t="s">
        <v>19</v>
      </c>
      <c r="F238" s="3" t="s">
        <v>85</v>
      </c>
      <c r="H238" s="3" t="s">
        <v>74</v>
      </c>
    </row>
    <row r="239" spans="5:7">
      <c r="E239" s="3" t="s">
        <v>19</v>
      </c>
      <c r="F239" s="3"/>
      <c r="G239" s="3" t="str">
        <f>IF(B239="","",B239&amp;"_emerald")</f>
        <v/>
      </c>
    </row>
    <row r="240" spans="2:8">
      <c r="B240" s="3" t="str">
        <f t="shared" si="15"/>
        <v>frag_9_1_m_emerald</v>
      </c>
      <c r="C240" s="3">
        <v>1400</v>
      </c>
      <c r="D240" s="4" t="s">
        <v>75</v>
      </c>
      <c r="E240" s="3" t="s">
        <v>55</v>
      </c>
      <c r="F240" s="3" t="s">
        <v>85</v>
      </c>
      <c r="H240" s="3" t="s">
        <v>78</v>
      </c>
    </row>
    <row r="241" spans="5:5">
      <c r="E241" s="3" t="s">
        <v>55</v>
      </c>
    </row>
    <row r="242" spans="5:6">
      <c r="E242" s="3" t="s">
        <v>55</v>
      </c>
      <c r="F242" s="3" t="str">
        <f>IF(B242="","",$F$48)</f>
        <v/>
      </c>
    </row>
    <row r="243" spans="2:8">
      <c r="B243" s="3" t="str">
        <f t="shared" ref="B243:B248" si="16">H243&amp;"_"&amp;F243</f>
        <v>frag_4_1_m_gold</v>
      </c>
      <c r="C243" s="3">
        <v>1400</v>
      </c>
      <c r="D243" s="5" t="s">
        <v>21</v>
      </c>
      <c r="E243" s="3" t="s">
        <v>24</v>
      </c>
      <c r="F243" s="3" t="s">
        <v>86</v>
      </c>
      <c r="H243" s="3" t="s">
        <v>23</v>
      </c>
    </row>
    <row r="244" spans="4:6">
      <c r="D244" s="5"/>
      <c r="E244" s="3" t="s">
        <v>24</v>
      </c>
      <c r="F244" s="3" t="s">
        <v>81</v>
      </c>
    </row>
    <row r="245" spans="2:8">
      <c r="B245" s="3" t="str">
        <f t="shared" si="16"/>
        <v>frag_4_2_m_gold</v>
      </c>
      <c r="C245" s="3">
        <v>1400</v>
      </c>
      <c r="D245" s="5" t="s">
        <v>21</v>
      </c>
      <c r="E245" s="3" t="s">
        <v>24</v>
      </c>
      <c r="F245" s="3" t="s">
        <v>86</v>
      </c>
      <c r="H245" s="3" t="s">
        <v>25</v>
      </c>
    </row>
    <row r="246" spans="4:6">
      <c r="D246" s="5"/>
      <c r="E246" s="3" t="s">
        <v>27</v>
      </c>
      <c r="F246" s="3" t="s">
        <v>81</v>
      </c>
    </row>
    <row r="247" spans="4:6">
      <c r="D247" s="5"/>
      <c r="E247" s="3" t="s">
        <v>27</v>
      </c>
      <c r="F247" s="3" t="s">
        <v>81</v>
      </c>
    </row>
    <row r="248" spans="2:8">
      <c r="B248" s="3" t="str">
        <f t="shared" si="16"/>
        <v>frag_4_3_m_gold</v>
      </c>
      <c r="C248" s="3">
        <v>1400</v>
      </c>
      <c r="D248" s="5" t="s">
        <v>21</v>
      </c>
      <c r="E248" s="3" t="s">
        <v>24</v>
      </c>
      <c r="F248" s="3" t="s">
        <v>86</v>
      </c>
      <c r="H248" s="3" t="s">
        <v>28</v>
      </c>
    </row>
    <row r="249" spans="4:6">
      <c r="D249" s="5"/>
      <c r="E249" s="3" t="s">
        <v>29</v>
      </c>
      <c r="F249" s="3" t="s">
        <v>81</v>
      </c>
    </row>
    <row r="250" spans="4:6">
      <c r="D250" s="5"/>
      <c r="E250" s="3" t="s">
        <v>29</v>
      </c>
      <c r="F250" s="3" t="s">
        <v>81</v>
      </c>
    </row>
    <row r="251" spans="2:8">
      <c r="B251" s="3" t="str">
        <f>H251&amp;"_"&amp;F251</f>
        <v>frag_4_4_m_gold</v>
      </c>
      <c r="C251" s="3">
        <v>1400</v>
      </c>
      <c r="D251" s="5" t="s">
        <v>21</v>
      </c>
      <c r="E251" s="3" t="s">
        <v>29</v>
      </c>
      <c r="F251" s="3" t="s">
        <v>86</v>
      </c>
      <c r="H251" s="3" t="s">
        <v>32</v>
      </c>
    </row>
    <row r="252" spans="4:6">
      <c r="D252" s="5"/>
      <c r="E252" s="3" t="s">
        <v>24</v>
      </c>
      <c r="F252" s="3" t="s">
        <v>81</v>
      </c>
    </row>
    <row r="253" spans="4:6">
      <c r="D253" s="5"/>
      <c r="E253" s="3" t="s">
        <v>27</v>
      </c>
      <c r="F253" s="3" t="s">
        <v>81</v>
      </c>
    </row>
    <row r="254" spans="2:8">
      <c r="B254" s="3" t="str">
        <f>H254&amp;"_"&amp;F254</f>
        <v>frag_4_5_m_gold</v>
      </c>
      <c r="C254" s="3">
        <v>1400</v>
      </c>
      <c r="D254" s="5" t="s">
        <v>21</v>
      </c>
      <c r="E254" s="3" t="s">
        <v>27</v>
      </c>
      <c r="F254" s="3" t="s">
        <v>86</v>
      </c>
      <c r="H254" s="3" t="s">
        <v>36</v>
      </c>
    </row>
    <row r="255" spans="4:6">
      <c r="D255" s="5"/>
      <c r="E255" s="3" t="s">
        <v>24</v>
      </c>
      <c r="F255" s="3" t="s">
        <v>81</v>
      </c>
    </row>
    <row r="256" spans="4:6">
      <c r="D256" s="5"/>
      <c r="E256" s="3" t="s">
        <v>29</v>
      </c>
      <c r="F256" s="3" t="s">
        <v>81</v>
      </c>
    </row>
    <row r="257" spans="2:8">
      <c r="B257" s="3" t="str">
        <f>H257&amp;"_"&amp;F257</f>
        <v>frag_4_6_m_gold</v>
      </c>
      <c r="C257" s="3">
        <v>1400</v>
      </c>
      <c r="D257" s="5" t="s">
        <v>21</v>
      </c>
      <c r="E257" s="3" t="s">
        <v>22</v>
      </c>
      <c r="F257" s="3" t="s">
        <v>86</v>
      </c>
      <c r="H257" s="3" t="s">
        <v>41</v>
      </c>
    </row>
    <row r="258" spans="4:6">
      <c r="D258" s="5"/>
      <c r="E258" s="3" t="s">
        <v>22</v>
      </c>
      <c r="F258" s="3" t="s">
        <v>81</v>
      </c>
    </row>
    <row r="259" spans="4:6">
      <c r="D259" s="5"/>
      <c r="E259" s="3" t="s">
        <v>22</v>
      </c>
      <c r="F259" s="3" t="s">
        <v>81</v>
      </c>
    </row>
    <row r="260" spans="4:6">
      <c r="D260" s="5"/>
      <c r="E260" s="3" t="s">
        <v>22</v>
      </c>
      <c r="F260" s="3" t="s">
        <v>81</v>
      </c>
    </row>
    <row r="261" spans="2:8">
      <c r="B261" s="3" t="str">
        <f t="shared" ref="B261:B265" si="17">H261&amp;"_"&amp;F261</f>
        <v>frag_5_1_m_gold</v>
      </c>
      <c r="C261" s="3">
        <v>1400</v>
      </c>
      <c r="D261" s="4" t="s">
        <v>47</v>
      </c>
      <c r="E261" s="3" t="s">
        <v>19</v>
      </c>
      <c r="F261" s="3" t="s">
        <v>86</v>
      </c>
      <c r="H261" s="3" t="s">
        <v>46</v>
      </c>
    </row>
    <row r="262" spans="5:6">
      <c r="E262" s="3" t="s">
        <v>49</v>
      </c>
      <c r="F262" s="3" t="s">
        <v>81</v>
      </c>
    </row>
    <row r="263" spans="2:8">
      <c r="B263" s="3" t="str">
        <f t="shared" si="17"/>
        <v>frag_5_2_m_gold</v>
      </c>
      <c r="C263" s="3">
        <v>1400</v>
      </c>
      <c r="D263" s="4" t="s">
        <v>47</v>
      </c>
      <c r="E263" s="3" t="s">
        <v>19</v>
      </c>
      <c r="F263" s="3" t="s">
        <v>86</v>
      </c>
      <c r="H263" s="3" t="s">
        <v>52</v>
      </c>
    </row>
    <row r="264" spans="5:6">
      <c r="E264" s="3" t="s">
        <v>53</v>
      </c>
      <c r="F264" s="3" t="s">
        <v>81</v>
      </c>
    </row>
    <row r="265" spans="2:8">
      <c r="B265" s="3" t="str">
        <f t="shared" si="17"/>
        <v>frag_5_3_m_gold</v>
      </c>
      <c r="C265" s="3">
        <v>1400</v>
      </c>
      <c r="D265" s="4" t="s">
        <v>47</v>
      </c>
      <c r="E265" s="3" t="s">
        <v>55</v>
      </c>
      <c r="F265" s="3" t="s">
        <v>86</v>
      </c>
      <c r="H265" s="3" t="s">
        <v>54</v>
      </c>
    </row>
    <row r="266" spans="5:6">
      <c r="E266" s="3" t="s">
        <v>56</v>
      </c>
      <c r="F266" s="3" t="s">
        <v>81</v>
      </c>
    </row>
    <row r="267" spans="2:8">
      <c r="B267" s="3" t="str">
        <f t="shared" ref="B267:B271" si="18">H267&amp;"_"&amp;F267</f>
        <v>frag_5_4_m_gold</v>
      </c>
      <c r="C267" s="3">
        <v>1400</v>
      </c>
      <c r="D267" s="4" t="s">
        <v>47</v>
      </c>
      <c r="E267" s="3" t="s">
        <v>55</v>
      </c>
      <c r="F267" s="3" t="s">
        <v>86</v>
      </c>
      <c r="H267" s="3" t="s">
        <v>57</v>
      </c>
    </row>
    <row r="268" spans="5:6">
      <c r="E268" s="3" t="s">
        <v>59</v>
      </c>
      <c r="F268" s="3" t="s">
        <v>81</v>
      </c>
    </row>
    <row r="269" spans="2:8">
      <c r="B269" s="3" t="str">
        <f t="shared" si="18"/>
        <v>frag_6_1_m_gold</v>
      </c>
      <c r="C269" s="3">
        <v>1400</v>
      </c>
      <c r="D269" s="4" t="s">
        <v>62</v>
      </c>
      <c r="E269" s="3" t="s">
        <v>55</v>
      </c>
      <c r="F269" s="3" t="s">
        <v>86</v>
      </c>
      <c r="H269" s="3" t="s">
        <v>61</v>
      </c>
    </row>
    <row r="270" spans="5:6">
      <c r="E270" s="3" t="s">
        <v>55</v>
      </c>
      <c r="F270" s="3" t="s">
        <v>81</v>
      </c>
    </row>
    <row r="271" spans="2:8">
      <c r="B271" s="3" t="str">
        <f t="shared" si="18"/>
        <v>frag_6_2_m_gold</v>
      </c>
      <c r="C271" s="3">
        <v>1400</v>
      </c>
      <c r="D271" s="5" t="s">
        <v>62</v>
      </c>
      <c r="E271" s="3" t="s">
        <v>55</v>
      </c>
      <c r="F271" s="3" t="s">
        <v>86</v>
      </c>
      <c r="H271" s="3" t="s">
        <v>65</v>
      </c>
    </row>
    <row r="272" spans="5:6">
      <c r="E272" s="3" t="s">
        <v>59</v>
      </c>
      <c r="F272" s="3" t="s">
        <v>81</v>
      </c>
    </row>
    <row r="273" spans="5:6">
      <c r="E273" s="3" t="s">
        <v>67</v>
      </c>
      <c r="F273" s="3" t="s">
        <v>81</v>
      </c>
    </row>
    <row r="274" spans="2:8">
      <c r="B274" s="3" t="str">
        <f t="shared" ref="B274:B279" si="19">H274&amp;"_"&amp;F274</f>
        <v>frag_6_3_m_gold</v>
      </c>
      <c r="C274" s="3">
        <v>1400</v>
      </c>
      <c r="D274" s="4" t="s">
        <v>62</v>
      </c>
      <c r="E274" s="3" t="s">
        <v>55</v>
      </c>
      <c r="F274" s="3" t="s">
        <v>86</v>
      </c>
      <c r="H274" s="3" t="s">
        <v>68</v>
      </c>
    </row>
    <row r="275" spans="5:6">
      <c r="E275" s="3" t="s">
        <v>56</v>
      </c>
      <c r="F275" s="3" t="s">
        <v>81</v>
      </c>
    </row>
    <row r="276" spans="5:6">
      <c r="E276" s="3" t="s">
        <v>72</v>
      </c>
      <c r="F276" s="3" t="s">
        <v>81</v>
      </c>
    </row>
    <row r="277" spans="2:8">
      <c r="B277" s="3" t="str">
        <f t="shared" si="19"/>
        <v>frag_8_1_m_gold</v>
      </c>
      <c r="C277" s="3">
        <v>1400</v>
      </c>
      <c r="D277" s="4" t="s">
        <v>75</v>
      </c>
      <c r="E277" s="3" t="s">
        <v>19</v>
      </c>
      <c r="F277" s="3" t="s">
        <v>86</v>
      </c>
      <c r="H277" s="3" t="s">
        <v>74</v>
      </c>
    </row>
    <row r="278" spans="5:7">
      <c r="E278" s="3" t="s">
        <v>19</v>
      </c>
      <c r="F278" s="3"/>
      <c r="G278" s="3" t="str">
        <f>IF(B278="","",B278&amp;"_gold")</f>
        <v/>
      </c>
    </row>
    <row r="279" spans="2:8">
      <c r="B279" s="3" t="str">
        <f t="shared" si="19"/>
        <v>frag_9_1_m_gold</v>
      </c>
      <c r="C279" s="3">
        <v>1400</v>
      </c>
      <c r="D279" s="4" t="s">
        <v>75</v>
      </c>
      <c r="E279" s="3" t="s">
        <v>55</v>
      </c>
      <c r="F279" s="3" t="s">
        <v>86</v>
      </c>
      <c r="H279" s="3" t="s">
        <v>78</v>
      </c>
    </row>
    <row r="280" spans="5:5">
      <c r="E280" s="3" t="s">
        <v>55</v>
      </c>
    </row>
    <row r="281" spans="5:6">
      <c r="E281" s="3" t="s">
        <v>55</v>
      </c>
      <c r="F281" s="3" t="str">
        <f>IF(B281="","",$F$48)</f>
        <v/>
      </c>
    </row>
    <row r="282" spans="2:8">
      <c r="B282" s="3" t="str">
        <f t="shared" ref="B282:B287" si="20">H282&amp;"_"&amp;F282</f>
        <v>frag_4_1_m_silver</v>
      </c>
      <c r="C282" s="3">
        <v>1400</v>
      </c>
      <c r="D282" s="5" t="s">
        <v>21</v>
      </c>
      <c r="E282" s="3" t="s">
        <v>24</v>
      </c>
      <c r="F282" s="3" t="s">
        <v>87</v>
      </c>
      <c r="H282" s="3" t="s">
        <v>23</v>
      </c>
    </row>
    <row r="283" spans="4:6">
      <c r="D283" s="5"/>
      <c r="E283" s="3" t="s">
        <v>24</v>
      </c>
      <c r="F283" s="3" t="s">
        <v>81</v>
      </c>
    </row>
    <row r="284" spans="2:8">
      <c r="B284" s="3" t="str">
        <f t="shared" si="20"/>
        <v>frag_4_2_m_silver</v>
      </c>
      <c r="C284" s="3">
        <v>1400</v>
      </c>
      <c r="D284" s="5" t="s">
        <v>21</v>
      </c>
      <c r="E284" s="3" t="s">
        <v>24</v>
      </c>
      <c r="F284" s="3" t="s">
        <v>87</v>
      </c>
      <c r="H284" s="3" t="s">
        <v>25</v>
      </c>
    </row>
    <row r="285" spans="4:6">
      <c r="D285" s="5"/>
      <c r="E285" s="3" t="s">
        <v>27</v>
      </c>
      <c r="F285" s="3" t="s">
        <v>81</v>
      </c>
    </row>
    <row r="286" spans="4:6">
      <c r="D286" s="5"/>
      <c r="E286" s="3" t="s">
        <v>27</v>
      </c>
      <c r="F286" s="3" t="s">
        <v>81</v>
      </c>
    </row>
    <row r="287" spans="2:8">
      <c r="B287" s="3" t="str">
        <f t="shared" si="20"/>
        <v>frag_4_3_m_silver</v>
      </c>
      <c r="C287" s="3">
        <v>1400</v>
      </c>
      <c r="D287" s="5" t="s">
        <v>21</v>
      </c>
      <c r="E287" s="3" t="s">
        <v>24</v>
      </c>
      <c r="F287" s="3" t="s">
        <v>87</v>
      </c>
      <c r="H287" s="3" t="s">
        <v>28</v>
      </c>
    </row>
    <row r="288" spans="4:6">
      <c r="D288" s="5"/>
      <c r="E288" s="3" t="s">
        <v>29</v>
      </c>
      <c r="F288" s="3" t="s">
        <v>81</v>
      </c>
    </row>
    <row r="289" spans="4:6">
      <c r="D289" s="5"/>
      <c r="E289" s="3" t="s">
        <v>29</v>
      </c>
      <c r="F289" s="3" t="s">
        <v>81</v>
      </c>
    </row>
    <row r="290" spans="2:8">
      <c r="B290" s="3" t="str">
        <f>H290&amp;"_"&amp;F290</f>
        <v>frag_4_4_m_silver</v>
      </c>
      <c r="C290" s="3">
        <v>1400</v>
      </c>
      <c r="D290" s="5" t="s">
        <v>21</v>
      </c>
      <c r="E290" s="3" t="s">
        <v>29</v>
      </c>
      <c r="F290" s="3" t="s">
        <v>87</v>
      </c>
      <c r="H290" s="3" t="s">
        <v>32</v>
      </c>
    </row>
    <row r="291" spans="4:6">
      <c r="D291" s="5"/>
      <c r="E291" s="3" t="s">
        <v>24</v>
      </c>
      <c r="F291" s="3" t="s">
        <v>81</v>
      </c>
    </row>
    <row r="292" spans="4:6">
      <c r="D292" s="5"/>
      <c r="E292" s="3" t="s">
        <v>27</v>
      </c>
      <c r="F292" s="3" t="s">
        <v>81</v>
      </c>
    </row>
    <row r="293" spans="2:8">
      <c r="B293" s="3" t="str">
        <f>H293&amp;"_"&amp;F293</f>
        <v>frag_4_5_m_silver</v>
      </c>
      <c r="C293" s="3">
        <v>1400</v>
      </c>
      <c r="D293" s="5" t="s">
        <v>21</v>
      </c>
      <c r="E293" s="3" t="s">
        <v>27</v>
      </c>
      <c r="F293" s="3" t="s">
        <v>87</v>
      </c>
      <c r="H293" s="3" t="s">
        <v>36</v>
      </c>
    </row>
    <row r="294" spans="4:6">
      <c r="D294" s="5"/>
      <c r="E294" s="3" t="s">
        <v>24</v>
      </c>
      <c r="F294" s="3" t="s">
        <v>81</v>
      </c>
    </row>
    <row r="295" spans="4:6">
      <c r="D295" s="5"/>
      <c r="E295" s="3" t="s">
        <v>29</v>
      </c>
      <c r="F295" s="3" t="s">
        <v>81</v>
      </c>
    </row>
    <row r="296" spans="2:8">
      <c r="B296" s="3" t="str">
        <f>H296&amp;"_"&amp;F296</f>
        <v>frag_4_6_m_silver</v>
      </c>
      <c r="C296" s="3">
        <v>1400</v>
      </c>
      <c r="D296" s="5" t="s">
        <v>21</v>
      </c>
      <c r="E296" s="3" t="s">
        <v>22</v>
      </c>
      <c r="F296" s="3" t="s">
        <v>87</v>
      </c>
      <c r="H296" s="3" t="s">
        <v>41</v>
      </c>
    </row>
    <row r="297" spans="4:6">
      <c r="D297" s="5"/>
      <c r="E297" s="3" t="s">
        <v>22</v>
      </c>
      <c r="F297" s="3" t="s">
        <v>81</v>
      </c>
    </row>
    <row r="298" spans="4:6">
      <c r="D298" s="5"/>
      <c r="E298" s="3" t="s">
        <v>22</v>
      </c>
      <c r="F298" s="3" t="s">
        <v>81</v>
      </c>
    </row>
    <row r="299" spans="4:6">
      <c r="D299" s="5"/>
      <c r="E299" s="3" t="s">
        <v>22</v>
      </c>
      <c r="F299" s="3" t="s">
        <v>81</v>
      </c>
    </row>
    <row r="300" spans="2:8">
      <c r="B300" s="3" t="str">
        <f t="shared" ref="B300:B304" si="21">H300&amp;"_"&amp;F300</f>
        <v>frag_5_1_m_silver</v>
      </c>
      <c r="C300" s="3">
        <v>1400</v>
      </c>
      <c r="D300" s="4" t="s">
        <v>47</v>
      </c>
      <c r="E300" s="3" t="s">
        <v>19</v>
      </c>
      <c r="F300" s="3" t="s">
        <v>87</v>
      </c>
      <c r="H300" s="3" t="s">
        <v>46</v>
      </c>
    </row>
    <row r="301" spans="5:6">
      <c r="E301" s="3" t="s">
        <v>49</v>
      </c>
      <c r="F301" s="3" t="s">
        <v>81</v>
      </c>
    </row>
    <row r="302" spans="2:8">
      <c r="B302" s="3" t="str">
        <f t="shared" si="21"/>
        <v>frag_5_2_m_silver</v>
      </c>
      <c r="C302" s="3">
        <v>1400</v>
      </c>
      <c r="D302" s="4" t="s">
        <v>47</v>
      </c>
      <c r="E302" s="3" t="s">
        <v>19</v>
      </c>
      <c r="F302" s="3" t="s">
        <v>87</v>
      </c>
      <c r="H302" s="3" t="s">
        <v>52</v>
      </c>
    </row>
    <row r="303" spans="5:6">
      <c r="E303" s="3" t="s">
        <v>53</v>
      </c>
      <c r="F303" s="3" t="s">
        <v>81</v>
      </c>
    </row>
    <row r="304" spans="2:8">
      <c r="B304" s="3" t="str">
        <f t="shared" si="21"/>
        <v>frag_5_3_m_silver</v>
      </c>
      <c r="C304" s="3">
        <v>1400</v>
      </c>
      <c r="D304" s="4" t="s">
        <v>47</v>
      </c>
      <c r="E304" s="3" t="s">
        <v>55</v>
      </c>
      <c r="F304" s="3" t="s">
        <v>87</v>
      </c>
      <c r="H304" s="3" t="s">
        <v>54</v>
      </c>
    </row>
    <row r="305" spans="5:6">
      <c r="E305" s="3" t="s">
        <v>56</v>
      </c>
      <c r="F305" s="3" t="s">
        <v>81</v>
      </c>
    </row>
    <row r="306" spans="2:8">
      <c r="B306" s="3" t="str">
        <f t="shared" ref="B306:B310" si="22">H306&amp;"_"&amp;F306</f>
        <v>frag_5_4_m_silver</v>
      </c>
      <c r="C306" s="3">
        <v>1400</v>
      </c>
      <c r="D306" s="4" t="s">
        <v>47</v>
      </c>
      <c r="E306" s="3" t="s">
        <v>55</v>
      </c>
      <c r="F306" s="3" t="s">
        <v>87</v>
      </c>
      <c r="H306" s="3" t="s">
        <v>57</v>
      </c>
    </row>
    <row r="307" spans="5:6">
      <c r="E307" s="3" t="s">
        <v>59</v>
      </c>
      <c r="F307" s="3" t="s">
        <v>81</v>
      </c>
    </row>
    <row r="308" spans="2:8">
      <c r="B308" s="3" t="str">
        <f t="shared" si="22"/>
        <v>frag_6_1_m_silver</v>
      </c>
      <c r="C308" s="3">
        <v>1400</v>
      </c>
      <c r="D308" s="4" t="s">
        <v>62</v>
      </c>
      <c r="E308" s="3" t="s">
        <v>55</v>
      </c>
      <c r="F308" s="3" t="s">
        <v>87</v>
      </c>
      <c r="H308" s="3" t="s">
        <v>61</v>
      </c>
    </row>
    <row r="309" spans="5:6">
      <c r="E309" s="3" t="s">
        <v>55</v>
      </c>
      <c r="F309" s="3" t="s">
        <v>81</v>
      </c>
    </row>
    <row r="310" spans="2:8">
      <c r="B310" s="3" t="str">
        <f t="shared" si="22"/>
        <v>frag_6_2_m_silver</v>
      </c>
      <c r="C310" s="3">
        <v>1400</v>
      </c>
      <c r="D310" s="5" t="s">
        <v>62</v>
      </c>
      <c r="E310" s="3" t="s">
        <v>55</v>
      </c>
      <c r="F310" s="3" t="s">
        <v>87</v>
      </c>
      <c r="H310" s="3" t="s">
        <v>65</v>
      </c>
    </row>
    <row r="311" spans="5:6">
      <c r="E311" s="3" t="s">
        <v>59</v>
      </c>
      <c r="F311" s="3" t="s">
        <v>81</v>
      </c>
    </row>
    <row r="312" spans="5:6">
      <c r="E312" s="3" t="s">
        <v>67</v>
      </c>
      <c r="F312" s="3" t="s">
        <v>81</v>
      </c>
    </row>
    <row r="313" spans="2:8">
      <c r="B313" s="3" t="str">
        <f t="shared" ref="B313:B318" si="23">H313&amp;"_"&amp;F313</f>
        <v>frag_6_3_m_silver</v>
      </c>
      <c r="C313" s="3">
        <v>1400</v>
      </c>
      <c r="D313" s="4" t="s">
        <v>62</v>
      </c>
      <c r="E313" s="3" t="s">
        <v>55</v>
      </c>
      <c r="F313" s="3" t="s">
        <v>87</v>
      </c>
      <c r="H313" s="3" t="s">
        <v>68</v>
      </c>
    </row>
    <row r="314" spans="5:6">
      <c r="E314" s="3" t="s">
        <v>56</v>
      </c>
      <c r="F314" s="3" t="s">
        <v>81</v>
      </c>
    </row>
    <row r="315" spans="5:6">
      <c r="E315" s="3" t="s">
        <v>72</v>
      </c>
      <c r="F315" s="3" t="s">
        <v>81</v>
      </c>
    </row>
    <row r="316" spans="2:8">
      <c r="B316" s="3" t="str">
        <f t="shared" si="23"/>
        <v>frag_8_1_m_silver</v>
      </c>
      <c r="C316" s="3">
        <v>1400</v>
      </c>
      <c r="D316" s="4" t="s">
        <v>75</v>
      </c>
      <c r="E316" s="3" t="s">
        <v>19</v>
      </c>
      <c r="F316" s="3" t="s">
        <v>87</v>
      </c>
      <c r="H316" s="3" t="s">
        <v>74</v>
      </c>
    </row>
    <row r="317" spans="5:7">
      <c r="E317" s="3" t="s">
        <v>19</v>
      </c>
      <c r="G317" s="3" t="str">
        <f>IF(B317="","",B317&amp;"_silver")</f>
        <v/>
      </c>
    </row>
    <row r="318" spans="2:8">
      <c r="B318" s="3" t="str">
        <f t="shared" si="23"/>
        <v>frag_9_1_m_silver</v>
      </c>
      <c r="C318" s="3">
        <v>1400</v>
      </c>
      <c r="D318" s="4" t="s">
        <v>75</v>
      </c>
      <c r="E318" s="3" t="s">
        <v>55</v>
      </c>
      <c r="F318" s="3" t="s">
        <v>87</v>
      </c>
      <c r="H318" s="3" t="s">
        <v>78</v>
      </c>
    </row>
    <row r="319" spans="5:5">
      <c r="E319" s="3" t="s">
        <v>55</v>
      </c>
    </row>
    <row r="320" spans="5:6">
      <c r="E320" s="3" t="s">
        <v>55</v>
      </c>
      <c r="F320" s="3" t="str">
        <f>IF(B320="","",$F$48)</f>
        <v/>
      </c>
    </row>
  </sheetData>
  <mergeCells count="2">
    <mergeCell ref="T34:T38"/>
    <mergeCell ref="T40:T4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  <c r="H1" s="1" t="s">
        <v>93</v>
      </c>
    </row>
    <row r="2" spans="1:8">
      <c r="A2" s="1" t="s">
        <v>6</v>
      </c>
      <c r="B2" s="1" t="s">
        <v>94</v>
      </c>
      <c r="C2" s="1" t="s">
        <v>95</v>
      </c>
      <c r="D2" s="1" t="s">
        <v>96</v>
      </c>
      <c r="E2" s="1" t="s">
        <v>97</v>
      </c>
      <c r="F2" s="1" t="s">
        <v>98</v>
      </c>
      <c r="G2" s="1" t="s">
        <v>99</v>
      </c>
      <c r="H2" s="1" t="s">
        <v>100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101</v>
      </c>
      <c r="F3" s="1" t="s">
        <v>16</v>
      </c>
      <c r="G3" s="1" t="s">
        <v>102</v>
      </c>
      <c r="H3" s="1" t="s">
        <v>13</v>
      </c>
    </row>
    <row r="4" spans="2:7">
      <c r="B4" s="1" t="s">
        <v>80</v>
      </c>
      <c r="C4" s="1" t="s">
        <v>103</v>
      </c>
      <c r="D4" s="1" t="s">
        <v>104</v>
      </c>
      <c r="E4" s="1" t="s">
        <v>105</v>
      </c>
      <c r="G4" s="1" t="s">
        <v>106</v>
      </c>
    </row>
    <row r="5" spans="2:7">
      <c r="B5" s="1" t="s">
        <v>82</v>
      </c>
      <c r="C5" s="1" t="s">
        <v>107</v>
      </c>
      <c r="D5" s="1" t="s">
        <v>108</v>
      </c>
      <c r="E5" s="1" t="s">
        <v>109</v>
      </c>
      <c r="G5" s="1" t="s">
        <v>110</v>
      </c>
    </row>
    <row r="6" spans="2:7">
      <c r="B6" s="1" t="s">
        <v>83</v>
      </c>
      <c r="C6" s="1" t="s">
        <v>111</v>
      </c>
      <c r="D6" s="1" t="s">
        <v>112</v>
      </c>
      <c r="E6" s="1" t="s">
        <v>113</v>
      </c>
      <c r="G6" s="1" t="s">
        <v>114</v>
      </c>
    </row>
    <row r="7" spans="2:7">
      <c r="B7" s="1" t="s">
        <v>84</v>
      </c>
      <c r="C7" s="1" t="s">
        <v>115</v>
      </c>
      <c r="D7" s="1" t="s">
        <v>116</v>
      </c>
      <c r="E7" s="1" t="s">
        <v>117</v>
      </c>
      <c r="G7" s="1" t="s">
        <v>118</v>
      </c>
    </row>
    <row r="8" ht="34" spans="2:7">
      <c r="B8" s="1" t="s">
        <v>85</v>
      </c>
      <c r="C8" s="1" t="s">
        <v>119</v>
      </c>
      <c r="D8" s="2" t="s">
        <v>120</v>
      </c>
      <c r="E8" s="1" t="s">
        <v>121</v>
      </c>
      <c r="G8" s="1" t="s">
        <v>122</v>
      </c>
    </row>
    <row r="9" ht="34" spans="2:7">
      <c r="B9" s="1" t="s">
        <v>86</v>
      </c>
      <c r="C9" s="1" t="s">
        <v>123</v>
      </c>
      <c r="D9" s="2" t="s">
        <v>124</v>
      </c>
      <c r="E9" s="1" t="s">
        <v>125</v>
      </c>
      <c r="F9" s="1" t="s">
        <v>126</v>
      </c>
      <c r="G9" s="1" t="s">
        <v>110</v>
      </c>
    </row>
    <row r="10" ht="34" spans="2:7">
      <c r="B10" s="1" t="s">
        <v>87</v>
      </c>
      <c r="C10" s="1" t="s">
        <v>127</v>
      </c>
      <c r="D10" s="2" t="s">
        <v>128</v>
      </c>
      <c r="E10" s="1" t="s">
        <v>129</v>
      </c>
      <c r="F10" s="1" t="s">
        <v>126</v>
      </c>
      <c r="G10" s="1" t="s">
        <v>130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2026-06-16T09:15:00Z</dcterms:created>
  <dcterms:modified xsi:type="dcterms:W3CDTF">2026-07-24T17:47:46Z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